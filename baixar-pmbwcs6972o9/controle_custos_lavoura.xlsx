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Talhões" sheetId="4" state="visible" r:id="rId4"/>
    <sheet xmlns:r="http://schemas.openxmlformats.org/officeDocument/2006/relationships" name="Lançamentos" sheetId="5" state="visible" r:id="rId5"/>
    <sheet xmlns:r="http://schemas.openxmlformats.org/officeDocument/2006/relationships" name="Listas" sheetId="6" state="hidden" r:id="rId6"/>
    <sheet xmlns:r="http://schemas.openxmlformats.org/officeDocument/2006/relationships" name="Exemplo" sheetId="7" state="visible" r:id="rId7"/>
  </sheets>
  <definedNames>
    <definedName name="_xlnm._FilterDatabase" localSheetId="4" hidden="1">'Lançamentos'!$A$5:$K$1005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;[Red]-&quot;R$&quot; #,##0.00"/>
    <numFmt numFmtId="165" formatCode="#,##0.00;[Red]-#,##0.00"/>
    <numFmt numFmtId="166" formatCode="dd/mm/yyyy"/>
    <numFmt numFmtId="167" formatCode="0.0%;[Red]-0.0%"/>
    <numFmt numFmtId="168" formatCode="yyyy-mm-dd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5E20"/>
      <sz val="10"/>
    </font>
    <font>
      <name val="Calibri"/>
      <b val="1"/>
      <color rgb="001B5E20"/>
      <sz val="11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263238"/>
      <sz val="11"/>
    </font>
    <font>
      <name val="Calibri"/>
      <b val="1"/>
      <color rgb="002E7D32"/>
      <sz val="10"/>
    </font>
    <font>
      <name val="Calibri"/>
      <i val="1"/>
      <color rgb="00666666"/>
      <sz val="9"/>
    </font>
    <font>
      <name val="Calibri"/>
      <b val="1"/>
      <color rgb="00263238"/>
      <sz val="9"/>
    </font>
    <font>
      <name val="Calibri"/>
      <sz val="9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b val="1"/>
      <color rgb="001B5E20"/>
      <sz val="12"/>
    </font>
    <font>
      <name val="Calibri"/>
      <b val="1"/>
      <sz val="13"/>
    </font>
    <font>
      <name val="Calibri"/>
      <color rgb="00263238"/>
      <sz val="10"/>
    </font>
    <font>
      <name val="Calibri"/>
      <b val="1"/>
      <color rgb="00263238"/>
      <sz val="10"/>
    </font>
    <font>
      <name val="Calibri"/>
      <b val="1"/>
      <color rgb="001B5E20"/>
      <sz val="13"/>
    </font>
    <font>
      <name val="Calibri"/>
      <b val="1"/>
      <color rgb="00B71C1C"/>
      <sz val="10"/>
    </font>
    <font>
      <name val="Calibri"/>
      <b val="1"/>
      <color rgb="002E7D32"/>
    </font>
  </fonts>
  <fills count="10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4CC"/>
        <bgColor rgb="00FFF4CC"/>
      </patternFill>
    </fill>
    <fill>
      <patternFill patternType="solid">
        <fgColor rgb="00F1F3F4"/>
        <bgColor rgb="00F1F3F4"/>
      </patternFill>
    </fill>
    <fill>
      <patternFill patternType="solid">
        <fgColor rgb="00F9A825"/>
        <bgColor rgb="00F9A825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</fills>
  <borders count="3">
    <border>
      <left/>
      <right/>
      <top/>
      <bottom/>
      <diagonal/>
    </border>
    <border>
      <left style="thin">
        <color rgb="00C8D0C8"/>
      </left>
      <right style="thin">
        <color rgb="00C8D0C8"/>
      </right>
      <top style="thin">
        <color rgb="00C8D0C8"/>
      </top>
      <bottom style="thin">
        <color rgb="00C8D0C8"/>
      </bottom>
    </border>
    <border>
      <left style="thin">
        <color rgb="00C8D0C8"/>
      </left>
      <right style="thin">
        <color rgb="00C8D0C8"/>
      </right>
      <top style="medium">
        <color rgb="002E7D32"/>
      </top>
      <bottom style="thin">
        <color rgb="00C8D0C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4" fillId="0" borderId="0" pivotButton="0" quotePrefix="0" xfId="0"/>
    <xf numFmtId="0" fontId="4" fillId="5" borderId="1" pivotButton="0" quotePrefix="0" xfId="0"/>
    <xf numFmtId="0" fontId="5" fillId="3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7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13" fillId="0" borderId="0" applyAlignment="1" pivotButton="0" quotePrefix="0" xfId="0">
      <alignment vertical="center"/>
    </xf>
    <xf numFmtId="49" fontId="14" fillId="4" borderId="1" applyAlignment="1" applyProtection="1" pivotButton="0" quotePrefix="0" xfId="0">
      <alignment horizontal="center"/>
      <protection locked="0" hidden="0"/>
    </xf>
    <xf numFmtId="0" fontId="15" fillId="8" borderId="1" applyAlignment="1" pivotButton="0" quotePrefix="0" xfId="0">
      <alignment vertical="center" wrapText="1" indent="1"/>
    </xf>
    <xf numFmtId="165" fontId="3" fillId="3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vertical="center" wrapText="1" indent="1"/>
    </xf>
    <xf numFmtId="164" fontId="17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/>
    </xf>
    <xf numFmtId="164" fontId="4" fillId="5" borderId="1" pivotButton="0" quotePrefix="0" xfId="0"/>
    <xf numFmtId="167" fontId="4" fillId="5" borderId="1" pivotButton="0" quotePrefix="0" xfId="0"/>
    <xf numFmtId="164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5" fontId="17" fillId="3" borderId="1" applyAlignment="1" pivotButton="0" quotePrefix="0" xfId="0">
      <alignment horizontal="right" vertical="center"/>
    </xf>
    <xf numFmtId="0" fontId="5" fillId="3" borderId="2" pivotButton="0" quotePrefix="0" xfId="0"/>
    <xf numFmtId="164" fontId="5" fillId="3" borderId="2" pivotButton="0" quotePrefix="0" xfId="0"/>
    <xf numFmtId="167" fontId="5" fillId="3" borderId="2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/>
    </xf>
    <xf numFmtId="0" fontId="11" fillId="5" borderId="1" pivotButton="0" quotePrefix="0" xfId="0"/>
    <xf numFmtId="49" fontId="4" fillId="4" borderId="1" applyAlignment="1" applyProtection="1" pivotButton="0" quotePrefix="0" xfId="0">
      <alignment horizontal="center"/>
      <protection locked="0" hidden="0"/>
    </xf>
    <xf numFmtId="0" fontId="4" fillId="4" borderId="1" applyProtection="1" pivotButton="0" quotePrefix="0" xfId="0">
      <protection locked="0" hidden="0"/>
    </xf>
    <xf numFmtId="164" fontId="4" fillId="4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center"/>
      <protection locked="0" hidden="0"/>
    </xf>
    <xf numFmtId="0" fontId="8" fillId="0" borderId="0" applyAlignment="1" pivotButton="0" quotePrefix="0" xfId="0">
      <alignment vertical="center"/>
    </xf>
    <xf numFmtId="165" fontId="4" fillId="4" borderId="1" applyProtection="1" pivotButton="0" quotePrefix="0" xfId="0">
      <protection locked="0" hidden="0"/>
    </xf>
    <xf numFmtId="165" fontId="4" fillId="5" borderId="1" pivotButton="0" quotePrefix="0" xfId="0"/>
    <xf numFmtId="166" fontId="4" fillId="4" borderId="1" applyAlignment="1" applyProtection="1" pivotButton="0" quotePrefix="0" xfId="0">
      <alignment horizontal="center"/>
      <protection locked="0" hidden="0"/>
    </xf>
    <xf numFmtId="0" fontId="18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6" fillId="0" borderId="0" applyAlignment="1" pivotButton="0" quotePrefix="0" xfId="0">
      <alignment vertical="center"/>
    </xf>
    <xf numFmtId="49" fontId="4" fillId="4" borderId="1" applyProtection="1" pivotButton="0" quotePrefix="0" xfId="0">
      <protection locked="0" hidden="0"/>
    </xf>
    <xf numFmtId="165" fontId="5" fillId="3" borderId="2" pivotButton="0" quotePrefix="0" xfId="0"/>
    <xf numFmtId="0" fontId="19" fillId="0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Calibri"/>
        <b val="1"/>
        <color rgb="00C62828"/>
      </font>
      <fill>
        <patternFill patternType="solid">
          <fgColor rgb="00FFEBEE"/>
          <bgColor rgb="00FFEBEE"/>
        </patternFill>
      </fill>
    </dxf>
    <dxf>
      <font>
        <name val="Calibri"/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por grupo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9A82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D4C4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0A4AE"/>
              </a:solidFill>
              <a:ln xmlns:a="http://schemas.openxmlformats.org/drawingml/2006/main">
                <a:prstDash val="solid"/>
              </a:ln>
            </spPr>
          </dPt>
          <cat>
            <numRef>
              <f>'Painel'!$E$33:$E$36</f>
            </numRef>
          </cat>
          <val>
            <numRef>
              <f>'Painel'!$H$33:$H$36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por categoria (R$)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'Painel'!$E$9:$E$28</f>
            </numRef>
          </cat>
          <val>
            <numRef>
              <f>'Painel'!$H$9:$H$28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3816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6</row>
      <rowOff>0</rowOff>
    </from>
    <ext cx="5760000" cy="55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36" customHeight="1">
      <c r="A1" s="1" t="inlineStr">
        <is>
          <t>Controle de Custos da Lavoura</t>
        </is>
      </c>
      <c r="B1" s="2" t="n"/>
      <c r="C1" s="2" t="n"/>
    </row>
    <row r="2" ht="20" customHeight="1">
      <c r="A2" s="3" t="inlineStr">
        <is>
          <t>Coleção Gestão no Campo  •  Instruções de uso</t>
        </is>
      </c>
      <c r="B2" s="4" t="n"/>
      <c r="C2" s="4" t="n"/>
    </row>
    <row r="4">
      <c r="B4" s="5" t="inlineStr">
        <is>
          <t>Legenda de cores:</t>
        </is>
      </c>
    </row>
    <row r="5">
      <c r="B5" s="6" t="inlineStr">
        <is>
          <t>Amarelo claro</t>
        </is>
      </c>
      <c r="C5" s="7" t="inlineStr">
        <is>
          <t>Células para você preencher (digitação livre ou lista suspensa).</t>
        </is>
      </c>
    </row>
    <row r="6">
      <c r="B6" s="8" t="inlineStr">
        <is>
          <t>Cinza claro</t>
        </is>
      </c>
      <c r="C6" s="7" t="inlineStr">
        <is>
          <t>Fórmulas automáticas. Ficam protegidas para evitar que sejam apagadas por engano.</t>
        </is>
      </c>
    </row>
    <row r="7">
      <c r="B7" s="9" t="inlineStr">
        <is>
          <t>Verde claro</t>
        </is>
      </c>
      <c r="C7" s="7" t="inlineStr">
        <is>
          <t>Linhas de total e resultados principais.</t>
        </is>
      </c>
    </row>
    <row r="9" ht="20" customHeight="1">
      <c r="B9" s="10" t="inlineStr">
        <is>
          <t>Passo a passo</t>
        </is>
      </c>
      <c r="C9" s="11" t="n"/>
    </row>
    <row r="10" ht="45" customHeight="1">
      <c r="B10" s="12" t="inlineStr">
        <is>
          <t>Passo 1</t>
        </is>
      </c>
      <c r="C10" s="13" t="inlineStr">
        <is>
          <t>Aba Config: cadastre a(s) safra(s) (ex.: 2025/26), a cultura e o preço esperado de venda em R$ por saca. Revise a lista de categorias de custo, o tipo (Variável/Fixo) e o grupo (Insumos, Operações, Mão de obra, Outros). Você pode renomear e incluir categorias nas linhas livres.</t>
        </is>
      </c>
    </row>
    <row r="11" ht="45" customHeight="1">
      <c r="B11" s="12" t="inlineStr">
        <is>
          <t>Passo 2</t>
        </is>
      </c>
      <c r="C11" s="13" t="inlineStr">
        <is>
          <t>Aba Talhões: para cada safra, cadastre os talhões com código (ex.: T01), área em hectares e produtividade esperada (sc/ha). Ao final da colheita, informe a produção realizada em sacas — a planilha passa a usar o realizado no lugar do esperado.</t>
        </is>
      </c>
    </row>
    <row r="12" ht="30" customHeight="1">
      <c r="B12" s="12" t="inlineStr">
        <is>
          <t>Passo 3</t>
        </is>
      </c>
      <c r="C12" s="13" t="inlineStr">
        <is>
          <t>Aba Lançamentos: registre cada gasto (insumos, operações, mão de obra, arrendamento etc.) com data, safra, talhão, categoria, quantidade e valor unitário. O valor total é calculado.</t>
        </is>
      </c>
    </row>
    <row r="13" ht="45" customHeight="1">
      <c r="B13" s="12" t="inlineStr">
        <is>
          <t>Passo 4</t>
        </is>
      </c>
      <c r="C13" s="13" t="inlineStr">
        <is>
          <t>Gastos que não pertencem a um talhão específico (ex.: salário fixo, diesel geral, assistência técnica) devem ser lançados no talhão 'GERAL': eles são rateados automaticamente entre os talhões da safra, proporcionalmente à área.</t>
        </is>
      </c>
    </row>
    <row r="14" ht="30" customHeight="1">
      <c r="B14" s="12" t="inlineStr">
        <is>
          <t>Passo 5</t>
        </is>
      </c>
      <c r="C14" s="13" t="inlineStr">
        <is>
          <t>Aba Painel: escolha a safra na célula amarela e veja área, custo total, custo por hectare, custo por saca, receita e resultado estimados, ponto de equilíbrio e gráficos por grupo e categoria.</t>
        </is>
      </c>
    </row>
    <row r="16" ht="20" customHeight="1">
      <c r="B16" s="10" t="inlineStr">
        <is>
          <t>Indicadores calculados</t>
        </is>
      </c>
      <c r="C16" s="11" t="n"/>
    </row>
    <row r="17" ht="16" customHeight="1">
      <c r="B17" s="12" t="inlineStr">
        <is>
          <t>•</t>
        </is>
      </c>
      <c r="C17" s="13" t="inlineStr">
        <is>
          <t>Custo por hectare = custo total ÷ área (ha).</t>
        </is>
      </c>
    </row>
    <row r="18" ht="30" customHeight="1">
      <c r="B18" s="12" t="inlineStr">
        <is>
          <t>•</t>
        </is>
      </c>
      <c r="C18" s="13" t="inlineStr">
        <is>
          <t>Custo por saca = custo total ÷ produção (realizada, ou esperada × área quando a realizada não foi informada). É também o preço mínimo de venda para empatar.</t>
        </is>
      </c>
    </row>
    <row r="19" ht="30" customHeight="1">
      <c r="B19" s="12" t="inlineStr">
        <is>
          <t>•</t>
        </is>
      </c>
      <c r="C19" s="13" t="inlineStr">
        <is>
          <t>Ponto de equilíbrio (sc/ha) = custo por hectare ÷ preço esperado de venda: quantas sacas por hectare pagam o custo total.</t>
        </is>
      </c>
    </row>
    <row r="20" ht="30" customHeight="1">
      <c r="B20" s="12" t="inlineStr">
        <is>
          <t>•</t>
        </is>
      </c>
      <c r="C20" s="13" t="inlineStr">
        <is>
          <t>Ponto de equilíbrio operacional = mesmo cálculo usando apenas os custos classificados como 'Variável' na aba Config.</t>
        </is>
      </c>
    </row>
    <row r="21" ht="30" customHeight="1">
      <c r="B21" s="12" t="inlineStr">
        <is>
          <t>•</t>
        </is>
      </c>
      <c r="C21" s="13" t="inlineStr">
        <is>
          <t>'Lançamentos sem talhão cadastrado' no Painel deve ser R$ 0,00. Se aparecer valor, há lançamento com código de talhão que não existe na aba Talhões para aquela safra.</t>
        </is>
      </c>
    </row>
    <row r="23" ht="20" customHeight="1">
      <c r="B23" s="10" t="inlineStr">
        <is>
          <t>Dicas</t>
        </is>
      </c>
      <c r="C23" s="11" t="n"/>
    </row>
    <row r="24" ht="16" customHeight="1">
      <c r="B24" s="12" t="inlineStr">
        <is>
          <t>•</t>
        </is>
      </c>
      <c r="C24" s="13" t="inlineStr">
        <is>
          <t>Use sempre o mesmo código de talhão e o mesmo nome de safra (copie da lista suspensa).</t>
        </is>
      </c>
    </row>
    <row r="25" ht="16" customHeight="1">
      <c r="B25" s="12" t="inlineStr">
        <is>
          <t>•</t>
        </is>
      </c>
      <c r="C25" s="13" t="inlineStr">
        <is>
          <t>Se você só tem o valor total de uma nota, lance quantidade 1 e o valor total como valor unitário.</t>
        </is>
      </c>
    </row>
    <row r="26" ht="16" customHeight="1">
      <c r="B26" s="12" t="inlineStr">
        <is>
          <t>•</t>
        </is>
      </c>
      <c r="C26" s="13" t="inlineStr">
        <is>
          <t>Capacidade: 10 safras, 60 linhas de talhões, 20 categorias e 1.000 lançamentos.</t>
        </is>
      </c>
    </row>
    <row r="28" ht="20" customHeight="1">
      <c r="B28" s="10" t="inlineStr">
        <is>
          <t>Proteção das planilhas</t>
        </is>
      </c>
      <c r="C28" s="11" t="n"/>
    </row>
    <row r="29" ht="46" customHeight="1">
      <c r="C29" s="13" t="inlineStr">
        <is>
          <t>As abas estão protegidas SEM SENHA apenas para evitar exclusão acidental de fórmulas. Para personalizar: Excel → guia Revisão → Desproteger Planilha (no LibreOffice: Ferramentas → Proteger planilha; no Google Planilhas a proteção não é importada). Lembre-se de proteger novamente depois.</t>
        </is>
      </c>
    </row>
    <row r="31" ht="30" customHeight="1">
      <c r="C31" s="14" t="inlineStr">
        <is>
          <t>Compatível com Microsoft Excel 2010 ou superior, LibreOffice Calc e Google Planilhas. A aba 'Exemplo' contém apenas dados FICTÍCIOS para demonstração e pode ser excluída.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9" customWidth="1" min="3" max="3"/>
    <col width="3" customWidth="1" min="4" max="4"/>
    <col width="30" customWidth="1" min="5" max="5"/>
    <col width="13" customWidth="1" min="6" max="6"/>
    <col width="11" customWidth="1" min="7" max="7"/>
    <col width="16" customWidth="1" min="8" max="8"/>
    <col width="13" customWidth="1" min="9" max="9"/>
    <col width="10" customWidth="1" min="10" max="10"/>
    <col width="3" customWidth="1" min="11" max="11"/>
  </cols>
  <sheetData>
    <row r="1" ht="36" customHeight="1">
      <c r="A1" s="1" t="inlineStr">
        <is>
          <t>Painel da Safra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>Resumo de custos, ponto de equilíbrio e resultado estimado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5" ht="26" customHeight="1">
      <c r="B5" s="15" t="inlineStr">
        <is>
          <t>Safra selecionada  ▶</t>
        </is>
      </c>
      <c r="C5" s="16">
        <f>IF(Config!A6="","",Config!A6)</f>
        <v/>
      </c>
    </row>
    <row r="7" ht="20" customHeight="1">
      <c r="B7" s="10" t="inlineStr">
        <is>
          <t>Indicadores da safra</t>
        </is>
      </c>
      <c r="C7" s="11" t="n"/>
      <c r="E7" s="10" t="inlineStr">
        <is>
          <t>Custos por categoria</t>
        </is>
      </c>
      <c r="F7" s="11" t="n"/>
      <c r="G7" s="11" t="n"/>
      <c r="H7" s="11" t="n"/>
      <c r="I7" s="11" t="n"/>
      <c r="J7" s="11" t="n"/>
    </row>
    <row r="8" ht="28" customHeight="1">
      <c r="B8" s="17" t="inlineStr">
        <is>
          <t>Área total (ha)</t>
        </is>
      </c>
      <c r="C8" s="18">
        <f>SUMIFS('Talhões'!$D$6:$D$65,'Talhões'!$A$6:$A$65,$C$5)</f>
        <v/>
      </c>
      <c r="E8" s="19" t="inlineStr">
        <is>
          <t>Categoria</t>
        </is>
      </c>
      <c r="F8" s="19" t="inlineStr">
        <is>
          <t>Grupo</t>
        </is>
      </c>
      <c r="G8" s="19" t="inlineStr">
        <is>
          <t>Tipo</t>
        </is>
      </c>
      <c r="H8" s="19" t="inlineStr">
        <is>
          <t>Valor (R$)</t>
        </is>
      </c>
      <c r="I8" s="19" t="inlineStr">
        <is>
          <t>R$/ha</t>
        </is>
      </c>
      <c r="J8" s="19" t="inlineStr">
        <is>
          <t>% do total</t>
        </is>
      </c>
    </row>
    <row r="9" ht="22" customHeight="1">
      <c r="B9" s="20" t="inlineStr">
        <is>
          <t>Custo total da safra</t>
        </is>
      </c>
      <c r="C9" s="21">
        <f>SUMIFS('Lançamentos'!$J$6:$J$1005,'Lançamentos'!$B$6:$B$1005,$C$5)</f>
        <v/>
      </c>
      <c r="E9" s="8">
        <f>IF(Config!$F6="","",Config!$F6)</f>
        <v/>
      </c>
      <c r="F9" s="22">
        <f>IF(E9="","",Config!$H6)</f>
        <v/>
      </c>
      <c r="G9" s="22">
        <f>IF(E9="","",Config!$G6)</f>
        <v/>
      </c>
      <c r="H9" s="23">
        <f>IF(E9="","",SUMIFS('Lançamentos'!$J$6:$J$1005,'Lançamentos'!$B$6:$B$1005,$C$5,'Lançamentos'!$D$6:$D$1005,E9))</f>
        <v/>
      </c>
      <c r="I9" s="23">
        <f>IF(E9="","",IFERROR(H9/$C$8,0))</f>
        <v/>
      </c>
      <c r="J9" s="24">
        <f>IF(E9="","",IFERROR(H9/$C$9,0))</f>
        <v/>
      </c>
    </row>
    <row r="10" ht="22" customHeight="1">
      <c r="B10" s="20" t="inlineStr">
        <is>
          <t>Custo por hectare (R$/ha)</t>
        </is>
      </c>
      <c r="C10" s="21">
        <f>IFERROR(C9/C8,0)</f>
        <v/>
      </c>
      <c r="E10" s="8">
        <f>IF(Config!$F7="","",Config!$F7)</f>
        <v/>
      </c>
      <c r="F10" s="22">
        <f>IF(E10="","",Config!$H7)</f>
        <v/>
      </c>
      <c r="G10" s="22">
        <f>IF(E10="","",Config!$G7)</f>
        <v/>
      </c>
      <c r="H10" s="23">
        <f>IF(E10="","",SUMIFS('Lançamentos'!$J$6:$J$1005,'Lançamentos'!$B$6:$B$1005,$C$5,'Lançamentos'!$D$6:$D$1005,E10))</f>
        <v/>
      </c>
      <c r="I10" s="23">
        <f>IF(E10="","",IFERROR(H10/$C$8,0))</f>
        <v/>
      </c>
      <c r="J10" s="24">
        <f>IF(E10="","",IFERROR(H10/$C$9,0))</f>
        <v/>
      </c>
    </row>
    <row r="11" ht="22" customHeight="1">
      <c r="B11" s="17" t="inlineStr">
        <is>
          <t>Produção considerada (sacas)</t>
        </is>
      </c>
      <c r="C11" s="18">
        <f>SUMIFS('Talhões'!$K$6:$K$65,'Talhões'!$A$6:$A$65,$C$5)</f>
        <v/>
      </c>
      <c r="E11" s="8">
        <f>IF(Config!$F8="","",Config!$F8)</f>
        <v/>
      </c>
      <c r="F11" s="22">
        <f>IF(E11="","",Config!$H8)</f>
        <v/>
      </c>
      <c r="G11" s="22">
        <f>IF(E11="","",Config!$G8)</f>
        <v/>
      </c>
      <c r="H11" s="23">
        <f>IF(E11="","",SUMIFS('Lançamentos'!$J$6:$J$1005,'Lançamentos'!$B$6:$B$1005,$C$5,'Lançamentos'!$D$6:$D$1005,E11))</f>
        <v/>
      </c>
      <c r="I11" s="23">
        <f>IF(E11="","",IFERROR(H11/$C$8,0))</f>
        <v/>
      </c>
      <c r="J11" s="24">
        <f>IF(E11="","",IFERROR(H11/$C$9,0))</f>
        <v/>
      </c>
    </row>
    <row r="12" ht="22" customHeight="1">
      <c r="B12" s="17" t="inlineStr">
        <is>
          <t>Produtividade média (sc/ha)</t>
        </is>
      </c>
      <c r="C12" s="18">
        <f>IFERROR(C11/C8,0)</f>
        <v/>
      </c>
      <c r="E12" s="8">
        <f>IF(Config!$F9="","",Config!$F9)</f>
        <v/>
      </c>
      <c r="F12" s="22">
        <f>IF(E12="","",Config!$H9)</f>
        <v/>
      </c>
      <c r="G12" s="22">
        <f>IF(E12="","",Config!$G9)</f>
        <v/>
      </c>
      <c r="H12" s="23">
        <f>IF(E12="","",SUMIFS('Lançamentos'!$J$6:$J$1005,'Lançamentos'!$B$6:$B$1005,$C$5,'Lançamentos'!$D$6:$D$1005,E12))</f>
        <v/>
      </c>
      <c r="I12" s="23">
        <f>IF(E12="","",IFERROR(H12/$C$8,0))</f>
        <v/>
      </c>
      <c r="J12" s="24">
        <f>IF(E12="","",IFERROR(H12/$C$9,0))</f>
        <v/>
      </c>
    </row>
    <row r="13" ht="22" customHeight="1">
      <c r="B13" s="20" t="inlineStr">
        <is>
          <t>Custo por saca (R$/sc)</t>
        </is>
      </c>
      <c r="C13" s="21">
        <f>IFERROR(C9/C11,0)</f>
        <v/>
      </c>
      <c r="E13" s="8">
        <f>IF(Config!$F10="","",Config!$F10)</f>
        <v/>
      </c>
      <c r="F13" s="22">
        <f>IF(E13="","",Config!$H10)</f>
        <v/>
      </c>
      <c r="G13" s="22">
        <f>IF(E13="","",Config!$G10)</f>
        <v/>
      </c>
      <c r="H13" s="23">
        <f>IF(E13="","",SUMIFS('Lançamentos'!$J$6:$J$1005,'Lançamentos'!$B$6:$B$1005,$C$5,'Lançamentos'!$D$6:$D$1005,E13))</f>
        <v/>
      </c>
      <c r="I13" s="23">
        <f>IF(E13="","",IFERROR(H13/$C$8,0))</f>
        <v/>
      </c>
      <c r="J13" s="24">
        <f>IF(E13="","",IFERROR(H13/$C$9,0))</f>
        <v/>
      </c>
    </row>
    <row r="14" ht="22" customHeight="1">
      <c r="B14" s="17" t="inlineStr">
        <is>
          <t>Preço esperado de venda (R$/sc)</t>
        </is>
      </c>
      <c r="C14" s="25">
        <f>IFERROR(VLOOKUP($C$5,Config!$A$6:$C$15,3,0),0)</f>
        <v/>
      </c>
      <c r="E14" s="8">
        <f>IF(Config!$F11="","",Config!$F11)</f>
        <v/>
      </c>
      <c r="F14" s="22">
        <f>IF(E14="","",Config!$H11)</f>
        <v/>
      </c>
      <c r="G14" s="22">
        <f>IF(E14="","",Config!$G11)</f>
        <v/>
      </c>
      <c r="H14" s="23">
        <f>IF(E14="","",SUMIFS('Lançamentos'!$J$6:$J$1005,'Lançamentos'!$B$6:$B$1005,$C$5,'Lançamentos'!$D$6:$D$1005,E14))</f>
        <v/>
      </c>
      <c r="I14" s="23">
        <f>IF(E14="","",IFERROR(H14/$C$8,0))</f>
        <v/>
      </c>
      <c r="J14" s="24">
        <f>IF(E14="","",IFERROR(H14/$C$9,0))</f>
        <v/>
      </c>
    </row>
    <row r="15" ht="22" customHeight="1">
      <c r="B15" s="17" t="inlineStr">
        <is>
          <t>Receita estimada</t>
        </is>
      </c>
      <c r="C15" s="25">
        <f>C11*C14</f>
        <v/>
      </c>
      <c r="E15" s="8">
        <f>IF(Config!$F12="","",Config!$F12)</f>
        <v/>
      </c>
      <c r="F15" s="22">
        <f>IF(E15="","",Config!$H12)</f>
        <v/>
      </c>
      <c r="G15" s="22">
        <f>IF(E15="","",Config!$G12)</f>
        <v/>
      </c>
      <c r="H15" s="23">
        <f>IF(E15="","",SUMIFS('Lançamentos'!$J$6:$J$1005,'Lançamentos'!$B$6:$B$1005,$C$5,'Lançamentos'!$D$6:$D$1005,E15))</f>
        <v/>
      </c>
      <c r="I15" s="23">
        <f>IF(E15="","",IFERROR(H15/$C$8,0))</f>
        <v/>
      </c>
      <c r="J15" s="24">
        <f>IF(E15="","",IFERROR(H15/$C$9,0))</f>
        <v/>
      </c>
    </row>
    <row r="16" ht="22" customHeight="1">
      <c r="B16" s="20" t="inlineStr">
        <is>
          <t>Resultado estimado</t>
        </is>
      </c>
      <c r="C16" s="21">
        <f>C15-C9</f>
        <v/>
      </c>
      <c r="E16" s="8">
        <f>IF(Config!$F13="","",Config!$F13)</f>
        <v/>
      </c>
      <c r="F16" s="22">
        <f>IF(E16="","",Config!$H13)</f>
        <v/>
      </c>
      <c r="G16" s="22">
        <f>IF(E16="","",Config!$G13)</f>
        <v/>
      </c>
      <c r="H16" s="23">
        <f>IF(E16="","",SUMIFS('Lançamentos'!$J$6:$J$1005,'Lançamentos'!$B$6:$B$1005,$C$5,'Lançamentos'!$D$6:$D$1005,E16))</f>
        <v/>
      </c>
      <c r="I16" s="23">
        <f>IF(E16="","",IFERROR(H16/$C$8,0))</f>
        <v/>
      </c>
      <c r="J16" s="24">
        <f>IF(E16="","",IFERROR(H16/$C$9,0))</f>
        <v/>
      </c>
    </row>
    <row r="17" ht="22" customHeight="1">
      <c r="B17" s="17" t="inlineStr">
        <is>
          <t>Margem sobre a receita</t>
        </is>
      </c>
      <c r="C17" s="26">
        <f>IFERROR(C16/C15,0)</f>
        <v/>
      </c>
      <c r="E17" s="8">
        <f>IF(Config!$F14="","",Config!$F14)</f>
        <v/>
      </c>
      <c r="F17" s="22">
        <f>IF(E17="","",Config!$H14)</f>
        <v/>
      </c>
      <c r="G17" s="22">
        <f>IF(E17="","",Config!$G14)</f>
        <v/>
      </c>
      <c r="H17" s="23">
        <f>IF(E17="","",SUMIFS('Lançamentos'!$J$6:$J$1005,'Lançamentos'!$B$6:$B$1005,$C$5,'Lançamentos'!$D$6:$D$1005,E17))</f>
        <v/>
      </c>
      <c r="I17" s="23">
        <f>IF(E17="","",IFERROR(H17/$C$8,0))</f>
        <v/>
      </c>
      <c r="J17" s="24">
        <f>IF(E17="","",IFERROR(H17/$C$9,0))</f>
        <v/>
      </c>
    </row>
    <row r="18" ht="22" customHeight="1">
      <c r="B18" s="20" t="inlineStr">
        <is>
          <t>Ponto de equilíbrio (sc/ha)</t>
        </is>
      </c>
      <c r="C18" s="27">
        <f>IFERROR(C10/C14,0)</f>
        <v/>
      </c>
      <c r="E18" s="8">
        <f>IF(Config!$F15="","",Config!$F15)</f>
        <v/>
      </c>
      <c r="F18" s="22">
        <f>IF(E18="","",Config!$H15)</f>
        <v/>
      </c>
      <c r="G18" s="22">
        <f>IF(E18="","",Config!$G15)</f>
        <v/>
      </c>
      <c r="H18" s="23">
        <f>IF(E18="","",SUMIFS('Lançamentos'!$J$6:$J$1005,'Lançamentos'!$B$6:$B$1005,$C$5,'Lançamentos'!$D$6:$D$1005,E18))</f>
        <v/>
      </c>
      <c r="I18" s="23">
        <f>IF(E18="","",IFERROR(H18/$C$8,0))</f>
        <v/>
      </c>
      <c r="J18" s="24">
        <f>IF(E18="","",IFERROR(H18/$C$9,0))</f>
        <v/>
      </c>
    </row>
    <row r="19" ht="22" customHeight="1">
      <c r="B19" s="17" t="inlineStr">
        <is>
          <t>Ponto de equilíbrio (sacas na safra)</t>
        </is>
      </c>
      <c r="C19" s="18">
        <f>IFERROR(C9/C14,0)</f>
        <v/>
      </c>
      <c r="E19" s="8">
        <f>IF(Config!$F16="","",Config!$F16)</f>
        <v/>
      </c>
      <c r="F19" s="22">
        <f>IF(E19="","",Config!$H16)</f>
        <v/>
      </c>
      <c r="G19" s="22">
        <f>IF(E19="","",Config!$G16)</f>
        <v/>
      </c>
      <c r="H19" s="23">
        <f>IF(E19="","",SUMIFS('Lançamentos'!$J$6:$J$1005,'Lançamentos'!$B$6:$B$1005,$C$5,'Lançamentos'!$D$6:$D$1005,E19))</f>
        <v/>
      </c>
      <c r="I19" s="23">
        <f>IF(E19="","",IFERROR(H19/$C$8,0))</f>
        <v/>
      </c>
      <c r="J19" s="24">
        <f>IF(E19="","",IFERROR(H19/$C$9,0))</f>
        <v/>
      </c>
    </row>
    <row r="20" ht="22" customHeight="1">
      <c r="B20" s="17" t="inlineStr">
        <is>
          <t>Custo variável total</t>
        </is>
      </c>
      <c r="C20" s="25">
        <f>SUMIFS($H$9:$H$28,$G$9:$G$28,"Variável")</f>
        <v/>
      </c>
      <c r="E20" s="8">
        <f>IF(Config!$F17="","",Config!$F17)</f>
        <v/>
      </c>
      <c r="F20" s="22">
        <f>IF(E20="","",Config!$H17)</f>
        <v/>
      </c>
      <c r="G20" s="22">
        <f>IF(E20="","",Config!$G17)</f>
        <v/>
      </c>
      <c r="H20" s="23">
        <f>IF(E20="","",SUMIFS('Lançamentos'!$J$6:$J$1005,'Lançamentos'!$B$6:$B$1005,$C$5,'Lançamentos'!$D$6:$D$1005,E20))</f>
        <v/>
      </c>
      <c r="I20" s="23">
        <f>IF(E20="","",IFERROR(H20/$C$8,0))</f>
        <v/>
      </c>
      <c r="J20" s="24">
        <f>IF(E20="","",IFERROR(H20/$C$9,0))</f>
        <v/>
      </c>
    </row>
    <row r="21" ht="22" customHeight="1">
      <c r="B21" s="17" t="inlineStr">
        <is>
          <t>Ponto de equilíbrio operacional (sc/ha)</t>
        </is>
      </c>
      <c r="C21" s="18">
        <f>IFERROR(C20/C8/C14,0)</f>
        <v/>
      </c>
      <c r="E21" s="8">
        <f>IF(Config!$F18="","",Config!$F18)</f>
        <v/>
      </c>
      <c r="F21" s="22">
        <f>IF(E21="","",Config!$H18)</f>
        <v/>
      </c>
      <c r="G21" s="22">
        <f>IF(E21="","",Config!$G18)</f>
        <v/>
      </c>
      <c r="H21" s="23">
        <f>IF(E21="","",SUMIFS('Lançamentos'!$J$6:$J$1005,'Lançamentos'!$B$6:$B$1005,$C$5,'Lançamentos'!$D$6:$D$1005,E21))</f>
        <v/>
      </c>
      <c r="I21" s="23">
        <f>IF(E21="","",IFERROR(H21/$C$8,0))</f>
        <v/>
      </c>
      <c r="J21" s="24">
        <f>IF(E21="","",IFERROR(H21/$C$9,0))</f>
        <v/>
      </c>
    </row>
    <row r="22" ht="22" customHeight="1">
      <c r="B22" s="17" t="inlineStr">
        <is>
          <t>Lançamentos sem talhão cadastrado (R$)</t>
        </is>
      </c>
      <c r="C22" s="25">
        <f>ROUND(C9-SUMIFS('Talhões'!$I$6:$I$65,'Talhões'!$A$6:$A$65,$C$5),2)</f>
        <v/>
      </c>
      <c r="E22" s="8">
        <f>IF(Config!$F19="","",Config!$F19)</f>
        <v/>
      </c>
      <c r="F22" s="22">
        <f>IF(E22="","",Config!$H19)</f>
        <v/>
      </c>
      <c r="G22" s="22">
        <f>IF(E22="","",Config!$G19)</f>
        <v/>
      </c>
      <c r="H22" s="23">
        <f>IF(E22="","",SUMIFS('Lançamentos'!$J$6:$J$1005,'Lançamentos'!$B$6:$B$1005,$C$5,'Lançamentos'!$D$6:$D$1005,E22))</f>
        <v/>
      </c>
      <c r="I22" s="23">
        <f>IF(E22="","",IFERROR(H22/$C$8,0))</f>
        <v/>
      </c>
      <c r="J22" s="24">
        <f>IF(E22="","",IFERROR(H22/$C$9,0))</f>
        <v/>
      </c>
    </row>
    <row r="23" ht="22" customHeight="1">
      <c r="E23" s="8">
        <f>IF(Config!$F20="","",Config!$F20)</f>
        <v/>
      </c>
      <c r="F23" s="22">
        <f>IF(E23="","",Config!$H20)</f>
        <v/>
      </c>
      <c r="G23" s="22">
        <f>IF(E23="","",Config!$G20)</f>
        <v/>
      </c>
      <c r="H23" s="23">
        <f>IF(E23="","",SUMIFS('Lançamentos'!$J$6:$J$1005,'Lançamentos'!$B$6:$B$1005,$C$5,'Lançamentos'!$D$6:$D$1005,E23))</f>
        <v/>
      </c>
      <c r="I23" s="23">
        <f>IF(E23="","",IFERROR(H23/$C$8,0))</f>
        <v/>
      </c>
      <c r="J23" s="24">
        <f>IF(E23="","",IFERROR(H23/$C$9,0))</f>
        <v/>
      </c>
    </row>
    <row r="24" ht="22" customHeight="1">
      <c r="E24" s="8">
        <f>IF(Config!$F21="","",Config!$F21)</f>
        <v/>
      </c>
      <c r="F24" s="22">
        <f>IF(E24="","",Config!$H21)</f>
        <v/>
      </c>
      <c r="G24" s="22">
        <f>IF(E24="","",Config!$G21)</f>
        <v/>
      </c>
      <c r="H24" s="23">
        <f>IF(E24="","",SUMIFS('Lançamentos'!$J$6:$J$1005,'Lançamentos'!$B$6:$B$1005,$C$5,'Lançamentos'!$D$6:$D$1005,E24))</f>
        <v/>
      </c>
      <c r="I24" s="23">
        <f>IF(E24="","",IFERROR(H24/$C$8,0))</f>
        <v/>
      </c>
      <c r="J24" s="24">
        <f>IF(E24="","",IFERROR(H24/$C$9,0))</f>
        <v/>
      </c>
    </row>
    <row r="25" ht="22" customHeight="1">
      <c r="E25" s="8">
        <f>IF(Config!$F22="","",Config!$F22)</f>
        <v/>
      </c>
      <c r="F25" s="22">
        <f>IF(E25="","",Config!$H22)</f>
        <v/>
      </c>
      <c r="G25" s="22">
        <f>IF(E25="","",Config!$G22)</f>
        <v/>
      </c>
      <c r="H25" s="23">
        <f>IF(E25="","",SUMIFS('Lançamentos'!$J$6:$J$1005,'Lançamentos'!$B$6:$B$1005,$C$5,'Lançamentos'!$D$6:$D$1005,E25))</f>
        <v/>
      </c>
      <c r="I25" s="23">
        <f>IF(E25="","",IFERROR(H25/$C$8,0))</f>
        <v/>
      </c>
      <c r="J25" s="24">
        <f>IF(E25="","",IFERROR(H25/$C$9,0))</f>
        <v/>
      </c>
    </row>
    <row r="26" ht="22" customHeight="1">
      <c r="E26" s="8">
        <f>IF(Config!$F23="","",Config!$F23)</f>
        <v/>
      </c>
      <c r="F26" s="22">
        <f>IF(E26="","",Config!$H23)</f>
        <v/>
      </c>
      <c r="G26" s="22">
        <f>IF(E26="","",Config!$G23)</f>
        <v/>
      </c>
      <c r="H26" s="23">
        <f>IF(E26="","",SUMIFS('Lançamentos'!$J$6:$J$1005,'Lançamentos'!$B$6:$B$1005,$C$5,'Lançamentos'!$D$6:$D$1005,E26))</f>
        <v/>
      </c>
      <c r="I26" s="23">
        <f>IF(E26="","",IFERROR(H26/$C$8,0))</f>
        <v/>
      </c>
      <c r="J26" s="24">
        <f>IF(E26="","",IFERROR(H26/$C$9,0))</f>
        <v/>
      </c>
    </row>
    <row r="27" ht="22" customHeight="1">
      <c r="E27" s="8">
        <f>IF(Config!$F24="","",Config!$F24)</f>
        <v/>
      </c>
      <c r="F27" s="22">
        <f>IF(E27="","",Config!$H24)</f>
        <v/>
      </c>
      <c r="G27" s="22">
        <f>IF(E27="","",Config!$G24)</f>
        <v/>
      </c>
      <c r="H27" s="23">
        <f>IF(E27="","",SUMIFS('Lançamentos'!$J$6:$J$1005,'Lançamentos'!$B$6:$B$1005,$C$5,'Lançamentos'!$D$6:$D$1005,E27))</f>
        <v/>
      </c>
      <c r="I27" s="23">
        <f>IF(E27="","",IFERROR(H27/$C$8,0))</f>
        <v/>
      </c>
      <c r="J27" s="24">
        <f>IF(E27="","",IFERROR(H27/$C$9,0))</f>
        <v/>
      </c>
    </row>
    <row r="28" ht="22" customHeight="1">
      <c r="E28" s="8">
        <f>IF(Config!$F25="","",Config!$F25)</f>
        <v/>
      </c>
      <c r="F28" s="22">
        <f>IF(E28="","",Config!$H25)</f>
        <v/>
      </c>
      <c r="G28" s="22">
        <f>IF(E28="","",Config!$G25)</f>
        <v/>
      </c>
      <c r="H28" s="23">
        <f>IF(E28="","",SUMIFS('Lançamentos'!$J$6:$J$1005,'Lançamentos'!$B$6:$B$1005,$C$5,'Lançamentos'!$D$6:$D$1005,E28))</f>
        <v/>
      </c>
      <c r="I28" s="23">
        <f>IF(E28="","",IFERROR(H28/$C$8,0))</f>
        <v/>
      </c>
      <c r="J28" s="24">
        <f>IF(E28="","",IFERROR(H28/$C$9,0))</f>
        <v/>
      </c>
    </row>
    <row r="29" ht="22" customHeight="1">
      <c r="E29" s="28" t="inlineStr">
        <is>
          <t>TOTAL</t>
        </is>
      </c>
      <c r="F29" s="28" t="n"/>
      <c r="G29" s="28" t="n"/>
      <c r="H29" s="29">
        <f>SUM(H9:H28)</f>
        <v/>
      </c>
      <c r="I29" s="29">
        <f>IFERROR(H29/$C$8,0)</f>
        <v/>
      </c>
      <c r="J29" s="30">
        <f>IFERROR(H29/$C$9,0)</f>
        <v/>
      </c>
    </row>
    <row r="30" ht="22" customHeight="1"/>
    <row r="31" ht="20" customHeight="1">
      <c r="E31" s="10" t="inlineStr">
        <is>
          <t>Custos por grupo</t>
        </is>
      </c>
      <c r="F31" s="11" t="n"/>
      <c r="G31" s="11" t="n"/>
      <c r="H31" s="11" t="n"/>
      <c r="I31" s="11" t="n"/>
      <c r="J31" s="11" t="n"/>
    </row>
    <row r="32" ht="22" customHeight="1">
      <c r="E32" s="19" t="inlineStr">
        <is>
          <t>Grupo</t>
        </is>
      </c>
      <c r="F32" s="19" t="inlineStr"/>
      <c r="G32" s="19" t="inlineStr"/>
      <c r="H32" s="19" t="inlineStr">
        <is>
          <t>Valor (R$)</t>
        </is>
      </c>
      <c r="I32" s="19" t="inlineStr">
        <is>
          <t>R$/ha</t>
        </is>
      </c>
      <c r="J32" s="19" t="inlineStr">
        <is>
          <t>% do total</t>
        </is>
      </c>
    </row>
    <row r="33" ht="22" customHeight="1">
      <c r="E33" s="8" t="inlineStr">
        <is>
          <t>Insumos</t>
        </is>
      </c>
      <c r="F33" s="8" t="n"/>
      <c r="G33" s="8" t="n"/>
      <c r="H33" s="23">
        <f>SUMIFS('Lançamentos'!$J$6:$J$1005,'Lançamentos'!$B$6:$B$1005,$C$5,'Lançamentos'!$E$6:$E$1005,E33)</f>
        <v/>
      </c>
      <c r="I33" s="23">
        <f>IFERROR(H33/$C$8,0)</f>
        <v/>
      </c>
      <c r="J33" s="24">
        <f>IFERROR(H33/$C$9,0)</f>
        <v/>
      </c>
    </row>
    <row r="34" ht="22" customHeight="1">
      <c r="E34" s="8" t="inlineStr">
        <is>
          <t>Operações</t>
        </is>
      </c>
      <c r="F34" s="8" t="n"/>
      <c r="G34" s="8" t="n"/>
      <c r="H34" s="23">
        <f>SUMIFS('Lançamentos'!$J$6:$J$1005,'Lançamentos'!$B$6:$B$1005,$C$5,'Lançamentos'!$E$6:$E$1005,E34)</f>
        <v/>
      </c>
      <c r="I34" s="23">
        <f>IFERROR(H34/$C$8,0)</f>
        <v/>
      </c>
      <c r="J34" s="24">
        <f>IFERROR(H34/$C$9,0)</f>
        <v/>
      </c>
    </row>
    <row r="35" ht="22" customHeight="1">
      <c r="E35" s="8" t="inlineStr">
        <is>
          <t>Mão de obra</t>
        </is>
      </c>
      <c r="F35" s="8" t="n"/>
      <c r="G35" s="8" t="n"/>
      <c r="H35" s="23">
        <f>SUMIFS('Lançamentos'!$J$6:$J$1005,'Lançamentos'!$B$6:$B$1005,$C$5,'Lançamentos'!$E$6:$E$1005,E35)</f>
        <v/>
      </c>
      <c r="I35" s="23">
        <f>IFERROR(H35/$C$8,0)</f>
        <v/>
      </c>
      <c r="J35" s="24">
        <f>IFERROR(H35/$C$9,0)</f>
        <v/>
      </c>
    </row>
    <row r="36" ht="22" customHeight="1">
      <c r="E36" s="8" t="inlineStr">
        <is>
          <t>Outros</t>
        </is>
      </c>
      <c r="F36" s="8" t="n"/>
      <c r="G36" s="8" t="n"/>
      <c r="H36" s="23">
        <f>SUMIFS('Lançamentos'!$J$6:$J$1005,'Lançamentos'!$B$6:$B$1005,$C$5,'Lançamentos'!$E$6:$E$1005,E36)</f>
        <v/>
      </c>
      <c r="I36" s="23">
        <f>IFERROR(H36/$C$8,0)</f>
        <v/>
      </c>
      <c r="J36" s="24">
        <f>IFERROR(H36/$C$9,0)</f>
        <v/>
      </c>
    </row>
    <row r="37" ht="22" customHeight="1">
      <c r="E37" s="28" t="inlineStr">
        <is>
          <t>TOTAL</t>
        </is>
      </c>
      <c r="F37" s="28" t="n"/>
      <c r="G37" s="28" t="n"/>
      <c r="H37" s="29">
        <f>SUM(H33:H36)</f>
        <v/>
      </c>
      <c r="I37" s="29">
        <f>IFERROR(H37/$C$8,0)</f>
        <v/>
      </c>
      <c r="J37" s="30">
        <f>IFERROR(H37/$C$9,0)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C22">
    <cfRule type="cellIs" priority="1" operator="notEqual" dxfId="0">
      <formula>0</formula>
    </cfRule>
  </conditionalFormatting>
  <dataValidations count="1">
    <dataValidation sqref="C5" showDropDown="0" showInputMessage="1" showErrorMessage="1" allowBlank="1" errorTitle="Valor inválido" error="Escolha um valor da lista." prompt="Escolha a safra" type="list" errorStyle="stop">
      <formula1>Config!$A$6:$A$15</formula1>
    </dataValidation>
  </dataValidations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3" customWidth="1" min="4" max="4"/>
    <col width="3" customWidth="1" min="5" max="5"/>
    <col width="34" customWidth="1" min="6" max="6"/>
    <col width="14" customWidth="1" min="7" max="7"/>
    <col width="16" customWidth="1" min="8" max="8"/>
  </cols>
  <sheetData>
    <row r="1" ht="36" customHeight="1">
      <c r="A1" s="1" t="inlineStr">
        <is>
          <t>Configurações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Safras, preços esperados e categorias de custo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31" t="inlineStr">
        <is>
          <t>Legenda:</t>
        </is>
      </c>
      <c r="B3" s="32" t="inlineStr">
        <is>
          <t>Preencher</t>
        </is>
      </c>
      <c r="C3" s="33" t="inlineStr">
        <is>
          <t>Cálculo automático (protegido)</t>
        </is>
      </c>
    </row>
    <row r="4" ht="20" customHeight="1">
      <c r="A4" s="10" t="inlineStr">
        <is>
          <t>Safras</t>
        </is>
      </c>
      <c r="B4" s="11" t="n"/>
      <c r="C4" s="11" t="n"/>
      <c r="F4" s="10" t="inlineStr">
        <is>
          <t>Categorias de custo</t>
        </is>
      </c>
      <c r="G4" s="11" t="n"/>
      <c r="H4" s="11" t="n"/>
    </row>
    <row r="5" ht="32" customHeight="1">
      <c r="A5" s="19" t="inlineStr">
        <is>
          <t>Safra</t>
        </is>
      </c>
      <c r="B5" s="19" t="inlineStr">
        <is>
          <t>Cultura</t>
        </is>
      </c>
      <c r="C5" s="19" t="inlineStr">
        <is>
          <t>Preço esperado de venda (R$/saca)</t>
        </is>
      </c>
      <c r="F5" s="19" t="inlineStr">
        <is>
          <t>Categoria</t>
        </is>
      </c>
      <c r="G5" s="19" t="inlineStr">
        <is>
          <t>Tipo de custo</t>
        </is>
      </c>
      <c r="H5" s="19" t="inlineStr">
        <is>
          <t>Grupo</t>
        </is>
      </c>
    </row>
    <row r="6">
      <c r="A6" s="34" t="n"/>
      <c r="B6" s="35" t="n"/>
      <c r="C6" s="36" t="n"/>
      <c r="F6" s="35" t="inlineStr">
        <is>
          <t>Sementes</t>
        </is>
      </c>
      <c r="G6" s="37" t="inlineStr">
        <is>
          <t>Variável</t>
        </is>
      </c>
      <c r="H6" s="37" t="inlineStr">
        <is>
          <t>Insumos</t>
        </is>
      </c>
    </row>
    <row r="7">
      <c r="A7" s="34" t="n"/>
      <c r="B7" s="35" t="n"/>
      <c r="C7" s="36" t="n"/>
      <c r="F7" s="35" t="inlineStr">
        <is>
          <t>Fertilizantes e corretivos</t>
        </is>
      </c>
      <c r="G7" s="37" t="inlineStr">
        <is>
          <t>Variável</t>
        </is>
      </c>
      <c r="H7" s="37" t="inlineStr">
        <is>
          <t>Insumos</t>
        </is>
      </c>
    </row>
    <row r="8">
      <c r="A8" s="34" t="n"/>
      <c r="B8" s="35" t="n"/>
      <c r="C8" s="36" t="n"/>
      <c r="F8" s="35" t="inlineStr">
        <is>
          <t>Defensivos</t>
        </is>
      </c>
      <c r="G8" s="37" t="inlineStr">
        <is>
          <t>Variável</t>
        </is>
      </c>
      <c r="H8" s="37" t="inlineStr">
        <is>
          <t>Insumos</t>
        </is>
      </c>
    </row>
    <row r="9">
      <c r="A9" s="34" t="n"/>
      <c r="B9" s="35" t="n"/>
      <c r="C9" s="36" t="n"/>
      <c r="F9" s="35" t="inlineStr">
        <is>
          <t>Inoculantes e adjuvantes</t>
        </is>
      </c>
      <c r="G9" s="37" t="inlineStr">
        <is>
          <t>Variável</t>
        </is>
      </c>
      <c r="H9" s="37" t="inlineStr">
        <is>
          <t>Insumos</t>
        </is>
      </c>
    </row>
    <row r="10">
      <c r="A10" s="34" t="n"/>
      <c r="B10" s="35" t="n"/>
      <c r="C10" s="36" t="n"/>
      <c r="F10" s="35" t="inlineStr">
        <is>
          <t>Operações mecanizadas próprias</t>
        </is>
      </c>
      <c r="G10" s="37" t="inlineStr">
        <is>
          <t>Variável</t>
        </is>
      </c>
      <c r="H10" s="37" t="inlineStr">
        <is>
          <t>Operações</t>
        </is>
      </c>
    </row>
    <row r="11">
      <c r="A11" s="34" t="n"/>
      <c r="B11" s="35" t="n"/>
      <c r="C11" s="36" t="n"/>
      <c r="F11" s="35" t="inlineStr">
        <is>
          <t>Serviços terceirizados</t>
        </is>
      </c>
      <c r="G11" s="37" t="inlineStr">
        <is>
          <t>Variável</t>
        </is>
      </c>
      <c r="H11" s="37" t="inlineStr">
        <is>
          <t>Operações</t>
        </is>
      </c>
    </row>
    <row r="12">
      <c r="A12" s="34" t="n"/>
      <c r="B12" s="35" t="n"/>
      <c r="C12" s="36" t="n"/>
      <c r="F12" s="35" t="inlineStr">
        <is>
          <t>Combustíveis e lubrificantes</t>
        </is>
      </c>
      <c r="G12" s="37" t="inlineStr">
        <is>
          <t>Variável</t>
        </is>
      </c>
      <c r="H12" s="37" t="inlineStr">
        <is>
          <t>Operações</t>
        </is>
      </c>
    </row>
    <row r="13">
      <c r="A13" s="34" t="n"/>
      <c r="B13" s="35" t="n"/>
      <c r="C13" s="36" t="n"/>
      <c r="F13" s="35" t="inlineStr">
        <is>
          <t>Manutenção de máquinas</t>
        </is>
      </c>
      <c r="G13" s="37" t="inlineStr">
        <is>
          <t>Variável</t>
        </is>
      </c>
      <c r="H13" s="37" t="inlineStr">
        <is>
          <t>Operações</t>
        </is>
      </c>
    </row>
    <row r="14">
      <c r="A14" s="34" t="n"/>
      <c r="B14" s="35" t="n"/>
      <c r="C14" s="36" t="n"/>
      <c r="F14" s="35" t="inlineStr">
        <is>
          <t>Mão de obra fixa</t>
        </is>
      </c>
      <c r="G14" s="37" t="inlineStr">
        <is>
          <t>Fixo</t>
        </is>
      </c>
      <c r="H14" s="37" t="inlineStr">
        <is>
          <t>Mão de obra</t>
        </is>
      </c>
    </row>
    <row r="15">
      <c r="A15" s="34" t="n"/>
      <c r="B15" s="35" t="n"/>
      <c r="C15" s="36" t="n"/>
      <c r="F15" s="35" t="inlineStr">
        <is>
          <t>Mão de obra temporária/diárias</t>
        </is>
      </c>
      <c r="G15" s="37" t="inlineStr">
        <is>
          <t>Variável</t>
        </is>
      </c>
      <c r="H15" s="37" t="inlineStr">
        <is>
          <t>Mão de obra</t>
        </is>
      </c>
    </row>
    <row r="16">
      <c r="F16" s="35" t="inlineStr">
        <is>
          <t>Arrendamento da terra</t>
        </is>
      </c>
      <c r="G16" s="37" t="inlineStr">
        <is>
          <t>Fixo</t>
        </is>
      </c>
      <c r="H16" s="37" t="inlineStr">
        <is>
          <t>Outros</t>
        </is>
      </c>
    </row>
    <row r="17">
      <c r="A17" s="38" t="inlineStr">
        <is>
          <t>Dica: escreva a safra como texto, ex.: 2025/26.</t>
        </is>
      </c>
      <c r="F17" s="35" t="inlineStr">
        <is>
          <t>Assistência técnica</t>
        </is>
      </c>
      <c r="G17" s="37" t="inlineStr">
        <is>
          <t>Fixo</t>
        </is>
      </c>
      <c r="H17" s="37" t="inlineStr">
        <is>
          <t>Outros</t>
        </is>
      </c>
    </row>
    <row r="18">
      <c r="F18" s="35" t="inlineStr">
        <is>
          <t>Seguro agrícola</t>
        </is>
      </c>
      <c r="G18" s="37" t="inlineStr">
        <is>
          <t>Variável</t>
        </is>
      </c>
      <c r="H18" s="37" t="inlineStr">
        <is>
          <t>Outros</t>
        </is>
      </c>
    </row>
    <row r="19">
      <c r="F19" s="35" t="inlineStr">
        <is>
          <t>Frete e armazenagem</t>
        </is>
      </c>
      <c r="G19" s="37" t="inlineStr">
        <is>
          <t>Variável</t>
        </is>
      </c>
      <c r="H19" s="37" t="inlineStr">
        <is>
          <t>Outros</t>
        </is>
      </c>
    </row>
    <row r="20">
      <c r="F20" s="35" t="inlineStr">
        <is>
          <t>Juros de custeio</t>
        </is>
      </c>
      <c r="G20" s="37" t="inlineStr">
        <is>
          <t>Variável</t>
        </is>
      </c>
      <c r="H20" s="37" t="inlineStr">
        <is>
          <t>Outros</t>
        </is>
      </c>
    </row>
    <row r="21">
      <c r="F21" s="35" t="inlineStr">
        <is>
          <t>Depreciação</t>
        </is>
      </c>
      <c r="G21" s="37" t="inlineStr">
        <is>
          <t>Fixo</t>
        </is>
      </c>
      <c r="H21" s="37" t="inlineStr">
        <is>
          <t>Outros</t>
        </is>
      </c>
    </row>
    <row r="22">
      <c r="F22" s="35" t="inlineStr">
        <is>
          <t>Outros custos</t>
        </is>
      </c>
      <c r="G22" s="37" t="inlineStr">
        <is>
          <t>Variável</t>
        </is>
      </c>
      <c r="H22" s="37" t="inlineStr">
        <is>
          <t>Outros</t>
        </is>
      </c>
    </row>
    <row r="23">
      <c r="F23" s="35" t="n"/>
      <c r="G23" s="37" t="n"/>
      <c r="H23" s="37" t="n"/>
    </row>
    <row r="24">
      <c r="F24" s="35" t="n"/>
      <c r="G24" s="37" t="n"/>
      <c r="H24" s="37" t="n"/>
    </row>
    <row r="25">
      <c r="F25" s="35" t="n"/>
      <c r="G25" s="37" t="n"/>
      <c r="H25" s="3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dataValidations count="3">
    <dataValidation sqref="C6:C15" showDropDown="0" showInputMessage="0" showErrorMessage="1" allowBlank="1" errorTitle="Valor inválido" error="Digite um número maior ou igual a zero." type="decimal" operator="greaterThanOrEqual">
      <formula1>0</formula1>
    </dataValidation>
    <dataValidation sqref="G6:G25" showDropDown="0" showInputMessage="1" showErrorMessage="1" allowBlank="1" errorTitle="Valor inválido" error="Escolha um valor da lista." prompt="Variável ou Fixo" type="list" errorStyle="stop">
      <formula1>"Variável,Fixo"</formula1>
    </dataValidation>
    <dataValidation sqref="H6:H25" showDropDown="0" showInputMessage="1" showErrorMessage="1" allowBlank="1" errorTitle="Valor inválido" error="Escolha um valor da lista." prompt="Grupo da categoria" type="list" errorStyle="stop">
      <formula1>Listas!$B$2:$B$5</formula1>
    </dataValidation>
  </dataValidations>
  <printOptions horizontalCentered="1"/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65"/>
  <sheetViews>
    <sheetView showGridLines="0" tabSelected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1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13" customWidth="1" min="12" max="12"/>
    <col width="15" customWidth="1" min="13" max="13"/>
    <col width="15" customWidth="1" min="14" max="14"/>
    <col width="13" customWidth="1" min="15" max="15"/>
  </cols>
  <sheetData>
    <row r="1" ht="36" customHeight="1">
      <c r="A1" s="1" t="inlineStr">
        <is>
          <t>Talhões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Cadastro de talhões por safra e resultado por talhão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31" t="inlineStr">
        <is>
          <t>Legenda:</t>
        </is>
      </c>
      <c r="B3" s="32" t="inlineStr">
        <is>
          <t>Preencher</t>
        </is>
      </c>
      <c r="C3" s="33" t="inlineStr">
        <is>
          <t>Cálculo automático (protegido)</t>
        </is>
      </c>
    </row>
    <row r="5" ht="44" customHeight="1">
      <c r="A5" s="19" t="inlineStr">
        <is>
          <t>Safra</t>
        </is>
      </c>
      <c r="B5" s="19" t="inlineStr">
        <is>
          <t>Código do talhão</t>
        </is>
      </c>
      <c r="C5" s="19" t="inlineStr">
        <is>
          <t>Nome / descrição</t>
        </is>
      </c>
      <c r="D5" s="19" t="inlineStr">
        <is>
          <t>Área (ha)</t>
        </is>
      </c>
      <c r="E5" s="19" t="inlineStr">
        <is>
          <t>Produtividade esperada (sc/ha)</t>
        </is>
      </c>
      <c r="F5" s="19" t="inlineStr">
        <is>
          <t>Produção realizada (sacas)</t>
        </is>
      </c>
      <c r="G5" s="19" t="inlineStr">
        <is>
          <t>Custo direto (R$)</t>
        </is>
      </c>
      <c r="H5" s="19" t="inlineStr">
        <is>
          <t>Rateio custos GERAL (R$)</t>
        </is>
      </c>
      <c r="I5" s="19" t="inlineStr">
        <is>
          <t>Custo total (R$)</t>
        </is>
      </c>
      <c r="J5" s="19" t="inlineStr">
        <is>
          <t>Custo por hectare (R$/ha)</t>
        </is>
      </c>
      <c r="K5" s="19" t="inlineStr">
        <is>
          <t>Produção considerada (sacas)</t>
        </is>
      </c>
      <c r="L5" s="19" t="inlineStr">
        <is>
          <t>Custo por saca (R$/sc)</t>
        </is>
      </c>
      <c r="M5" s="19" t="inlineStr">
        <is>
          <t>Receita estimada (R$)</t>
        </is>
      </c>
      <c r="N5" s="19" t="inlineStr">
        <is>
          <t>Resultado estimado (R$)</t>
        </is>
      </c>
      <c r="O5" s="19" t="inlineStr">
        <is>
          <t>Ponto de equilíbrio (sc/ha)</t>
        </is>
      </c>
    </row>
    <row r="6">
      <c r="A6" s="34" t="n"/>
      <c r="B6" s="34" t="n"/>
      <c r="C6" s="35" t="n"/>
      <c r="D6" s="39" t="n"/>
      <c r="E6" s="39" t="n"/>
      <c r="F6" s="39" t="n"/>
      <c r="G6" s="23">
        <f>IF(OR($A6="",$B6=""),"",SUMIFS('Lançamentos'!$J$6:$J$1005,'Lançamentos'!$B$6:$B$1005,$A6,'Lançamentos'!$C$6:$C$1005,$B6))</f>
        <v/>
      </c>
      <c r="H6" s="23">
        <f>IF(OR($A6="",$B6=""),"",IFERROR(SUMIFS('Lançamentos'!$J$6:$J$1005,'Lançamentos'!$B$6:$B$1005,$A6,'Lançamentos'!$C$6:$C$1005,"GERAL")*N($D6)/SUMIFS($D$6:$D$65,$A$6:$A$65,$A6),0))</f>
        <v/>
      </c>
      <c r="I6" s="23">
        <f>IF(OR($A6="",$B6=""),"",G6+H6)</f>
        <v/>
      </c>
      <c r="J6" s="23">
        <f>IF(OR($A6="",$B6=""),"",IFERROR(I6/D6,0))</f>
        <v/>
      </c>
      <c r="K6" s="40">
        <f>IF(OR($A6="",$B6=""),"",IF(N(F6)&gt;0,F6,N(E6)*N(D6)))</f>
        <v/>
      </c>
      <c r="L6" s="23">
        <f>IF(OR($A6="",$B6=""),"",IFERROR(I6/K6,0))</f>
        <v/>
      </c>
      <c r="M6" s="23">
        <f>IF(OR($A6="",$B6=""),"",K6*IFERROR(VLOOKUP($A6,Config!$A$6:$C$15,3,0),0))</f>
        <v/>
      </c>
      <c r="N6" s="23">
        <f>IF(OR($A6="",$B6=""),"",M6-I6)</f>
        <v/>
      </c>
      <c r="O6" s="40">
        <f>IF(OR($A6="",$B6=""),"",IFERROR(J6/IFERROR(VLOOKUP($A6,Config!$A$6:$C$15,3,0),0),0))</f>
        <v/>
      </c>
    </row>
    <row r="7">
      <c r="A7" s="34" t="n"/>
      <c r="B7" s="34" t="n"/>
      <c r="C7" s="35" t="n"/>
      <c r="D7" s="39" t="n"/>
      <c r="E7" s="39" t="n"/>
      <c r="F7" s="39" t="n"/>
      <c r="G7" s="23">
        <f>IF(OR($A7="",$B7=""),"",SUMIFS('Lançamentos'!$J$6:$J$1005,'Lançamentos'!$B$6:$B$1005,$A7,'Lançamentos'!$C$6:$C$1005,$B7))</f>
        <v/>
      </c>
      <c r="H7" s="23">
        <f>IF(OR($A7="",$B7=""),"",IFERROR(SUMIFS('Lançamentos'!$J$6:$J$1005,'Lançamentos'!$B$6:$B$1005,$A7,'Lançamentos'!$C$6:$C$1005,"GERAL")*N($D7)/SUMIFS($D$6:$D$65,$A$6:$A$65,$A7),0))</f>
        <v/>
      </c>
      <c r="I7" s="23">
        <f>IF(OR($A7="",$B7=""),"",G7+H7)</f>
        <v/>
      </c>
      <c r="J7" s="23">
        <f>IF(OR($A7="",$B7=""),"",IFERROR(I7/D7,0))</f>
        <v/>
      </c>
      <c r="K7" s="40">
        <f>IF(OR($A7="",$B7=""),"",IF(N(F7)&gt;0,F7,N(E7)*N(D7)))</f>
        <v/>
      </c>
      <c r="L7" s="23">
        <f>IF(OR($A7="",$B7=""),"",IFERROR(I7/K7,0))</f>
        <v/>
      </c>
      <c r="M7" s="23">
        <f>IF(OR($A7="",$B7=""),"",K7*IFERROR(VLOOKUP($A7,Config!$A$6:$C$15,3,0),0))</f>
        <v/>
      </c>
      <c r="N7" s="23">
        <f>IF(OR($A7="",$B7=""),"",M7-I7)</f>
        <v/>
      </c>
      <c r="O7" s="40">
        <f>IF(OR($A7="",$B7=""),"",IFERROR(J7/IFERROR(VLOOKUP($A7,Config!$A$6:$C$15,3,0),0),0))</f>
        <v/>
      </c>
    </row>
    <row r="8">
      <c r="A8" s="34" t="n"/>
      <c r="B8" s="34" t="n"/>
      <c r="C8" s="35" t="n"/>
      <c r="D8" s="39" t="n"/>
      <c r="E8" s="39" t="n"/>
      <c r="F8" s="39" t="n"/>
      <c r="G8" s="23">
        <f>IF(OR($A8="",$B8=""),"",SUMIFS('Lançamentos'!$J$6:$J$1005,'Lançamentos'!$B$6:$B$1005,$A8,'Lançamentos'!$C$6:$C$1005,$B8))</f>
        <v/>
      </c>
      <c r="H8" s="23">
        <f>IF(OR($A8="",$B8=""),"",IFERROR(SUMIFS('Lançamentos'!$J$6:$J$1005,'Lançamentos'!$B$6:$B$1005,$A8,'Lançamentos'!$C$6:$C$1005,"GERAL")*N($D8)/SUMIFS($D$6:$D$65,$A$6:$A$65,$A8),0))</f>
        <v/>
      </c>
      <c r="I8" s="23">
        <f>IF(OR($A8="",$B8=""),"",G8+H8)</f>
        <v/>
      </c>
      <c r="J8" s="23">
        <f>IF(OR($A8="",$B8=""),"",IFERROR(I8/D8,0))</f>
        <v/>
      </c>
      <c r="K8" s="40">
        <f>IF(OR($A8="",$B8=""),"",IF(N(F8)&gt;0,F8,N(E8)*N(D8)))</f>
        <v/>
      </c>
      <c r="L8" s="23">
        <f>IF(OR($A8="",$B8=""),"",IFERROR(I8/K8,0))</f>
        <v/>
      </c>
      <c r="M8" s="23">
        <f>IF(OR($A8="",$B8=""),"",K8*IFERROR(VLOOKUP($A8,Config!$A$6:$C$15,3,0),0))</f>
        <v/>
      </c>
      <c r="N8" s="23">
        <f>IF(OR($A8="",$B8=""),"",M8-I8)</f>
        <v/>
      </c>
      <c r="O8" s="40">
        <f>IF(OR($A8="",$B8=""),"",IFERROR(J8/IFERROR(VLOOKUP($A8,Config!$A$6:$C$15,3,0),0),0))</f>
        <v/>
      </c>
    </row>
    <row r="9">
      <c r="A9" s="34" t="n"/>
      <c r="B9" s="34" t="n"/>
      <c r="C9" s="35" t="n"/>
      <c r="D9" s="39" t="n"/>
      <c r="E9" s="39" t="n"/>
      <c r="F9" s="39" t="n"/>
      <c r="G9" s="23">
        <f>IF(OR($A9="",$B9=""),"",SUMIFS('Lançamentos'!$J$6:$J$1005,'Lançamentos'!$B$6:$B$1005,$A9,'Lançamentos'!$C$6:$C$1005,$B9))</f>
        <v/>
      </c>
      <c r="H9" s="23">
        <f>IF(OR($A9="",$B9=""),"",IFERROR(SUMIFS('Lançamentos'!$J$6:$J$1005,'Lançamentos'!$B$6:$B$1005,$A9,'Lançamentos'!$C$6:$C$1005,"GERAL")*N($D9)/SUMIFS($D$6:$D$65,$A$6:$A$65,$A9),0))</f>
        <v/>
      </c>
      <c r="I9" s="23">
        <f>IF(OR($A9="",$B9=""),"",G9+H9)</f>
        <v/>
      </c>
      <c r="J9" s="23">
        <f>IF(OR($A9="",$B9=""),"",IFERROR(I9/D9,0))</f>
        <v/>
      </c>
      <c r="K9" s="40">
        <f>IF(OR($A9="",$B9=""),"",IF(N(F9)&gt;0,F9,N(E9)*N(D9)))</f>
        <v/>
      </c>
      <c r="L9" s="23">
        <f>IF(OR($A9="",$B9=""),"",IFERROR(I9/K9,0))</f>
        <v/>
      </c>
      <c r="M9" s="23">
        <f>IF(OR($A9="",$B9=""),"",K9*IFERROR(VLOOKUP($A9,Config!$A$6:$C$15,3,0),0))</f>
        <v/>
      </c>
      <c r="N9" s="23">
        <f>IF(OR($A9="",$B9=""),"",M9-I9)</f>
        <v/>
      </c>
      <c r="O9" s="40">
        <f>IF(OR($A9="",$B9=""),"",IFERROR(J9/IFERROR(VLOOKUP($A9,Config!$A$6:$C$15,3,0),0),0))</f>
        <v/>
      </c>
    </row>
    <row r="10">
      <c r="A10" s="34" t="n"/>
      <c r="B10" s="34" t="n"/>
      <c r="C10" s="35" t="n"/>
      <c r="D10" s="39" t="n"/>
      <c r="E10" s="39" t="n"/>
      <c r="F10" s="39" t="n"/>
      <c r="G10" s="23">
        <f>IF(OR($A10="",$B10=""),"",SUMIFS('Lançamentos'!$J$6:$J$1005,'Lançamentos'!$B$6:$B$1005,$A10,'Lançamentos'!$C$6:$C$1005,$B10))</f>
        <v/>
      </c>
      <c r="H10" s="23">
        <f>IF(OR($A10="",$B10=""),"",IFERROR(SUMIFS('Lançamentos'!$J$6:$J$1005,'Lançamentos'!$B$6:$B$1005,$A10,'Lançamentos'!$C$6:$C$1005,"GERAL")*N($D10)/SUMIFS($D$6:$D$65,$A$6:$A$65,$A10),0))</f>
        <v/>
      </c>
      <c r="I10" s="23">
        <f>IF(OR($A10="",$B10=""),"",G10+H10)</f>
        <v/>
      </c>
      <c r="J10" s="23">
        <f>IF(OR($A10="",$B10=""),"",IFERROR(I10/D10,0))</f>
        <v/>
      </c>
      <c r="K10" s="40">
        <f>IF(OR($A10="",$B10=""),"",IF(N(F10)&gt;0,F10,N(E10)*N(D10)))</f>
        <v/>
      </c>
      <c r="L10" s="23">
        <f>IF(OR($A10="",$B10=""),"",IFERROR(I10/K10,0))</f>
        <v/>
      </c>
      <c r="M10" s="23">
        <f>IF(OR($A10="",$B10=""),"",K10*IFERROR(VLOOKUP($A10,Config!$A$6:$C$15,3,0),0))</f>
        <v/>
      </c>
      <c r="N10" s="23">
        <f>IF(OR($A10="",$B10=""),"",M10-I10)</f>
        <v/>
      </c>
      <c r="O10" s="40">
        <f>IF(OR($A10="",$B10=""),"",IFERROR(J10/IFERROR(VLOOKUP($A10,Config!$A$6:$C$15,3,0),0),0))</f>
        <v/>
      </c>
    </row>
    <row r="11">
      <c r="A11" s="34" t="n"/>
      <c r="B11" s="34" t="n"/>
      <c r="C11" s="35" t="n"/>
      <c r="D11" s="39" t="n"/>
      <c r="E11" s="39" t="n"/>
      <c r="F11" s="39" t="n"/>
      <c r="G11" s="23">
        <f>IF(OR($A11="",$B11=""),"",SUMIFS('Lançamentos'!$J$6:$J$1005,'Lançamentos'!$B$6:$B$1005,$A11,'Lançamentos'!$C$6:$C$1005,$B11))</f>
        <v/>
      </c>
      <c r="H11" s="23">
        <f>IF(OR($A11="",$B11=""),"",IFERROR(SUMIFS('Lançamentos'!$J$6:$J$1005,'Lançamentos'!$B$6:$B$1005,$A11,'Lançamentos'!$C$6:$C$1005,"GERAL")*N($D11)/SUMIFS($D$6:$D$65,$A$6:$A$65,$A11),0))</f>
        <v/>
      </c>
      <c r="I11" s="23">
        <f>IF(OR($A11="",$B11=""),"",G11+H11)</f>
        <v/>
      </c>
      <c r="J11" s="23">
        <f>IF(OR($A11="",$B11=""),"",IFERROR(I11/D11,0))</f>
        <v/>
      </c>
      <c r="K11" s="40">
        <f>IF(OR($A11="",$B11=""),"",IF(N(F11)&gt;0,F11,N(E11)*N(D11)))</f>
        <v/>
      </c>
      <c r="L11" s="23">
        <f>IF(OR($A11="",$B11=""),"",IFERROR(I11/K11,0))</f>
        <v/>
      </c>
      <c r="M11" s="23">
        <f>IF(OR($A11="",$B11=""),"",K11*IFERROR(VLOOKUP($A11,Config!$A$6:$C$15,3,0),0))</f>
        <v/>
      </c>
      <c r="N11" s="23">
        <f>IF(OR($A11="",$B11=""),"",M11-I11)</f>
        <v/>
      </c>
      <c r="O11" s="40">
        <f>IF(OR($A11="",$B11=""),"",IFERROR(J11/IFERROR(VLOOKUP($A11,Config!$A$6:$C$15,3,0),0),0))</f>
        <v/>
      </c>
    </row>
    <row r="12">
      <c r="A12" s="34" t="n"/>
      <c r="B12" s="34" t="n"/>
      <c r="C12" s="35" t="n"/>
      <c r="D12" s="39" t="n"/>
      <c r="E12" s="39" t="n"/>
      <c r="F12" s="39" t="n"/>
      <c r="G12" s="23">
        <f>IF(OR($A12="",$B12=""),"",SUMIFS('Lançamentos'!$J$6:$J$1005,'Lançamentos'!$B$6:$B$1005,$A12,'Lançamentos'!$C$6:$C$1005,$B12))</f>
        <v/>
      </c>
      <c r="H12" s="23">
        <f>IF(OR($A12="",$B12=""),"",IFERROR(SUMIFS('Lançamentos'!$J$6:$J$1005,'Lançamentos'!$B$6:$B$1005,$A12,'Lançamentos'!$C$6:$C$1005,"GERAL")*N($D12)/SUMIFS($D$6:$D$65,$A$6:$A$65,$A12),0))</f>
        <v/>
      </c>
      <c r="I12" s="23">
        <f>IF(OR($A12="",$B12=""),"",G12+H12)</f>
        <v/>
      </c>
      <c r="J12" s="23">
        <f>IF(OR($A12="",$B12=""),"",IFERROR(I12/D12,0))</f>
        <v/>
      </c>
      <c r="K12" s="40">
        <f>IF(OR($A12="",$B12=""),"",IF(N(F12)&gt;0,F12,N(E12)*N(D12)))</f>
        <v/>
      </c>
      <c r="L12" s="23">
        <f>IF(OR($A12="",$B12=""),"",IFERROR(I12/K12,0))</f>
        <v/>
      </c>
      <c r="M12" s="23">
        <f>IF(OR($A12="",$B12=""),"",K12*IFERROR(VLOOKUP($A12,Config!$A$6:$C$15,3,0),0))</f>
        <v/>
      </c>
      <c r="N12" s="23">
        <f>IF(OR($A12="",$B12=""),"",M12-I12)</f>
        <v/>
      </c>
      <c r="O12" s="40">
        <f>IF(OR($A12="",$B12=""),"",IFERROR(J12/IFERROR(VLOOKUP($A12,Config!$A$6:$C$15,3,0),0),0))</f>
        <v/>
      </c>
    </row>
    <row r="13">
      <c r="A13" s="34" t="n"/>
      <c r="B13" s="34" t="n"/>
      <c r="C13" s="35" t="n"/>
      <c r="D13" s="39" t="n"/>
      <c r="E13" s="39" t="n"/>
      <c r="F13" s="39" t="n"/>
      <c r="G13" s="23">
        <f>IF(OR($A13="",$B13=""),"",SUMIFS('Lançamentos'!$J$6:$J$1005,'Lançamentos'!$B$6:$B$1005,$A13,'Lançamentos'!$C$6:$C$1005,$B13))</f>
        <v/>
      </c>
      <c r="H13" s="23">
        <f>IF(OR($A13="",$B13=""),"",IFERROR(SUMIFS('Lançamentos'!$J$6:$J$1005,'Lançamentos'!$B$6:$B$1005,$A13,'Lançamentos'!$C$6:$C$1005,"GERAL")*N($D13)/SUMIFS($D$6:$D$65,$A$6:$A$65,$A13),0))</f>
        <v/>
      </c>
      <c r="I13" s="23">
        <f>IF(OR($A13="",$B13=""),"",G13+H13)</f>
        <v/>
      </c>
      <c r="J13" s="23">
        <f>IF(OR($A13="",$B13=""),"",IFERROR(I13/D13,0))</f>
        <v/>
      </c>
      <c r="K13" s="40">
        <f>IF(OR($A13="",$B13=""),"",IF(N(F13)&gt;0,F13,N(E13)*N(D13)))</f>
        <v/>
      </c>
      <c r="L13" s="23">
        <f>IF(OR($A13="",$B13=""),"",IFERROR(I13/K13,0))</f>
        <v/>
      </c>
      <c r="M13" s="23">
        <f>IF(OR($A13="",$B13=""),"",K13*IFERROR(VLOOKUP($A13,Config!$A$6:$C$15,3,0),0))</f>
        <v/>
      </c>
      <c r="N13" s="23">
        <f>IF(OR($A13="",$B13=""),"",M13-I13)</f>
        <v/>
      </c>
      <c r="O13" s="40">
        <f>IF(OR($A13="",$B13=""),"",IFERROR(J13/IFERROR(VLOOKUP($A13,Config!$A$6:$C$15,3,0),0),0))</f>
        <v/>
      </c>
    </row>
    <row r="14">
      <c r="A14" s="34" t="n"/>
      <c r="B14" s="34" t="n"/>
      <c r="C14" s="35" t="n"/>
      <c r="D14" s="39" t="n"/>
      <c r="E14" s="39" t="n"/>
      <c r="F14" s="39" t="n"/>
      <c r="G14" s="23">
        <f>IF(OR($A14="",$B14=""),"",SUMIFS('Lançamentos'!$J$6:$J$1005,'Lançamentos'!$B$6:$B$1005,$A14,'Lançamentos'!$C$6:$C$1005,$B14))</f>
        <v/>
      </c>
      <c r="H14" s="23">
        <f>IF(OR($A14="",$B14=""),"",IFERROR(SUMIFS('Lançamentos'!$J$6:$J$1005,'Lançamentos'!$B$6:$B$1005,$A14,'Lançamentos'!$C$6:$C$1005,"GERAL")*N($D14)/SUMIFS($D$6:$D$65,$A$6:$A$65,$A14),0))</f>
        <v/>
      </c>
      <c r="I14" s="23">
        <f>IF(OR($A14="",$B14=""),"",G14+H14)</f>
        <v/>
      </c>
      <c r="J14" s="23">
        <f>IF(OR($A14="",$B14=""),"",IFERROR(I14/D14,0))</f>
        <v/>
      </c>
      <c r="K14" s="40">
        <f>IF(OR($A14="",$B14=""),"",IF(N(F14)&gt;0,F14,N(E14)*N(D14)))</f>
        <v/>
      </c>
      <c r="L14" s="23">
        <f>IF(OR($A14="",$B14=""),"",IFERROR(I14/K14,0))</f>
        <v/>
      </c>
      <c r="M14" s="23">
        <f>IF(OR($A14="",$B14=""),"",K14*IFERROR(VLOOKUP($A14,Config!$A$6:$C$15,3,0),0))</f>
        <v/>
      </c>
      <c r="N14" s="23">
        <f>IF(OR($A14="",$B14=""),"",M14-I14)</f>
        <v/>
      </c>
      <c r="O14" s="40">
        <f>IF(OR($A14="",$B14=""),"",IFERROR(J14/IFERROR(VLOOKUP($A14,Config!$A$6:$C$15,3,0),0),0))</f>
        <v/>
      </c>
    </row>
    <row r="15">
      <c r="A15" s="34" t="n"/>
      <c r="B15" s="34" t="n"/>
      <c r="C15" s="35" t="n"/>
      <c r="D15" s="39" t="n"/>
      <c r="E15" s="39" t="n"/>
      <c r="F15" s="39" t="n"/>
      <c r="G15" s="23">
        <f>IF(OR($A15="",$B15=""),"",SUMIFS('Lançamentos'!$J$6:$J$1005,'Lançamentos'!$B$6:$B$1005,$A15,'Lançamentos'!$C$6:$C$1005,$B15))</f>
        <v/>
      </c>
      <c r="H15" s="23">
        <f>IF(OR($A15="",$B15=""),"",IFERROR(SUMIFS('Lançamentos'!$J$6:$J$1005,'Lançamentos'!$B$6:$B$1005,$A15,'Lançamentos'!$C$6:$C$1005,"GERAL")*N($D15)/SUMIFS($D$6:$D$65,$A$6:$A$65,$A15),0))</f>
        <v/>
      </c>
      <c r="I15" s="23">
        <f>IF(OR($A15="",$B15=""),"",G15+H15)</f>
        <v/>
      </c>
      <c r="J15" s="23">
        <f>IF(OR($A15="",$B15=""),"",IFERROR(I15/D15,0))</f>
        <v/>
      </c>
      <c r="K15" s="40">
        <f>IF(OR($A15="",$B15=""),"",IF(N(F15)&gt;0,F15,N(E15)*N(D15)))</f>
        <v/>
      </c>
      <c r="L15" s="23">
        <f>IF(OR($A15="",$B15=""),"",IFERROR(I15/K15,0))</f>
        <v/>
      </c>
      <c r="M15" s="23">
        <f>IF(OR($A15="",$B15=""),"",K15*IFERROR(VLOOKUP($A15,Config!$A$6:$C$15,3,0),0))</f>
        <v/>
      </c>
      <c r="N15" s="23">
        <f>IF(OR($A15="",$B15=""),"",M15-I15)</f>
        <v/>
      </c>
      <c r="O15" s="40">
        <f>IF(OR($A15="",$B15=""),"",IFERROR(J15/IFERROR(VLOOKUP($A15,Config!$A$6:$C$15,3,0),0),0))</f>
        <v/>
      </c>
    </row>
    <row r="16">
      <c r="A16" s="34" t="n"/>
      <c r="B16" s="34" t="n"/>
      <c r="C16" s="35" t="n"/>
      <c r="D16" s="39" t="n"/>
      <c r="E16" s="39" t="n"/>
      <c r="F16" s="39" t="n"/>
      <c r="G16" s="23">
        <f>IF(OR($A16="",$B16=""),"",SUMIFS('Lançamentos'!$J$6:$J$1005,'Lançamentos'!$B$6:$B$1005,$A16,'Lançamentos'!$C$6:$C$1005,$B16))</f>
        <v/>
      </c>
      <c r="H16" s="23">
        <f>IF(OR($A16="",$B16=""),"",IFERROR(SUMIFS('Lançamentos'!$J$6:$J$1005,'Lançamentos'!$B$6:$B$1005,$A16,'Lançamentos'!$C$6:$C$1005,"GERAL")*N($D16)/SUMIFS($D$6:$D$65,$A$6:$A$65,$A16),0))</f>
        <v/>
      </c>
      <c r="I16" s="23">
        <f>IF(OR($A16="",$B16=""),"",G16+H16)</f>
        <v/>
      </c>
      <c r="J16" s="23">
        <f>IF(OR($A16="",$B16=""),"",IFERROR(I16/D16,0))</f>
        <v/>
      </c>
      <c r="K16" s="40">
        <f>IF(OR($A16="",$B16=""),"",IF(N(F16)&gt;0,F16,N(E16)*N(D16)))</f>
        <v/>
      </c>
      <c r="L16" s="23">
        <f>IF(OR($A16="",$B16=""),"",IFERROR(I16/K16,0))</f>
        <v/>
      </c>
      <c r="M16" s="23">
        <f>IF(OR($A16="",$B16=""),"",K16*IFERROR(VLOOKUP($A16,Config!$A$6:$C$15,3,0),0))</f>
        <v/>
      </c>
      <c r="N16" s="23">
        <f>IF(OR($A16="",$B16=""),"",M16-I16)</f>
        <v/>
      </c>
      <c r="O16" s="40">
        <f>IF(OR($A16="",$B16=""),"",IFERROR(J16/IFERROR(VLOOKUP($A16,Config!$A$6:$C$15,3,0),0),0))</f>
        <v/>
      </c>
    </row>
    <row r="17">
      <c r="A17" s="34" t="n"/>
      <c r="B17" s="34" t="n"/>
      <c r="C17" s="35" t="n"/>
      <c r="D17" s="39" t="n"/>
      <c r="E17" s="39" t="n"/>
      <c r="F17" s="39" t="n"/>
      <c r="G17" s="23">
        <f>IF(OR($A17="",$B17=""),"",SUMIFS('Lançamentos'!$J$6:$J$1005,'Lançamentos'!$B$6:$B$1005,$A17,'Lançamentos'!$C$6:$C$1005,$B17))</f>
        <v/>
      </c>
      <c r="H17" s="23">
        <f>IF(OR($A17="",$B17=""),"",IFERROR(SUMIFS('Lançamentos'!$J$6:$J$1005,'Lançamentos'!$B$6:$B$1005,$A17,'Lançamentos'!$C$6:$C$1005,"GERAL")*N($D17)/SUMIFS($D$6:$D$65,$A$6:$A$65,$A17),0))</f>
        <v/>
      </c>
      <c r="I17" s="23">
        <f>IF(OR($A17="",$B17=""),"",G17+H17)</f>
        <v/>
      </c>
      <c r="J17" s="23">
        <f>IF(OR($A17="",$B17=""),"",IFERROR(I17/D17,0))</f>
        <v/>
      </c>
      <c r="K17" s="40">
        <f>IF(OR($A17="",$B17=""),"",IF(N(F17)&gt;0,F17,N(E17)*N(D17)))</f>
        <v/>
      </c>
      <c r="L17" s="23">
        <f>IF(OR($A17="",$B17=""),"",IFERROR(I17/K17,0))</f>
        <v/>
      </c>
      <c r="M17" s="23">
        <f>IF(OR($A17="",$B17=""),"",K17*IFERROR(VLOOKUP($A17,Config!$A$6:$C$15,3,0),0))</f>
        <v/>
      </c>
      <c r="N17" s="23">
        <f>IF(OR($A17="",$B17=""),"",M17-I17)</f>
        <v/>
      </c>
      <c r="O17" s="40">
        <f>IF(OR($A17="",$B17=""),"",IFERROR(J17/IFERROR(VLOOKUP($A17,Config!$A$6:$C$15,3,0),0),0))</f>
        <v/>
      </c>
    </row>
    <row r="18">
      <c r="A18" s="34" t="n"/>
      <c r="B18" s="34" t="n"/>
      <c r="C18" s="35" t="n"/>
      <c r="D18" s="39" t="n"/>
      <c r="E18" s="39" t="n"/>
      <c r="F18" s="39" t="n"/>
      <c r="G18" s="23">
        <f>IF(OR($A18="",$B18=""),"",SUMIFS('Lançamentos'!$J$6:$J$1005,'Lançamentos'!$B$6:$B$1005,$A18,'Lançamentos'!$C$6:$C$1005,$B18))</f>
        <v/>
      </c>
      <c r="H18" s="23">
        <f>IF(OR($A18="",$B18=""),"",IFERROR(SUMIFS('Lançamentos'!$J$6:$J$1005,'Lançamentos'!$B$6:$B$1005,$A18,'Lançamentos'!$C$6:$C$1005,"GERAL")*N($D18)/SUMIFS($D$6:$D$65,$A$6:$A$65,$A18),0))</f>
        <v/>
      </c>
      <c r="I18" s="23">
        <f>IF(OR($A18="",$B18=""),"",G18+H18)</f>
        <v/>
      </c>
      <c r="J18" s="23">
        <f>IF(OR($A18="",$B18=""),"",IFERROR(I18/D18,0))</f>
        <v/>
      </c>
      <c r="K18" s="40">
        <f>IF(OR($A18="",$B18=""),"",IF(N(F18)&gt;0,F18,N(E18)*N(D18)))</f>
        <v/>
      </c>
      <c r="L18" s="23">
        <f>IF(OR($A18="",$B18=""),"",IFERROR(I18/K18,0))</f>
        <v/>
      </c>
      <c r="M18" s="23">
        <f>IF(OR($A18="",$B18=""),"",K18*IFERROR(VLOOKUP($A18,Config!$A$6:$C$15,3,0),0))</f>
        <v/>
      </c>
      <c r="N18" s="23">
        <f>IF(OR($A18="",$B18=""),"",M18-I18)</f>
        <v/>
      </c>
      <c r="O18" s="40">
        <f>IF(OR($A18="",$B18=""),"",IFERROR(J18/IFERROR(VLOOKUP($A18,Config!$A$6:$C$15,3,0),0),0))</f>
        <v/>
      </c>
    </row>
    <row r="19">
      <c r="A19" s="34" t="n"/>
      <c r="B19" s="34" t="n"/>
      <c r="C19" s="35" t="n"/>
      <c r="D19" s="39" t="n"/>
      <c r="E19" s="39" t="n"/>
      <c r="F19" s="39" t="n"/>
      <c r="G19" s="23">
        <f>IF(OR($A19="",$B19=""),"",SUMIFS('Lançamentos'!$J$6:$J$1005,'Lançamentos'!$B$6:$B$1005,$A19,'Lançamentos'!$C$6:$C$1005,$B19))</f>
        <v/>
      </c>
      <c r="H19" s="23">
        <f>IF(OR($A19="",$B19=""),"",IFERROR(SUMIFS('Lançamentos'!$J$6:$J$1005,'Lançamentos'!$B$6:$B$1005,$A19,'Lançamentos'!$C$6:$C$1005,"GERAL")*N($D19)/SUMIFS($D$6:$D$65,$A$6:$A$65,$A19),0))</f>
        <v/>
      </c>
      <c r="I19" s="23">
        <f>IF(OR($A19="",$B19=""),"",G19+H19)</f>
        <v/>
      </c>
      <c r="J19" s="23">
        <f>IF(OR($A19="",$B19=""),"",IFERROR(I19/D19,0))</f>
        <v/>
      </c>
      <c r="K19" s="40">
        <f>IF(OR($A19="",$B19=""),"",IF(N(F19)&gt;0,F19,N(E19)*N(D19)))</f>
        <v/>
      </c>
      <c r="L19" s="23">
        <f>IF(OR($A19="",$B19=""),"",IFERROR(I19/K19,0))</f>
        <v/>
      </c>
      <c r="M19" s="23">
        <f>IF(OR($A19="",$B19=""),"",K19*IFERROR(VLOOKUP($A19,Config!$A$6:$C$15,3,0),0))</f>
        <v/>
      </c>
      <c r="N19" s="23">
        <f>IF(OR($A19="",$B19=""),"",M19-I19)</f>
        <v/>
      </c>
      <c r="O19" s="40">
        <f>IF(OR($A19="",$B19=""),"",IFERROR(J19/IFERROR(VLOOKUP($A19,Config!$A$6:$C$15,3,0),0),0))</f>
        <v/>
      </c>
    </row>
    <row r="20">
      <c r="A20" s="34" t="n"/>
      <c r="B20" s="34" t="n"/>
      <c r="C20" s="35" t="n"/>
      <c r="D20" s="39" t="n"/>
      <c r="E20" s="39" t="n"/>
      <c r="F20" s="39" t="n"/>
      <c r="G20" s="23">
        <f>IF(OR($A20="",$B20=""),"",SUMIFS('Lançamentos'!$J$6:$J$1005,'Lançamentos'!$B$6:$B$1005,$A20,'Lançamentos'!$C$6:$C$1005,$B20))</f>
        <v/>
      </c>
      <c r="H20" s="23">
        <f>IF(OR($A20="",$B20=""),"",IFERROR(SUMIFS('Lançamentos'!$J$6:$J$1005,'Lançamentos'!$B$6:$B$1005,$A20,'Lançamentos'!$C$6:$C$1005,"GERAL")*N($D20)/SUMIFS($D$6:$D$65,$A$6:$A$65,$A20),0))</f>
        <v/>
      </c>
      <c r="I20" s="23">
        <f>IF(OR($A20="",$B20=""),"",G20+H20)</f>
        <v/>
      </c>
      <c r="J20" s="23">
        <f>IF(OR($A20="",$B20=""),"",IFERROR(I20/D20,0))</f>
        <v/>
      </c>
      <c r="K20" s="40">
        <f>IF(OR($A20="",$B20=""),"",IF(N(F20)&gt;0,F20,N(E20)*N(D20)))</f>
        <v/>
      </c>
      <c r="L20" s="23">
        <f>IF(OR($A20="",$B20=""),"",IFERROR(I20/K20,0))</f>
        <v/>
      </c>
      <c r="M20" s="23">
        <f>IF(OR($A20="",$B20=""),"",K20*IFERROR(VLOOKUP($A20,Config!$A$6:$C$15,3,0),0))</f>
        <v/>
      </c>
      <c r="N20" s="23">
        <f>IF(OR($A20="",$B20=""),"",M20-I20)</f>
        <v/>
      </c>
      <c r="O20" s="40">
        <f>IF(OR($A20="",$B20=""),"",IFERROR(J20/IFERROR(VLOOKUP($A20,Config!$A$6:$C$15,3,0),0),0))</f>
        <v/>
      </c>
    </row>
    <row r="21">
      <c r="A21" s="34" t="n"/>
      <c r="B21" s="34" t="n"/>
      <c r="C21" s="35" t="n"/>
      <c r="D21" s="39" t="n"/>
      <c r="E21" s="39" t="n"/>
      <c r="F21" s="39" t="n"/>
      <c r="G21" s="23">
        <f>IF(OR($A21="",$B21=""),"",SUMIFS('Lançamentos'!$J$6:$J$1005,'Lançamentos'!$B$6:$B$1005,$A21,'Lançamentos'!$C$6:$C$1005,$B21))</f>
        <v/>
      </c>
      <c r="H21" s="23">
        <f>IF(OR($A21="",$B21=""),"",IFERROR(SUMIFS('Lançamentos'!$J$6:$J$1005,'Lançamentos'!$B$6:$B$1005,$A21,'Lançamentos'!$C$6:$C$1005,"GERAL")*N($D21)/SUMIFS($D$6:$D$65,$A$6:$A$65,$A21),0))</f>
        <v/>
      </c>
      <c r="I21" s="23">
        <f>IF(OR($A21="",$B21=""),"",G21+H21)</f>
        <v/>
      </c>
      <c r="J21" s="23">
        <f>IF(OR($A21="",$B21=""),"",IFERROR(I21/D21,0))</f>
        <v/>
      </c>
      <c r="K21" s="40">
        <f>IF(OR($A21="",$B21=""),"",IF(N(F21)&gt;0,F21,N(E21)*N(D21)))</f>
        <v/>
      </c>
      <c r="L21" s="23">
        <f>IF(OR($A21="",$B21=""),"",IFERROR(I21/K21,0))</f>
        <v/>
      </c>
      <c r="M21" s="23">
        <f>IF(OR($A21="",$B21=""),"",K21*IFERROR(VLOOKUP($A21,Config!$A$6:$C$15,3,0),0))</f>
        <v/>
      </c>
      <c r="N21" s="23">
        <f>IF(OR($A21="",$B21=""),"",M21-I21)</f>
        <v/>
      </c>
      <c r="O21" s="40">
        <f>IF(OR($A21="",$B21=""),"",IFERROR(J21/IFERROR(VLOOKUP($A21,Config!$A$6:$C$15,3,0),0),0))</f>
        <v/>
      </c>
    </row>
    <row r="22">
      <c r="A22" s="34" t="n"/>
      <c r="B22" s="34" t="n"/>
      <c r="C22" s="35" t="n"/>
      <c r="D22" s="39" t="n"/>
      <c r="E22" s="39" t="n"/>
      <c r="F22" s="39" t="n"/>
      <c r="G22" s="23">
        <f>IF(OR($A22="",$B22=""),"",SUMIFS('Lançamentos'!$J$6:$J$1005,'Lançamentos'!$B$6:$B$1005,$A22,'Lançamentos'!$C$6:$C$1005,$B22))</f>
        <v/>
      </c>
      <c r="H22" s="23">
        <f>IF(OR($A22="",$B22=""),"",IFERROR(SUMIFS('Lançamentos'!$J$6:$J$1005,'Lançamentos'!$B$6:$B$1005,$A22,'Lançamentos'!$C$6:$C$1005,"GERAL")*N($D22)/SUMIFS($D$6:$D$65,$A$6:$A$65,$A22),0))</f>
        <v/>
      </c>
      <c r="I22" s="23">
        <f>IF(OR($A22="",$B22=""),"",G22+H22)</f>
        <v/>
      </c>
      <c r="J22" s="23">
        <f>IF(OR($A22="",$B22=""),"",IFERROR(I22/D22,0))</f>
        <v/>
      </c>
      <c r="K22" s="40">
        <f>IF(OR($A22="",$B22=""),"",IF(N(F22)&gt;0,F22,N(E22)*N(D22)))</f>
        <v/>
      </c>
      <c r="L22" s="23">
        <f>IF(OR($A22="",$B22=""),"",IFERROR(I22/K22,0))</f>
        <v/>
      </c>
      <c r="M22" s="23">
        <f>IF(OR($A22="",$B22=""),"",K22*IFERROR(VLOOKUP($A22,Config!$A$6:$C$15,3,0),0))</f>
        <v/>
      </c>
      <c r="N22" s="23">
        <f>IF(OR($A22="",$B22=""),"",M22-I22)</f>
        <v/>
      </c>
      <c r="O22" s="40">
        <f>IF(OR($A22="",$B22=""),"",IFERROR(J22/IFERROR(VLOOKUP($A22,Config!$A$6:$C$15,3,0),0),0))</f>
        <v/>
      </c>
    </row>
    <row r="23">
      <c r="A23" s="34" t="n"/>
      <c r="B23" s="34" t="n"/>
      <c r="C23" s="35" t="n"/>
      <c r="D23" s="39" t="n"/>
      <c r="E23" s="39" t="n"/>
      <c r="F23" s="39" t="n"/>
      <c r="G23" s="23">
        <f>IF(OR($A23="",$B23=""),"",SUMIFS('Lançamentos'!$J$6:$J$1005,'Lançamentos'!$B$6:$B$1005,$A23,'Lançamentos'!$C$6:$C$1005,$B23))</f>
        <v/>
      </c>
      <c r="H23" s="23">
        <f>IF(OR($A23="",$B23=""),"",IFERROR(SUMIFS('Lançamentos'!$J$6:$J$1005,'Lançamentos'!$B$6:$B$1005,$A23,'Lançamentos'!$C$6:$C$1005,"GERAL")*N($D23)/SUMIFS($D$6:$D$65,$A$6:$A$65,$A23),0))</f>
        <v/>
      </c>
      <c r="I23" s="23">
        <f>IF(OR($A23="",$B23=""),"",G23+H23)</f>
        <v/>
      </c>
      <c r="J23" s="23">
        <f>IF(OR($A23="",$B23=""),"",IFERROR(I23/D23,0))</f>
        <v/>
      </c>
      <c r="K23" s="40">
        <f>IF(OR($A23="",$B23=""),"",IF(N(F23)&gt;0,F23,N(E23)*N(D23)))</f>
        <v/>
      </c>
      <c r="L23" s="23">
        <f>IF(OR($A23="",$B23=""),"",IFERROR(I23/K23,0))</f>
        <v/>
      </c>
      <c r="M23" s="23">
        <f>IF(OR($A23="",$B23=""),"",K23*IFERROR(VLOOKUP($A23,Config!$A$6:$C$15,3,0),0))</f>
        <v/>
      </c>
      <c r="N23" s="23">
        <f>IF(OR($A23="",$B23=""),"",M23-I23)</f>
        <v/>
      </c>
      <c r="O23" s="40">
        <f>IF(OR($A23="",$B23=""),"",IFERROR(J23/IFERROR(VLOOKUP($A23,Config!$A$6:$C$15,3,0),0),0))</f>
        <v/>
      </c>
    </row>
    <row r="24">
      <c r="A24" s="34" t="n"/>
      <c r="B24" s="34" t="n"/>
      <c r="C24" s="35" t="n"/>
      <c r="D24" s="39" t="n"/>
      <c r="E24" s="39" t="n"/>
      <c r="F24" s="39" t="n"/>
      <c r="G24" s="23">
        <f>IF(OR($A24="",$B24=""),"",SUMIFS('Lançamentos'!$J$6:$J$1005,'Lançamentos'!$B$6:$B$1005,$A24,'Lançamentos'!$C$6:$C$1005,$B24))</f>
        <v/>
      </c>
      <c r="H24" s="23">
        <f>IF(OR($A24="",$B24=""),"",IFERROR(SUMIFS('Lançamentos'!$J$6:$J$1005,'Lançamentos'!$B$6:$B$1005,$A24,'Lançamentos'!$C$6:$C$1005,"GERAL")*N($D24)/SUMIFS($D$6:$D$65,$A$6:$A$65,$A24),0))</f>
        <v/>
      </c>
      <c r="I24" s="23">
        <f>IF(OR($A24="",$B24=""),"",G24+H24)</f>
        <v/>
      </c>
      <c r="J24" s="23">
        <f>IF(OR($A24="",$B24=""),"",IFERROR(I24/D24,0))</f>
        <v/>
      </c>
      <c r="K24" s="40">
        <f>IF(OR($A24="",$B24=""),"",IF(N(F24)&gt;0,F24,N(E24)*N(D24)))</f>
        <v/>
      </c>
      <c r="L24" s="23">
        <f>IF(OR($A24="",$B24=""),"",IFERROR(I24/K24,0))</f>
        <v/>
      </c>
      <c r="M24" s="23">
        <f>IF(OR($A24="",$B24=""),"",K24*IFERROR(VLOOKUP($A24,Config!$A$6:$C$15,3,0),0))</f>
        <v/>
      </c>
      <c r="N24" s="23">
        <f>IF(OR($A24="",$B24=""),"",M24-I24)</f>
        <v/>
      </c>
      <c r="O24" s="40">
        <f>IF(OR($A24="",$B24=""),"",IFERROR(J24/IFERROR(VLOOKUP($A24,Config!$A$6:$C$15,3,0),0),0))</f>
        <v/>
      </c>
    </row>
    <row r="25">
      <c r="A25" s="34" t="n"/>
      <c r="B25" s="34" t="n"/>
      <c r="C25" s="35" t="n"/>
      <c r="D25" s="39" t="n"/>
      <c r="E25" s="39" t="n"/>
      <c r="F25" s="39" t="n"/>
      <c r="G25" s="23">
        <f>IF(OR($A25="",$B25=""),"",SUMIFS('Lançamentos'!$J$6:$J$1005,'Lançamentos'!$B$6:$B$1005,$A25,'Lançamentos'!$C$6:$C$1005,$B25))</f>
        <v/>
      </c>
      <c r="H25" s="23">
        <f>IF(OR($A25="",$B25=""),"",IFERROR(SUMIFS('Lançamentos'!$J$6:$J$1005,'Lançamentos'!$B$6:$B$1005,$A25,'Lançamentos'!$C$6:$C$1005,"GERAL")*N($D25)/SUMIFS($D$6:$D$65,$A$6:$A$65,$A25),0))</f>
        <v/>
      </c>
      <c r="I25" s="23">
        <f>IF(OR($A25="",$B25=""),"",G25+H25)</f>
        <v/>
      </c>
      <c r="J25" s="23">
        <f>IF(OR($A25="",$B25=""),"",IFERROR(I25/D25,0))</f>
        <v/>
      </c>
      <c r="K25" s="40">
        <f>IF(OR($A25="",$B25=""),"",IF(N(F25)&gt;0,F25,N(E25)*N(D25)))</f>
        <v/>
      </c>
      <c r="L25" s="23">
        <f>IF(OR($A25="",$B25=""),"",IFERROR(I25/K25,0))</f>
        <v/>
      </c>
      <c r="M25" s="23">
        <f>IF(OR($A25="",$B25=""),"",K25*IFERROR(VLOOKUP($A25,Config!$A$6:$C$15,3,0),0))</f>
        <v/>
      </c>
      <c r="N25" s="23">
        <f>IF(OR($A25="",$B25=""),"",M25-I25)</f>
        <v/>
      </c>
      <c r="O25" s="40">
        <f>IF(OR($A25="",$B25=""),"",IFERROR(J25/IFERROR(VLOOKUP($A25,Config!$A$6:$C$15,3,0),0),0))</f>
        <v/>
      </c>
    </row>
    <row r="26">
      <c r="A26" s="34" t="n"/>
      <c r="B26" s="34" t="n"/>
      <c r="C26" s="35" t="n"/>
      <c r="D26" s="39" t="n"/>
      <c r="E26" s="39" t="n"/>
      <c r="F26" s="39" t="n"/>
      <c r="G26" s="23">
        <f>IF(OR($A26="",$B26=""),"",SUMIFS('Lançamentos'!$J$6:$J$1005,'Lançamentos'!$B$6:$B$1005,$A26,'Lançamentos'!$C$6:$C$1005,$B26))</f>
        <v/>
      </c>
      <c r="H26" s="23">
        <f>IF(OR($A26="",$B26=""),"",IFERROR(SUMIFS('Lançamentos'!$J$6:$J$1005,'Lançamentos'!$B$6:$B$1005,$A26,'Lançamentos'!$C$6:$C$1005,"GERAL")*N($D26)/SUMIFS($D$6:$D$65,$A$6:$A$65,$A26),0))</f>
        <v/>
      </c>
      <c r="I26" s="23">
        <f>IF(OR($A26="",$B26=""),"",G26+H26)</f>
        <v/>
      </c>
      <c r="J26" s="23">
        <f>IF(OR($A26="",$B26=""),"",IFERROR(I26/D26,0))</f>
        <v/>
      </c>
      <c r="K26" s="40">
        <f>IF(OR($A26="",$B26=""),"",IF(N(F26)&gt;0,F26,N(E26)*N(D26)))</f>
        <v/>
      </c>
      <c r="L26" s="23">
        <f>IF(OR($A26="",$B26=""),"",IFERROR(I26/K26,0))</f>
        <v/>
      </c>
      <c r="M26" s="23">
        <f>IF(OR($A26="",$B26=""),"",K26*IFERROR(VLOOKUP($A26,Config!$A$6:$C$15,3,0),0))</f>
        <v/>
      </c>
      <c r="N26" s="23">
        <f>IF(OR($A26="",$B26=""),"",M26-I26)</f>
        <v/>
      </c>
      <c r="O26" s="40">
        <f>IF(OR($A26="",$B26=""),"",IFERROR(J26/IFERROR(VLOOKUP($A26,Config!$A$6:$C$15,3,0),0),0))</f>
        <v/>
      </c>
    </row>
    <row r="27">
      <c r="A27" s="34" t="n"/>
      <c r="B27" s="34" t="n"/>
      <c r="C27" s="35" t="n"/>
      <c r="D27" s="39" t="n"/>
      <c r="E27" s="39" t="n"/>
      <c r="F27" s="39" t="n"/>
      <c r="G27" s="23">
        <f>IF(OR($A27="",$B27=""),"",SUMIFS('Lançamentos'!$J$6:$J$1005,'Lançamentos'!$B$6:$B$1005,$A27,'Lançamentos'!$C$6:$C$1005,$B27))</f>
        <v/>
      </c>
      <c r="H27" s="23">
        <f>IF(OR($A27="",$B27=""),"",IFERROR(SUMIFS('Lançamentos'!$J$6:$J$1005,'Lançamentos'!$B$6:$B$1005,$A27,'Lançamentos'!$C$6:$C$1005,"GERAL")*N($D27)/SUMIFS($D$6:$D$65,$A$6:$A$65,$A27),0))</f>
        <v/>
      </c>
      <c r="I27" s="23">
        <f>IF(OR($A27="",$B27=""),"",G27+H27)</f>
        <v/>
      </c>
      <c r="J27" s="23">
        <f>IF(OR($A27="",$B27=""),"",IFERROR(I27/D27,0))</f>
        <v/>
      </c>
      <c r="K27" s="40">
        <f>IF(OR($A27="",$B27=""),"",IF(N(F27)&gt;0,F27,N(E27)*N(D27)))</f>
        <v/>
      </c>
      <c r="L27" s="23">
        <f>IF(OR($A27="",$B27=""),"",IFERROR(I27/K27,0))</f>
        <v/>
      </c>
      <c r="M27" s="23">
        <f>IF(OR($A27="",$B27=""),"",K27*IFERROR(VLOOKUP($A27,Config!$A$6:$C$15,3,0),0))</f>
        <v/>
      </c>
      <c r="N27" s="23">
        <f>IF(OR($A27="",$B27=""),"",M27-I27)</f>
        <v/>
      </c>
      <c r="O27" s="40">
        <f>IF(OR($A27="",$B27=""),"",IFERROR(J27/IFERROR(VLOOKUP($A27,Config!$A$6:$C$15,3,0),0),0))</f>
        <v/>
      </c>
    </row>
    <row r="28">
      <c r="A28" s="34" t="n"/>
      <c r="B28" s="34" t="n"/>
      <c r="C28" s="35" t="n"/>
      <c r="D28" s="39" t="n"/>
      <c r="E28" s="39" t="n"/>
      <c r="F28" s="39" t="n"/>
      <c r="G28" s="23">
        <f>IF(OR($A28="",$B28=""),"",SUMIFS('Lançamentos'!$J$6:$J$1005,'Lançamentos'!$B$6:$B$1005,$A28,'Lançamentos'!$C$6:$C$1005,$B28))</f>
        <v/>
      </c>
      <c r="H28" s="23">
        <f>IF(OR($A28="",$B28=""),"",IFERROR(SUMIFS('Lançamentos'!$J$6:$J$1005,'Lançamentos'!$B$6:$B$1005,$A28,'Lançamentos'!$C$6:$C$1005,"GERAL")*N($D28)/SUMIFS($D$6:$D$65,$A$6:$A$65,$A28),0))</f>
        <v/>
      </c>
      <c r="I28" s="23">
        <f>IF(OR($A28="",$B28=""),"",G28+H28)</f>
        <v/>
      </c>
      <c r="J28" s="23">
        <f>IF(OR($A28="",$B28=""),"",IFERROR(I28/D28,0))</f>
        <v/>
      </c>
      <c r="K28" s="40">
        <f>IF(OR($A28="",$B28=""),"",IF(N(F28)&gt;0,F28,N(E28)*N(D28)))</f>
        <v/>
      </c>
      <c r="L28" s="23">
        <f>IF(OR($A28="",$B28=""),"",IFERROR(I28/K28,0))</f>
        <v/>
      </c>
      <c r="M28" s="23">
        <f>IF(OR($A28="",$B28=""),"",K28*IFERROR(VLOOKUP($A28,Config!$A$6:$C$15,3,0),0))</f>
        <v/>
      </c>
      <c r="N28" s="23">
        <f>IF(OR($A28="",$B28=""),"",M28-I28)</f>
        <v/>
      </c>
      <c r="O28" s="40">
        <f>IF(OR($A28="",$B28=""),"",IFERROR(J28/IFERROR(VLOOKUP($A28,Config!$A$6:$C$15,3,0),0),0))</f>
        <v/>
      </c>
    </row>
    <row r="29">
      <c r="A29" s="34" t="n"/>
      <c r="B29" s="34" t="n"/>
      <c r="C29" s="35" t="n"/>
      <c r="D29" s="39" t="n"/>
      <c r="E29" s="39" t="n"/>
      <c r="F29" s="39" t="n"/>
      <c r="G29" s="23">
        <f>IF(OR($A29="",$B29=""),"",SUMIFS('Lançamentos'!$J$6:$J$1005,'Lançamentos'!$B$6:$B$1005,$A29,'Lançamentos'!$C$6:$C$1005,$B29))</f>
        <v/>
      </c>
      <c r="H29" s="23">
        <f>IF(OR($A29="",$B29=""),"",IFERROR(SUMIFS('Lançamentos'!$J$6:$J$1005,'Lançamentos'!$B$6:$B$1005,$A29,'Lançamentos'!$C$6:$C$1005,"GERAL")*N($D29)/SUMIFS($D$6:$D$65,$A$6:$A$65,$A29),0))</f>
        <v/>
      </c>
      <c r="I29" s="23">
        <f>IF(OR($A29="",$B29=""),"",G29+H29)</f>
        <v/>
      </c>
      <c r="J29" s="23">
        <f>IF(OR($A29="",$B29=""),"",IFERROR(I29/D29,0))</f>
        <v/>
      </c>
      <c r="K29" s="40">
        <f>IF(OR($A29="",$B29=""),"",IF(N(F29)&gt;0,F29,N(E29)*N(D29)))</f>
        <v/>
      </c>
      <c r="L29" s="23">
        <f>IF(OR($A29="",$B29=""),"",IFERROR(I29/K29,0))</f>
        <v/>
      </c>
      <c r="M29" s="23">
        <f>IF(OR($A29="",$B29=""),"",K29*IFERROR(VLOOKUP($A29,Config!$A$6:$C$15,3,0),0))</f>
        <v/>
      </c>
      <c r="N29" s="23">
        <f>IF(OR($A29="",$B29=""),"",M29-I29)</f>
        <v/>
      </c>
      <c r="O29" s="40">
        <f>IF(OR($A29="",$B29=""),"",IFERROR(J29/IFERROR(VLOOKUP($A29,Config!$A$6:$C$15,3,0),0),0))</f>
        <v/>
      </c>
    </row>
    <row r="30">
      <c r="A30" s="34" t="n"/>
      <c r="B30" s="34" t="n"/>
      <c r="C30" s="35" t="n"/>
      <c r="D30" s="39" t="n"/>
      <c r="E30" s="39" t="n"/>
      <c r="F30" s="39" t="n"/>
      <c r="G30" s="23">
        <f>IF(OR($A30="",$B30=""),"",SUMIFS('Lançamentos'!$J$6:$J$1005,'Lançamentos'!$B$6:$B$1005,$A30,'Lançamentos'!$C$6:$C$1005,$B30))</f>
        <v/>
      </c>
      <c r="H30" s="23">
        <f>IF(OR($A30="",$B30=""),"",IFERROR(SUMIFS('Lançamentos'!$J$6:$J$1005,'Lançamentos'!$B$6:$B$1005,$A30,'Lançamentos'!$C$6:$C$1005,"GERAL")*N($D30)/SUMIFS($D$6:$D$65,$A$6:$A$65,$A30),0))</f>
        <v/>
      </c>
      <c r="I30" s="23">
        <f>IF(OR($A30="",$B30=""),"",G30+H30)</f>
        <v/>
      </c>
      <c r="J30" s="23">
        <f>IF(OR($A30="",$B30=""),"",IFERROR(I30/D30,0))</f>
        <v/>
      </c>
      <c r="K30" s="40">
        <f>IF(OR($A30="",$B30=""),"",IF(N(F30)&gt;0,F30,N(E30)*N(D30)))</f>
        <v/>
      </c>
      <c r="L30" s="23">
        <f>IF(OR($A30="",$B30=""),"",IFERROR(I30/K30,0))</f>
        <v/>
      </c>
      <c r="M30" s="23">
        <f>IF(OR($A30="",$B30=""),"",K30*IFERROR(VLOOKUP($A30,Config!$A$6:$C$15,3,0),0))</f>
        <v/>
      </c>
      <c r="N30" s="23">
        <f>IF(OR($A30="",$B30=""),"",M30-I30)</f>
        <v/>
      </c>
      <c r="O30" s="40">
        <f>IF(OR($A30="",$B30=""),"",IFERROR(J30/IFERROR(VLOOKUP($A30,Config!$A$6:$C$15,3,0),0),0))</f>
        <v/>
      </c>
    </row>
    <row r="31">
      <c r="A31" s="34" t="n"/>
      <c r="B31" s="34" t="n"/>
      <c r="C31" s="35" t="n"/>
      <c r="D31" s="39" t="n"/>
      <c r="E31" s="39" t="n"/>
      <c r="F31" s="39" t="n"/>
      <c r="G31" s="23">
        <f>IF(OR($A31="",$B31=""),"",SUMIFS('Lançamentos'!$J$6:$J$1005,'Lançamentos'!$B$6:$B$1005,$A31,'Lançamentos'!$C$6:$C$1005,$B31))</f>
        <v/>
      </c>
      <c r="H31" s="23">
        <f>IF(OR($A31="",$B31=""),"",IFERROR(SUMIFS('Lançamentos'!$J$6:$J$1005,'Lançamentos'!$B$6:$B$1005,$A31,'Lançamentos'!$C$6:$C$1005,"GERAL")*N($D31)/SUMIFS($D$6:$D$65,$A$6:$A$65,$A31),0))</f>
        <v/>
      </c>
      <c r="I31" s="23">
        <f>IF(OR($A31="",$B31=""),"",G31+H31)</f>
        <v/>
      </c>
      <c r="J31" s="23">
        <f>IF(OR($A31="",$B31=""),"",IFERROR(I31/D31,0))</f>
        <v/>
      </c>
      <c r="K31" s="40">
        <f>IF(OR($A31="",$B31=""),"",IF(N(F31)&gt;0,F31,N(E31)*N(D31)))</f>
        <v/>
      </c>
      <c r="L31" s="23">
        <f>IF(OR($A31="",$B31=""),"",IFERROR(I31/K31,0))</f>
        <v/>
      </c>
      <c r="M31" s="23">
        <f>IF(OR($A31="",$B31=""),"",K31*IFERROR(VLOOKUP($A31,Config!$A$6:$C$15,3,0),0))</f>
        <v/>
      </c>
      <c r="N31" s="23">
        <f>IF(OR($A31="",$B31=""),"",M31-I31)</f>
        <v/>
      </c>
      <c r="O31" s="40">
        <f>IF(OR($A31="",$B31=""),"",IFERROR(J31/IFERROR(VLOOKUP($A31,Config!$A$6:$C$15,3,0),0),0))</f>
        <v/>
      </c>
    </row>
    <row r="32">
      <c r="A32" s="34" t="n"/>
      <c r="B32" s="34" t="n"/>
      <c r="C32" s="35" t="n"/>
      <c r="D32" s="39" t="n"/>
      <c r="E32" s="39" t="n"/>
      <c r="F32" s="39" t="n"/>
      <c r="G32" s="23">
        <f>IF(OR($A32="",$B32=""),"",SUMIFS('Lançamentos'!$J$6:$J$1005,'Lançamentos'!$B$6:$B$1005,$A32,'Lançamentos'!$C$6:$C$1005,$B32))</f>
        <v/>
      </c>
      <c r="H32" s="23">
        <f>IF(OR($A32="",$B32=""),"",IFERROR(SUMIFS('Lançamentos'!$J$6:$J$1005,'Lançamentos'!$B$6:$B$1005,$A32,'Lançamentos'!$C$6:$C$1005,"GERAL")*N($D32)/SUMIFS($D$6:$D$65,$A$6:$A$65,$A32),0))</f>
        <v/>
      </c>
      <c r="I32" s="23">
        <f>IF(OR($A32="",$B32=""),"",G32+H32)</f>
        <v/>
      </c>
      <c r="J32" s="23">
        <f>IF(OR($A32="",$B32=""),"",IFERROR(I32/D32,0))</f>
        <v/>
      </c>
      <c r="K32" s="40">
        <f>IF(OR($A32="",$B32=""),"",IF(N(F32)&gt;0,F32,N(E32)*N(D32)))</f>
        <v/>
      </c>
      <c r="L32" s="23">
        <f>IF(OR($A32="",$B32=""),"",IFERROR(I32/K32,0))</f>
        <v/>
      </c>
      <c r="M32" s="23">
        <f>IF(OR($A32="",$B32=""),"",K32*IFERROR(VLOOKUP($A32,Config!$A$6:$C$15,3,0),0))</f>
        <v/>
      </c>
      <c r="N32" s="23">
        <f>IF(OR($A32="",$B32=""),"",M32-I32)</f>
        <v/>
      </c>
      <c r="O32" s="40">
        <f>IF(OR($A32="",$B32=""),"",IFERROR(J32/IFERROR(VLOOKUP($A32,Config!$A$6:$C$15,3,0),0),0))</f>
        <v/>
      </c>
    </row>
    <row r="33">
      <c r="A33" s="34" t="n"/>
      <c r="B33" s="34" t="n"/>
      <c r="C33" s="35" t="n"/>
      <c r="D33" s="39" t="n"/>
      <c r="E33" s="39" t="n"/>
      <c r="F33" s="39" t="n"/>
      <c r="G33" s="23">
        <f>IF(OR($A33="",$B33=""),"",SUMIFS('Lançamentos'!$J$6:$J$1005,'Lançamentos'!$B$6:$B$1005,$A33,'Lançamentos'!$C$6:$C$1005,$B33))</f>
        <v/>
      </c>
      <c r="H33" s="23">
        <f>IF(OR($A33="",$B33=""),"",IFERROR(SUMIFS('Lançamentos'!$J$6:$J$1005,'Lançamentos'!$B$6:$B$1005,$A33,'Lançamentos'!$C$6:$C$1005,"GERAL")*N($D33)/SUMIFS($D$6:$D$65,$A$6:$A$65,$A33),0))</f>
        <v/>
      </c>
      <c r="I33" s="23">
        <f>IF(OR($A33="",$B33=""),"",G33+H33)</f>
        <v/>
      </c>
      <c r="J33" s="23">
        <f>IF(OR($A33="",$B33=""),"",IFERROR(I33/D33,0))</f>
        <v/>
      </c>
      <c r="K33" s="40">
        <f>IF(OR($A33="",$B33=""),"",IF(N(F33)&gt;0,F33,N(E33)*N(D33)))</f>
        <v/>
      </c>
      <c r="L33" s="23">
        <f>IF(OR($A33="",$B33=""),"",IFERROR(I33/K33,0))</f>
        <v/>
      </c>
      <c r="M33" s="23">
        <f>IF(OR($A33="",$B33=""),"",K33*IFERROR(VLOOKUP($A33,Config!$A$6:$C$15,3,0),0))</f>
        <v/>
      </c>
      <c r="N33" s="23">
        <f>IF(OR($A33="",$B33=""),"",M33-I33)</f>
        <v/>
      </c>
      <c r="O33" s="40">
        <f>IF(OR($A33="",$B33=""),"",IFERROR(J33/IFERROR(VLOOKUP($A33,Config!$A$6:$C$15,3,0),0),0))</f>
        <v/>
      </c>
    </row>
    <row r="34">
      <c r="A34" s="34" t="n"/>
      <c r="B34" s="34" t="n"/>
      <c r="C34" s="35" t="n"/>
      <c r="D34" s="39" t="n"/>
      <c r="E34" s="39" t="n"/>
      <c r="F34" s="39" t="n"/>
      <c r="G34" s="23">
        <f>IF(OR($A34="",$B34=""),"",SUMIFS('Lançamentos'!$J$6:$J$1005,'Lançamentos'!$B$6:$B$1005,$A34,'Lançamentos'!$C$6:$C$1005,$B34))</f>
        <v/>
      </c>
      <c r="H34" s="23">
        <f>IF(OR($A34="",$B34=""),"",IFERROR(SUMIFS('Lançamentos'!$J$6:$J$1005,'Lançamentos'!$B$6:$B$1005,$A34,'Lançamentos'!$C$6:$C$1005,"GERAL")*N($D34)/SUMIFS($D$6:$D$65,$A$6:$A$65,$A34),0))</f>
        <v/>
      </c>
      <c r="I34" s="23">
        <f>IF(OR($A34="",$B34=""),"",G34+H34)</f>
        <v/>
      </c>
      <c r="J34" s="23">
        <f>IF(OR($A34="",$B34=""),"",IFERROR(I34/D34,0))</f>
        <v/>
      </c>
      <c r="K34" s="40">
        <f>IF(OR($A34="",$B34=""),"",IF(N(F34)&gt;0,F34,N(E34)*N(D34)))</f>
        <v/>
      </c>
      <c r="L34" s="23">
        <f>IF(OR($A34="",$B34=""),"",IFERROR(I34/K34,0))</f>
        <v/>
      </c>
      <c r="M34" s="23">
        <f>IF(OR($A34="",$B34=""),"",K34*IFERROR(VLOOKUP($A34,Config!$A$6:$C$15,3,0),0))</f>
        <v/>
      </c>
      <c r="N34" s="23">
        <f>IF(OR($A34="",$B34=""),"",M34-I34)</f>
        <v/>
      </c>
      <c r="O34" s="40">
        <f>IF(OR($A34="",$B34=""),"",IFERROR(J34/IFERROR(VLOOKUP($A34,Config!$A$6:$C$15,3,0),0),0))</f>
        <v/>
      </c>
    </row>
    <row r="35">
      <c r="A35" s="34" t="n"/>
      <c r="B35" s="34" t="n"/>
      <c r="C35" s="35" t="n"/>
      <c r="D35" s="39" t="n"/>
      <c r="E35" s="39" t="n"/>
      <c r="F35" s="39" t="n"/>
      <c r="G35" s="23">
        <f>IF(OR($A35="",$B35=""),"",SUMIFS('Lançamentos'!$J$6:$J$1005,'Lançamentos'!$B$6:$B$1005,$A35,'Lançamentos'!$C$6:$C$1005,$B35))</f>
        <v/>
      </c>
      <c r="H35" s="23">
        <f>IF(OR($A35="",$B35=""),"",IFERROR(SUMIFS('Lançamentos'!$J$6:$J$1005,'Lançamentos'!$B$6:$B$1005,$A35,'Lançamentos'!$C$6:$C$1005,"GERAL")*N($D35)/SUMIFS($D$6:$D$65,$A$6:$A$65,$A35),0))</f>
        <v/>
      </c>
      <c r="I35" s="23">
        <f>IF(OR($A35="",$B35=""),"",G35+H35)</f>
        <v/>
      </c>
      <c r="J35" s="23">
        <f>IF(OR($A35="",$B35=""),"",IFERROR(I35/D35,0))</f>
        <v/>
      </c>
      <c r="K35" s="40">
        <f>IF(OR($A35="",$B35=""),"",IF(N(F35)&gt;0,F35,N(E35)*N(D35)))</f>
        <v/>
      </c>
      <c r="L35" s="23">
        <f>IF(OR($A35="",$B35=""),"",IFERROR(I35/K35,0))</f>
        <v/>
      </c>
      <c r="M35" s="23">
        <f>IF(OR($A35="",$B35=""),"",K35*IFERROR(VLOOKUP($A35,Config!$A$6:$C$15,3,0),0))</f>
        <v/>
      </c>
      <c r="N35" s="23">
        <f>IF(OR($A35="",$B35=""),"",M35-I35)</f>
        <v/>
      </c>
      <c r="O35" s="40">
        <f>IF(OR($A35="",$B35=""),"",IFERROR(J35/IFERROR(VLOOKUP($A35,Config!$A$6:$C$15,3,0),0),0))</f>
        <v/>
      </c>
    </row>
    <row r="36">
      <c r="A36" s="34" t="n"/>
      <c r="B36" s="34" t="n"/>
      <c r="C36" s="35" t="n"/>
      <c r="D36" s="39" t="n"/>
      <c r="E36" s="39" t="n"/>
      <c r="F36" s="39" t="n"/>
      <c r="G36" s="23">
        <f>IF(OR($A36="",$B36=""),"",SUMIFS('Lançamentos'!$J$6:$J$1005,'Lançamentos'!$B$6:$B$1005,$A36,'Lançamentos'!$C$6:$C$1005,$B36))</f>
        <v/>
      </c>
      <c r="H36" s="23">
        <f>IF(OR($A36="",$B36=""),"",IFERROR(SUMIFS('Lançamentos'!$J$6:$J$1005,'Lançamentos'!$B$6:$B$1005,$A36,'Lançamentos'!$C$6:$C$1005,"GERAL")*N($D36)/SUMIFS($D$6:$D$65,$A$6:$A$65,$A36),0))</f>
        <v/>
      </c>
      <c r="I36" s="23">
        <f>IF(OR($A36="",$B36=""),"",G36+H36)</f>
        <v/>
      </c>
      <c r="J36" s="23">
        <f>IF(OR($A36="",$B36=""),"",IFERROR(I36/D36,0))</f>
        <v/>
      </c>
      <c r="K36" s="40">
        <f>IF(OR($A36="",$B36=""),"",IF(N(F36)&gt;0,F36,N(E36)*N(D36)))</f>
        <v/>
      </c>
      <c r="L36" s="23">
        <f>IF(OR($A36="",$B36=""),"",IFERROR(I36/K36,0))</f>
        <v/>
      </c>
      <c r="M36" s="23">
        <f>IF(OR($A36="",$B36=""),"",K36*IFERROR(VLOOKUP($A36,Config!$A$6:$C$15,3,0),0))</f>
        <v/>
      </c>
      <c r="N36" s="23">
        <f>IF(OR($A36="",$B36=""),"",M36-I36)</f>
        <v/>
      </c>
      <c r="O36" s="40">
        <f>IF(OR($A36="",$B36=""),"",IFERROR(J36/IFERROR(VLOOKUP($A36,Config!$A$6:$C$15,3,0),0),0))</f>
        <v/>
      </c>
    </row>
    <row r="37">
      <c r="A37" s="34" t="n"/>
      <c r="B37" s="34" t="n"/>
      <c r="C37" s="35" t="n"/>
      <c r="D37" s="39" t="n"/>
      <c r="E37" s="39" t="n"/>
      <c r="F37" s="39" t="n"/>
      <c r="G37" s="23">
        <f>IF(OR($A37="",$B37=""),"",SUMIFS('Lançamentos'!$J$6:$J$1005,'Lançamentos'!$B$6:$B$1005,$A37,'Lançamentos'!$C$6:$C$1005,$B37))</f>
        <v/>
      </c>
      <c r="H37" s="23">
        <f>IF(OR($A37="",$B37=""),"",IFERROR(SUMIFS('Lançamentos'!$J$6:$J$1005,'Lançamentos'!$B$6:$B$1005,$A37,'Lançamentos'!$C$6:$C$1005,"GERAL")*N($D37)/SUMIFS($D$6:$D$65,$A$6:$A$65,$A37),0))</f>
        <v/>
      </c>
      <c r="I37" s="23">
        <f>IF(OR($A37="",$B37=""),"",G37+H37)</f>
        <v/>
      </c>
      <c r="J37" s="23">
        <f>IF(OR($A37="",$B37=""),"",IFERROR(I37/D37,0))</f>
        <v/>
      </c>
      <c r="K37" s="40">
        <f>IF(OR($A37="",$B37=""),"",IF(N(F37)&gt;0,F37,N(E37)*N(D37)))</f>
        <v/>
      </c>
      <c r="L37" s="23">
        <f>IF(OR($A37="",$B37=""),"",IFERROR(I37/K37,0))</f>
        <v/>
      </c>
      <c r="M37" s="23">
        <f>IF(OR($A37="",$B37=""),"",K37*IFERROR(VLOOKUP($A37,Config!$A$6:$C$15,3,0),0))</f>
        <v/>
      </c>
      <c r="N37" s="23">
        <f>IF(OR($A37="",$B37=""),"",M37-I37)</f>
        <v/>
      </c>
      <c r="O37" s="40">
        <f>IF(OR($A37="",$B37=""),"",IFERROR(J37/IFERROR(VLOOKUP($A37,Config!$A$6:$C$15,3,0),0),0))</f>
        <v/>
      </c>
    </row>
    <row r="38">
      <c r="A38" s="34" t="n"/>
      <c r="B38" s="34" t="n"/>
      <c r="C38" s="35" t="n"/>
      <c r="D38" s="39" t="n"/>
      <c r="E38" s="39" t="n"/>
      <c r="F38" s="39" t="n"/>
      <c r="G38" s="23">
        <f>IF(OR($A38="",$B38=""),"",SUMIFS('Lançamentos'!$J$6:$J$1005,'Lançamentos'!$B$6:$B$1005,$A38,'Lançamentos'!$C$6:$C$1005,$B38))</f>
        <v/>
      </c>
      <c r="H38" s="23">
        <f>IF(OR($A38="",$B38=""),"",IFERROR(SUMIFS('Lançamentos'!$J$6:$J$1005,'Lançamentos'!$B$6:$B$1005,$A38,'Lançamentos'!$C$6:$C$1005,"GERAL")*N($D38)/SUMIFS($D$6:$D$65,$A$6:$A$65,$A38),0))</f>
        <v/>
      </c>
      <c r="I38" s="23">
        <f>IF(OR($A38="",$B38=""),"",G38+H38)</f>
        <v/>
      </c>
      <c r="J38" s="23">
        <f>IF(OR($A38="",$B38=""),"",IFERROR(I38/D38,0))</f>
        <v/>
      </c>
      <c r="K38" s="40">
        <f>IF(OR($A38="",$B38=""),"",IF(N(F38)&gt;0,F38,N(E38)*N(D38)))</f>
        <v/>
      </c>
      <c r="L38" s="23">
        <f>IF(OR($A38="",$B38=""),"",IFERROR(I38/K38,0))</f>
        <v/>
      </c>
      <c r="M38" s="23">
        <f>IF(OR($A38="",$B38=""),"",K38*IFERROR(VLOOKUP($A38,Config!$A$6:$C$15,3,0),0))</f>
        <v/>
      </c>
      <c r="N38" s="23">
        <f>IF(OR($A38="",$B38=""),"",M38-I38)</f>
        <v/>
      </c>
      <c r="O38" s="40">
        <f>IF(OR($A38="",$B38=""),"",IFERROR(J38/IFERROR(VLOOKUP($A38,Config!$A$6:$C$15,3,0),0),0))</f>
        <v/>
      </c>
    </row>
    <row r="39">
      <c r="A39" s="34" t="n"/>
      <c r="B39" s="34" t="n"/>
      <c r="C39" s="35" t="n"/>
      <c r="D39" s="39" t="n"/>
      <c r="E39" s="39" t="n"/>
      <c r="F39" s="39" t="n"/>
      <c r="G39" s="23">
        <f>IF(OR($A39="",$B39=""),"",SUMIFS('Lançamentos'!$J$6:$J$1005,'Lançamentos'!$B$6:$B$1005,$A39,'Lançamentos'!$C$6:$C$1005,$B39))</f>
        <v/>
      </c>
      <c r="H39" s="23">
        <f>IF(OR($A39="",$B39=""),"",IFERROR(SUMIFS('Lançamentos'!$J$6:$J$1005,'Lançamentos'!$B$6:$B$1005,$A39,'Lançamentos'!$C$6:$C$1005,"GERAL")*N($D39)/SUMIFS($D$6:$D$65,$A$6:$A$65,$A39),0))</f>
        <v/>
      </c>
      <c r="I39" s="23">
        <f>IF(OR($A39="",$B39=""),"",G39+H39)</f>
        <v/>
      </c>
      <c r="J39" s="23">
        <f>IF(OR($A39="",$B39=""),"",IFERROR(I39/D39,0))</f>
        <v/>
      </c>
      <c r="K39" s="40">
        <f>IF(OR($A39="",$B39=""),"",IF(N(F39)&gt;0,F39,N(E39)*N(D39)))</f>
        <v/>
      </c>
      <c r="L39" s="23">
        <f>IF(OR($A39="",$B39=""),"",IFERROR(I39/K39,0))</f>
        <v/>
      </c>
      <c r="M39" s="23">
        <f>IF(OR($A39="",$B39=""),"",K39*IFERROR(VLOOKUP($A39,Config!$A$6:$C$15,3,0),0))</f>
        <v/>
      </c>
      <c r="N39" s="23">
        <f>IF(OR($A39="",$B39=""),"",M39-I39)</f>
        <v/>
      </c>
      <c r="O39" s="40">
        <f>IF(OR($A39="",$B39=""),"",IFERROR(J39/IFERROR(VLOOKUP($A39,Config!$A$6:$C$15,3,0),0),0))</f>
        <v/>
      </c>
    </row>
    <row r="40">
      <c r="A40" s="34" t="n"/>
      <c r="B40" s="34" t="n"/>
      <c r="C40" s="35" t="n"/>
      <c r="D40" s="39" t="n"/>
      <c r="E40" s="39" t="n"/>
      <c r="F40" s="39" t="n"/>
      <c r="G40" s="23">
        <f>IF(OR($A40="",$B40=""),"",SUMIFS('Lançamentos'!$J$6:$J$1005,'Lançamentos'!$B$6:$B$1005,$A40,'Lançamentos'!$C$6:$C$1005,$B40))</f>
        <v/>
      </c>
      <c r="H40" s="23">
        <f>IF(OR($A40="",$B40=""),"",IFERROR(SUMIFS('Lançamentos'!$J$6:$J$1005,'Lançamentos'!$B$6:$B$1005,$A40,'Lançamentos'!$C$6:$C$1005,"GERAL")*N($D40)/SUMIFS($D$6:$D$65,$A$6:$A$65,$A40),0))</f>
        <v/>
      </c>
      <c r="I40" s="23">
        <f>IF(OR($A40="",$B40=""),"",G40+H40)</f>
        <v/>
      </c>
      <c r="J40" s="23">
        <f>IF(OR($A40="",$B40=""),"",IFERROR(I40/D40,0))</f>
        <v/>
      </c>
      <c r="K40" s="40">
        <f>IF(OR($A40="",$B40=""),"",IF(N(F40)&gt;0,F40,N(E40)*N(D40)))</f>
        <v/>
      </c>
      <c r="L40" s="23">
        <f>IF(OR($A40="",$B40=""),"",IFERROR(I40/K40,0))</f>
        <v/>
      </c>
      <c r="M40" s="23">
        <f>IF(OR($A40="",$B40=""),"",K40*IFERROR(VLOOKUP($A40,Config!$A$6:$C$15,3,0),0))</f>
        <v/>
      </c>
      <c r="N40" s="23">
        <f>IF(OR($A40="",$B40=""),"",M40-I40)</f>
        <v/>
      </c>
      <c r="O40" s="40">
        <f>IF(OR($A40="",$B40=""),"",IFERROR(J40/IFERROR(VLOOKUP($A40,Config!$A$6:$C$15,3,0),0),0))</f>
        <v/>
      </c>
    </row>
    <row r="41">
      <c r="A41" s="34" t="n"/>
      <c r="B41" s="34" t="n"/>
      <c r="C41" s="35" t="n"/>
      <c r="D41" s="39" t="n"/>
      <c r="E41" s="39" t="n"/>
      <c r="F41" s="39" t="n"/>
      <c r="G41" s="23">
        <f>IF(OR($A41="",$B41=""),"",SUMIFS('Lançamentos'!$J$6:$J$1005,'Lançamentos'!$B$6:$B$1005,$A41,'Lançamentos'!$C$6:$C$1005,$B41))</f>
        <v/>
      </c>
      <c r="H41" s="23">
        <f>IF(OR($A41="",$B41=""),"",IFERROR(SUMIFS('Lançamentos'!$J$6:$J$1005,'Lançamentos'!$B$6:$B$1005,$A41,'Lançamentos'!$C$6:$C$1005,"GERAL")*N($D41)/SUMIFS($D$6:$D$65,$A$6:$A$65,$A41),0))</f>
        <v/>
      </c>
      <c r="I41" s="23">
        <f>IF(OR($A41="",$B41=""),"",G41+H41)</f>
        <v/>
      </c>
      <c r="J41" s="23">
        <f>IF(OR($A41="",$B41=""),"",IFERROR(I41/D41,0))</f>
        <v/>
      </c>
      <c r="K41" s="40">
        <f>IF(OR($A41="",$B41=""),"",IF(N(F41)&gt;0,F41,N(E41)*N(D41)))</f>
        <v/>
      </c>
      <c r="L41" s="23">
        <f>IF(OR($A41="",$B41=""),"",IFERROR(I41/K41,0))</f>
        <v/>
      </c>
      <c r="M41" s="23">
        <f>IF(OR($A41="",$B41=""),"",K41*IFERROR(VLOOKUP($A41,Config!$A$6:$C$15,3,0),0))</f>
        <v/>
      </c>
      <c r="N41" s="23">
        <f>IF(OR($A41="",$B41=""),"",M41-I41)</f>
        <v/>
      </c>
      <c r="O41" s="40">
        <f>IF(OR($A41="",$B41=""),"",IFERROR(J41/IFERROR(VLOOKUP($A41,Config!$A$6:$C$15,3,0),0),0))</f>
        <v/>
      </c>
    </row>
    <row r="42">
      <c r="A42" s="34" t="n"/>
      <c r="B42" s="34" t="n"/>
      <c r="C42" s="35" t="n"/>
      <c r="D42" s="39" t="n"/>
      <c r="E42" s="39" t="n"/>
      <c r="F42" s="39" t="n"/>
      <c r="G42" s="23">
        <f>IF(OR($A42="",$B42=""),"",SUMIFS('Lançamentos'!$J$6:$J$1005,'Lançamentos'!$B$6:$B$1005,$A42,'Lançamentos'!$C$6:$C$1005,$B42))</f>
        <v/>
      </c>
      <c r="H42" s="23">
        <f>IF(OR($A42="",$B42=""),"",IFERROR(SUMIFS('Lançamentos'!$J$6:$J$1005,'Lançamentos'!$B$6:$B$1005,$A42,'Lançamentos'!$C$6:$C$1005,"GERAL")*N($D42)/SUMIFS($D$6:$D$65,$A$6:$A$65,$A42),0))</f>
        <v/>
      </c>
      <c r="I42" s="23">
        <f>IF(OR($A42="",$B42=""),"",G42+H42)</f>
        <v/>
      </c>
      <c r="J42" s="23">
        <f>IF(OR($A42="",$B42=""),"",IFERROR(I42/D42,0))</f>
        <v/>
      </c>
      <c r="K42" s="40">
        <f>IF(OR($A42="",$B42=""),"",IF(N(F42)&gt;0,F42,N(E42)*N(D42)))</f>
        <v/>
      </c>
      <c r="L42" s="23">
        <f>IF(OR($A42="",$B42=""),"",IFERROR(I42/K42,0))</f>
        <v/>
      </c>
      <c r="M42" s="23">
        <f>IF(OR($A42="",$B42=""),"",K42*IFERROR(VLOOKUP($A42,Config!$A$6:$C$15,3,0),0))</f>
        <v/>
      </c>
      <c r="N42" s="23">
        <f>IF(OR($A42="",$B42=""),"",M42-I42)</f>
        <v/>
      </c>
      <c r="O42" s="40">
        <f>IF(OR($A42="",$B42=""),"",IFERROR(J42/IFERROR(VLOOKUP($A42,Config!$A$6:$C$15,3,0),0),0))</f>
        <v/>
      </c>
    </row>
    <row r="43">
      <c r="A43" s="34" t="n"/>
      <c r="B43" s="34" t="n"/>
      <c r="C43" s="35" t="n"/>
      <c r="D43" s="39" t="n"/>
      <c r="E43" s="39" t="n"/>
      <c r="F43" s="39" t="n"/>
      <c r="G43" s="23">
        <f>IF(OR($A43="",$B43=""),"",SUMIFS('Lançamentos'!$J$6:$J$1005,'Lançamentos'!$B$6:$B$1005,$A43,'Lançamentos'!$C$6:$C$1005,$B43))</f>
        <v/>
      </c>
      <c r="H43" s="23">
        <f>IF(OR($A43="",$B43=""),"",IFERROR(SUMIFS('Lançamentos'!$J$6:$J$1005,'Lançamentos'!$B$6:$B$1005,$A43,'Lançamentos'!$C$6:$C$1005,"GERAL")*N($D43)/SUMIFS($D$6:$D$65,$A$6:$A$65,$A43),0))</f>
        <v/>
      </c>
      <c r="I43" s="23">
        <f>IF(OR($A43="",$B43=""),"",G43+H43)</f>
        <v/>
      </c>
      <c r="J43" s="23">
        <f>IF(OR($A43="",$B43=""),"",IFERROR(I43/D43,0))</f>
        <v/>
      </c>
      <c r="K43" s="40">
        <f>IF(OR($A43="",$B43=""),"",IF(N(F43)&gt;0,F43,N(E43)*N(D43)))</f>
        <v/>
      </c>
      <c r="L43" s="23">
        <f>IF(OR($A43="",$B43=""),"",IFERROR(I43/K43,0))</f>
        <v/>
      </c>
      <c r="M43" s="23">
        <f>IF(OR($A43="",$B43=""),"",K43*IFERROR(VLOOKUP($A43,Config!$A$6:$C$15,3,0),0))</f>
        <v/>
      </c>
      <c r="N43" s="23">
        <f>IF(OR($A43="",$B43=""),"",M43-I43)</f>
        <v/>
      </c>
      <c r="O43" s="40">
        <f>IF(OR($A43="",$B43=""),"",IFERROR(J43/IFERROR(VLOOKUP($A43,Config!$A$6:$C$15,3,0),0),0))</f>
        <v/>
      </c>
    </row>
    <row r="44">
      <c r="A44" s="34" t="n"/>
      <c r="B44" s="34" t="n"/>
      <c r="C44" s="35" t="n"/>
      <c r="D44" s="39" t="n"/>
      <c r="E44" s="39" t="n"/>
      <c r="F44" s="39" t="n"/>
      <c r="G44" s="23">
        <f>IF(OR($A44="",$B44=""),"",SUMIFS('Lançamentos'!$J$6:$J$1005,'Lançamentos'!$B$6:$B$1005,$A44,'Lançamentos'!$C$6:$C$1005,$B44))</f>
        <v/>
      </c>
      <c r="H44" s="23">
        <f>IF(OR($A44="",$B44=""),"",IFERROR(SUMIFS('Lançamentos'!$J$6:$J$1005,'Lançamentos'!$B$6:$B$1005,$A44,'Lançamentos'!$C$6:$C$1005,"GERAL")*N($D44)/SUMIFS($D$6:$D$65,$A$6:$A$65,$A44),0))</f>
        <v/>
      </c>
      <c r="I44" s="23">
        <f>IF(OR($A44="",$B44=""),"",G44+H44)</f>
        <v/>
      </c>
      <c r="J44" s="23">
        <f>IF(OR($A44="",$B44=""),"",IFERROR(I44/D44,0))</f>
        <v/>
      </c>
      <c r="K44" s="40">
        <f>IF(OR($A44="",$B44=""),"",IF(N(F44)&gt;0,F44,N(E44)*N(D44)))</f>
        <v/>
      </c>
      <c r="L44" s="23">
        <f>IF(OR($A44="",$B44=""),"",IFERROR(I44/K44,0))</f>
        <v/>
      </c>
      <c r="M44" s="23">
        <f>IF(OR($A44="",$B44=""),"",K44*IFERROR(VLOOKUP($A44,Config!$A$6:$C$15,3,0),0))</f>
        <v/>
      </c>
      <c r="N44" s="23">
        <f>IF(OR($A44="",$B44=""),"",M44-I44)</f>
        <v/>
      </c>
      <c r="O44" s="40">
        <f>IF(OR($A44="",$B44=""),"",IFERROR(J44/IFERROR(VLOOKUP($A44,Config!$A$6:$C$15,3,0),0),0))</f>
        <v/>
      </c>
    </row>
    <row r="45">
      <c r="A45" s="34" t="n"/>
      <c r="B45" s="34" t="n"/>
      <c r="C45" s="35" t="n"/>
      <c r="D45" s="39" t="n"/>
      <c r="E45" s="39" t="n"/>
      <c r="F45" s="39" t="n"/>
      <c r="G45" s="23">
        <f>IF(OR($A45="",$B45=""),"",SUMIFS('Lançamentos'!$J$6:$J$1005,'Lançamentos'!$B$6:$B$1005,$A45,'Lançamentos'!$C$6:$C$1005,$B45))</f>
        <v/>
      </c>
      <c r="H45" s="23">
        <f>IF(OR($A45="",$B45=""),"",IFERROR(SUMIFS('Lançamentos'!$J$6:$J$1005,'Lançamentos'!$B$6:$B$1005,$A45,'Lançamentos'!$C$6:$C$1005,"GERAL")*N($D45)/SUMIFS($D$6:$D$65,$A$6:$A$65,$A45),0))</f>
        <v/>
      </c>
      <c r="I45" s="23">
        <f>IF(OR($A45="",$B45=""),"",G45+H45)</f>
        <v/>
      </c>
      <c r="J45" s="23">
        <f>IF(OR($A45="",$B45=""),"",IFERROR(I45/D45,0))</f>
        <v/>
      </c>
      <c r="K45" s="40">
        <f>IF(OR($A45="",$B45=""),"",IF(N(F45)&gt;0,F45,N(E45)*N(D45)))</f>
        <v/>
      </c>
      <c r="L45" s="23">
        <f>IF(OR($A45="",$B45=""),"",IFERROR(I45/K45,0))</f>
        <v/>
      </c>
      <c r="M45" s="23">
        <f>IF(OR($A45="",$B45=""),"",K45*IFERROR(VLOOKUP($A45,Config!$A$6:$C$15,3,0),0))</f>
        <v/>
      </c>
      <c r="N45" s="23">
        <f>IF(OR($A45="",$B45=""),"",M45-I45)</f>
        <v/>
      </c>
      <c r="O45" s="40">
        <f>IF(OR($A45="",$B45=""),"",IFERROR(J45/IFERROR(VLOOKUP($A45,Config!$A$6:$C$15,3,0),0),0))</f>
        <v/>
      </c>
    </row>
    <row r="46">
      <c r="A46" s="34" t="n"/>
      <c r="B46" s="34" t="n"/>
      <c r="C46" s="35" t="n"/>
      <c r="D46" s="39" t="n"/>
      <c r="E46" s="39" t="n"/>
      <c r="F46" s="39" t="n"/>
      <c r="G46" s="23">
        <f>IF(OR($A46="",$B46=""),"",SUMIFS('Lançamentos'!$J$6:$J$1005,'Lançamentos'!$B$6:$B$1005,$A46,'Lançamentos'!$C$6:$C$1005,$B46))</f>
        <v/>
      </c>
      <c r="H46" s="23">
        <f>IF(OR($A46="",$B46=""),"",IFERROR(SUMIFS('Lançamentos'!$J$6:$J$1005,'Lançamentos'!$B$6:$B$1005,$A46,'Lançamentos'!$C$6:$C$1005,"GERAL")*N($D46)/SUMIFS($D$6:$D$65,$A$6:$A$65,$A46),0))</f>
        <v/>
      </c>
      <c r="I46" s="23">
        <f>IF(OR($A46="",$B46=""),"",G46+H46)</f>
        <v/>
      </c>
      <c r="J46" s="23">
        <f>IF(OR($A46="",$B46=""),"",IFERROR(I46/D46,0))</f>
        <v/>
      </c>
      <c r="K46" s="40">
        <f>IF(OR($A46="",$B46=""),"",IF(N(F46)&gt;0,F46,N(E46)*N(D46)))</f>
        <v/>
      </c>
      <c r="L46" s="23">
        <f>IF(OR($A46="",$B46=""),"",IFERROR(I46/K46,0))</f>
        <v/>
      </c>
      <c r="M46" s="23">
        <f>IF(OR($A46="",$B46=""),"",K46*IFERROR(VLOOKUP($A46,Config!$A$6:$C$15,3,0),0))</f>
        <v/>
      </c>
      <c r="N46" s="23">
        <f>IF(OR($A46="",$B46=""),"",M46-I46)</f>
        <v/>
      </c>
      <c r="O46" s="40">
        <f>IF(OR($A46="",$B46=""),"",IFERROR(J46/IFERROR(VLOOKUP($A46,Config!$A$6:$C$15,3,0),0),0))</f>
        <v/>
      </c>
    </row>
    <row r="47">
      <c r="A47" s="34" t="n"/>
      <c r="B47" s="34" t="n"/>
      <c r="C47" s="35" t="n"/>
      <c r="D47" s="39" t="n"/>
      <c r="E47" s="39" t="n"/>
      <c r="F47" s="39" t="n"/>
      <c r="G47" s="23">
        <f>IF(OR($A47="",$B47=""),"",SUMIFS('Lançamentos'!$J$6:$J$1005,'Lançamentos'!$B$6:$B$1005,$A47,'Lançamentos'!$C$6:$C$1005,$B47))</f>
        <v/>
      </c>
      <c r="H47" s="23">
        <f>IF(OR($A47="",$B47=""),"",IFERROR(SUMIFS('Lançamentos'!$J$6:$J$1005,'Lançamentos'!$B$6:$B$1005,$A47,'Lançamentos'!$C$6:$C$1005,"GERAL")*N($D47)/SUMIFS($D$6:$D$65,$A$6:$A$65,$A47),0))</f>
        <v/>
      </c>
      <c r="I47" s="23">
        <f>IF(OR($A47="",$B47=""),"",G47+H47)</f>
        <v/>
      </c>
      <c r="J47" s="23">
        <f>IF(OR($A47="",$B47=""),"",IFERROR(I47/D47,0))</f>
        <v/>
      </c>
      <c r="K47" s="40">
        <f>IF(OR($A47="",$B47=""),"",IF(N(F47)&gt;0,F47,N(E47)*N(D47)))</f>
        <v/>
      </c>
      <c r="L47" s="23">
        <f>IF(OR($A47="",$B47=""),"",IFERROR(I47/K47,0))</f>
        <v/>
      </c>
      <c r="M47" s="23">
        <f>IF(OR($A47="",$B47=""),"",K47*IFERROR(VLOOKUP($A47,Config!$A$6:$C$15,3,0),0))</f>
        <v/>
      </c>
      <c r="N47" s="23">
        <f>IF(OR($A47="",$B47=""),"",M47-I47)</f>
        <v/>
      </c>
      <c r="O47" s="40">
        <f>IF(OR($A47="",$B47=""),"",IFERROR(J47/IFERROR(VLOOKUP($A47,Config!$A$6:$C$15,3,0),0),0))</f>
        <v/>
      </c>
    </row>
    <row r="48">
      <c r="A48" s="34" t="n"/>
      <c r="B48" s="34" t="n"/>
      <c r="C48" s="35" t="n"/>
      <c r="D48" s="39" t="n"/>
      <c r="E48" s="39" t="n"/>
      <c r="F48" s="39" t="n"/>
      <c r="G48" s="23">
        <f>IF(OR($A48="",$B48=""),"",SUMIFS('Lançamentos'!$J$6:$J$1005,'Lançamentos'!$B$6:$B$1005,$A48,'Lançamentos'!$C$6:$C$1005,$B48))</f>
        <v/>
      </c>
      <c r="H48" s="23">
        <f>IF(OR($A48="",$B48=""),"",IFERROR(SUMIFS('Lançamentos'!$J$6:$J$1005,'Lançamentos'!$B$6:$B$1005,$A48,'Lançamentos'!$C$6:$C$1005,"GERAL")*N($D48)/SUMIFS($D$6:$D$65,$A$6:$A$65,$A48),0))</f>
        <v/>
      </c>
      <c r="I48" s="23">
        <f>IF(OR($A48="",$B48=""),"",G48+H48)</f>
        <v/>
      </c>
      <c r="J48" s="23">
        <f>IF(OR($A48="",$B48=""),"",IFERROR(I48/D48,0))</f>
        <v/>
      </c>
      <c r="K48" s="40">
        <f>IF(OR($A48="",$B48=""),"",IF(N(F48)&gt;0,F48,N(E48)*N(D48)))</f>
        <v/>
      </c>
      <c r="L48" s="23">
        <f>IF(OR($A48="",$B48=""),"",IFERROR(I48/K48,0))</f>
        <v/>
      </c>
      <c r="M48" s="23">
        <f>IF(OR($A48="",$B48=""),"",K48*IFERROR(VLOOKUP($A48,Config!$A$6:$C$15,3,0),0))</f>
        <v/>
      </c>
      <c r="N48" s="23">
        <f>IF(OR($A48="",$B48=""),"",M48-I48)</f>
        <v/>
      </c>
      <c r="O48" s="40">
        <f>IF(OR($A48="",$B48=""),"",IFERROR(J48/IFERROR(VLOOKUP($A48,Config!$A$6:$C$15,3,0),0),0))</f>
        <v/>
      </c>
    </row>
    <row r="49">
      <c r="A49" s="34" t="n"/>
      <c r="B49" s="34" t="n"/>
      <c r="C49" s="35" t="n"/>
      <c r="D49" s="39" t="n"/>
      <c r="E49" s="39" t="n"/>
      <c r="F49" s="39" t="n"/>
      <c r="G49" s="23">
        <f>IF(OR($A49="",$B49=""),"",SUMIFS('Lançamentos'!$J$6:$J$1005,'Lançamentos'!$B$6:$B$1005,$A49,'Lançamentos'!$C$6:$C$1005,$B49))</f>
        <v/>
      </c>
      <c r="H49" s="23">
        <f>IF(OR($A49="",$B49=""),"",IFERROR(SUMIFS('Lançamentos'!$J$6:$J$1005,'Lançamentos'!$B$6:$B$1005,$A49,'Lançamentos'!$C$6:$C$1005,"GERAL")*N($D49)/SUMIFS($D$6:$D$65,$A$6:$A$65,$A49),0))</f>
        <v/>
      </c>
      <c r="I49" s="23">
        <f>IF(OR($A49="",$B49=""),"",G49+H49)</f>
        <v/>
      </c>
      <c r="J49" s="23">
        <f>IF(OR($A49="",$B49=""),"",IFERROR(I49/D49,0))</f>
        <v/>
      </c>
      <c r="K49" s="40">
        <f>IF(OR($A49="",$B49=""),"",IF(N(F49)&gt;0,F49,N(E49)*N(D49)))</f>
        <v/>
      </c>
      <c r="L49" s="23">
        <f>IF(OR($A49="",$B49=""),"",IFERROR(I49/K49,0))</f>
        <v/>
      </c>
      <c r="M49" s="23">
        <f>IF(OR($A49="",$B49=""),"",K49*IFERROR(VLOOKUP($A49,Config!$A$6:$C$15,3,0),0))</f>
        <v/>
      </c>
      <c r="N49" s="23">
        <f>IF(OR($A49="",$B49=""),"",M49-I49)</f>
        <v/>
      </c>
      <c r="O49" s="40">
        <f>IF(OR($A49="",$B49=""),"",IFERROR(J49/IFERROR(VLOOKUP($A49,Config!$A$6:$C$15,3,0),0),0))</f>
        <v/>
      </c>
    </row>
    <row r="50">
      <c r="A50" s="34" t="n"/>
      <c r="B50" s="34" t="n"/>
      <c r="C50" s="35" t="n"/>
      <c r="D50" s="39" t="n"/>
      <c r="E50" s="39" t="n"/>
      <c r="F50" s="39" t="n"/>
      <c r="G50" s="23">
        <f>IF(OR($A50="",$B50=""),"",SUMIFS('Lançamentos'!$J$6:$J$1005,'Lançamentos'!$B$6:$B$1005,$A50,'Lançamentos'!$C$6:$C$1005,$B50))</f>
        <v/>
      </c>
      <c r="H50" s="23">
        <f>IF(OR($A50="",$B50=""),"",IFERROR(SUMIFS('Lançamentos'!$J$6:$J$1005,'Lançamentos'!$B$6:$B$1005,$A50,'Lançamentos'!$C$6:$C$1005,"GERAL")*N($D50)/SUMIFS($D$6:$D$65,$A$6:$A$65,$A50),0))</f>
        <v/>
      </c>
      <c r="I50" s="23">
        <f>IF(OR($A50="",$B50=""),"",G50+H50)</f>
        <v/>
      </c>
      <c r="J50" s="23">
        <f>IF(OR($A50="",$B50=""),"",IFERROR(I50/D50,0))</f>
        <v/>
      </c>
      <c r="K50" s="40">
        <f>IF(OR($A50="",$B50=""),"",IF(N(F50)&gt;0,F50,N(E50)*N(D50)))</f>
        <v/>
      </c>
      <c r="L50" s="23">
        <f>IF(OR($A50="",$B50=""),"",IFERROR(I50/K50,0))</f>
        <v/>
      </c>
      <c r="M50" s="23">
        <f>IF(OR($A50="",$B50=""),"",K50*IFERROR(VLOOKUP($A50,Config!$A$6:$C$15,3,0),0))</f>
        <v/>
      </c>
      <c r="N50" s="23">
        <f>IF(OR($A50="",$B50=""),"",M50-I50)</f>
        <v/>
      </c>
      <c r="O50" s="40">
        <f>IF(OR($A50="",$B50=""),"",IFERROR(J50/IFERROR(VLOOKUP($A50,Config!$A$6:$C$15,3,0),0),0))</f>
        <v/>
      </c>
    </row>
    <row r="51">
      <c r="A51" s="34" t="n"/>
      <c r="B51" s="34" t="n"/>
      <c r="C51" s="35" t="n"/>
      <c r="D51" s="39" t="n"/>
      <c r="E51" s="39" t="n"/>
      <c r="F51" s="39" t="n"/>
      <c r="G51" s="23">
        <f>IF(OR($A51="",$B51=""),"",SUMIFS('Lançamentos'!$J$6:$J$1005,'Lançamentos'!$B$6:$B$1005,$A51,'Lançamentos'!$C$6:$C$1005,$B51))</f>
        <v/>
      </c>
      <c r="H51" s="23">
        <f>IF(OR($A51="",$B51=""),"",IFERROR(SUMIFS('Lançamentos'!$J$6:$J$1005,'Lançamentos'!$B$6:$B$1005,$A51,'Lançamentos'!$C$6:$C$1005,"GERAL")*N($D51)/SUMIFS($D$6:$D$65,$A$6:$A$65,$A51),0))</f>
        <v/>
      </c>
      <c r="I51" s="23">
        <f>IF(OR($A51="",$B51=""),"",G51+H51)</f>
        <v/>
      </c>
      <c r="J51" s="23">
        <f>IF(OR($A51="",$B51=""),"",IFERROR(I51/D51,0))</f>
        <v/>
      </c>
      <c r="K51" s="40">
        <f>IF(OR($A51="",$B51=""),"",IF(N(F51)&gt;0,F51,N(E51)*N(D51)))</f>
        <v/>
      </c>
      <c r="L51" s="23">
        <f>IF(OR($A51="",$B51=""),"",IFERROR(I51/K51,0))</f>
        <v/>
      </c>
      <c r="M51" s="23">
        <f>IF(OR($A51="",$B51=""),"",K51*IFERROR(VLOOKUP($A51,Config!$A$6:$C$15,3,0),0))</f>
        <v/>
      </c>
      <c r="N51" s="23">
        <f>IF(OR($A51="",$B51=""),"",M51-I51)</f>
        <v/>
      </c>
      <c r="O51" s="40">
        <f>IF(OR($A51="",$B51=""),"",IFERROR(J51/IFERROR(VLOOKUP($A51,Config!$A$6:$C$15,3,0),0),0))</f>
        <v/>
      </c>
    </row>
    <row r="52">
      <c r="A52" s="34" t="n"/>
      <c r="B52" s="34" t="n"/>
      <c r="C52" s="35" t="n"/>
      <c r="D52" s="39" t="n"/>
      <c r="E52" s="39" t="n"/>
      <c r="F52" s="39" t="n"/>
      <c r="G52" s="23">
        <f>IF(OR($A52="",$B52=""),"",SUMIFS('Lançamentos'!$J$6:$J$1005,'Lançamentos'!$B$6:$B$1005,$A52,'Lançamentos'!$C$6:$C$1005,$B52))</f>
        <v/>
      </c>
      <c r="H52" s="23">
        <f>IF(OR($A52="",$B52=""),"",IFERROR(SUMIFS('Lançamentos'!$J$6:$J$1005,'Lançamentos'!$B$6:$B$1005,$A52,'Lançamentos'!$C$6:$C$1005,"GERAL")*N($D52)/SUMIFS($D$6:$D$65,$A$6:$A$65,$A52),0))</f>
        <v/>
      </c>
      <c r="I52" s="23">
        <f>IF(OR($A52="",$B52=""),"",G52+H52)</f>
        <v/>
      </c>
      <c r="J52" s="23">
        <f>IF(OR($A52="",$B52=""),"",IFERROR(I52/D52,0))</f>
        <v/>
      </c>
      <c r="K52" s="40">
        <f>IF(OR($A52="",$B52=""),"",IF(N(F52)&gt;0,F52,N(E52)*N(D52)))</f>
        <v/>
      </c>
      <c r="L52" s="23">
        <f>IF(OR($A52="",$B52=""),"",IFERROR(I52/K52,0))</f>
        <v/>
      </c>
      <c r="M52" s="23">
        <f>IF(OR($A52="",$B52=""),"",K52*IFERROR(VLOOKUP($A52,Config!$A$6:$C$15,3,0),0))</f>
        <v/>
      </c>
      <c r="N52" s="23">
        <f>IF(OR($A52="",$B52=""),"",M52-I52)</f>
        <v/>
      </c>
      <c r="O52" s="40">
        <f>IF(OR($A52="",$B52=""),"",IFERROR(J52/IFERROR(VLOOKUP($A52,Config!$A$6:$C$15,3,0),0),0))</f>
        <v/>
      </c>
    </row>
    <row r="53">
      <c r="A53" s="34" t="n"/>
      <c r="B53" s="34" t="n"/>
      <c r="C53" s="35" t="n"/>
      <c r="D53" s="39" t="n"/>
      <c r="E53" s="39" t="n"/>
      <c r="F53" s="39" t="n"/>
      <c r="G53" s="23">
        <f>IF(OR($A53="",$B53=""),"",SUMIFS('Lançamentos'!$J$6:$J$1005,'Lançamentos'!$B$6:$B$1005,$A53,'Lançamentos'!$C$6:$C$1005,$B53))</f>
        <v/>
      </c>
      <c r="H53" s="23">
        <f>IF(OR($A53="",$B53=""),"",IFERROR(SUMIFS('Lançamentos'!$J$6:$J$1005,'Lançamentos'!$B$6:$B$1005,$A53,'Lançamentos'!$C$6:$C$1005,"GERAL")*N($D53)/SUMIFS($D$6:$D$65,$A$6:$A$65,$A53),0))</f>
        <v/>
      </c>
      <c r="I53" s="23">
        <f>IF(OR($A53="",$B53=""),"",G53+H53)</f>
        <v/>
      </c>
      <c r="J53" s="23">
        <f>IF(OR($A53="",$B53=""),"",IFERROR(I53/D53,0))</f>
        <v/>
      </c>
      <c r="K53" s="40">
        <f>IF(OR($A53="",$B53=""),"",IF(N(F53)&gt;0,F53,N(E53)*N(D53)))</f>
        <v/>
      </c>
      <c r="L53" s="23">
        <f>IF(OR($A53="",$B53=""),"",IFERROR(I53/K53,0))</f>
        <v/>
      </c>
      <c r="M53" s="23">
        <f>IF(OR($A53="",$B53=""),"",K53*IFERROR(VLOOKUP($A53,Config!$A$6:$C$15,3,0),0))</f>
        <v/>
      </c>
      <c r="N53" s="23">
        <f>IF(OR($A53="",$B53=""),"",M53-I53)</f>
        <v/>
      </c>
      <c r="O53" s="40">
        <f>IF(OR($A53="",$B53=""),"",IFERROR(J53/IFERROR(VLOOKUP($A53,Config!$A$6:$C$15,3,0),0),0))</f>
        <v/>
      </c>
    </row>
    <row r="54">
      <c r="A54" s="34" t="n"/>
      <c r="B54" s="34" t="n"/>
      <c r="C54" s="35" t="n"/>
      <c r="D54" s="39" t="n"/>
      <c r="E54" s="39" t="n"/>
      <c r="F54" s="39" t="n"/>
      <c r="G54" s="23">
        <f>IF(OR($A54="",$B54=""),"",SUMIFS('Lançamentos'!$J$6:$J$1005,'Lançamentos'!$B$6:$B$1005,$A54,'Lançamentos'!$C$6:$C$1005,$B54))</f>
        <v/>
      </c>
      <c r="H54" s="23">
        <f>IF(OR($A54="",$B54=""),"",IFERROR(SUMIFS('Lançamentos'!$J$6:$J$1005,'Lançamentos'!$B$6:$B$1005,$A54,'Lançamentos'!$C$6:$C$1005,"GERAL")*N($D54)/SUMIFS($D$6:$D$65,$A$6:$A$65,$A54),0))</f>
        <v/>
      </c>
      <c r="I54" s="23">
        <f>IF(OR($A54="",$B54=""),"",G54+H54)</f>
        <v/>
      </c>
      <c r="J54" s="23">
        <f>IF(OR($A54="",$B54=""),"",IFERROR(I54/D54,0))</f>
        <v/>
      </c>
      <c r="K54" s="40">
        <f>IF(OR($A54="",$B54=""),"",IF(N(F54)&gt;0,F54,N(E54)*N(D54)))</f>
        <v/>
      </c>
      <c r="L54" s="23">
        <f>IF(OR($A54="",$B54=""),"",IFERROR(I54/K54,0))</f>
        <v/>
      </c>
      <c r="M54" s="23">
        <f>IF(OR($A54="",$B54=""),"",K54*IFERROR(VLOOKUP($A54,Config!$A$6:$C$15,3,0),0))</f>
        <v/>
      </c>
      <c r="N54" s="23">
        <f>IF(OR($A54="",$B54=""),"",M54-I54)</f>
        <v/>
      </c>
      <c r="O54" s="40">
        <f>IF(OR($A54="",$B54=""),"",IFERROR(J54/IFERROR(VLOOKUP($A54,Config!$A$6:$C$15,3,0),0),0))</f>
        <v/>
      </c>
    </row>
    <row r="55">
      <c r="A55" s="34" t="n"/>
      <c r="B55" s="34" t="n"/>
      <c r="C55" s="35" t="n"/>
      <c r="D55" s="39" t="n"/>
      <c r="E55" s="39" t="n"/>
      <c r="F55" s="39" t="n"/>
      <c r="G55" s="23">
        <f>IF(OR($A55="",$B55=""),"",SUMIFS('Lançamentos'!$J$6:$J$1005,'Lançamentos'!$B$6:$B$1005,$A55,'Lançamentos'!$C$6:$C$1005,$B55))</f>
        <v/>
      </c>
      <c r="H55" s="23">
        <f>IF(OR($A55="",$B55=""),"",IFERROR(SUMIFS('Lançamentos'!$J$6:$J$1005,'Lançamentos'!$B$6:$B$1005,$A55,'Lançamentos'!$C$6:$C$1005,"GERAL")*N($D55)/SUMIFS($D$6:$D$65,$A$6:$A$65,$A55),0))</f>
        <v/>
      </c>
      <c r="I55" s="23">
        <f>IF(OR($A55="",$B55=""),"",G55+H55)</f>
        <v/>
      </c>
      <c r="J55" s="23">
        <f>IF(OR($A55="",$B55=""),"",IFERROR(I55/D55,0))</f>
        <v/>
      </c>
      <c r="K55" s="40">
        <f>IF(OR($A55="",$B55=""),"",IF(N(F55)&gt;0,F55,N(E55)*N(D55)))</f>
        <v/>
      </c>
      <c r="L55" s="23">
        <f>IF(OR($A55="",$B55=""),"",IFERROR(I55/K55,0))</f>
        <v/>
      </c>
      <c r="M55" s="23">
        <f>IF(OR($A55="",$B55=""),"",K55*IFERROR(VLOOKUP($A55,Config!$A$6:$C$15,3,0),0))</f>
        <v/>
      </c>
      <c r="N55" s="23">
        <f>IF(OR($A55="",$B55=""),"",M55-I55)</f>
        <v/>
      </c>
      <c r="O55" s="40">
        <f>IF(OR($A55="",$B55=""),"",IFERROR(J55/IFERROR(VLOOKUP($A55,Config!$A$6:$C$15,3,0),0),0))</f>
        <v/>
      </c>
    </row>
    <row r="56">
      <c r="A56" s="34" t="n"/>
      <c r="B56" s="34" t="n"/>
      <c r="C56" s="35" t="n"/>
      <c r="D56" s="39" t="n"/>
      <c r="E56" s="39" t="n"/>
      <c r="F56" s="39" t="n"/>
      <c r="G56" s="23">
        <f>IF(OR($A56="",$B56=""),"",SUMIFS('Lançamentos'!$J$6:$J$1005,'Lançamentos'!$B$6:$B$1005,$A56,'Lançamentos'!$C$6:$C$1005,$B56))</f>
        <v/>
      </c>
      <c r="H56" s="23">
        <f>IF(OR($A56="",$B56=""),"",IFERROR(SUMIFS('Lançamentos'!$J$6:$J$1005,'Lançamentos'!$B$6:$B$1005,$A56,'Lançamentos'!$C$6:$C$1005,"GERAL")*N($D56)/SUMIFS($D$6:$D$65,$A$6:$A$65,$A56),0))</f>
        <v/>
      </c>
      <c r="I56" s="23">
        <f>IF(OR($A56="",$B56=""),"",G56+H56)</f>
        <v/>
      </c>
      <c r="J56" s="23">
        <f>IF(OR($A56="",$B56=""),"",IFERROR(I56/D56,0))</f>
        <v/>
      </c>
      <c r="K56" s="40">
        <f>IF(OR($A56="",$B56=""),"",IF(N(F56)&gt;0,F56,N(E56)*N(D56)))</f>
        <v/>
      </c>
      <c r="L56" s="23">
        <f>IF(OR($A56="",$B56=""),"",IFERROR(I56/K56,0))</f>
        <v/>
      </c>
      <c r="M56" s="23">
        <f>IF(OR($A56="",$B56=""),"",K56*IFERROR(VLOOKUP($A56,Config!$A$6:$C$15,3,0),0))</f>
        <v/>
      </c>
      <c r="N56" s="23">
        <f>IF(OR($A56="",$B56=""),"",M56-I56)</f>
        <v/>
      </c>
      <c r="O56" s="40">
        <f>IF(OR($A56="",$B56=""),"",IFERROR(J56/IFERROR(VLOOKUP($A56,Config!$A$6:$C$15,3,0),0),0))</f>
        <v/>
      </c>
    </row>
    <row r="57">
      <c r="A57" s="34" t="n"/>
      <c r="B57" s="34" t="n"/>
      <c r="C57" s="35" t="n"/>
      <c r="D57" s="39" t="n"/>
      <c r="E57" s="39" t="n"/>
      <c r="F57" s="39" t="n"/>
      <c r="G57" s="23">
        <f>IF(OR($A57="",$B57=""),"",SUMIFS('Lançamentos'!$J$6:$J$1005,'Lançamentos'!$B$6:$B$1005,$A57,'Lançamentos'!$C$6:$C$1005,$B57))</f>
        <v/>
      </c>
      <c r="H57" s="23">
        <f>IF(OR($A57="",$B57=""),"",IFERROR(SUMIFS('Lançamentos'!$J$6:$J$1005,'Lançamentos'!$B$6:$B$1005,$A57,'Lançamentos'!$C$6:$C$1005,"GERAL")*N($D57)/SUMIFS($D$6:$D$65,$A$6:$A$65,$A57),0))</f>
        <v/>
      </c>
      <c r="I57" s="23">
        <f>IF(OR($A57="",$B57=""),"",G57+H57)</f>
        <v/>
      </c>
      <c r="J57" s="23">
        <f>IF(OR($A57="",$B57=""),"",IFERROR(I57/D57,0))</f>
        <v/>
      </c>
      <c r="K57" s="40">
        <f>IF(OR($A57="",$B57=""),"",IF(N(F57)&gt;0,F57,N(E57)*N(D57)))</f>
        <v/>
      </c>
      <c r="L57" s="23">
        <f>IF(OR($A57="",$B57=""),"",IFERROR(I57/K57,0))</f>
        <v/>
      </c>
      <c r="M57" s="23">
        <f>IF(OR($A57="",$B57=""),"",K57*IFERROR(VLOOKUP($A57,Config!$A$6:$C$15,3,0),0))</f>
        <v/>
      </c>
      <c r="N57" s="23">
        <f>IF(OR($A57="",$B57=""),"",M57-I57)</f>
        <v/>
      </c>
      <c r="O57" s="40">
        <f>IF(OR($A57="",$B57=""),"",IFERROR(J57/IFERROR(VLOOKUP($A57,Config!$A$6:$C$15,3,0),0),0))</f>
        <v/>
      </c>
    </row>
    <row r="58">
      <c r="A58" s="34" t="n"/>
      <c r="B58" s="34" t="n"/>
      <c r="C58" s="35" t="n"/>
      <c r="D58" s="39" t="n"/>
      <c r="E58" s="39" t="n"/>
      <c r="F58" s="39" t="n"/>
      <c r="G58" s="23">
        <f>IF(OR($A58="",$B58=""),"",SUMIFS('Lançamentos'!$J$6:$J$1005,'Lançamentos'!$B$6:$B$1005,$A58,'Lançamentos'!$C$6:$C$1005,$B58))</f>
        <v/>
      </c>
      <c r="H58" s="23">
        <f>IF(OR($A58="",$B58=""),"",IFERROR(SUMIFS('Lançamentos'!$J$6:$J$1005,'Lançamentos'!$B$6:$B$1005,$A58,'Lançamentos'!$C$6:$C$1005,"GERAL")*N($D58)/SUMIFS($D$6:$D$65,$A$6:$A$65,$A58),0))</f>
        <v/>
      </c>
      <c r="I58" s="23">
        <f>IF(OR($A58="",$B58=""),"",G58+H58)</f>
        <v/>
      </c>
      <c r="J58" s="23">
        <f>IF(OR($A58="",$B58=""),"",IFERROR(I58/D58,0))</f>
        <v/>
      </c>
      <c r="K58" s="40">
        <f>IF(OR($A58="",$B58=""),"",IF(N(F58)&gt;0,F58,N(E58)*N(D58)))</f>
        <v/>
      </c>
      <c r="L58" s="23">
        <f>IF(OR($A58="",$B58=""),"",IFERROR(I58/K58,0))</f>
        <v/>
      </c>
      <c r="M58" s="23">
        <f>IF(OR($A58="",$B58=""),"",K58*IFERROR(VLOOKUP($A58,Config!$A$6:$C$15,3,0),0))</f>
        <v/>
      </c>
      <c r="N58" s="23">
        <f>IF(OR($A58="",$B58=""),"",M58-I58)</f>
        <v/>
      </c>
      <c r="O58" s="40">
        <f>IF(OR($A58="",$B58=""),"",IFERROR(J58/IFERROR(VLOOKUP($A58,Config!$A$6:$C$15,3,0),0),0))</f>
        <v/>
      </c>
    </row>
    <row r="59">
      <c r="A59" s="34" t="n"/>
      <c r="B59" s="34" t="n"/>
      <c r="C59" s="35" t="n"/>
      <c r="D59" s="39" t="n"/>
      <c r="E59" s="39" t="n"/>
      <c r="F59" s="39" t="n"/>
      <c r="G59" s="23">
        <f>IF(OR($A59="",$B59=""),"",SUMIFS('Lançamentos'!$J$6:$J$1005,'Lançamentos'!$B$6:$B$1005,$A59,'Lançamentos'!$C$6:$C$1005,$B59))</f>
        <v/>
      </c>
      <c r="H59" s="23">
        <f>IF(OR($A59="",$B59=""),"",IFERROR(SUMIFS('Lançamentos'!$J$6:$J$1005,'Lançamentos'!$B$6:$B$1005,$A59,'Lançamentos'!$C$6:$C$1005,"GERAL")*N($D59)/SUMIFS($D$6:$D$65,$A$6:$A$65,$A59),0))</f>
        <v/>
      </c>
      <c r="I59" s="23">
        <f>IF(OR($A59="",$B59=""),"",G59+H59)</f>
        <v/>
      </c>
      <c r="J59" s="23">
        <f>IF(OR($A59="",$B59=""),"",IFERROR(I59/D59,0))</f>
        <v/>
      </c>
      <c r="K59" s="40">
        <f>IF(OR($A59="",$B59=""),"",IF(N(F59)&gt;0,F59,N(E59)*N(D59)))</f>
        <v/>
      </c>
      <c r="L59" s="23">
        <f>IF(OR($A59="",$B59=""),"",IFERROR(I59/K59,0))</f>
        <v/>
      </c>
      <c r="M59" s="23">
        <f>IF(OR($A59="",$B59=""),"",K59*IFERROR(VLOOKUP($A59,Config!$A$6:$C$15,3,0),0))</f>
        <v/>
      </c>
      <c r="N59" s="23">
        <f>IF(OR($A59="",$B59=""),"",M59-I59)</f>
        <v/>
      </c>
      <c r="O59" s="40">
        <f>IF(OR($A59="",$B59=""),"",IFERROR(J59/IFERROR(VLOOKUP($A59,Config!$A$6:$C$15,3,0),0),0))</f>
        <v/>
      </c>
    </row>
    <row r="60">
      <c r="A60" s="34" t="n"/>
      <c r="B60" s="34" t="n"/>
      <c r="C60" s="35" t="n"/>
      <c r="D60" s="39" t="n"/>
      <c r="E60" s="39" t="n"/>
      <c r="F60" s="39" t="n"/>
      <c r="G60" s="23">
        <f>IF(OR($A60="",$B60=""),"",SUMIFS('Lançamentos'!$J$6:$J$1005,'Lançamentos'!$B$6:$B$1005,$A60,'Lançamentos'!$C$6:$C$1005,$B60))</f>
        <v/>
      </c>
      <c r="H60" s="23">
        <f>IF(OR($A60="",$B60=""),"",IFERROR(SUMIFS('Lançamentos'!$J$6:$J$1005,'Lançamentos'!$B$6:$B$1005,$A60,'Lançamentos'!$C$6:$C$1005,"GERAL")*N($D60)/SUMIFS($D$6:$D$65,$A$6:$A$65,$A60),0))</f>
        <v/>
      </c>
      <c r="I60" s="23">
        <f>IF(OR($A60="",$B60=""),"",G60+H60)</f>
        <v/>
      </c>
      <c r="J60" s="23">
        <f>IF(OR($A60="",$B60=""),"",IFERROR(I60/D60,0))</f>
        <v/>
      </c>
      <c r="K60" s="40">
        <f>IF(OR($A60="",$B60=""),"",IF(N(F60)&gt;0,F60,N(E60)*N(D60)))</f>
        <v/>
      </c>
      <c r="L60" s="23">
        <f>IF(OR($A60="",$B60=""),"",IFERROR(I60/K60,0))</f>
        <v/>
      </c>
      <c r="M60" s="23">
        <f>IF(OR($A60="",$B60=""),"",K60*IFERROR(VLOOKUP($A60,Config!$A$6:$C$15,3,0),0))</f>
        <v/>
      </c>
      <c r="N60" s="23">
        <f>IF(OR($A60="",$B60=""),"",M60-I60)</f>
        <v/>
      </c>
      <c r="O60" s="40">
        <f>IF(OR($A60="",$B60=""),"",IFERROR(J60/IFERROR(VLOOKUP($A60,Config!$A$6:$C$15,3,0),0),0))</f>
        <v/>
      </c>
    </row>
    <row r="61">
      <c r="A61" s="34" t="n"/>
      <c r="B61" s="34" t="n"/>
      <c r="C61" s="35" t="n"/>
      <c r="D61" s="39" t="n"/>
      <c r="E61" s="39" t="n"/>
      <c r="F61" s="39" t="n"/>
      <c r="G61" s="23">
        <f>IF(OR($A61="",$B61=""),"",SUMIFS('Lançamentos'!$J$6:$J$1005,'Lançamentos'!$B$6:$B$1005,$A61,'Lançamentos'!$C$6:$C$1005,$B61))</f>
        <v/>
      </c>
      <c r="H61" s="23">
        <f>IF(OR($A61="",$B61=""),"",IFERROR(SUMIFS('Lançamentos'!$J$6:$J$1005,'Lançamentos'!$B$6:$B$1005,$A61,'Lançamentos'!$C$6:$C$1005,"GERAL")*N($D61)/SUMIFS($D$6:$D$65,$A$6:$A$65,$A61),0))</f>
        <v/>
      </c>
      <c r="I61" s="23">
        <f>IF(OR($A61="",$B61=""),"",G61+H61)</f>
        <v/>
      </c>
      <c r="J61" s="23">
        <f>IF(OR($A61="",$B61=""),"",IFERROR(I61/D61,0))</f>
        <v/>
      </c>
      <c r="K61" s="40">
        <f>IF(OR($A61="",$B61=""),"",IF(N(F61)&gt;0,F61,N(E61)*N(D61)))</f>
        <v/>
      </c>
      <c r="L61" s="23">
        <f>IF(OR($A61="",$B61=""),"",IFERROR(I61/K61,0))</f>
        <v/>
      </c>
      <c r="M61" s="23">
        <f>IF(OR($A61="",$B61=""),"",K61*IFERROR(VLOOKUP($A61,Config!$A$6:$C$15,3,0),0))</f>
        <v/>
      </c>
      <c r="N61" s="23">
        <f>IF(OR($A61="",$B61=""),"",M61-I61)</f>
        <v/>
      </c>
      <c r="O61" s="40">
        <f>IF(OR($A61="",$B61=""),"",IFERROR(J61/IFERROR(VLOOKUP($A61,Config!$A$6:$C$15,3,0),0),0))</f>
        <v/>
      </c>
    </row>
    <row r="62">
      <c r="A62" s="34" t="n"/>
      <c r="B62" s="34" t="n"/>
      <c r="C62" s="35" t="n"/>
      <c r="D62" s="39" t="n"/>
      <c r="E62" s="39" t="n"/>
      <c r="F62" s="39" t="n"/>
      <c r="G62" s="23">
        <f>IF(OR($A62="",$B62=""),"",SUMIFS('Lançamentos'!$J$6:$J$1005,'Lançamentos'!$B$6:$B$1005,$A62,'Lançamentos'!$C$6:$C$1005,$B62))</f>
        <v/>
      </c>
      <c r="H62" s="23">
        <f>IF(OR($A62="",$B62=""),"",IFERROR(SUMIFS('Lançamentos'!$J$6:$J$1005,'Lançamentos'!$B$6:$B$1005,$A62,'Lançamentos'!$C$6:$C$1005,"GERAL")*N($D62)/SUMIFS($D$6:$D$65,$A$6:$A$65,$A62),0))</f>
        <v/>
      </c>
      <c r="I62" s="23">
        <f>IF(OR($A62="",$B62=""),"",G62+H62)</f>
        <v/>
      </c>
      <c r="J62" s="23">
        <f>IF(OR($A62="",$B62=""),"",IFERROR(I62/D62,0))</f>
        <v/>
      </c>
      <c r="K62" s="40">
        <f>IF(OR($A62="",$B62=""),"",IF(N(F62)&gt;0,F62,N(E62)*N(D62)))</f>
        <v/>
      </c>
      <c r="L62" s="23">
        <f>IF(OR($A62="",$B62=""),"",IFERROR(I62/K62,0))</f>
        <v/>
      </c>
      <c r="M62" s="23">
        <f>IF(OR($A62="",$B62=""),"",K62*IFERROR(VLOOKUP($A62,Config!$A$6:$C$15,3,0),0))</f>
        <v/>
      </c>
      <c r="N62" s="23">
        <f>IF(OR($A62="",$B62=""),"",M62-I62)</f>
        <v/>
      </c>
      <c r="O62" s="40">
        <f>IF(OR($A62="",$B62=""),"",IFERROR(J62/IFERROR(VLOOKUP($A62,Config!$A$6:$C$15,3,0),0),0))</f>
        <v/>
      </c>
    </row>
    <row r="63">
      <c r="A63" s="34" t="n"/>
      <c r="B63" s="34" t="n"/>
      <c r="C63" s="35" t="n"/>
      <c r="D63" s="39" t="n"/>
      <c r="E63" s="39" t="n"/>
      <c r="F63" s="39" t="n"/>
      <c r="G63" s="23">
        <f>IF(OR($A63="",$B63=""),"",SUMIFS('Lançamentos'!$J$6:$J$1005,'Lançamentos'!$B$6:$B$1005,$A63,'Lançamentos'!$C$6:$C$1005,$B63))</f>
        <v/>
      </c>
      <c r="H63" s="23">
        <f>IF(OR($A63="",$B63=""),"",IFERROR(SUMIFS('Lançamentos'!$J$6:$J$1005,'Lançamentos'!$B$6:$B$1005,$A63,'Lançamentos'!$C$6:$C$1005,"GERAL")*N($D63)/SUMIFS($D$6:$D$65,$A$6:$A$65,$A63),0))</f>
        <v/>
      </c>
      <c r="I63" s="23">
        <f>IF(OR($A63="",$B63=""),"",G63+H63)</f>
        <v/>
      </c>
      <c r="J63" s="23">
        <f>IF(OR($A63="",$B63=""),"",IFERROR(I63/D63,0))</f>
        <v/>
      </c>
      <c r="K63" s="40">
        <f>IF(OR($A63="",$B63=""),"",IF(N(F63)&gt;0,F63,N(E63)*N(D63)))</f>
        <v/>
      </c>
      <c r="L63" s="23">
        <f>IF(OR($A63="",$B63=""),"",IFERROR(I63/K63,0))</f>
        <v/>
      </c>
      <c r="M63" s="23">
        <f>IF(OR($A63="",$B63=""),"",K63*IFERROR(VLOOKUP($A63,Config!$A$6:$C$15,3,0),0))</f>
        <v/>
      </c>
      <c r="N63" s="23">
        <f>IF(OR($A63="",$B63=""),"",M63-I63)</f>
        <v/>
      </c>
      <c r="O63" s="40">
        <f>IF(OR($A63="",$B63=""),"",IFERROR(J63/IFERROR(VLOOKUP($A63,Config!$A$6:$C$15,3,0),0),0))</f>
        <v/>
      </c>
    </row>
    <row r="64">
      <c r="A64" s="34" t="n"/>
      <c r="B64" s="34" t="n"/>
      <c r="C64" s="35" t="n"/>
      <c r="D64" s="39" t="n"/>
      <c r="E64" s="39" t="n"/>
      <c r="F64" s="39" t="n"/>
      <c r="G64" s="23">
        <f>IF(OR($A64="",$B64=""),"",SUMIFS('Lançamentos'!$J$6:$J$1005,'Lançamentos'!$B$6:$B$1005,$A64,'Lançamentos'!$C$6:$C$1005,$B64))</f>
        <v/>
      </c>
      <c r="H64" s="23">
        <f>IF(OR($A64="",$B64=""),"",IFERROR(SUMIFS('Lançamentos'!$J$6:$J$1005,'Lançamentos'!$B$6:$B$1005,$A64,'Lançamentos'!$C$6:$C$1005,"GERAL")*N($D64)/SUMIFS($D$6:$D$65,$A$6:$A$65,$A64),0))</f>
        <v/>
      </c>
      <c r="I64" s="23">
        <f>IF(OR($A64="",$B64=""),"",G64+H64)</f>
        <v/>
      </c>
      <c r="J64" s="23">
        <f>IF(OR($A64="",$B64=""),"",IFERROR(I64/D64,0))</f>
        <v/>
      </c>
      <c r="K64" s="40">
        <f>IF(OR($A64="",$B64=""),"",IF(N(F64)&gt;0,F64,N(E64)*N(D64)))</f>
        <v/>
      </c>
      <c r="L64" s="23">
        <f>IF(OR($A64="",$B64=""),"",IFERROR(I64/K64,0))</f>
        <v/>
      </c>
      <c r="M64" s="23">
        <f>IF(OR($A64="",$B64=""),"",K64*IFERROR(VLOOKUP($A64,Config!$A$6:$C$15,3,0),0))</f>
        <v/>
      </c>
      <c r="N64" s="23">
        <f>IF(OR($A64="",$B64=""),"",M64-I64)</f>
        <v/>
      </c>
      <c r="O64" s="40">
        <f>IF(OR($A64="",$B64=""),"",IFERROR(J64/IFERROR(VLOOKUP($A64,Config!$A$6:$C$15,3,0),0),0))</f>
        <v/>
      </c>
    </row>
    <row r="65">
      <c r="A65" s="34" t="n"/>
      <c r="B65" s="34" t="n"/>
      <c r="C65" s="35" t="n"/>
      <c r="D65" s="39" t="n"/>
      <c r="E65" s="39" t="n"/>
      <c r="F65" s="39" t="n"/>
      <c r="G65" s="23">
        <f>IF(OR($A65="",$B65=""),"",SUMIFS('Lançamentos'!$J$6:$J$1005,'Lançamentos'!$B$6:$B$1005,$A65,'Lançamentos'!$C$6:$C$1005,$B65))</f>
        <v/>
      </c>
      <c r="H65" s="23">
        <f>IF(OR($A65="",$B65=""),"",IFERROR(SUMIFS('Lançamentos'!$J$6:$J$1005,'Lançamentos'!$B$6:$B$1005,$A65,'Lançamentos'!$C$6:$C$1005,"GERAL")*N($D65)/SUMIFS($D$6:$D$65,$A$6:$A$65,$A65),0))</f>
        <v/>
      </c>
      <c r="I65" s="23">
        <f>IF(OR($A65="",$B65=""),"",G65+H65)</f>
        <v/>
      </c>
      <c r="J65" s="23">
        <f>IF(OR($A65="",$B65=""),"",IFERROR(I65/D65,0))</f>
        <v/>
      </c>
      <c r="K65" s="40">
        <f>IF(OR($A65="",$B65=""),"",IF(N(F65)&gt;0,F65,N(E65)*N(D65)))</f>
        <v/>
      </c>
      <c r="L65" s="23">
        <f>IF(OR($A65="",$B65=""),"",IFERROR(I65/K65,0))</f>
        <v/>
      </c>
      <c r="M65" s="23">
        <f>IF(OR($A65="",$B65=""),"",K65*IFERROR(VLOOKUP($A65,Config!$A$6:$C$15,3,0),0))</f>
        <v/>
      </c>
      <c r="N65" s="23">
        <f>IF(OR($A65="",$B65=""),"",M65-I65)</f>
        <v/>
      </c>
      <c r="O65" s="40">
        <f>IF(OR($A65="",$B65=""),"",IFERROR(J65/IFERROR(VLOOKUP($A65,Config!$A$6:$C$15,3,0),0),0))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dataValidations count="2">
    <dataValidation sqref="A6:A65" showDropDown="0" showInputMessage="1" showErrorMessage="1" allowBlank="1" errorTitle="Valor inválido" error="Escolha um valor da lista." prompt="Safra cadastrada na aba Config" type="list" errorStyle="stop">
      <formula1>Config!$A$6:$A$15</formula1>
    </dataValidation>
    <dataValidation sqref="D6:F65" showDropDown="0" showInputMessage="0" showErrorMessage="1" allowBlank="1" errorTitle="Valor inválido" error="Digite um número maior ou igual a zero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00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30" customWidth="1" min="4" max="4"/>
    <col width="13" customWidth="1" min="5" max="5"/>
    <col width="30" customWidth="1" min="6" max="6"/>
    <col width="12" customWidth="1" min="7" max="7"/>
    <col width="10" customWidth="1" min="8" max="8"/>
    <col width="15" customWidth="1" min="9" max="9"/>
    <col width="16" customWidth="1" min="10" max="10"/>
    <col width="28" customWidth="1" min="11" max="11"/>
  </cols>
  <sheetData>
    <row r="1" ht="36" customHeight="1">
      <c r="A1" s="1" t="inlineStr">
        <is>
          <t>Lançamentos de Custos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Insumos, operações, mão de obra e demais gastos da safra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31" t="inlineStr">
        <is>
          <t>Legenda:</t>
        </is>
      </c>
      <c r="B3" s="32" t="inlineStr">
        <is>
          <t>Preencher</t>
        </is>
      </c>
      <c r="C3" s="33" t="inlineStr">
        <is>
          <t>Cálculo automático (protegido)</t>
        </is>
      </c>
    </row>
    <row r="5" ht="32" customHeight="1">
      <c r="A5" s="19" t="inlineStr">
        <is>
          <t>Data</t>
        </is>
      </c>
      <c r="B5" s="19" t="inlineStr">
        <is>
          <t>Safra</t>
        </is>
      </c>
      <c r="C5" s="19" t="inlineStr">
        <is>
          <t>Talhão</t>
        </is>
      </c>
      <c r="D5" s="19" t="inlineStr">
        <is>
          <t>Categoria</t>
        </is>
      </c>
      <c r="E5" s="19" t="inlineStr">
        <is>
          <t>Grupo</t>
        </is>
      </c>
      <c r="F5" s="19" t="inlineStr">
        <is>
          <t>Descrição / produto</t>
        </is>
      </c>
      <c r="G5" s="19" t="inlineStr">
        <is>
          <t>Quantidade</t>
        </is>
      </c>
      <c r="H5" s="19" t="inlineStr">
        <is>
          <t>Unidade</t>
        </is>
      </c>
      <c r="I5" s="19" t="inlineStr">
        <is>
          <t>Valor unitário (R$)</t>
        </is>
      </c>
      <c r="J5" s="19" t="inlineStr">
        <is>
          <t>Valor total (R$)</t>
        </is>
      </c>
      <c r="K5" s="19" t="inlineStr">
        <is>
          <t>Fornecedor / observação</t>
        </is>
      </c>
    </row>
    <row r="6">
      <c r="A6" s="41" t="n"/>
      <c r="B6" s="34" t="n"/>
      <c r="C6" s="34" t="n"/>
      <c r="D6" s="35" t="n"/>
      <c r="E6" s="22">
        <f>IF(D6="","",IFERROR(VLOOKUP(D6,Config!$F$6:$H$25,3,0),"Categoria inválida"))</f>
        <v/>
      </c>
      <c r="F6" s="35" t="n"/>
      <c r="G6" s="39" t="n"/>
      <c r="H6" s="37" t="n"/>
      <c r="I6" s="36" t="n"/>
      <c r="J6" s="23">
        <f>IF(OR(G6="",I6=""),"",G6*I6)</f>
        <v/>
      </c>
      <c r="K6" s="35" t="n"/>
    </row>
    <row r="7">
      <c r="A7" s="41" t="n"/>
      <c r="B7" s="34" t="n"/>
      <c r="C7" s="34" t="n"/>
      <c r="D7" s="35" t="n"/>
      <c r="E7" s="22">
        <f>IF(D7="","",IFERROR(VLOOKUP(D7,Config!$F$6:$H$25,3,0),"Categoria inválida"))</f>
        <v/>
      </c>
      <c r="F7" s="35" t="n"/>
      <c r="G7" s="39" t="n"/>
      <c r="H7" s="37" t="n"/>
      <c r="I7" s="36" t="n"/>
      <c r="J7" s="23">
        <f>IF(OR(G7="",I7=""),"",G7*I7)</f>
        <v/>
      </c>
      <c r="K7" s="35" t="n"/>
    </row>
    <row r="8">
      <c r="A8" s="41" t="n"/>
      <c r="B8" s="34" t="n"/>
      <c r="C8" s="34" t="n"/>
      <c r="D8" s="35" t="n"/>
      <c r="E8" s="22">
        <f>IF(D8="","",IFERROR(VLOOKUP(D8,Config!$F$6:$H$25,3,0),"Categoria inválida"))</f>
        <v/>
      </c>
      <c r="F8" s="35" t="n"/>
      <c r="G8" s="39" t="n"/>
      <c r="H8" s="37" t="n"/>
      <c r="I8" s="36" t="n"/>
      <c r="J8" s="23">
        <f>IF(OR(G8="",I8=""),"",G8*I8)</f>
        <v/>
      </c>
      <c r="K8" s="35" t="n"/>
    </row>
    <row r="9">
      <c r="A9" s="41" t="n"/>
      <c r="B9" s="34" t="n"/>
      <c r="C9" s="34" t="n"/>
      <c r="D9" s="35" t="n"/>
      <c r="E9" s="22">
        <f>IF(D9="","",IFERROR(VLOOKUP(D9,Config!$F$6:$H$25,3,0),"Categoria inválida"))</f>
        <v/>
      </c>
      <c r="F9" s="35" t="n"/>
      <c r="G9" s="39" t="n"/>
      <c r="H9" s="37" t="n"/>
      <c r="I9" s="36" t="n"/>
      <c r="J9" s="23">
        <f>IF(OR(G9="",I9=""),"",G9*I9)</f>
        <v/>
      </c>
      <c r="K9" s="35" t="n"/>
    </row>
    <row r="10">
      <c r="A10" s="41" t="n"/>
      <c r="B10" s="34" t="n"/>
      <c r="C10" s="34" t="n"/>
      <c r="D10" s="35" t="n"/>
      <c r="E10" s="22">
        <f>IF(D10="","",IFERROR(VLOOKUP(D10,Config!$F$6:$H$25,3,0),"Categoria inválida"))</f>
        <v/>
      </c>
      <c r="F10" s="35" t="n"/>
      <c r="G10" s="39" t="n"/>
      <c r="H10" s="37" t="n"/>
      <c r="I10" s="36" t="n"/>
      <c r="J10" s="23">
        <f>IF(OR(G10="",I10=""),"",G10*I10)</f>
        <v/>
      </c>
      <c r="K10" s="35" t="n"/>
    </row>
    <row r="11">
      <c r="A11" s="41" t="n"/>
      <c r="B11" s="34" t="n"/>
      <c r="C11" s="34" t="n"/>
      <c r="D11" s="35" t="n"/>
      <c r="E11" s="22">
        <f>IF(D11="","",IFERROR(VLOOKUP(D11,Config!$F$6:$H$25,3,0),"Categoria inválida"))</f>
        <v/>
      </c>
      <c r="F11" s="35" t="n"/>
      <c r="G11" s="39" t="n"/>
      <c r="H11" s="37" t="n"/>
      <c r="I11" s="36" t="n"/>
      <c r="J11" s="23">
        <f>IF(OR(G11="",I11=""),"",G11*I11)</f>
        <v/>
      </c>
      <c r="K11" s="35" t="n"/>
    </row>
    <row r="12">
      <c r="A12" s="41" t="n"/>
      <c r="B12" s="34" t="n"/>
      <c r="C12" s="34" t="n"/>
      <c r="D12" s="35" t="n"/>
      <c r="E12" s="22">
        <f>IF(D12="","",IFERROR(VLOOKUP(D12,Config!$F$6:$H$25,3,0),"Categoria inválida"))</f>
        <v/>
      </c>
      <c r="F12" s="35" t="n"/>
      <c r="G12" s="39" t="n"/>
      <c r="H12" s="37" t="n"/>
      <c r="I12" s="36" t="n"/>
      <c r="J12" s="23">
        <f>IF(OR(G12="",I12=""),"",G12*I12)</f>
        <v/>
      </c>
      <c r="K12" s="35" t="n"/>
    </row>
    <row r="13">
      <c r="A13" s="41" t="n"/>
      <c r="B13" s="34" t="n"/>
      <c r="C13" s="34" t="n"/>
      <c r="D13" s="35" t="n"/>
      <c r="E13" s="22">
        <f>IF(D13="","",IFERROR(VLOOKUP(D13,Config!$F$6:$H$25,3,0),"Categoria inválida"))</f>
        <v/>
      </c>
      <c r="F13" s="35" t="n"/>
      <c r="G13" s="39" t="n"/>
      <c r="H13" s="37" t="n"/>
      <c r="I13" s="36" t="n"/>
      <c r="J13" s="23">
        <f>IF(OR(G13="",I13=""),"",G13*I13)</f>
        <v/>
      </c>
      <c r="K13" s="35" t="n"/>
    </row>
    <row r="14">
      <c r="A14" s="41" t="n"/>
      <c r="B14" s="34" t="n"/>
      <c r="C14" s="34" t="n"/>
      <c r="D14" s="35" t="n"/>
      <c r="E14" s="22">
        <f>IF(D14="","",IFERROR(VLOOKUP(D14,Config!$F$6:$H$25,3,0),"Categoria inválida"))</f>
        <v/>
      </c>
      <c r="F14" s="35" t="n"/>
      <c r="G14" s="39" t="n"/>
      <c r="H14" s="37" t="n"/>
      <c r="I14" s="36" t="n"/>
      <c r="J14" s="23">
        <f>IF(OR(G14="",I14=""),"",G14*I14)</f>
        <v/>
      </c>
      <c r="K14" s="35" t="n"/>
    </row>
    <row r="15">
      <c r="A15" s="41" t="n"/>
      <c r="B15" s="34" t="n"/>
      <c r="C15" s="34" t="n"/>
      <c r="D15" s="35" t="n"/>
      <c r="E15" s="22">
        <f>IF(D15="","",IFERROR(VLOOKUP(D15,Config!$F$6:$H$25,3,0),"Categoria inválida"))</f>
        <v/>
      </c>
      <c r="F15" s="35" t="n"/>
      <c r="G15" s="39" t="n"/>
      <c r="H15" s="37" t="n"/>
      <c r="I15" s="36" t="n"/>
      <c r="J15" s="23">
        <f>IF(OR(G15="",I15=""),"",G15*I15)</f>
        <v/>
      </c>
      <c r="K15" s="35" t="n"/>
    </row>
    <row r="16">
      <c r="A16" s="41" t="n"/>
      <c r="B16" s="34" t="n"/>
      <c r="C16" s="34" t="n"/>
      <c r="D16" s="35" t="n"/>
      <c r="E16" s="22">
        <f>IF(D16="","",IFERROR(VLOOKUP(D16,Config!$F$6:$H$25,3,0),"Categoria inválida"))</f>
        <v/>
      </c>
      <c r="F16" s="35" t="n"/>
      <c r="G16" s="39" t="n"/>
      <c r="H16" s="37" t="n"/>
      <c r="I16" s="36" t="n"/>
      <c r="J16" s="23">
        <f>IF(OR(G16="",I16=""),"",G16*I16)</f>
        <v/>
      </c>
      <c r="K16" s="35" t="n"/>
    </row>
    <row r="17">
      <c r="A17" s="41" t="n"/>
      <c r="B17" s="34" t="n"/>
      <c r="C17" s="34" t="n"/>
      <c r="D17" s="35" t="n"/>
      <c r="E17" s="22">
        <f>IF(D17="","",IFERROR(VLOOKUP(D17,Config!$F$6:$H$25,3,0),"Categoria inválida"))</f>
        <v/>
      </c>
      <c r="F17" s="35" t="n"/>
      <c r="G17" s="39" t="n"/>
      <c r="H17" s="37" t="n"/>
      <c r="I17" s="36" t="n"/>
      <c r="J17" s="23">
        <f>IF(OR(G17="",I17=""),"",G17*I17)</f>
        <v/>
      </c>
      <c r="K17" s="35" t="n"/>
    </row>
    <row r="18">
      <c r="A18" s="41" t="n"/>
      <c r="B18" s="34" t="n"/>
      <c r="C18" s="34" t="n"/>
      <c r="D18" s="35" t="n"/>
      <c r="E18" s="22">
        <f>IF(D18="","",IFERROR(VLOOKUP(D18,Config!$F$6:$H$25,3,0),"Categoria inválida"))</f>
        <v/>
      </c>
      <c r="F18" s="35" t="n"/>
      <c r="G18" s="39" t="n"/>
      <c r="H18" s="37" t="n"/>
      <c r="I18" s="36" t="n"/>
      <c r="J18" s="23">
        <f>IF(OR(G18="",I18=""),"",G18*I18)</f>
        <v/>
      </c>
      <c r="K18" s="35" t="n"/>
    </row>
    <row r="19">
      <c r="A19" s="41" t="n"/>
      <c r="B19" s="34" t="n"/>
      <c r="C19" s="34" t="n"/>
      <c r="D19" s="35" t="n"/>
      <c r="E19" s="22">
        <f>IF(D19="","",IFERROR(VLOOKUP(D19,Config!$F$6:$H$25,3,0),"Categoria inválida"))</f>
        <v/>
      </c>
      <c r="F19" s="35" t="n"/>
      <c r="G19" s="39" t="n"/>
      <c r="H19" s="37" t="n"/>
      <c r="I19" s="36" t="n"/>
      <c r="J19" s="23">
        <f>IF(OR(G19="",I19=""),"",G19*I19)</f>
        <v/>
      </c>
      <c r="K19" s="35" t="n"/>
    </row>
    <row r="20">
      <c r="A20" s="41" t="n"/>
      <c r="B20" s="34" t="n"/>
      <c r="C20" s="34" t="n"/>
      <c r="D20" s="35" t="n"/>
      <c r="E20" s="22">
        <f>IF(D20="","",IFERROR(VLOOKUP(D20,Config!$F$6:$H$25,3,0),"Categoria inválida"))</f>
        <v/>
      </c>
      <c r="F20" s="35" t="n"/>
      <c r="G20" s="39" t="n"/>
      <c r="H20" s="37" t="n"/>
      <c r="I20" s="36" t="n"/>
      <c r="J20" s="23">
        <f>IF(OR(G20="",I20=""),"",G20*I20)</f>
        <v/>
      </c>
      <c r="K20" s="35" t="n"/>
    </row>
    <row r="21">
      <c r="A21" s="41" t="n"/>
      <c r="B21" s="34" t="n"/>
      <c r="C21" s="34" t="n"/>
      <c r="D21" s="35" t="n"/>
      <c r="E21" s="22">
        <f>IF(D21="","",IFERROR(VLOOKUP(D21,Config!$F$6:$H$25,3,0),"Categoria inválida"))</f>
        <v/>
      </c>
      <c r="F21" s="35" t="n"/>
      <c r="G21" s="39" t="n"/>
      <c r="H21" s="37" t="n"/>
      <c r="I21" s="36" t="n"/>
      <c r="J21" s="23">
        <f>IF(OR(G21="",I21=""),"",G21*I21)</f>
        <v/>
      </c>
      <c r="K21" s="35" t="n"/>
    </row>
    <row r="22">
      <c r="A22" s="41" t="n"/>
      <c r="B22" s="34" t="n"/>
      <c r="C22" s="34" t="n"/>
      <c r="D22" s="35" t="n"/>
      <c r="E22" s="22">
        <f>IF(D22="","",IFERROR(VLOOKUP(D22,Config!$F$6:$H$25,3,0),"Categoria inválida"))</f>
        <v/>
      </c>
      <c r="F22" s="35" t="n"/>
      <c r="G22" s="39" t="n"/>
      <c r="H22" s="37" t="n"/>
      <c r="I22" s="36" t="n"/>
      <c r="J22" s="23">
        <f>IF(OR(G22="",I22=""),"",G22*I22)</f>
        <v/>
      </c>
      <c r="K22" s="35" t="n"/>
    </row>
    <row r="23">
      <c r="A23" s="41" t="n"/>
      <c r="B23" s="34" t="n"/>
      <c r="C23" s="34" t="n"/>
      <c r="D23" s="35" t="n"/>
      <c r="E23" s="22">
        <f>IF(D23="","",IFERROR(VLOOKUP(D23,Config!$F$6:$H$25,3,0),"Categoria inválida"))</f>
        <v/>
      </c>
      <c r="F23" s="35" t="n"/>
      <c r="G23" s="39" t="n"/>
      <c r="H23" s="37" t="n"/>
      <c r="I23" s="36" t="n"/>
      <c r="J23" s="23">
        <f>IF(OR(G23="",I23=""),"",G23*I23)</f>
        <v/>
      </c>
      <c r="K23" s="35" t="n"/>
    </row>
    <row r="24">
      <c r="A24" s="41" t="n"/>
      <c r="B24" s="34" t="n"/>
      <c r="C24" s="34" t="n"/>
      <c r="D24" s="35" t="n"/>
      <c r="E24" s="22">
        <f>IF(D24="","",IFERROR(VLOOKUP(D24,Config!$F$6:$H$25,3,0),"Categoria inválida"))</f>
        <v/>
      </c>
      <c r="F24" s="35" t="n"/>
      <c r="G24" s="39" t="n"/>
      <c r="H24" s="37" t="n"/>
      <c r="I24" s="36" t="n"/>
      <c r="J24" s="23">
        <f>IF(OR(G24="",I24=""),"",G24*I24)</f>
        <v/>
      </c>
      <c r="K24" s="35" t="n"/>
    </row>
    <row r="25">
      <c r="A25" s="41" t="n"/>
      <c r="B25" s="34" t="n"/>
      <c r="C25" s="34" t="n"/>
      <c r="D25" s="35" t="n"/>
      <c r="E25" s="22">
        <f>IF(D25="","",IFERROR(VLOOKUP(D25,Config!$F$6:$H$25,3,0),"Categoria inválida"))</f>
        <v/>
      </c>
      <c r="F25" s="35" t="n"/>
      <c r="G25" s="39" t="n"/>
      <c r="H25" s="37" t="n"/>
      <c r="I25" s="36" t="n"/>
      <c r="J25" s="23">
        <f>IF(OR(G25="",I25=""),"",G25*I25)</f>
        <v/>
      </c>
      <c r="K25" s="35" t="n"/>
    </row>
    <row r="26">
      <c r="A26" s="41" t="n"/>
      <c r="B26" s="34" t="n"/>
      <c r="C26" s="34" t="n"/>
      <c r="D26" s="35" t="n"/>
      <c r="E26" s="22">
        <f>IF(D26="","",IFERROR(VLOOKUP(D26,Config!$F$6:$H$25,3,0),"Categoria inválida"))</f>
        <v/>
      </c>
      <c r="F26" s="35" t="n"/>
      <c r="G26" s="39" t="n"/>
      <c r="H26" s="37" t="n"/>
      <c r="I26" s="36" t="n"/>
      <c r="J26" s="23">
        <f>IF(OR(G26="",I26=""),"",G26*I26)</f>
        <v/>
      </c>
      <c r="K26" s="35" t="n"/>
    </row>
    <row r="27">
      <c r="A27" s="41" t="n"/>
      <c r="B27" s="34" t="n"/>
      <c r="C27" s="34" t="n"/>
      <c r="D27" s="35" t="n"/>
      <c r="E27" s="22">
        <f>IF(D27="","",IFERROR(VLOOKUP(D27,Config!$F$6:$H$25,3,0),"Categoria inválida"))</f>
        <v/>
      </c>
      <c r="F27" s="35" t="n"/>
      <c r="G27" s="39" t="n"/>
      <c r="H27" s="37" t="n"/>
      <c r="I27" s="36" t="n"/>
      <c r="J27" s="23">
        <f>IF(OR(G27="",I27=""),"",G27*I27)</f>
        <v/>
      </c>
      <c r="K27" s="35" t="n"/>
    </row>
    <row r="28">
      <c r="A28" s="41" t="n"/>
      <c r="B28" s="34" t="n"/>
      <c r="C28" s="34" t="n"/>
      <c r="D28" s="35" t="n"/>
      <c r="E28" s="22">
        <f>IF(D28="","",IFERROR(VLOOKUP(D28,Config!$F$6:$H$25,3,0),"Categoria inválida"))</f>
        <v/>
      </c>
      <c r="F28" s="35" t="n"/>
      <c r="G28" s="39" t="n"/>
      <c r="H28" s="37" t="n"/>
      <c r="I28" s="36" t="n"/>
      <c r="J28" s="23">
        <f>IF(OR(G28="",I28=""),"",G28*I28)</f>
        <v/>
      </c>
      <c r="K28" s="35" t="n"/>
    </row>
    <row r="29">
      <c r="A29" s="41" t="n"/>
      <c r="B29" s="34" t="n"/>
      <c r="C29" s="34" t="n"/>
      <c r="D29" s="35" t="n"/>
      <c r="E29" s="22">
        <f>IF(D29="","",IFERROR(VLOOKUP(D29,Config!$F$6:$H$25,3,0),"Categoria inválida"))</f>
        <v/>
      </c>
      <c r="F29" s="35" t="n"/>
      <c r="G29" s="39" t="n"/>
      <c r="H29" s="37" t="n"/>
      <c r="I29" s="36" t="n"/>
      <c r="J29" s="23">
        <f>IF(OR(G29="",I29=""),"",G29*I29)</f>
        <v/>
      </c>
      <c r="K29" s="35" t="n"/>
    </row>
    <row r="30">
      <c r="A30" s="41" t="n"/>
      <c r="B30" s="34" t="n"/>
      <c r="C30" s="34" t="n"/>
      <c r="D30" s="35" t="n"/>
      <c r="E30" s="22">
        <f>IF(D30="","",IFERROR(VLOOKUP(D30,Config!$F$6:$H$25,3,0),"Categoria inválida"))</f>
        <v/>
      </c>
      <c r="F30" s="35" t="n"/>
      <c r="G30" s="39" t="n"/>
      <c r="H30" s="37" t="n"/>
      <c r="I30" s="36" t="n"/>
      <c r="J30" s="23">
        <f>IF(OR(G30="",I30=""),"",G30*I30)</f>
        <v/>
      </c>
      <c r="K30" s="35" t="n"/>
    </row>
    <row r="31">
      <c r="A31" s="41" t="n"/>
      <c r="B31" s="34" t="n"/>
      <c r="C31" s="34" t="n"/>
      <c r="D31" s="35" t="n"/>
      <c r="E31" s="22">
        <f>IF(D31="","",IFERROR(VLOOKUP(D31,Config!$F$6:$H$25,3,0),"Categoria inválida"))</f>
        <v/>
      </c>
      <c r="F31" s="35" t="n"/>
      <c r="G31" s="39" t="n"/>
      <c r="H31" s="37" t="n"/>
      <c r="I31" s="36" t="n"/>
      <c r="J31" s="23">
        <f>IF(OR(G31="",I31=""),"",G31*I31)</f>
        <v/>
      </c>
      <c r="K31" s="35" t="n"/>
    </row>
    <row r="32">
      <c r="A32" s="41" t="n"/>
      <c r="B32" s="34" t="n"/>
      <c r="C32" s="34" t="n"/>
      <c r="D32" s="35" t="n"/>
      <c r="E32" s="22">
        <f>IF(D32="","",IFERROR(VLOOKUP(D32,Config!$F$6:$H$25,3,0),"Categoria inválida"))</f>
        <v/>
      </c>
      <c r="F32" s="35" t="n"/>
      <c r="G32" s="39" t="n"/>
      <c r="H32" s="37" t="n"/>
      <c r="I32" s="36" t="n"/>
      <c r="J32" s="23">
        <f>IF(OR(G32="",I32=""),"",G32*I32)</f>
        <v/>
      </c>
      <c r="K32" s="35" t="n"/>
    </row>
    <row r="33">
      <c r="A33" s="41" t="n"/>
      <c r="B33" s="34" t="n"/>
      <c r="C33" s="34" t="n"/>
      <c r="D33" s="35" t="n"/>
      <c r="E33" s="22">
        <f>IF(D33="","",IFERROR(VLOOKUP(D33,Config!$F$6:$H$25,3,0),"Categoria inválida"))</f>
        <v/>
      </c>
      <c r="F33" s="35" t="n"/>
      <c r="G33" s="39" t="n"/>
      <c r="H33" s="37" t="n"/>
      <c r="I33" s="36" t="n"/>
      <c r="J33" s="23">
        <f>IF(OR(G33="",I33=""),"",G33*I33)</f>
        <v/>
      </c>
      <c r="K33" s="35" t="n"/>
    </row>
    <row r="34">
      <c r="A34" s="41" t="n"/>
      <c r="B34" s="34" t="n"/>
      <c r="C34" s="34" t="n"/>
      <c r="D34" s="35" t="n"/>
      <c r="E34" s="22">
        <f>IF(D34="","",IFERROR(VLOOKUP(D34,Config!$F$6:$H$25,3,0),"Categoria inválida"))</f>
        <v/>
      </c>
      <c r="F34" s="35" t="n"/>
      <c r="G34" s="39" t="n"/>
      <c r="H34" s="37" t="n"/>
      <c r="I34" s="36" t="n"/>
      <c r="J34" s="23">
        <f>IF(OR(G34="",I34=""),"",G34*I34)</f>
        <v/>
      </c>
      <c r="K34" s="35" t="n"/>
    </row>
    <row r="35">
      <c r="A35" s="41" t="n"/>
      <c r="B35" s="34" t="n"/>
      <c r="C35" s="34" t="n"/>
      <c r="D35" s="35" t="n"/>
      <c r="E35" s="22">
        <f>IF(D35="","",IFERROR(VLOOKUP(D35,Config!$F$6:$H$25,3,0),"Categoria inválida"))</f>
        <v/>
      </c>
      <c r="F35" s="35" t="n"/>
      <c r="G35" s="39" t="n"/>
      <c r="H35" s="37" t="n"/>
      <c r="I35" s="36" t="n"/>
      <c r="J35" s="23">
        <f>IF(OR(G35="",I35=""),"",G35*I35)</f>
        <v/>
      </c>
      <c r="K35" s="35" t="n"/>
    </row>
    <row r="36">
      <c r="A36" s="41" t="n"/>
      <c r="B36" s="34" t="n"/>
      <c r="C36" s="34" t="n"/>
      <c r="D36" s="35" t="n"/>
      <c r="E36" s="22">
        <f>IF(D36="","",IFERROR(VLOOKUP(D36,Config!$F$6:$H$25,3,0),"Categoria inválida"))</f>
        <v/>
      </c>
      <c r="F36" s="35" t="n"/>
      <c r="G36" s="39" t="n"/>
      <c r="H36" s="37" t="n"/>
      <c r="I36" s="36" t="n"/>
      <c r="J36" s="23">
        <f>IF(OR(G36="",I36=""),"",G36*I36)</f>
        <v/>
      </c>
      <c r="K36" s="35" t="n"/>
    </row>
    <row r="37">
      <c r="A37" s="41" t="n"/>
      <c r="B37" s="34" t="n"/>
      <c r="C37" s="34" t="n"/>
      <c r="D37" s="35" t="n"/>
      <c r="E37" s="22">
        <f>IF(D37="","",IFERROR(VLOOKUP(D37,Config!$F$6:$H$25,3,0),"Categoria inválida"))</f>
        <v/>
      </c>
      <c r="F37" s="35" t="n"/>
      <c r="G37" s="39" t="n"/>
      <c r="H37" s="37" t="n"/>
      <c r="I37" s="36" t="n"/>
      <c r="J37" s="23">
        <f>IF(OR(G37="",I37=""),"",G37*I37)</f>
        <v/>
      </c>
      <c r="K37" s="35" t="n"/>
    </row>
    <row r="38">
      <c r="A38" s="41" t="n"/>
      <c r="B38" s="34" t="n"/>
      <c r="C38" s="34" t="n"/>
      <c r="D38" s="35" t="n"/>
      <c r="E38" s="22">
        <f>IF(D38="","",IFERROR(VLOOKUP(D38,Config!$F$6:$H$25,3,0),"Categoria inválida"))</f>
        <v/>
      </c>
      <c r="F38" s="35" t="n"/>
      <c r="G38" s="39" t="n"/>
      <c r="H38" s="37" t="n"/>
      <c r="I38" s="36" t="n"/>
      <c r="J38" s="23">
        <f>IF(OR(G38="",I38=""),"",G38*I38)</f>
        <v/>
      </c>
      <c r="K38" s="35" t="n"/>
    </row>
    <row r="39">
      <c r="A39" s="41" t="n"/>
      <c r="B39" s="34" t="n"/>
      <c r="C39" s="34" t="n"/>
      <c r="D39" s="35" t="n"/>
      <c r="E39" s="22">
        <f>IF(D39="","",IFERROR(VLOOKUP(D39,Config!$F$6:$H$25,3,0),"Categoria inválida"))</f>
        <v/>
      </c>
      <c r="F39" s="35" t="n"/>
      <c r="G39" s="39" t="n"/>
      <c r="H39" s="37" t="n"/>
      <c r="I39" s="36" t="n"/>
      <c r="J39" s="23">
        <f>IF(OR(G39="",I39=""),"",G39*I39)</f>
        <v/>
      </c>
      <c r="K39" s="35" t="n"/>
    </row>
    <row r="40">
      <c r="A40" s="41" t="n"/>
      <c r="B40" s="34" t="n"/>
      <c r="C40" s="34" t="n"/>
      <c r="D40" s="35" t="n"/>
      <c r="E40" s="22">
        <f>IF(D40="","",IFERROR(VLOOKUP(D40,Config!$F$6:$H$25,3,0),"Categoria inválida"))</f>
        <v/>
      </c>
      <c r="F40" s="35" t="n"/>
      <c r="G40" s="39" t="n"/>
      <c r="H40" s="37" t="n"/>
      <c r="I40" s="36" t="n"/>
      <c r="J40" s="23">
        <f>IF(OR(G40="",I40=""),"",G40*I40)</f>
        <v/>
      </c>
      <c r="K40" s="35" t="n"/>
    </row>
    <row r="41">
      <c r="A41" s="41" t="n"/>
      <c r="B41" s="34" t="n"/>
      <c r="C41" s="34" t="n"/>
      <c r="D41" s="35" t="n"/>
      <c r="E41" s="22">
        <f>IF(D41="","",IFERROR(VLOOKUP(D41,Config!$F$6:$H$25,3,0),"Categoria inválida"))</f>
        <v/>
      </c>
      <c r="F41" s="35" t="n"/>
      <c r="G41" s="39" t="n"/>
      <c r="H41" s="37" t="n"/>
      <c r="I41" s="36" t="n"/>
      <c r="J41" s="23">
        <f>IF(OR(G41="",I41=""),"",G41*I41)</f>
        <v/>
      </c>
      <c r="K41" s="35" t="n"/>
    </row>
    <row r="42">
      <c r="A42" s="41" t="n"/>
      <c r="B42" s="34" t="n"/>
      <c r="C42" s="34" t="n"/>
      <c r="D42" s="35" t="n"/>
      <c r="E42" s="22">
        <f>IF(D42="","",IFERROR(VLOOKUP(D42,Config!$F$6:$H$25,3,0),"Categoria inválida"))</f>
        <v/>
      </c>
      <c r="F42" s="35" t="n"/>
      <c r="G42" s="39" t="n"/>
      <c r="H42" s="37" t="n"/>
      <c r="I42" s="36" t="n"/>
      <c r="J42" s="23">
        <f>IF(OR(G42="",I42=""),"",G42*I42)</f>
        <v/>
      </c>
      <c r="K42" s="35" t="n"/>
    </row>
    <row r="43">
      <c r="A43" s="41" t="n"/>
      <c r="B43" s="34" t="n"/>
      <c r="C43" s="34" t="n"/>
      <c r="D43" s="35" t="n"/>
      <c r="E43" s="22">
        <f>IF(D43="","",IFERROR(VLOOKUP(D43,Config!$F$6:$H$25,3,0),"Categoria inválida"))</f>
        <v/>
      </c>
      <c r="F43" s="35" t="n"/>
      <c r="G43" s="39" t="n"/>
      <c r="H43" s="37" t="n"/>
      <c r="I43" s="36" t="n"/>
      <c r="J43" s="23">
        <f>IF(OR(G43="",I43=""),"",G43*I43)</f>
        <v/>
      </c>
      <c r="K43" s="35" t="n"/>
    </row>
    <row r="44">
      <c r="A44" s="41" t="n"/>
      <c r="B44" s="34" t="n"/>
      <c r="C44" s="34" t="n"/>
      <c r="D44" s="35" t="n"/>
      <c r="E44" s="22">
        <f>IF(D44="","",IFERROR(VLOOKUP(D44,Config!$F$6:$H$25,3,0),"Categoria inválida"))</f>
        <v/>
      </c>
      <c r="F44" s="35" t="n"/>
      <c r="G44" s="39" t="n"/>
      <c r="H44" s="37" t="n"/>
      <c r="I44" s="36" t="n"/>
      <c r="J44" s="23">
        <f>IF(OR(G44="",I44=""),"",G44*I44)</f>
        <v/>
      </c>
      <c r="K44" s="35" t="n"/>
    </row>
    <row r="45">
      <c r="A45" s="41" t="n"/>
      <c r="B45" s="34" t="n"/>
      <c r="C45" s="34" t="n"/>
      <c r="D45" s="35" t="n"/>
      <c r="E45" s="22">
        <f>IF(D45="","",IFERROR(VLOOKUP(D45,Config!$F$6:$H$25,3,0),"Categoria inválida"))</f>
        <v/>
      </c>
      <c r="F45" s="35" t="n"/>
      <c r="G45" s="39" t="n"/>
      <c r="H45" s="37" t="n"/>
      <c r="I45" s="36" t="n"/>
      <c r="J45" s="23">
        <f>IF(OR(G45="",I45=""),"",G45*I45)</f>
        <v/>
      </c>
      <c r="K45" s="35" t="n"/>
    </row>
    <row r="46">
      <c r="A46" s="41" t="n"/>
      <c r="B46" s="34" t="n"/>
      <c r="C46" s="34" t="n"/>
      <c r="D46" s="35" t="n"/>
      <c r="E46" s="22">
        <f>IF(D46="","",IFERROR(VLOOKUP(D46,Config!$F$6:$H$25,3,0),"Categoria inválida"))</f>
        <v/>
      </c>
      <c r="F46" s="35" t="n"/>
      <c r="G46" s="39" t="n"/>
      <c r="H46" s="37" t="n"/>
      <c r="I46" s="36" t="n"/>
      <c r="J46" s="23">
        <f>IF(OR(G46="",I46=""),"",G46*I46)</f>
        <v/>
      </c>
      <c r="K46" s="35" t="n"/>
    </row>
    <row r="47">
      <c r="A47" s="41" t="n"/>
      <c r="B47" s="34" t="n"/>
      <c r="C47" s="34" t="n"/>
      <c r="D47" s="35" t="n"/>
      <c r="E47" s="22">
        <f>IF(D47="","",IFERROR(VLOOKUP(D47,Config!$F$6:$H$25,3,0),"Categoria inválida"))</f>
        <v/>
      </c>
      <c r="F47" s="35" t="n"/>
      <c r="G47" s="39" t="n"/>
      <c r="H47" s="37" t="n"/>
      <c r="I47" s="36" t="n"/>
      <c r="J47" s="23">
        <f>IF(OR(G47="",I47=""),"",G47*I47)</f>
        <v/>
      </c>
      <c r="K47" s="35" t="n"/>
    </row>
    <row r="48">
      <c r="A48" s="41" t="n"/>
      <c r="B48" s="34" t="n"/>
      <c r="C48" s="34" t="n"/>
      <c r="D48" s="35" t="n"/>
      <c r="E48" s="22">
        <f>IF(D48="","",IFERROR(VLOOKUP(D48,Config!$F$6:$H$25,3,0),"Categoria inválida"))</f>
        <v/>
      </c>
      <c r="F48" s="35" t="n"/>
      <c r="G48" s="39" t="n"/>
      <c r="H48" s="37" t="n"/>
      <c r="I48" s="36" t="n"/>
      <c r="J48" s="23">
        <f>IF(OR(G48="",I48=""),"",G48*I48)</f>
        <v/>
      </c>
      <c r="K48" s="35" t="n"/>
    </row>
    <row r="49">
      <c r="A49" s="41" t="n"/>
      <c r="B49" s="34" t="n"/>
      <c r="C49" s="34" t="n"/>
      <c r="D49" s="35" t="n"/>
      <c r="E49" s="22">
        <f>IF(D49="","",IFERROR(VLOOKUP(D49,Config!$F$6:$H$25,3,0),"Categoria inválida"))</f>
        <v/>
      </c>
      <c r="F49" s="35" t="n"/>
      <c r="G49" s="39" t="n"/>
      <c r="H49" s="37" t="n"/>
      <c r="I49" s="36" t="n"/>
      <c r="J49" s="23">
        <f>IF(OR(G49="",I49=""),"",G49*I49)</f>
        <v/>
      </c>
      <c r="K49" s="35" t="n"/>
    </row>
    <row r="50">
      <c r="A50" s="41" t="n"/>
      <c r="B50" s="34" t="n"/>
      <c r="C50" s="34" t="n"/>
      <c r="D50" s="35" t="n"/>
      <c r="E50" s="22">
        <f>IF(D50="","",IFERROR(VLOOKUP(D50,Config!$F$6:$H$25,3,0),"Categoria inválida"))</f>
        <v/>
      </c>
      <c r="F50" s="35" t="n"/>
      <c r="G50" s="39" t="n"/>
      <c r="H50" s="37" t="n"/>
      <c r="I50" s="36" t="n"/>
      <c r="J50" s="23">
        <f>IF(OR(G50="",I50=""),"",G50*I50)</f>
        <v/>
      </c>
      <c r="K50" s="35" t="n"/>
    </row>
    <row r="51">
      <c r="A51" s="41" t="n"/>
      <c r="B51" s="34" t="n"/>
      <c r="C51" s="34" t="n"/>
      <c r="D51" s="35" t="n"/>
      <c r="E51" s="22">
        <f>IF(D51="","",IFERROR(VLOOKUP(D51,Config!$F$6:$H$25,3,0),"Categoria inválida"))</f>
        <v/>
      </c>
      <c r="F51" s="35" t="n"/>
      <c r="G51" s="39" t="n"/>
      <c r="H51" s="37" t="n"/>
      <c r="I51" s="36" t="n"/>
      <c r="J51" s="23">
        <f>IF(OR(G51="",I51=""),"",G51*I51)</f>
        <v/>
      </c>
      <c r="K51" s="35" t="n"/>
    </row>
    <row r="52">
      <c r="A52" s="41" t="n"/>
      <c r="B52" s="34" t="n"/>
      <c r="C52" s="34" t="n"/>
      <c r="D52" s="35" t="n"/>
      <c r="E52" s="22">
        <f>IF(D52="","",IFERROR(VLOOKUP(D52,Config!$F$6:$H$25,3,0),"Categoria inválida"))</f>
        <v/>
      </c>
      <c r="F52" s="35" t="n"/>
      <c r="G52" s="39" t="n"/>
      <c r="H52" s="37" t="n"/>
      <c r="I52" s="36" t="n"/>
      <c r="J52" s="23">
        <f>IF(OR(G52="",I52=""),"",G52*I52)</f>
        <v/>
      </c>
      <c r="K52" s="35" t="n"/>
    </row>
    <row r="53">
      <c r="A53" s="41" t="n"/>
      <c r="B53" s="34" t="n"/>
      <c r="C53" s="34" t="n"/>
      <c r="D53" s="35" t="n"/>
      <c r="E53" s="22">
        <f>IF(D53="","",IFERROR(VLOOKUP(D53,Config!$F$6:$H$25,3,0),"Categoria inválida"))</f>
        <v/>
      </c>
      <c r="F53" s="35" t="n"/>
      <c r="G53" s="39" t="n"/>
      <c r="H53" s="37" t="n"/>
      <c r="I53" s="36" t="n"/>
      <c r="J53" s="23">
        <f>IF(OR(G53="",I53=""),"",G53*I53)</f>
        <v/>
      </c>
      <c r="K53" s="35" t="n"/>
    </row>
    <row r="54">
      <c r="A54" s="41" t="n"/>
      <c r="B54" s="34" t="n"/>
      <c r="C54" s="34" t="n"/>
      <c r="D54" s="35" t="n"/>
      <c r="E54" s="22">
        <f>IF(D54="","",IFERROR(VLOOKUP(D54,Config!$F$6:$H$25,3,0),"Categoria inválida"))</f>
        <v/>
      </c>
      <c r="F54" s="35" t="n"/>
      <c r="G54" s="39" t="n"/>
      <c r="H54" s="37" t="n"/>
      <c r="I54" s="36" t="n"/>
      <c r="J54" s="23">
        <f>IF(OR(G54="",I54=""),"",G54*I54)</f>
        <v/>
      </c>
      <c r="K54" s="35" t="n"/>
    </row>
    <row r="55">
      <c r="A55" s="41" t="n"/>
      <c r="B55" s="34" t="n"/>
      <c r="C55" s="34" t="n"/>
      <c r="D55" s="35" t="n"/>
      <c r="E55" s="22">
        <f>IF(D55="","",IFERROR(VLOOKUP(D55,Config!$F$6:$H$25,3,0),"Categoria inválida"))</f>
        <v/>
      </c>
      <c r="F55" s="35" t="n"/>
      <c r="G55" s="39" t="n"/>
      <c r="H55" s="37" t="n"/>
      <c r="I55" s="36" t="n"/>
      <c r="J55" s="23">
        <f>IF(OR(G55="",I55=""),"",G55*I55)</f>
        <v/>
      </c>
      <c r="K55" s="35" t="n"/>
    </row>
    <row r="56">
      <c r="A56" s="41" t="n"/>
      <c r="B56" s="34" t="n"/>
      <c r="C56" s="34" t="n"/>
      <c r="D56" s="35" t="n"/>
      <c r="E56" s="22">
        <f>IF(D56="","",IFERROR(VLOOKUP(D56,Config!$F$6:$H$25,3,0),"Categoria inválida"))</f>
        <v/>
      </c>
      <c r="F56" s="35" t="n"/>
      <c r="G56" s="39" t="n"/>
      <c r="H56" s="37" t="n"/>
      <c r="I56" s="36" t="n"/>
      <c r="J56" s="23">
        <f>IF(OR(G56="",I56=""),"",G56*I56)</f>
        <v/>
      </c>
      <c r="K56" s="35" t="n"/>
    </row>
    <row r="57">
      <c r="A57" s="41" t="n"/>
      <c r="B57" s="34" t="n"/>
      <c r="C57" s="34" t="n"/>
      <c r="D57" s="35" t="n"/>
      <c r="E57" s="22">
        <f>IF(D57="","",IFERROR(VLOOKUP(D57,Config!$F$6:$H$25,3,0),"Categoria inválida"))</f>
        <v/>
      </c>
      <c r="F57" s="35" t="n"/>
      <c r="G57" s="39" t="n"/>
      <c r="H57" s="37" t="n"/>
      <c r="I57" s="36" t="n"/>
      <c r="J57" s="23">
        <f>IF(OR(G57="",I57=""),"",G57*I57)</f>
        <v/>
      </c>
      <c r="K57" s="35" t="n"/>
    </row>
    <row r="58">
      <c r="A58" s="41" t="n"/>
      <c r="B58" s="34" t="n"/>
      <c r="C58" s="34" t="n"/>
      <c r="D58" s="35" t="n"/>
      <c r="E58" s="22">
        <f>IF(D58="","",IFERROR(VLOOKUP(D58,Config!$F$6:$H$25,3,0),"Categoria inválida"))</f>
        <v/>
      </c>
      <c r="F58" s="35" t="n"/>
      <c r="G58" s="39" t="n"/>
      <c r="H58" s="37" t="n"/>
      <c r="I58" s="36" t="n"/>
      <c r="J58" s="23">
        <f>IF(OR(G58="",I58=""),"",G58*I58)</f>
        <v/>
      </c>
      <c r="K58" s="35" t="n"/>
    </row>
    <row r="59">
      <c r="A59" s="41" t="n"/>
      <c r="B59" s="34" t="n"/>
      <c r="C59" s="34" t="n"/>
      <c r="D59" s="35" t="n"/>
      <c r="E59" s="22">
        <f>IF(D59="","",IFERROR(VLOOKUP(D59,Config!$F$6:$H$25,3,0),"Categoria inválida"))</f>
        <v/>
      </c>
      <c r="F59" s="35" t="n"/>
      <c r="G59" s="39" t="n"/>
      <c r="H59" s="37" t="n"/>
      <c r="I59" s="36" t="n"/>
      <c r="J59" s="23">
        <f>IF(OR(G59="",I59=""),"",G59*I59)</f>
        <v/>
      </c>
      <c r="K59" s="35" t="n"/>
    </row>
    <row r="60">
      <c r="A60" s="41" t="n"/>
      <c r="B60" s="34" t="n"/>
      <c r="C60" s="34" t="n"/>
      <c r="D60" s="35" t="n"/>
      <c r="E60" s="22">
        <f>IF(D60="","",IFERROR(VLOOKUP(D60,Config!$F$6:$H$25,3,0),"Categoria inválida"))</f>
        <v/>
      </c>
      <c r="F60" s="35" t="n"/>
      <c r="G60" s="39" t="n"/>
      <c r="H60" s="37" t="n"/>
      <c r="I60" s="36" t="n"/>
      <c r="J60" s="23">
        <f>IF(OR(G60="",I60=""),"",G60*I60)</f>
        <v/>
      </c>
      <c r="K60" s="35" t="n"/>
    </row>
    <row r="61">
      <c r="A61" s="41" t="n"/>
      <c r="B61" s="34" t="n"/>
      <c r="C61" s="34" t="n"/>
      <c r="D61" s="35" t="n"/>
      <c r="E61" s="22">
        <f>IF(D61="","",IFERROR(VLOOKUP(D61,Config!$F$6:$H$25,3,0),"Categoria inválida"))</f>
        <v/>
      </c>
      <c r="F61" s="35" t="n"/>
      <c r="G61" s="39" t="n"/>
      <c r="H61" s="37" t="n"/>
      <c r="I61" s="36" t="n"/>
      <c r="J61" s="23">
        <f>IF(OR(G61="",I61=""),"",G61*I61)</f>
        <v/>
      </c>
      <c r="K61" s="35" t="n"/>
    </row>
    <row r="62">
      <c r="A62" s="41" t="n"/>
      <c r="B62" s="34" t="n"/>
      <c r="C62" s="34" t="n"/>
      <c r="D62" s="35" t="n"/>
      <c r="E62" s="22">
        <f>IF(D62="","",IFERROR(VLOOKUP(D62,Config!$F$6:$H$25,3,0),"Categoria inválida"))</f>
        <v/>
      </c>
      <c r="F62" s="35" t="n"/>
      <c r="G62" s="39" t="n"/>
      <c r="H62" s="37" t="n"/>
      <c r="I62" s="36" t="n"/>
      <c r="J62" s="23">
        <f>IF(OR(G62="",I62=""),"",G62*I62)</f>
        <v/>
      </c>
      <c r="K62" s="35" t="n"/>
    </row>
    <row r="63">
      <c r="A63" s="41" t="n"/>
      <c r="B63" s="34" t="n"/>
      <c r="C63" s="34" t="n"/>
      <c r="D63" s="35" t="n"/>
      <c r="E63" s="22">
        <f>IF(D63="","",IFERROR(VLOOKUP(D63,Config!$F$6:$H$25,3,0),"Categoria inválida"))</f>
        <v/>
      </c>
      <c r="F63" s="35" t="n"/>
      <c r="G63" s="39" t="n"/>
      <c r="H63" s="37" t="n"/>
      <c r="I63" s="36" t="n"/>
      <c r="J63" s="23">
        <f>IF(OR(G63="",I63=""),"",G63*I63)</f>
        <v/>
      </c>
      <c r="K63" s="35" t="n"/>
    </row>
    <row r="64">
      <c r="A64" s="41" t="n"/>
      <c r="B64" s="34" t="n"/>
      <c r="C64" s="34" t="n"/>
      <c r="D64" s="35" t="n"/>
      <c r="E64" s="22">
        <f>IF(D64="","",IFERROR(VLOOKUP(D64,Config!$F$6:$H$25,3,0),"Categoria inválida"))</f>
        <v/>
      </c>
      <c r="F64" s="35" t="n"/>
      <c r="G64" s="39" t="n"/>
      <c r="H64" s="37" t="n"/>
      <c r="I64" s="36" t="n"/>
      <c r="J64" s="23">
        <f>IF(OR(G64="",I64=""),"",G64*I64)</f>
        <v/>
      </c>
      <c r="K64" s="35" t="n"/>
    </row>
    <row r="65">
      <c r="A65" s="41" t="n"/>
      <c r="B65" s="34" t="n"/>
      <c r="C65" s="34" t="n"/>
      <c r="D65" s="35" t="n"/>
      <c r="E65" s="22">
        <f>IF(D65="","",IFERROR(VLOOKUP(D65,Config!$F$6:$H$25,3,0),"Categoria inválida"))</f>
        <v/>
      </c>
      <c r="F65" s="35" t="n"/>
      <c r="G65" s="39" t="n"/>
      <c r="H65" s="37" t="n"/>
      <c r="I65" s="36" t="n"/>
      <c r="J65" s="23">
        <f>IF(OR(G65="",I65=""),"",G65*I65)</f>
        <v/>
      </c>
      <c r="K65" s="35" t="n"/>
    </row>
    <row r="66">
      <c r="A66" s="41" t="n"/>
      <c r="B66" s="34" t="n"/>
      <c r="C66" s="34" t="n"/>
      <c r="D66" s="35" t="n"/>
      <c r="E66" s="22">
        <f>IF(D66="","",IFERROR(VLOOKUP(D66,Config!$F$6:$H$25,3,0),"Categoria inválida"))</f>
        <v/>
      </c>
      <c r="F66" s="35" t="n"/>
      <c r="G66" s="39" t="n"/>
      <c r="H66" s="37" t="n"/>
      <c r="I66" s="36" t="n"/>
      <c r="J66" s="23">
        <f>IF(OR(G66="",I66=""),"",G66*I66)</f>
        <v/>
      </c>
      <c r="K66" s="35" t="n"/>
    </row>
    <row r="67">
      <c r="A67" s="41" t="n"/>
      <c r="B67" s="34" t="n"/>
      <c r="C67" s="34" t="n"/>
      <c r="D67" s="35" t="n"/>
      <c r="E67" s="22">
        <f>IF(D67="","",IFERROR(VLOOKUP(D67,Config!$F$6:$H$25,3,0),"Categoria inválida"))</f>
        <v/>
      </c>
      <c r="F67" s="35" t="n"/>
      <c r="G67" s="39" t="n"/>
      <c r="H67" s="37" t="n"/>
      <c r="I67" s="36" t="n"/>
      <c r="J67" s="23">
        <f>IF(OR(G67="",I67=""),"",G67*I67)</f>
        <v/>
      </c>
      <c r="K67" s="35" t="n"/>
    </row>
    <row r="68">
      <c r="A68" s="41" t="n"/>
      <c r="B68" s="34" t="n"/>
      <c r="C68" s="34" t="n"/>
      <c r="D68" s="35" t="n"/>
      <c r="E68" s="22">
        <f>IF(D68="","",IFERROR(VLOOKUP(D68,Config!$F$6:$H$25,3,0),"Categoria inválida"))</f>
        <v/>
      </c>
      <c r="F68" s="35" t="n"/>
      <c r="G68" s="39" t="n"/>
      <c r="H68" s="37" t="n"/>
      <c r="I68" s="36" t="n"/>
      <c r="J68" s="23">
        <f>IF(OR(G68="",I68=""),"",G68*I68)</f>
        <v/>
      </c>
      <c r="K68" s="35" t="n"/>
    </row>
    <row r="69">
      <c r="A69" s="41" t="n"/>
      <c r="B69" s="34" t="n"/>
      <c r="C69" s="34" t="n"/>
      <c r="D69" s="35" t="n"/>
      <c r="E69" s="22">
        <f>IF(D69="","",IFERROR(VLOOKUP(D69,Config!$F$6:$H$25,3,0),"Categoria inválida"))</f>
        <v/>
      </c>
      <c r="F69" s="35" t="n"/>
      <c r="G69" s="39" t="n"/>
      <c r="H69" s="37" t="n"/>
      <c r="I69" s="36" t="n"/>
      <c r="J69" s="23">
        <f>IF(OR(G69="",I69=""),"",G69*I69)</f>
        <v/>
      </c>
      <c r="K69" s="35" t="n"/>
    </row>
    <row r="70">
      <c r="A70" s="41" t="n"/>
      <c r="B70" s="34" t="n"/>
      <c r="C70" s="34" t="n"/>
      <c r="D70" s="35" t="n"/>
      <c r="E70" s="22">
        <f>IF(D70="","",IFERROR(VLOOKUP(D70,Config!$F$6:$H$25,3,0),"Categoria inválida"))</f>
        <v/>
      </c>
      <c r="F70" s="35" t="n"/>
      <c r="G70" s="39" t="n"/>
      <c r="H70" s="37" t="n"/>
      <c r="I70" s="36" t="n"/>
      <c r="J70" s="23">
        <f>IF(OR(G70="",I70=""),"",G70*I70)</f>
        <v/>
      </c>
      <c r="K70" s="35" t="n"/>
    </row>
    <row r="71">
      <c r="A71" s="41" t="n"/>
      <c r="B71" s="34" t="n"/>
      <c r="C71" s="34" t="n"/>
      <c r="D71" s="35" t="n"/>
      <c r="E71" s="22">
        <f>IF(D71="","",IFERROR(VLOOKUP(D71,Config!$F$6:$H$25,3,0),"Categoria inválida"))</f>
        <v/>
      </c>
      <c r="F71" s="35" t="n"/>
      <c r="G71" s="39" t="n"/>
      <c r="H71" s="37" t="n"/>
      <c r="I71" s="36" t="n"/>
      <c r="J71" s="23">
        <f>IF(OR(G71="",I71=""),"",G71*I71)</f>
        <v/>
      </c>
      <c r="K71" s="35" t="n"/>
    </row>
    <row r="72">
      <c r="A72" s="41" t="n"/>
      <c r="B72" s="34" t="n"/>
      <c r="C72" s="34" t="n"/>
      <c r="D72" s="35" t="n"/>
      <c r="E72" s="22">
        <f>IF(D72="","",IFERROR(VLOOKUP(D72,Config!$F$6:$H$25,3,0),"Categoria inválida"))</f>
        <v/>
      </c>
      <c r="F72" s="35" t="n"/>
      <c r="G72" s="39" t="n"/>
      <c r="H72" s="37" t="n"/>
      <c r="I72" s="36" t="n"/>
      <c r="J72" s="23">
        <f>IF(OR(G72="",I72=""),"",G72*I72)</f>
        <v/>
      </c>
      <c r="K72" s="35" t="n"/>
    </row>
    <row r="73">
      <c r="A73" s="41" t="n"/>
      <c r="B73" s="34" t="n"/>
      <c r="C73" s="34" t="n"/>
      <c r="D73" s="35" t="n"/>
      <c r="E73" s="22">
        <f>IF(D73="","",IFERROR(VLOOKUP(D73,Config!$F$6:$H$25,3,0),"Categoria inválida"))</f>
        <v/>
      </c>
      <c r="F73" s="35" t="n"/>
      <c r="G73" s="39" t="n"/>
      <c r="H73" s="37" t="n"/>
      <c r="I73" s="36" t="n"/>
      <c r="J73" s="23">
        <f>IF(OR(G73="",I73=""),"",G73*I73)</f>
        <v/>
      </c>
      <c r="K73" s="35" t="n"/>
    </row>
    <row r="74">
      <c r="A74" s="41" t="n"/>
      <c r="B74" s="34" t="n"/>
      <c r="C74" s="34" t="n"/>
      <c r="D74" s="35" t="n"/>
      <c r="E74" s="22">
        <f>IF(D74="","",IFERROR(VLOOKUP(D74,Config!$F$6:$H$25,3,0),"Categoria inválida"))</f>
        <v/>
      </c>
      <c r="F74" s="35" t="n"/>
      <c r="G74" s="39" t="n"/>
      <c r="H74" s="37" t="n"/>
      <c r="I74" s="36" t="n"/>
      <c r="J74" s="23">
        <f>IF(OR(G74="",I74=""),"",G74*I74)</f>
        <v/>
      </c>
      <c r="K74" s="35" t="n"/>
    </row>
    <row r="75">
      <c r="A75" s="41" t="n"/>
      <c r="B75" s="34" t="n"/>
      <c r="C75" s="34" t="n"/>
      <c r="D75" s="35" t="n"/>
      <c r="E75" s="22">
        <f>IF(D75="","",IFERROR(VLOOKUP(D75,Config!$F$6:$H$25,3,0),"Categoria inválida"))</f>
        <v/>
      </c>
      <c r="F75" s="35" t="n"/>
      <c r="G75" s="39" t="n"/>
      <c r="H75" s="37" t="n"/>
      <c r="I75" s="36" t="n"/>
      <c r="J75" s="23">
        <f>IF(OR(G75="",I75=""),"",G75*I75)</f>
        <v/>
      </c>
      <c r="K75" s="35" t="n"/>
    </row>
    <row r="76">
      <c r="A76" s="41" t="n"/>
      <c r="B76" s="34" t="n"/>
      <c r="C76" s="34" t="n"/>
      <c r="D76" s="35" t="n"/>
      <c r="E76" s="22">
        <f>IF(D76="","",IFERROR(VLOOKUP(D76,Config!$F$6:$H$25,3,0),"Categoria inválida"))</f>
        <v/>
      </c>
      <c r="F76" s="35" t="n"/>
      <c r="G76" s="39" t="n"/>
      <c r="H76" s="37" t="n"/>
      <c r="I76" s="36" t="n"/>
      <c r="J76" s="23">
        <f>IF(OR(G76="",I76=""),"",G76*I76)</f>
        <v/>
      </c>
      <c r="K76" s="35" t="n"/>
    </row>
    <row r="77">
      <c r="A77" s="41" t="n"/>
      <c r="B77" s="34" t="n"/>
      <c r="C77" s="34" t="n"/>
      <c r="D77" s="35" t="n"/>
      <c r="E77" s="22">
        <f>IF(D77="","",IFERROR(VLOOKUP(D77,Config!$F$6:$H$25,3,0),"Categoria inválida"))</f>
        <v/>
      </c>
      <c r="F77" s="35" t="n"/>
      <c r="G77" s="39" t="n"/>
      <c r="H77" s="37" t="n"/>
      <c r="I77" s="36" t="n"/>
      <c r="J77" s="23">
        <f>IF(OR(G77="",I77=""),"",G77*I77)</f>
        <v/>
      </c>
      <c r="K77" s="35" t="n"/>
    </row>
    <row r="78">
      <c r="A78" s="41" t="n"/>
      <c r="B78" s="34" t="n"/>
      <c r="C78" s="34" t="n"/>
      <c r="D78" s="35" t="n"/>
      <c r="E78" s="22">
        <f>IF(D78="","",IFERROR(VLOOKUP(D78,Config!$F$6:$H$25,3,0),"Categoria inválida"))</f>
        <v/>
      </c>
      <c r="F78" s="35" t="n"/>
      <c r="G78" s="39" t="n"/>
      <c r="H78" s="37" t="n"/>
      <c r="I78" s="36" t="n"/>
      <c r="J78" s="23">
        <f>IF(OR(G78="",I78=""),"",G78*I78)</f>
        <v/>
      </c>
      <c r="K78" s="35" t="n"/>
    </row>
    <row r="79">
      <c r="A79" s="41" t="n"/>
      <c r="B79" s="34" t="n"/>
      <c r="C79" s="34" t="n"/>
      <c r="D79" s="35" t="n"/>
      <c r="E79" s="22">
        <f>IF(D79="","",IFERROR(VLOOKUP(D79,Config!$F$6:$H$25,3,0),"Categoria inválida"))</f>
        <v/>
      </c>
      <c r="F79" s="35" t="n"/>
      <c r="G79" s="39" t="n"/>
      <c r="H79" s="37" t="n"/>
      <c r="I79" s="36" t="n"/>
      <c r="J79" s="23">
        <f>IF(OR(G79="",I79=""),"",G79*I79)</f>
        <v/>
      </c>
      <c r="K79" s="35" t="n"/>
    </row>
    <row r="80">
      <c r="A80" s="41" t="n"/>
      <c r="B80" s="34" t="n"/>
      <c r="C80" s="34" t="n"/>
      <c r="D80" s="35" t="n"/>
      <c r="E80" s="22">
        <f>IF(D80="","",IFERROR(VLOOKUP(D80,Config!$F$6:$H$25,3,0),"Categoria inválida"))</f>
        <v/>
      </c>
      <c r="F80" s="35" t="n"/>
      <c r="G80" s="39" t="n"/>
      <c r="H80" s="37" t="n"/>
      <c r="I80" s="36" t="n"/>
      <c r="J80" s="23">
        <f>IF(OR(G80="",I80=""),"",G80*I80)</f>
        <v/>
      </c>
      <c r="K80" s="35" t="n"/>
    </row>
    <row r="81">
      <c r="A81" s="41" t="n"/>
      <c r="B81" s="34" t="n"/>
      <c r="C81" s="34" t="n"/>
      <c r="D81" s="35" t="n"/>
      <c r="E81" s="22">
        <f>IF(D81="","",IFERROR(VLOOKUP(D81,Config!$F$6:$H$25,3,0),"Categoria inválida"))</f>
        <v/>
      </c>
      <c r="F81" s="35" t="n"/>
      <c r="G81" s="39" t="n"/>
      <c r="H81" s="37" t="n"/>
      <c r="I81" s="36" t="n"/>
      <c r="J81" s="23">
        <f>IF(OR(G81="",I81=""),"",G81*I81)</f>
        <v/>
      </c>
      <c r="K81" s="35" t="n"/>
    </row>
    <row r="82">
      <c r="A82" s="41" t="n"/>
      <c r="B82" s="34" t="n"/>
      <c r="C82" s="34" t="n"/>
      <c r="D82" s="35" t="n"/>
      <c r="E82" s="22">
        <f>IF(D82="","",IFERROR(VLOOKUP(D82,Config!$F$6:$H$25,3,0),"Categoria inválida"))</f>
        <v/>
      </c>
      <c r="F82" s="35" t="n"/>
      <c r="G82" s="39" t="n"/>
      <c r="H82" s="37" t="n"/>
      <c r="I82" s="36" t="n"/>
      <c r="J82" s="23">
        <f>IF(OR(G82="",I82=""),"",G82*I82)</f>
        <v/>
      </c>
      <c r="K82" s="35" t="n"/>
    </row>
    <row r="83">
      <c r="A83" s="41" t="n"/>
      <c r="B83" s="34" t="n"/>
      <c r="C83" s="34" t="n"/>
      <c r="D83" s="35" t="n"/>
      <c r="E83" s="22">
        <f>IF(D83="","",IFERROR(VLOOKUP(D83,Config!$F$6:$H$25,3,0),"Categoria inválida"))</f>
        <v/>
      </c>
      <c r="F83" s="35" t="n"/>
      <c r="G83" s="39" t="n"/>
      <c r="H83" s="37" t="n"/>
      <c r="I83" s="36" t="n"/>
      <c r="J83" s="23">
        <f>IF(OR(G83="",I83=""),"",G83*I83)</f>
        <v/>
      </c>
      <c r="K83" s="35" t="n"/>
    </row>
    <row r="84">
      <c r="A84" s="41" t="n"/>
      <c r="B84" s="34" t="n"/>
      <c r="C84" s="34" t="n"/>
      <c r="D84" s="35" t="n"/>
      <c r="E84" s="22">
        <f>IF(D84="","",IFERROR(VLOOKUP(D84,Config!$F$6:$H$25,3,0),"Categoria inválida"))</f>
        <v/>
      </c>
      <c r="F84" s="35" t="n"/>
      <c r="G84" s="39" t="n"/>
      <c r="H84" s="37" t="n"/>
      <c r="I84" s="36" t="n"/>
      <c r="J84" s="23">
        <f>IF(OR(G84="",I84=""),"",G84*I84)</f>
        <v/>
      </c>
      <c r="K84" s="35" t="n"/>
    </row>
    <row r="85">
      <c r="A85" s="41" t="n"/>
      <c r="B85" s="34" t="n"/>
      <c r="C85" s="34" t="n"/>
      <c r="D85" s="35" t="n"/>
      <c r="E85" s="22">
        <f>IF(D85="","",IFERROR(VLOOKUP(D85,Config!$F$6:$H$25,3,0),"Categoria inválida"))</f>
        <v/>
      </c>
      <c r="F85" s="35" t="n"/>
      <c r="G85" s="39" t="n"/>
      <c r="H85" s="37" t="n"/>
      <c r="I85" s="36" t="n"/>
      <c r="J85" s="23">
        <f>IF(OR(G85="",I85=""),"",G85*I85)</f>
        <v/>
      </c>
      <c r="K85" s="35" t="n"/>
    </row>
    <row r="86">
      <c r="A86" s="41" t="n"/>
      <c r="B86" s="34" t="n"/>
      <c r="C86" s="34" t="n"/>
      <c r="D86" s="35" t="n"/>
      <c r="E86" s="22">
        <f>IF(D86="","",IFERROR(VLOOKUP(D86,Config!$F$6:$H$25,3,0),"Categoria inválida"))</f>
        <v/>
      </c>
      <c r="F86" s="35" t="n"/>
      <c r="G86" s="39" t="n"/>
      <c r="H86" s="37" t="n"/>
      <c r="I86" s="36" t="n"/>
      <c r="J86" s="23">
        <f>IF(OR(G86="",I86=""),"",G86*I86)</f>
        <v/>
      </c>
      <c r="K86" s="35" t="n"/>
    </row>
    <row r="87">
      <c r="A87" s="41" t="n"/>
      <c r="B87" s="34" t="n"/>
      <c r="C87" s="34" t="n"/>
      <c r="D87" s="35" t="n"/>
      <c r="E87" s="22">
        <f>IF(D87="","",IFERROR(VLOOKUP(D87,Config!$F$6:$H$25,3,0),"Categoria inválida"))</f>
        <v/>
      </c>
      <c r="F87" s="35" t="n"/>
      <c r="G87" s="39" t="n"/>
      <c r="H87" s="37" t="n"/>
      <c r="I87" s="36" t="n"/>
      <c r="J87" s="23">
        <f>IF(OR(G87="",I87=""),"",G87*I87)</f>
        <v/>
      </c>
      <c r="K87" s="35" t="n"/>
    </row>
    <row r="88">
      <c r="A88" s="41" t="n"/>
      <c r="B88" s="34" t="n"/>
      <c r="C88" s="34" t="n"/>
      <c r="D88" s="35" t="n"/>
      <c r="E88" s="22">
        <f>IF(D88="","",IFERROR(VLOOKUP(D88,Config!$F$6:$H$25,3,0),"Categoria inválida"))</f>
        <v/>
      </c>
      <c r="F88" s="35" t="n"/>
      <c r="G88" s="39" t="n"/>
      <c r="H88" s="37" t="n"/>
      <c r="I88" s="36" t="n"/>
      <c r="J88" s="23">
        <f>IF(OR(G88="",I88=""),"",G88*I88)</f>
        <v/>
      </c>
      <c r="K88" s="35" t="n"/>
    </row>
    <row r="89">
      <c r="A89" s="41" t="n"/>
      <c r="B89" s="34" t="n"/>
      <c r="C89" s="34" t="n"/>
      <c r="D89" s="35" t="n"/>
      <c r="E89" s="22">
        <f>IF(D89="","",IFERROR(VLOOKUP(D89,Config!$F$6:$H$25,3,0),"Categoria inválida"))</f>
        <v/>
      </c>
      <c r="F89" s="35" t="n"/>
      <c r="G89" s="39" t="n"/>
      <c r="H89" s="37" t="n"/>
      <c r="I89" s="36" t="n"/>
      <c r="J89" s="23">
        <f>IF(OR(G89="",I89=""),"",G89*I89)</f>
        <v/>
      </c>
      <c r="K89" s="35" t="n"/>
    </row>
    <row r="90">
      <c r="A90" s="41" t="n"/>
      <c r="B90" s="34" t="n"/>
      <c r="C90" s="34" t="n"/>
      <c r="D90" s="35" t="n"/>
      <c r="E90" s="22">
        <f>IF(D90="","",IFERROR(VLOOKUP(D90,Config!$F$6:$H$25,3,0),"Categoria inválida"))</f>
        <v/>
      </c>
      <c r="F90" s="35" t="n"/>
      <c r="G90" s="39" t="n"/>
      <c r="H90" s="37" t="n"/>
      <c r="I90" s="36" t="n"/>
      <c r="J90" s="23">
        <f>IF(OR(G90="",I90=""),"",G90*I90)</f>
        <v/>
      </c>
      <c r="K90" s="35" t="n"/>
    </row>
    <row r="91">
      <c r="A91" s="41" t="n"/>
      <c r="B91" s="34" t="n"/>
      <c r="C91" s="34" t="n"/>
      <c r="D91" s="35" t="n"/>
      <c r="E91" s="22">
        <f>IF(D91="","",IFERROR(VLOOKUP(D91,Config!$F$6:$H$25,3,0),"Categoria inválida"))</f>
        <v/>
      </c>
      <c r="F91" s="35" t="n"/>
      <c r="G91" s="39" t="n"/>
      <c r="H91" s="37" t="n"/>
      <c r="I91" s="36" t="n"/>
      <c r="J91" s="23">
        <f>IF(OR(G91="",I91=""),"",G91*I91)</f>
        <v/>
      </c>
      <c r="K91" s="35" t="n"/>
    </row>
    <row r="92">
      <c r="A92" s="41" t="n"/>
      <c r="B92" s="34" t="n"/>
      <c r="C92" s="34" t="n"/>
      <c r="D92" s="35" t="n"/>
      <c r="E92" s="22">
        <f>IF(D92="","",IFERROR(VLOOKUP(D92,Config!$F$6:$H$25,3,0),"Categoria inválida"))</f>
        <v/>
      </c>
      <c r="F92" s="35" t="n"/>
      <c r="G92" s="39" t="n"/>
      <c r="H92" s="37" t="n"/>
      <c r="I92" s="36" t="n"/>
      <c r="J92" s="23">
        <f>IF(OR(G92="",I92=""),"",G92*I92)</f>
        <v/>
      </c>
      <c r="K92" s="35" t="n"/>
    </row>
    <row r="93">
      <c r="A93" s="41" t="n"/>
      <c r="B93" s="34" t="n"/>
      <c r="C93" s="34" t="n"/>
      <c r="D93" s="35" t="n"/>
      <c r="E93" s="22">
        <f>IF(D93="","",IFERROR(VLOOKUP(D93,Config!$F$6:$H$25,3,0),"Categoria inválida"))</f>
        <v/>
      </c>
      <c r="F93" s="35" t="n"/>
      <c r="G93" s="39" t="n"/>
      <c r="H93" s="37" t="n"/>
      <c r="I93" s="36" t="n"/>
      <c r="J93" s="23">
        <f>IF(OR(G93="",I93=""),"",G93*I93)</f>
        <v/>
      </c>
      <c r="K93" s="35" t="n"/>
    </row>
    <row r="94">
      <c r="A94" s="41" t="n"/>
      <c r="B94" s="34" t="n"/>
      <c r="C94" s="34" t="n"/>
      <c r="D94" s="35" t="n"/>
      <c r="E94" s="22">
        <f>IF(D94="","",IFERROR(VLOOKUP(D94,Config!$F$6:$H$25,3,0),"Categoria inválida"))</f>
        <v/>
      </c>
      <c r="F94" s="35" t="n"/>
      <c r="G94" s="39" t="n"/>
      <c r="H94" s="37" t="n"/>
      <c r="I94" s="36" t="n"/>
      <c r="J94" s="23">
        <f>IF(OR(G94="",I94=""),"",G94*I94)</f>
        <v/>
      </c>
      <c r="K94" s="35" t="n"/>
    </row>
    <row r="95">
      <c r="A95" s="41" t="n"/>
      <c r="B95" s="34" t="n"/>
      <c r="C95" s="34" t="n"/>
      <c r="D95" s="35" t="n"/>
      <c r="E95" s="22">
        <f>IF(D95="","",IFERROR(VLOOKUP(D95,Config!$F$6:$H$25,3,0),"Categoria inválida"))</f>
        <v/>
      </c>
      <c r="F95" s="35" t="n"/>
      <c r="G95" s="39" t="n"/>
      <c r="H95" s="37" t="n"/>
      <c r="I95" s="36" t="n"/>
      <c r="J95" s="23">
        <f>IF(OR(G95="",I95=""),"",G95*I95)</f>
        <v/>
      </c>
      <c r="K95" s="35" t="n"/>
    </row>
    <row r="96">
      <c r="A96" s="41" t="n"/>
      <c r="B96" s="34" t="n"/>
      <c r="C96" s="34" t="n"/>
      <c r="D96" s="35" t="n"/>
      <c r="E96" s="22">
        <f>IF(D96="","",IFERROR(VLOOKUP(D96,Config!$F$6:$H$25,3,0),"Categoria inválida"))</f>
        <v/>
      </c>
      <c r="F96" s="35" t="n"/>
      <c r="G96" s="39" t="n"/>
      <c r="H96" s="37" t="n"/>
      <c r="I96" s="36" t="n"/>
      <c r="J96" s="23">
        <f>IF(OR(G96="",I96=""),"",G96*I96)</f>
        <v/>
      </c>
      <c r="K96" s="35" t="n"/>
    </row>
    <row r="97">
      <c r="A97" s="41" t="n"/>
      <c r="B97" s="34" t="n"/>
      <c r="C97" s="34" t="n"/>
      <c r="D97" s="35" t="n"/>
      <c r="E97" s="22">
        <f>IF(D97="","",IFERROR(VLOOKUP(D97,Config!$F$6:$H$25,3,0),"Categoria inválida"))</f>
        <v/>
      </c>
      <c r="F97" s="35" t="n"/>
      <c r="G97" s="39" t="n"/>
      <c r="H97" s="37" t="n"/>
      <c r="I97" s="36" t="n"/>
      <c r="J97" s="23">
        <f>IF(OR(G97="",I97=""),"",G97*I97)</f>
        <v/>
      </c>
      <c r="K97" s="35" t="n"/>
    </row>
    <row r="98">
      <c r="A98" s="41" t="n"/>
      <c r="B98" s="34" t="n"/>
      <c r="C98" s="34" t="n"/>
      <c r="D98" s="35" t="n"/>
      <c r="E98" s="22">
        <f>IF(D98="","",IFERROR(VLOOKUP(D98,Config!$F$6:$H$25,3,0),"Categoria inválida"))</f>
        <v/>
      </c>
      <c r="F98" s="35" t="n"/>
      <c r="G98" s="39" t="n"/>
      <c r="H98" s="37" t="n"/>
      <c r="I98" s="36" t="n"/>
      <c r="J98" s="23">
        <f>IF(OR(G98="",I98=""),"",G98*I98)</f>
        <v/>
      </c>
      <c r="K98" s="35" t="n"/>
    </row>
    <row r="99">
      <c r="A99" s="41" t="n"/>
      <c r="B99" s="34" t="n"/>
      <c r="C99" s="34" t="n"/>
      <c r="D99" s="35" t="n"/>
      <c r="E99" s="22">
        <f>IF(D99="","",IFERROR(VLOOKUP(D99,Config!$F$6:$H$25,3,0),"Categoria inválida"))</f>
        <v/>
      </c>
      <c r="F99" s="35" t="n"/>
      <c r="G99" s="39" t="n"/>
      <c r="H99" s="37" t="n"/>
      <c r="I99" s="36" t="n"/>
      <c r="J99" s="23">
        <f>IF(OR(G99="",I99=""),"",G99*I99)</f>
        <v/>
      </c>
      <c r="K99" s="35" t="n"/>
    </row>
    <row r="100">
      <c r="A100" s="41" t="n"/>
      <c r="B100" s="34" t="n"/>
      <c r="C100" s="34" t="n"/>
      <c r="D100" s="35" t="n"/>
      <c r="E100" s="22">
        <f>IF(D100="","",IFERROR(VLOOKUP(D100,Config!$F$6:$H$25,3,0),"Categoria inválida"))</f>
        <v/>
      </c>
      <c r="F100" s="35" t="n"/>
      <c r="G100" s="39" t="n"/>
      <c r="H100" s="37" t="n"/>
      <c r="I100" s="36" t="n"/>
      <c r="J100" s="23">
        <f>IF(OR(G100="",I100=""),"",G100*I100)</f>
        <v/>
      </c>
      <c r="K100" s="35" t="n"/>
    </row>
    <row r="101">
      <c r="A101" s="41" t="n"/>
      <c r="B101" s="34" t="n"/>
      <c r="C101" s="34" t="n"/>
      <c r="D101" s="35" t="n"/>
      <c r="E101" s="22">
        <f>IF(D101="","",IFERROR(VLOOKUP(D101,Config!$F$6:$H$25,3,0),"Categoria inválida"))</f>
        <v/>
      </c>
      <c r="F101" s="35" t="n"/>
      <c r="G101" s="39" t="n"/>
      <c r="H101" s="37" t="n"/>
      <c r="I101" s="36" t="n"/>
      <c r="J101" s="23">
        <f>IF(OR(G101="",I101=""),"",G101*I101)</f>
        <v/>
      </c>
      <c r="K101" s="35" t="n"/>
    </row>
    <row r="102">
      <c r="A102" s="41" t="n"/>
      <c r="B102" s="34" t="n"/>
      <c r="C102" s="34" t="n"/>
      <c r="D102" s="35" t="n"/>
      <c r="E102" s="22">
        <f>IF(D102="","",IFERROR(VLOOKUP(D102,Config!$F$6:$H$25,3,0),"Categoria inválida"))</f>
        <v/>
      </c>
      <c r="F102" s="35" t="n"/>
      <c r="G102" s="39" t="n"/>
      <c r="H102" s="37" t="n"/>
      <c r="I102" s="36" t="n"/>
      <c r="J102" s="23">
        <f>IF(OR(G102="",I102=""),"",G102*I102)</f>
        <v/>
      </c>
      <c r="K102" s="35" t="n"/>
    </row>
    <row r="103">
      <c r="A103" s="41" t="n"/>
      <c r="B103" s="34" t="n"/>
      <c r="C103" s="34" t="n"/>
      <c r="D103" s="35" t="n"/>
      <c r="E103" s="22">
        <f>IF(D103="","",IFERROR(VLOOKUP(D103,Config!$F$6:$H$25,3,0),"Categoria inválida"))</f>
        <v/>
      </c>
      <c r="F103" s="35" t="n"/>
      <c r="G103" s="39" t="n"/>
      <c r="H103" s="37" t="n"/>
      <c r="I103" s="36" t="n"/>
      <c r="J103" s="23">
        <f>IF(OR(G103="",I103=""),"",G103*I103)</f>
        <v/>
      </c>
      <c r="K103" s="35" t="n"/>
    </row>
    <row r="104">
      <c r="A104" s="41" t="n"/>
      <c r="B104" s="34" t="n"/>
      <c r="C104" s="34" t="n"/>
      <c r="D104" s="35" t="n"/>
      <c r="E104" s="22">
        <f>IF(D104="","",IFERROR(VLOOKUP(D104,Config!$F$6:$H$25,3,0),"Categoria inválida"))</f>
        <v/>
      </c>
      <c r="F104" s="35" t="n"/>
      <c r="G104" s="39" t="n"/>
      <c r="H104" s="37" t="n"/>
      <c r="I104" s="36" t="n"/>
      <c r="J104" s="23">
        <f>IF(OR(G104="",I104=""),"",G104*I104)</f>
        <v/>
      </c>
      <c r="K104" s="35" t="n"/>
    </row>
    <row r="105">
      <c r="A105" s="41" t="n"/>
      <c r="B105" s="34" t="n"/>
      <c r="C105" s="34" t="n"/>
      <c r="D105" s="35" t="n"/>
      <c r="E105" s="22">
        <f>IF(D105="","",IFERROR(VLOOKUP(D105,Config!$F$6:$H$25,3,0),"Categoria inválida"))</f>
        <v/>
      </c>
      <c r="F105" s="35" t="n"/>
      <c r="G105" s="39" t="n"/>
      <c r="H105" s="37" t="n"/>
      <c r="I105" s="36" t="n"/>
      <c r="J105" s="23">
        <f>IF(OR(G105="",I105=""),"",G105*I105)</f>
        <v/>
      </c>
      <c r="K105" s="35" t="n"/>
    </row>
    <row r="106">
      <c r="A106" s="41" t="n"/>
      <c r="B106" s="34" t="n"/>
      <c r="C106" s="34" t="n"/>
      <c r="D106" s="35" t="n"/>
      <c r="E106" s="22">
        <f>IF(D106="","",IFERROR(VLOOKUP(D106,Config!$F$6:$H$25,3,0),"Categoria inválida"))</f>
        <v/>
      </c>
      <c r="F106" s="35" t="n"/>
      <c r="G106" s="39" t="n"/>
      <c r="H106" s="37" t="n"/>
      <c r="I106" s="36" t="n"/>
      <c r="J106" s="23">
        <f>IF(OR(G106="",I106=""),"",G106*I106)</f>
        <v/>
      </c>
      <c r="K106" s="35" t="n"/>
    </row>
    <row r="107">
      <c r="A107" s="41" t="n"/>
      <c r="B107" s="34" t="n"/>
      <c r="C107" s="34" t="n"/>
      <c r="D107" s="35" t="n"/>
      <c r="E107" s="22">
        <f>IF(D107="","",IFERROR(VLOOKUP(D107,Config!$F$6:$H$25,3,0),"Categoria inválida"))</f>
        <v/>
      </c>
      <c r="F107" s="35" t="n"/>
      <c r="G107" s="39" t="n"/>
      <c r="H107" s="37" t="n"/>
      <c r="I107" s="36" t="n"/>
      <c r="J107" s="23">
        <f>IF(OR(G107="",I107=""),"",G107*I107)</f>
        <v/>
      </c>
      <c r="K107" s="35" t="n"/>
    </row>
    <row r="108">
      <c r="A108" s="41" t="n"/>
      <c r="B108" s="34" t="n"/>
      <c r="C108" s="34" t="n"/>
      <c r="D108" s="35" t="n"/>
      <c r="E108" s="22">
        <f>IF(D108="","",IFERROR(VLOOKUP(D108,Config!$F$6:$H$25,3,0),"Categoria inválida"))</f>
        <v/>
      </c>
      <c r="F108" s="35" t="n"/>
      <c r="G108" s="39" t="n"/>
      <c r="H108" s="37" t="n"/>
      <c r="I108" s="36" t="n"/>
      <c r="J108" s="23">
        <f>IF(OR(G108="",I108=""),"",G108*I108)</f>
        <v/>
      </c>
      <c r="K108" s="35" t="n"/>
    </row>
    <row r="109">
      <c r="A109" s="41" t="n"/>
      <c r="B109" s="34" t="n"/>
      <c r="C109" s="34" t="n"/>
      <c r="D109" s="35" t="n"/>
      <c r="E109" s="22">
        <f>IF(D109="","",IFERROR(VLOOKUP(D109,Config!$F$6:$H$25,3,0),"Categoria inválida"))</f>
        <v/>
      </c>
      <c r="F109" s="35" t="n"/>
      <c r="G109" s="39" t="n"/>
      <c r="H109" s="37" t="n"/>
      <c r="I109" s="36" t="n"/>
      <c r="J109" s="23">
        <f>IF(OR(G109="",I109=""),"",G109*I109)</f>
        <v/>
      </c>
      <c r="K109" s="35" t="n"/>
    </row>
    <row r="110">
      <c r="A110" s="41" t="n"/>
      <c r="B110" s="34" t="n"/>
      <c r="C110" s="34" t="n"/>
      <c r="D110" s="35" t="n"/>
      <c r="E110" s="22">
        <f>IF(D110="","",IFERROR(VLOOKUP(D110,Config!$F$6:$H$25,3,0),"Categoria inválida"))</f>
        <v/>
      </c>
      <c r="F110" s="35" t="n"/>
      <c r="G110" s="39" t="n"/>
      <c r="H110" s="37" t="n"/>
      <c r="I110" s="36" t="n"/>
      <c r="J110" s="23">
        <f>IF(OR(G110="",I110=""),"",G110*I110)</f>
        <v/>
      </c>
      <c r="K110" s="35" t="n"/>
    </row>
    <row r="111">
      <c r="A111" s="41" t="n"/>
      <c r="B111" s="34" t="n"/>
      <c r="C111" s="34" t="n"/>
      <c r="D111" s="35" t="n"/>
      <c r="E111" s="22">
        <f>IF(D111="","",IFERROR(VLOOKUP(D111,Config!$F$6:$H$25,3,0),"Categoria inválida"))</f>
        <v/>
      </c>
      <c r="F111" s="35" t="n"/>
      <c r="G111" s="39" t="n"/>
      <c r="H111" s="37" t="n"/>
      <c r="I111" s="36" t="n"/>
      <c r="J111" s="23">
        <f>IF(OR(G111="",I111=""),"",G111*I111)</f>
        <v/>
      </c>
      <c r="K111" s="35" t="n"/>
    </row>
    <row r="112">
      <c r="A112" s="41" t="n"/>
      <c r="B112" s="34" t="n"/>
      <c r="C112" s="34" t="n"/>
      <c r="D112" s="35" t="n"/>
      <c r="E112" s="22">
        <f>IF(D112="","",IFERROR(VLOOKUP(D112,Config!$F$6:$H$25,3,0),"Categoria inválida"))</f>
        <v/>
      </c>
      <c r="F112" s="35" t="n"/>
      <c r="G112" s="39" t="n"/>
      <c r="H112" s="37" t="n"/>
      <c r="I112" s="36" t="n"/>
      <c r="J112" s="23">
        <f>IF(OR(G112="",I112=""),"",G112*I112)</f>
        <v/>
      </c>
      <c r="K112" s="35" t="n"/>
    </row>
    <row r="113">
      <c r="A113" s="41" t="n"/>
      <c r="B113" s="34" t="n"/>
      <c r="C113" s="34" t="n"/>
      <c r="D113" s="35" t="n"/>
      <c r="E113" s="22">
        <f>IF(D113="","",IFERROR(VLOOKUP(D113,Config!$F$6:$H$25,3,0),"Categoria inválida"))</f>
        <v/>
      </c>
      <c r="F113" s="35" t="n"/>
      <c r="G113" s="39" t="n"/>
      <c r="H113" s="37" t="n"/>
      <c r="I113" s="36" t="n"/>
      <c r="J113" s="23">
        <f>IF(OR(G113="",I113=""),"",G113*I113)</f>
        <v/>
      </c>
      <c r="K113" s="35" t="n"/>
    </row>
    <row r="114">
      <c r="A114" s="41" t="n"/>
      <c r="B114" s="34" t="n"/>
      <c r="C114" s="34" t="n"/>
      <c r="D114" s="35" t="n"/>
      <c r="E114" s="22">
        <f>IF(D114="","",IFERROR(VLOOKUP(D114,Config!$F$6:$H$25,3,0),"Categoria inválida"))</f>
        <v/>
      </c>
      <c r="F114" s="35" t="n"/>
      <c r="G114" s="39" t="n"/>
      <c r="H114" s="37" t="n"/>
      <c r="I114" s="36" t="n"/>
      <c r="J114" s="23">
        <f>IF(OR(G114="",I114=""),"",G114*I114)</f>
        <v/>
      </c>
      <c r="K114" s="35" t="n"/>
    </row>
    <row r="115">
      <c r="A115" s="41" t="n"/>
      <c r="B115" s="34" t="n"/>
      <c r="C115" s="34" t="n"/>
      <c r="D115" s="35" t="n"/>
      <c r="E115" s="22">
        <f>IF(D115="","",IFERROR(VLOOKUP(D115,Config!$F$6:$H$25,3,0),"Categoria inválida"))</f>
        <v/>
      </c>
      <c r="F115" s="35" t="n"/>
      <c r="G115" s="39" t="n"/>
      <c r="H115" s="37" t="n"/>
      <c r="I115" s="36" t="n"/>
      <c r="J115" s="23">
        <f>IF(OR(G115="",I115=""),"",G115*I115)</f>
        <v/>
      </c>
      <c r="K115" s="35" t="n"/>
    </row>
    <row r="116">
      <c r="A116" s="41" t="n"/>
      <c r="B116" s="34" t="n"/>
      <c r="C116" s="34" t="n"/>
      <c r="D116" s="35" t="n"/>
      <c r="E116" s="22">
        <f>IF(D116="","",IFERROR(VLOOKUP(D116,Config!$F$6:$H$25,3,0),"Categoria inválida"))</f>
        <v/>
      </c>
      <c r="F116" s="35" t="n"/>
      <c r="G116" s="39" t="n"/>
      <c r="H116" s="37" t="n"/>
      <c r="I116" s="36" t="n"/>
      <c r="J116" s="23">
        <f>IF(OR(G116="",I116=""),"",G116*I116)</f>
        <v/>
      </c>
      <c r="K116" s="35" t="n"/>
    </row>
    <row r="117">
      <c r="A117" s="41" t="n"/>
      <c r="B117" s="34" t="n"/>
      <c r="C117" s="34" t="n"/>
      <c r="D117" s="35" t="n"/>
      <c r="E117" s="22">
        <f>IF(D117="","",IFERROR(VLOOKUP(D117,Config!$F$6:$H$25,3,0),"Categoria inválida"))</f>
        <v/>
      </c>
      <c r="F117" s="35" t="n"/>
      <c r="G117" s="39" t="n"/>
      <c r="H117" s="37" t="n"/>
      <c r="I117" s="36" t="n"/>
      <c r="J117" s="23">
        <f>IF(OR(G117="",I117=""),"",G117*I117)</f>
        <v/>
      </c>
      <c r="K117" s="35" t="n"/>
    </row>
    <row r="118">
      <c r="A118" s="41" t="n"/>
      <c r="B118" s="34" t="n"/>
      <c r="C118" s="34" t="n"/>
      <c r="D118" s="35" t="n"/>
      <c r="E118" s="22">
        <f>IF(D118="","",IFERROR(VLOOKUP(D118,Config!$F$6:$H$25,3,0),"Categoria inválida"))</f>
        <v/>
      </c>
      <c r="F118" s="35" t="n"/>
      <c r="G118" s="39" t="n"/>
      <c r="H118" s="37" t="n"/>
      <c r="I118" s="36" t="n"/>
      <c r="J118" s="23">
        <f>IF(OR(G118="",I118=""),"",G118*I118)</f>
        <v/>
      </c>
      <c r="K118" s="35" t="n"/>
    </row>
    <row r="119">
      <c r="A119" s="41" t="n"/>
      <c r="B119" s="34" t="n"/>
      <c r="C119" s="34" t="n"/>
      <c r="D119" s="35" t="n"/>
      <c r="E119" s="22">
        <f>IF(D119="","",IFERROR(VLOOKUP(D119,Config!$F$6:$H$25,3,0),"Categoria inválida"))</f>
        <v/>
      </c>
      <c r="F119" s="35" t="n"/>
      <c r="G119" s="39" t="n"/>
      <c r="H119" s="37" t="n"/>
      <c r="I119" s="36" t="n"/>
      <c r="J119" s="23">
        <f>IF(OR(G119="",I119=""),"",G119*I119)</f>
        <v/>
      </c>
      <c r="K119" s="35" t="n"/>
    </row>
    <row r="120">
      <c r="A120" s="41" t="n"/>
      <c r="B120" s="34" t="n"/>
      <c r="C120" s="34" t="n"/>
      <c r="D120" s="35" t="n"/>
      <c r="E120" s="22">
        <f>IF(D120="","",IFERROR(VLOOKUP(D120,Config!$F$6:$H$25,3,0),"Categoria inválida"))</f>
        <v/>
      </c>
      <c r="F120" s="35" t="n"/>
      <c r="G120" s="39" t="n"/>
      <c r="H120" s="37" t="n"/>
      <c r="I120" s="36" t="n"/>
      <c r="J120" s="23">
        <f>IF(OR(G120="",I120=""),"",G120*I120)</f>
        <v/>
      </c>
      <c r="K120" s="35" t="n"/>
    </row>
    <row r="121">
      <c r="A121" s="41" t="n"/>
      <c r="B121" s="34" t="n"/>
      <c r="C121" s="34" t="n"/>
      <c r="D121" s="35" t="n"/>
      <c r="E121" s="22">
        <f>IF(D121="","",IFERROR(VLOOKUP(D121,Config!$F$6:$H$25,3,0),"Categoria inválida"))</f>
        <v/>
      </c>
      <c r="F121" s="35" t="n"/>
      <c r="G121" s="39" t="n"/>
      <c r="H121" s="37" t="n"/>
      <c r="I121" s="36" t="n"/>
      <c r="J121" s="23">
        <f>IF(OR(G121="",I121=""),"",G121*I121)</f>
        <v/>
      </c>
      <c r="K121" s="35" t="n"/>
    </row>
    <row r="122">
      <c r="A122" s="41" t="n"/>
      <c r="B122" s="34" t="n"/>
      <c r="C122" s="34" t="n"/>
      <c r="D122" s="35" t="n"/>
      <c r="E122" s="22">
        <f>IF(D122="","",IFERROR(VLOOKUP(D122,Config!$F$6:$H$25,3,0),"Categoria inválida"))</f>
        <v/>
      </c>
      <c r="F122" s="35" t="n"/>
      <c r="G122" s="39" t="n"/>
      <c r="H122" s="37" t="n"/>
      <c r="I122" s="36" t="n"/>
      <c r="J122" s="23">
        <f>IF(OR(G122="",I122=""),"",G122*I122)</f>
        <v/>
      </c>
      <c r="K122" s="35" t="n"/>
    </row>
    <row r="123">
      <c r="A123" s="41" t="n"/>
      <c r="B123" s="34" t="n"/>
      <c r="C123" s="34" t="n"/>
      <c r="D123" s="35" t="n"/>
      <c r="E123" s="22">
        <f>IF(D123="","",IFERROR(VLOOKUP(D123,Config!$F$6:$H$25,3,0),"Categoria inválida"))</f>
        <v/>
      </c>
      <c r="F123" s="35" t="n"/>
      <c r="G123" s="39" t="n"/>
      <c r="H123" s="37" t="n"/>
      <c r="I123" s="36" t="n"/>
      <c r="J123" s="23">
        <f>IF(OR(G123="",I123=""),"",G123*I123)</f>
        <v/>
      </c>
      <c r="K123" s="35" t="n"/>
    </row>
    <row r="124">
      <c r="A124" s="41" t="n"/>
      <c r="B124" s="34" t="n"/>
      <c r="C124" s="34" t="n"/>
      <c r="D124" s="35" t="n"/>
      <c r="E124" s="22">
        <f>IF(D124="","",IFERROR(VLOOKUP(D124,Config!$F$6:$H$25,3,0),"Categoria inválida"))</f>
        <v/>
      </c>
      <c r="F124" s="35" t="n"/>
      <c r="G124" s="39" t="n"/>
      <c r="H124" s="37" t="n"/>
      <c r="I124" s="36" t="n"/>
      <c r="J124" s="23">
        <f>IF(OR(G124="",I124=""),"",G124*I124)</f>
        <v/>
      </c>
      <c r="K124" s="35" t="n"/>
    </row>
    <row r="125">
      <c r="A125" s="41" t="n"/>
      <c r="B125" s="34" t="n"/>
      <c r="C125" s="34" t="n"/>
      <c r="D125" s="35" t="n"/>
      <c r="E125" s="22">
        <f>IF(D125="","",IFERROR(VLOOKUP(D125,Config!$F$6:$H$25,3,0),"Categoria inválida"))</f>
        <v/>
      </c>
      <c r="F125" s="35" t="n"/>
      <c r="G125" s="39" t="n"/>
      <c r="H125" s="37" t="n"/>
      <c r="I125" s="36" t="n"/>
      <c r="J125" s="23">
        <f>IF(OR(G125="",I125=""),"",G125*I125)</f>
        <v/>
      </c>
      <c r="K125" s="35" t="n"/>
    </row>
    <row r="126">
      <c r="A126" s="41" t="n"/>
      <c r="B126" s="34" t="n"/>
      <c r="C126" s="34" t="n"/>
      <c r="D126" s="35" t="n"/>
      <c r="E126" s="22">
        <f>IF(D126="","",IFERROR(VLOOKUP(D126,Config!$F$6:$H$25,3,0),"Categoria inválida"))</f>
        <v/>
      </c>
      <c r="F126" s="35" t="n"/>
      <c r="G126" s="39" t="n"/>
      <c r="H126" s="37" t="n"/>
      <c r="I126" s="36" t="n"/>
      <c r="J126" s="23">
        <f>IF(OR(G126="",I126=""),"",G126*I126)</f>
        <v/>
      </c>
      <c r="K126" s="35" t="n"/>
    </row>
    <row r="127">
      <c r="A127" s="41" t="n"/>
      <c r="B127" s="34" t="n"/>
      <c r="C127" s="34" t="n"/>
      <c r="D127" s="35" t="n"/>
      <c r="E127" s="22">
        <f>IF(D127="","",IFERROR(VLOOKUP(D127,Config!$F$6:$H$25,3,0),"Categoria inválida"))</f>
        <v/>
      </c>
      <c r="F127" s="35" t="n"/>
      <c r="G127" s="39" t="n"/>
      <c r="H127" s="37" t="n"/>
      <c r="I127" s="36" t="n"/>
      <c r="J127" s="23">
        <f>IF(OR(G127="",I127=""),"",G127*I127)</f>
        <v/>
      </c>
      <c r="K127" s="35" t="n"/>
    </row>
    <row r="128">
      <c r="A128" s="41" t="n"/>
      <c r="B128" s="34" t="n"/>
      <c r="C128" s="34" t="n"/>
      <c r="D128" s="35" t="n"/>
      <c r="E128" s="22">
        <f>IF(D128="","",IFERROR(VLOOKUP(D128,Config!$F$6:$H$25,3,0),"Categoria inválida"))</f>
        <v/>
      </c>
      <c r="F128" s="35" t="n"/>
      <c r="G128" s="39" t="n"/>
      <c r="H128" s="37" t="n"/>
      <c r="I128" s="36" t="n"/>
      <c r="J128" s="23">
        <f>IF(OR(G128="",I128=""),"",G128*I128)</f>
        <v/>
      </c>
      <c r="K128" s="35" t="n"/>
    </row>
    <row r="129">
      <c r="A129" s="41" t="n"/>
      <c r="B129" s="34" t="n"/>
      <c r="C129" s="34" t="n"/>
      <c r="D129" s="35" t="n"/>
      <c r="E129" s="22">
        <f>IF(D129="","",IFERROR(VLOOKUP(D129,Config!$F$6:$H$25,3,0),"Categoria inválida"))</f>
        <v/>
      </c>
      <c r="F129" s="35" t="n"/>
      <c r="G129" s="39" t="n"/>
      <c r="H129" s="37" t="n"/>
      <c r="I129" s="36" t="n"/>
      <c r="J129" s="23">
        <f>IF(OR(G129="",I129=""),"",G129*I129)</f>
        <v/>
      </c>
      <c r="K129" s="35" t="n"/>
    </row>
    <row r="130">
      <c r="A130" s="41" t="n"/>
      <c r="B130" s="34" t="n"/>
      <c r="C130" s="34" t="n"/>
      <c r="D130" s="35" t="n"/>
      <c r="E130" s="22">
        <f>IF(D130="","",IFERROR(VLOOKUP(D130,Config!$F$6:$H$25,3,0),"Categoria inválida"))</f>
        <v/>
      </c>
      <c r="F130" s="35" t="n"/>
      <c r="G130" s="39" t="n"/>
      <c r="H130" s="37" t="n"/>
      <c r="I130" s="36" t="n"/>
      <c r="J130" s="23">
        <f>IF(OR(G130="",I130=""),"",G130*I130)</f>
        <v/>
      </c>
      <c r="K130" s="35" t="n"/>
    </row>
    <row r="131">
      <c r="A131" s="41" t="n"/>
      <c r="B131" s="34" t="n"/>
      <c r="C131" s="34" t="n"/>
      <c r="D131" s="35" t="n"/>
      <c r="E131" s="22">
        <f>IF(D131="","",IFERROR(VLOOKUP(D131,Config!$F$6:$H$25,3,0),"Categoria inválida"))</f>
        <v/>
      </c>
      <c r="F131" s="35" t="n"/>
      <c r="G131" s="39" t="n"/>
      <c r="H131" s="37" t="n"/>
      <c r="I131" s="36" t="n"/>
      <c r="J131" s="23">
        <f>IF(OR(G131="",I131=""),"",G131*I131)</f>
        <v/>
      </c>
      <c r="K131" s="35" t="n"/>
    </row>
    <row r="132">
      <c r="A132" s="41" t="n"/>
      <c r="B132" s="34" t="n"/>
      <c r="C132" s="34" t="n"/>
      <c r="D132" s="35" t="n"/>
      <c r="E132" s="22">
        <f>IF(D132="","",IFERROR(VLOOKUP(D132,Config!$F$6:$H$25,3,0),"Categoria inválida"))</f>
        <v/>
      </c>
      <c r="F132" s="35" t="n"/>
      <c r="G132" s="39" t="n"/>
      <c r="H132" s="37" t="n"/>
      <c r="I132" s="36" t="n"/>
      <c r="J132" s="23">
        <f>IF(OR(G132="",I132=""),"",G132*I132)</f>
        <v/>
      </c>
      <c r="K132" s="35" t="n"/>
    </row>
    <row r="133">
      <c r="A133" s="41" t="n"/>
      <c r="B133" s="34" t="n"/>
      <c r="C133" s="34" t="n"/>
      <c r="D133" s="35" t="n"/>
      <c r="E133" s="22">
        <f>IF(D133="","",IFERROR(VLOOKUP(D133,Config!$F$6:$H$25,3,0),"Categoria inválida"))</f>
        <v/>
      </c>
      <c r="F133" s="35" t="n"/>
      <c r="G133" s="39" t="n"/>
      <c r="H133" s="37" t="n"/>
      <c r="I133" s="36" t="n"/>
      <c r="J133" s="23">
        <f>IF(OR(G133="",I133=""),"",G133*I133)</f>
        <v/>
      </c>
      <c r="K133" s="35" t="n"/>
    </row>
    <row r="134">
      <c r="A134" s="41" t="n"/>
      <c r="B134" s="34" t="n"/>
      <c r="C134" s="34" t="n"/>
      <c r="D134" s="35" t="n"/>
      <c r="E134" s="22">
        <f>IF(D134="","",IFERROR(VLOOKUP(D134,Config!$F$6:$H$25,3,0),"Categoria inválida"))</f>
        <v/>
      </c>
      <c r="F134" s="35" t="n"/>
      <c r="G134" s="39" t="n"/>
      <c r="H134" s="37" t="n"/>
      <c r="I134" s="36" t="n"/>
      <c r="J134" s="23">
        <f>IF(OR(G134="",I134=""),"",G134*I134)</f>
        <v/>
      </c>
      <c r="K134" s="35" t="n"/>
    </row>
    <row r="135">
      <c r="A135" s="41" t="n"/>
      <c r="B135" s="34" t="n"/>
      <c r="C135" s="34" t="n"/>
      <c r="D135" s="35" t="n"/>
      <c r="E135" s="22">
        <f>IF(D135="","",IFERROR(VLOOKUP(D135,Config!$F$6:$H$25,3,0),"Categoria inválida"))</f>
        <v/>
      </c>
      <c r="F135" s="35" t="n"/>
      <c r="G135" s="39" t="n"/>
      <c r="H135" s="37" t="n"/>
      <c r="I135" s="36" t="n"/>
      <c r="J135" s="23">
        <f>IF(OR(G135="",I135=""),"",G135*I135)</f>
        <v/>
      </c>
      <c r="K135" s="35" t="n"/>
    </row>
    <row r="136">
      <c r="A136" s="41" t="n"/>
      <c r="B136" s="34" t="n"/>
      <c r="C136" s="34" t="n"/>
      <c r="D136" s="35" t="n"/>
      <c r="E136" s="22">
        <f>IF(D136="","",IFERROR(VLOOKUP(D136,Config!$F$6:$H$25,3,0),"Categoria inválida"))</f>
        <v/>
      </c>
      <c r="F136" s="35" t="n"/>
      <c r="G136" s="39" t="n"/>
      <c r="H136" s="37" t="n"/>
      <c r="I136" s="36" t="n"/>
      <c r="J136" s="23">
        <f>IF(OR(G136="",I136=""),"",G136*I136)</f>
        <v/>
      </c>
      <c r="K136" s="35" t="n"/>
    </row>
    <row r="137">
      <c r="A137" s="41" t="n"/>
      <c r="B137" s="34" t="n"/>
      <c r="C137" s="34" t="n"/>
      <c r="D137" s="35" t="n"/>
      <c r="E137" s="22">
        <f>IF(D137="","",IFERROR(VLOOKUP(D137,Config!$F$6:$H$25,3,0),"Categoria inválida"))</f>
        <v/>
      </c>
      <c r="F137" s="35" t="n"/>
      <c r="G137" s="39" t="n"/>
      <c r="H137" s="37" t="n"/>
      <c r="I137" s="36" t="n"/>
      <c r="J137" s="23">
        <f>IF(OR(G137="",I137=""),"",G137*I137)</f>
        <v/>
      </c>
      <c r="K137" s="35" t="n"/>
    </row>
    <row r="138">
      <c r="A138" s="41" t="n"/>
      <c r="B138" s="34" t="n"/>
      <c r="C138" s="34" t="n"/>
      <c r="D138" s="35" t="n"/>
      <c r="E138" s="22">
        <f>IF(D138="","",IFERROR(VLOOKUP(D138,Config!$F$6:$H$25,3,0),"Categoria inválida"))</f>
        <v/>
      </c>
      <c r="F138" s="35" t="n"/>
      <c r="G138" s="39" t="n"/>
      <c r="H138" s="37" t="n"/>
      <c r="I138" s="36" t="n"/>
      <c r="J138" s="23">
        <f>IF(OR(G138="",I138=""),"",G138*I138)</f>
        <v/>
      </c>
      <c r="K138" s="35" t="n"/>
    </row>
    <row r="139">
      <c r="A139" s="41" t="n"/>
      <c r="B139" s="34" t="n"/>
      <c r="C139" s="34" t="n"/>
      <c r="D139" s="35" t="n"/>
      <c r="E139" s="22">
        <f>IF(D139="","",IFERROR(VLOOKUP(D139,Config!$F$6:$H$25,3,0),"Categoria inválida"))</f>
        <v/>
      </c>
      <c r="F139" s="35" t="n"/>
      <c r="G139" s="39" t="n"/>
      <c r="H139" s="37" t="n"/>
      <c r="I139" s="36" t="n"/>
      <c r="J139" s="23">
        <f>IF(OR(G139="",I139=""),"",G139*I139)</f>
        <v/>
      </c>
      <c r="K139" s="35" t="n"/>
    </row>
    <row r="140">
      <c r="A140" s="41" t="n"/>
      <c r="B140" s="34" t="n"/>
      <c r="C140" s="34" t="n"/>
      <c r="D140" s="35" t="n"/>
      <c r="E140" s="22">
        <f>IF(D140="","",IFERROR(VLOOKUP(D140,Config!$F$6:$H$25,3,0),"Categoria inválida"))</f>
        <v/>
      </c>
      <c r="F140" s="35" t="n"/>
      <c r="G140" s="39" t="n"/>
      <c r="H140" s="37" t="n"/>
      <c r="I140" s="36" t="n"/>
      <c r="J140" s="23">
        <f>IF(OR(G140="",I140=""),"",G140*I140)</f>
        <v/>
      </c>
      <c r="K140" s="35" t="n"/>
    </row>
    <row r="141">
      <c r="A141" s="41" t="n"/>
      <c r="B141" s="34" t="n"/>
      <c r="C141" s="34" t="n"/>
      <c r="D141" s="35" t="n"/>
      <c r="E141" s="22">
        <f>IF(D141="","",IFERROR(VLOOKUP(D141,Config!$F$6:$H$25,3,0),"Categoria inválida"))</f>
        <v/>
      </c>
      <c r="F141" s="35" t="n"/>
      <c r="G141" s="39" t="n"/>
      <c r="H141" s="37" t="n"/>
      <c r="I141" s="36" t="n"/>
      <c r="J141" s="23">
        <f>IF(OR(G141="",I141=""),"",G141*I141)</f>
        <v/>
      </c>
      <c r="K141" s="35" t="n"/>
    </row>
    <row r="142">
      <c r="A142" s="41" t="n"/>
      <c r="B142" s="34" t="n"/>
      <c r="C142" s="34" t="n"/>
      <c r="D142" s="35" t="n"/>
      <c r="E142" s="22">
        <f>IF(D142="","",IFERROR(VLOOKUP(D142,Config!$F$6:$H$25,3,0),"Categoria inválida"))</f>
        <v/>
      </c>
      <c r="F142" s="35" t="n"/>
      <c r="G142" s="39" t="n"/>
      <c r="H142" s="37" t="n"/>
      <c r="I142" s="36" t="n"/>
      <c r="J142" s="23">
        <f>IF(OR(G142="",I142=""),"",G142*I142)</f>
        <v/>
      </c>
      <c r="K142" s="35" t="n"/>
    </row>
    <row r="143">
      <c r="A143" s="41" t="n"/>
      <c r="B143" s="34" t="n"/>
      <c r="C143" s="34" t="n"/>
      <c r="D143" s="35" t="n"/>
      <c r="E143" s="22">
        <f>IF(D143="","",IFERROR(VLOOKUP(D143,Config!$F$6:$H$25,3,0),"Categoria inválida"))</f>
        <v/>
      </c>
      <c r="F143" s="35" t="n"/>
      <c r="G143" s="39" t="n"/>
      <c r="H143" s="37" t="n"/>
      <c r="I143" s="36" t="n"/>
      <c r="J143" s="23">
        <f>IF(OR(G143="",I143=""),"",G143*I143)</f>
        <v/>
      </c>
      <c r="K143" s="35" t="n"/>
    </row>
    <row r="144">
      <c r="A144" s="41" t="n"/>
      <c r="B144" s="34" t="n"/>
      <c r="C144" s="34" t="n"/>
      <c r="D144" s="35" t="n"/>
      <c r="E144" s="22">
        <f>IF(D144="","",IFERROR(VLOOKUP(D144,Config!$F$6:$H$25,3,0),"Categoria inválida"))</f>
        <v/>
      </c>
      <c r="F144" s="35" t="n"/>
      <c r="G144" s="39" t="n"/>
      <c r="H144" s="37" t="n"/>
      <c r="I144" s="36" t="n"/>
      <c r="J144" s="23">
        <f>IF(OR(G144="",I144=""),"",G144*I144)</f>
        <v/>
      </c>
      <c r="K144" s="35" t="n"/>
    </row>
    <row r="145">
      <c r="A145" s="41" t="n"/>
      <c r="B145" s="34" t="n"/>
      <c r="C145" s="34" t="n"/>
      <c r="D145" s="35" t="n"/>
      <c r="E145" s="22">
        <f>IF(D145="","",IFERROR(VLOOKUP(D145,Config!$F$6:$H$25,3,0),"Categoria inválida"))</f>
        <v/>
      </c>
      <c r="F145" s="35" t="n"/>
      <c r="G145" s="39" t="n"/>
      <c r="H145" s="37" t="n"/>
      <c r="I145" s="36" t="n"/>
      <c r="J145" s="23">
        <f>IF(OR(G145="",I145=""),"",G145*I145)</f>
        <v/>
      </c>
      <c r="K145" s="35" t="n"/>
    </row>
    <row r="146">
      <c r="A146" s="41" t="n"/>
      <c r="B146" s="34" t="n"/>
      <c r="C146" s="34" t="n"/>
      <c r="D146" s="35" t="n"/>
      <c r="E146" s="22">
        <f>IF(D146="","",IFERROR(VLOOKUP(D146,Config!$F$6:$H$25,3,0),"Categoria inválida"))</f>
        <v/>
      </c>
      <c r="F146" s="35" t="n"/>
      <c r="G146" s="39" t="n"/>
      <c r="H146" s="37" t="n"/>
      <c r="I146" s="36" t="n"/>
      <c r="J146" s="23">
        <f>IF(OR(G146="",I146=""),"",G146*I146)</f>
        <v/>
      </c>
      <c r="K146" s="35" t="n"/>
    </row>
    <row r="147">
      <c r="A147" s="41" t="n"/>
      <c r="B147" s="34" t="n"/>
      <c r="C147" s="34" t="n"/>
      <c r="D147" s="35" t="n"/>
      <c r="E147" s="22">
        <f>IF(D147="","",IFERROR(VLOOKUP(D147,Config!$F$6:$H$25,3,0),"Categoria inválida"))</f>
        <v/>
      </c>
      <c r="F147" s="35" t="n"/>
      <c r="G147" s="39" t="n"/>
      <c r="H147" s="37" t="n"/>
      <c r="I147" s="36" t="n"/>
      <c r="J147" s="23">
        <f>IF(OR(G147="",I147=""),"",G147*I147)</f>
        <v/>
      </c>
      <c r="K147" s="35" t="n"/>
    </row>
    <row r="148">
      <c r="A148" s="41" t="n"/>
      <c r="B148" s="34" t="n"/>
      <c r="C148" s="34" t="n"/>
      <c r="D148" s="35" t="n"/>
      <c r="E148" s="22">
        <f>IF(D148="","",IFERROR(VLOOKUP(D148,Config!$F$6:$H$25,3,0),"Categoria inválida"))</f>
        <v/>
      </c>
      <c r="F148" s="35" t="n"/>
      <c r="G148" s="39" t="n"/>
      <c r="H148" s="37" t="n"/>
      <c r="I148" s="36" t="n"/>
      <c r="J148" s="23">
        <f>IF(OR(G148="",I148=""),"",G148*I148)</f>
        <v/>
      </c>
      <c r="K148" s="35" t="n"/>
    </row>
    <row r="149">
      <c r="A149" s="41" t="n"/>
      <c r="B149" s="34" t="n"/>
      <c r="C149" s="34" t="n"/>
      <c r="D149" s="35" t="n"/>
      <c r="E149" s="22">
        <f>IF(D149="","",IFERROR(VLOOKUP(D149,Config!$F$6:$H$25,3,0),"Categoria inválida"))</f>
        <v/>
      </c>
      <c r="F149" s="35" t="n"/>
      <c r="G149" s="39" t="n"/>
      <c r="H149" s="37" t="n"/>
      <c r="I149" s="36" t="n"/>
      <c r="J149" s="23">
        <f>IF(OR(G149="",I149=""),"",G149*I149)</f>
        <v/>
      </c>
      <c r="K149" s="35" t="n"/>
    </row>
    <row r="150">
      <c r="A150" s="41" t="n"/>
      <c r="B150" s="34" t="n"/>
      <c r="C150" s="34" t="n"/>
      <c r="D150" s="35" t="n"/>
      <c r="E150" s="22">
        <f>IF(D150="","",IFERROR(VLOOKUP(D150,Config!$F$6:$H$25,3,0),"Categoria inválida"))</f>
        <v/>
      </c>
      <c r="F150" s="35" t="n"/>
      <c r="G150" s="39" t="n"/>
      <c r="H150" s="37" t="n"/>
      <c r="I150" s="36" t="n"/>
      <c r="J150" s="23">
        <f>IF(OR(G150="",I150=""),"",G150*I150)</f>
        <v/>
      </c>
      <c r="K150" s="35" t="n"/>
    </row>
    <row r="151">
      <c r="A151" s="41" t="n"/>
      <c r="B151" s="34" t="n"/>
      <c r="C151" s="34" t="n"/>
      <c r="D151" s="35" t="n"/>
      <c r="E151" s="22">
        <f>IF(D151="","",IFERROR(VLOOKUP(D151,Config!$F$6:$H$25,3,0),"Categoria inválida"))</f>
        <v/>
      </c>
      <c r="F151" s="35" t="n"/>
      <c r="G151" s="39" t="n"/>
      <c r="H151" s="37" t="n"/>
      <c r="I151" s="36" t="n"/>
      <c r="J151" s="23">
        <f>IF(OR(G151="",I151=""),"",G151*I151)</f>
        <v/>
      </c>
      <c r="K151" s="35" t="n"/>
    </row>
    <row r="152">
      <c r="A152" s="41" t="n"/>
      <c r="B152" s="34" t="n"/>
      <c r="C152" s="34" t="n"/>
      <c r="D152" s="35" t="n"/>
      <c r="E152" s="22">
        <f>IF(D152="","",IFERROR(VLOOKUP(D152,Config!$F$6:$H$25,3,0),"Categoria inválida"))</f>
        <v/>
      </c>
      <c r="F152" s="35" t="n"/>
      <c r="G152" s="39" t="n"/>
      <c r="H152" s="37" t="n"/>
      <c r="I152" s="36" t="n"/>
      <c r="J152" s="23">
        <f>IF(OR(G152="",I152=""),"",G152*I152)</f>
        <v/>
      </c>
      <c r="K152" s="35" t="n"/>
    </row>
    <row r="153">
      <c r="A153" s="41" t="n"/>
      <c r="B153" s="34" t="n"/>
      <c r="C153" s="34" t="n"/>
      <c r="D153" s="35" t="n"/>
      <c r="E153" s="22">
        <f>IF(D153="","",IFERROR(VLOOKUP(D153,Config!$F$6:$H$25,3,0),"Categoria inválida"))</f>
        <v/>
      </c>
      <c r="F153" s="35" t="n"/>
      <c r="G153" s="39" t="n"/>
      <c r="H153" s="37" t="n"/>
      <c r="I153" s="36" t="n"/>
      <c r="J153" s="23">
        <f>IF(OR(G153="",I153=""),"",G153*I153)</f>
        <v/>
      </c>
      <c r="K153" s="35" t="n"/>
    </row>
    <row r="154">
      <c r="A154" s="41" t="n"/>
      <c r="B154" s="34" t="n"/>
      <c r="C154" s="34" t="n"/>
      <c r="D154" s="35" t="n"/>
      <c r="E154" s="22">
        <f>IF(D154="","",IFERROR(VLOOKUP(D154,Config!$F$6:$H$25,3,0),"Categoria inválida"))</f>
        <v/>
      </c>
      <c r="F154" s="35" t="n"/>
      <c r="G154" s="39" t="n"/>
      <c r="H154" s="37" t="n"/>
      <c r="I154" s="36" t="n"/>
      <c r="J154" s="23">
        <f>IF(OR(G154="",I154=""),"",G154*I154)</f>
        <v/>
      </c>
      <c r="K154" s="35" t="n"/>
    </row>
    <row r="155">
      <c r="A155" s="41" t="n"/>
      <c r="B155" s="34" t="n"/>
      <c r="C155" s="34" t="n"/>
      <c r="D155" s="35" t="n"/>
      <c r="E155" s="22">
        <f>IF(D155="","",IFERROR(VLOOKUP(D155,Config!$F$6:$H$25,3,0),"Categoria inválida"))</f>
        <v/>
      </c>
      <c r="F155" s="35" t="n"/>
      <c r="G155" s="39" t="n"/>
      <c r="H155" s="37" t="n"/>
      <c r="I155" s="36" t="n"/>
      <c r="J155" s="23">
        <f>IF(OR(G155="",I155=""),"",G155*I155)</f>
        <v/>
      </c>
      <c r="K155" s="35" t="n"/>
    </row>
    <row r="156">
      <c r="A156" s="41" t="n"/>
      <c r="B156" s="34" t="n"/>
      <c r="C156" s="34" t="n"/>
      <c r="D156" s="35" t="n"/>
      <c r="E156" s="22">
        <f>IF(D156="","",IFERROR(VLOOKUP(D156,Config!$F$6:$H$25,3,0),"Categoria inválida"))</f>
        <v/>
      </c>
      <c r="F156" s="35" t="n"/>
      <c r="G156" s="39" t="n"/>
      <c r="H156" s="37" t="n"/>
      <c r="I156" s="36" t="n"/>
      <c r="J156" s="23">
        <f>IF(OR(G156="",I156=""),"",G156*I156)</f>
        <v/>
      </c>
      <c r="K156" s="35" t="n"/>
    </row>
    <row r="157">
      <c r="A157" s="41" t="n"/>
      <c r="B157" s="34" t="n"/>
      <c r="C157" s="34" t="n"/>
      <c r="D157" s="35" t="n"/>
      <c r="E157" s="22">
        <f>IF(D157="","",IFERROR(VLOOKUP(D157,Config!$F$6:$H$25,3,0),"Categoria inválida"))</f>
        <v/>
      </c>
      <c r="F157" s="35" t="n"/>
      <c r="G157" s="39" t="n"/>
      <c r="H157" s="37" t="n"/>
      <c r="I157" s="36" t="n"/>
      <c r="J157" s="23">
        <f>IF(OR(G157="",I157=""),"",G157*I157)</f>
        <v/>
      </c>
      <c r="K157" s="35" t="n"/>
    </row>
    <row r="158">
      <c r="A158" s="41" t="n"/>
      <c r="B158" s="34" t="n"/>
      <c r="C158" s="34" t="n"/>
      <c r="D158" s="35" t="n"/>
      <c r="E158" s="22">
        <f>IF(D158="","",IFERROR(VLOOKUP(D158,Config!$F$6:$H$25,3,0),"Categoria inválida"))</f>
        <v/>
      </c>
      <c r="F158" s="35" t="n"/>
      <c r="G158" s="39" t="n"/>
      <c r="H158" s="37" t="n"/>
      <c r="I158" s="36" t="n"/>
      <c r="J158" s="23">
        <f>IF(OR(G158="",I158=""),"",G158*I158)</f>
        <v/>
      </c>
      <c r="K158" s="35" t="n"/>
    </row>
    <row r="159">
      <c r="A159" s="41" t="n"/>
      <c r="B159" s="34" t="n"/>
      <c r="C159" s="34" t="n"/>
      <c r="D159" s="35" t="n"/>
      <c r="E159" s="22">
        <f>IF(D159="","",IFERROR(VLOOKUP(D159,Config!$F$6:$H$25,3,0),"Categoria inválida"))</f>
        <v/>
      </c>
      <c r="F159" s="35" t="n"/>
      <c r="G159" s="39" t="n"/>
      <c r="H159" s="37" t="n"/>
      <c r="I159" s="36" t="n"/>
      <c r="J159" s="23">
        <f>IF(OR(G159="",I159=""),"",G159*I159)</f>
        <v/>
      </c>
      <c r="K159" s="35" t="n"/>
    </row>
    <row r="160">
      <c r="A160" s="41" t="n"/>
      <c r="B160" s="34" t="n"/>
      <c r="C160" s="34" t="n"/>
      <c r="D160" s="35" t="n"/>
      <c r="E160" s="22">
        <f>IF(D160="","",IFERROR(VLOOKUP(D160,Config!$F$6:$H$25,3,0),"Categoria inválida"))</f>
        <v/>
      </c>
      <c r="F160" s="35" t="n"/>
      <c r="G160" s="39" t="n"/>
      <c r="H160" s="37" t="n"/>
      <c r="I160" s="36" t="n"/>
      <c r="J160" s="23">
        <f>IF(OR(G160="",I160=""),"",G160*I160)</f>
        <v/>
      </c>
      <c r="K160" s="35" t="n"/>
    </row>
    <row r="161">
      <c r="A161" s="41" t="n"/>
      <c r="B161" s="34" t="n"/>
      <c r="C161" s="34" t="n"/>
      <c r="D161" s="35" t="n"/>
      <c r="E161" s="22">
        <f>IF(D161="","",IFERROR(VLOOKUP(D161,Config!$F$6:$H$25,3,0),"Categoria inválida"))</f>
        <v/>
      </c>
      <c r="F161" s="35" t="n"/>
      <c r="G161" s="39" t="n"/>
      <c r="H161" s="37" t="n"/>
      <c r="I161" s="36" t="n"/>
      <c r="J161" s="23">
        <f>IF(OR(G161="",I161=""),"",G161*I161)</f>
        <v/>
      </c>
      <c r="K161" s="35" t="n"/>
    </row>
    <row r="162">
      <c r="A162" s="41" t="n"/>
      <c r="B162" s="34" t="n"/>
      <c r="C162" s="34" t="n"/>
      <c r="D162" s="35" t="n"/>
      <c r="E162" s="22">
        <f>IF(D162="","",IFERROR(VLOOKUP(D162,Config!$F$6:$H$25,3,0),"Categoria inválida"))</f>
        <v/>
      </c>
      <c r="F162" s="35" t="n"/>
      <c r="G162" s="39" t="n"/>
      <c r="H162" s="37" t="n"/>
      <c r="I162" s="36" t="n"/>
      <c r="J162" s="23">
        <f>IF(OR(G162="",I162=""),"",G162*I162)</f>
        <v/>
      </c>
      <c r="K162" s="35" t="n"/>
    </row>
    <row r="163">
      <c r="A163" s="41" t="n"/>
      <c r="B163" s="34" t="n"/>
      <c r="C163" s="34" t="n"/>
      <c r="D163" s="35" t="n"/>
      <c r="E163" s="22">
        <f>IF(D163="","",IFERROR(VLOOKUP(D163,Config!$F$6:$H$25,3,0),"Categoria inválida"))</f>
        <v/>
      </c>
      <c r="F163" s="35" t="n"/>
      <c r="G163" s="39" t="n"/>
      <c r="H163" s="37" t="n"/>
      <c r="I163" s="36" t="n"/>
      <c r="J163" s="23">
        <f>IF(OR(G163="",I163=""),"",G163*I163)</f>
        <v/>
      </c>
      <c r="K163" s="35" t="n"/>
    </row>
    <row r="164">
      <c r="A164" s="41" t="n"/>
      <c r="B164" s="34" t="n"/>
      <c r="C164" s="34" t="n"/>
      <c r="D164" s="35" t="n"/>
      <c r="E164" s="22">
        <f>IF(D164="","",IFERROR(VLOOKUP(D164,Config!$F$6:$H$25,3,0),"Categoria inválida"))</f>
        <v/>
      </c>
      <c r="F164" s="35" t="n"/>
      <c r="G164" s="39" t="n"/>
      <c r="H164" s="37" t="n"/>
      <c r="I164" s="36" t="n"/>
      <c r="J164" s="23">
        <f>IF(OR(G164="",I164=""),"",G164*I164)</f>
        <v/>
      </c>
      <c r="K164" s="35" t="n"/>
    </row>
    <row r="165">
      <c r="A165" s="41" t="n"/>
      <c r="B165" s="34" t="n"/>
      <c r="C165" s="34" t="n"/>
      <c r="D165" s="35" t="n"/>
      <c r="E165" s="22">
        <f>IF(D165="","",IFERROR(VLOOKUP(D165,Config!$F$6:$H$25,3,0),"Categoria inválida"))</f>
        <v/>
      </c>
      <c r="F165" s="35" t="n"/>
      <c r="G165" s="39" t="n"/>
      <c r="H165" s="37" t="n"/>
      <c r="I165" s="36" t="n"/>
      <c r="J165" s="23">
        <f>IF(OR(G165="",I165=""),"",G165*I165)</f>
        <v/>
      </c>
      <c r="K165" s="35" t="n"/>
    </row>
    <row r="166">
      <c r="A166" s="41" t="n"/>
      <c r="B166" s="34" t="n"/>
      <c r="C166" s="34" t="n"/>
      <c r="D166" s="35" t="n"/>
      <c r="E166" s="22">
        <f>IF(D166="","",IFERROR(VLOOKUP(D166,Config!$F$6:$H$25,3,0),"Categoria inválida"))</f>
        <v/>
      </c>
      <c r="F166" s="35" t="n"/>
      <c r="G166" s="39" t="n"/>
      <c r="H166" s="37" t="n"/>
      <c r="I166" s="36" t="n"/>
      <c r="J166" s="23">
        <f>IF(OR(G166="",I166=""),"",G166*I166)</f>
        <v/>
      </c>
      <c r="K166" s="35" t="n"/>
    </row>
    <row r="167">
      <c r="A167" s="41" t="n"/>
      <c r="B167" s="34" t="n"/>
      <c r="C167" s="34" t="n"/>
      <c r="D167" s="35" t="n"/>
      <c r="E167" s="22">
        <f>IF(D167="","",IFERROR(VLOOKUP(D167,Config!$F$6:$H$25,3,0),"Categoria inválida"))</f>
        <v/>
      </c>
      <c r="F167" s="35" t="n"/>
      <c r="G167" s="39" t="n"/>
      <c r="H167" s="37" t="n"/>
      <c r="I167" s="36" t="n"/>
      <c r="J167" s="23">
        <f>IF(OR(G167="",I167=""),"",G167*I167)</f>
        <v/>
      </c>
      <c r="K167" s="35" t="n"/>
    </row>
    <row r="168">
      <c r="A168" s="41" t="n"/>
      <c r="B168" s="34" t="n"/>
      <c r="C168" s="34" t="n"/>
      <c r="D168" s="35" t="n"/>
      <c r="E168" s="22">
        <f>IF(D168="","",IFERROR(VLOOKUP(D168,Config!$F$6:$H$25,3,0),"Categoria inválida"))</f>
        <v/>
      </c>
      <c r="F168" s="35" t="n"/>
      <c r="G168" s="39" t="n"/>
      <c r="H168" s="37" t="n"/>
      <c r="I168" s="36" t="n"/>
      <c r="J168" s="23">
        <f>IF(OR(G168="",I168=""),"",G168*I168)</f>
        <v/>
      </c>
      <c r="K168" s="35" t="n"/>
    </row>
    <row r="169">
      <c r="A169" s="41" t="n"/>
      <c r="B169" s="34" t="n"/>
      <c r="C169" s="34" t="n"/>
      <c r="D169" s="35" t="n"/>
      <c r="E169" s="22">
        <f>IF(D169="","",IFERROR(VLOOKUP(D169,Config!$F$6:$H$25,3,0),"Categoria inválida"))</f>
        <v/>
      </c>
      <c r="F169" s="35" t="n"/>
      <c r="G169" s="39" t="n"/>
      <c r="H169" s="37" t="n"/>
      <c r="I169" s="36" t="n"/>
      <c r="J169" s="23">
        <f>IF(OR(G169="",I169=""),"",G169*I169)</f>
        <v/>
      </c>
      <c r="K169" s="35" t="n"/>
    </row>
    <row r="170">
      <c r="A170" s="41" t="n"/>
      <c r="B170" s="34" t="n"/>
      <c r="C170" s="34" t="n"/>
      <c r="D170" s="35" t="n"/>
      <c r="E170" s="22">
        <f>IF(D170="","",IFERROR(VLOOKUP(D170,Config!$F$6:$H$25,3,0),"Categoria inválida"))</f>
        <v/>
      </c>
      <c r="F170" s="35" t="n"/>
      <c r="G170" s="39" t="n"/>
      <c r="H170" s="37" t="n"/>
      <c r="I170" s="36" t="n"/>
      <c r="J170" s="23">
        <f>IF(OR(G170="",I170=""),"",G170*I170)</f>
        <v/>
      </c>
      <c r="K170" s="35" t="n"/>
    </row>
    <row r="171">
      <c r="A171" s="41" t="n"/>
      <c r="B171" s="34" t="n"/>
      <c r="C171" s="34" t="n"/>
      <c r="D171" s="35" t="n"/>
      <c r="E171" s="22">
        <f>IF(D171="","",IFERROR(VLOOKUP(D171,Config!$F$6:$H$25,3,0),"Categoria inválida"))</f>
        <v/>
      </c>
      <c r="F171" s="35" t="n"/>
      <c r="G171" s="39" t="n"/>
      <c r="H171" s="37" t="n"/>
      <c r="I171" s="36" t="n"/>
      <c r="J171" s="23">
        <f>IF(OR(G171="",I171=""),"",G171*I171)</f>
        <v/>
      </c>
      <c r="K171" s="35" t="n"/>
    </row>
    <row r="172">
      <c r="A172" s="41" t="n"/>
      <c r="B172" s="34" t="n"/>
      <c r="C172" s="34" t="n"/>
      <c r="D172" s="35" t="n"/>
      <c r="E172" s="22">
        <f>IF(D172="","",IFERROR(VLOOKUP(D172,Config!$F$6:$H$25,3,0),"Categoria inválida"))</f>
        <v/>
      </c>
      <c r="F172" s="35" t="n"/>
      <c r="G172" s="39" t="n"/>
      <c r="H172" s="37" t="n"/>
      <c r="I172" s="36" t="n"/>
      <c r="J172" s="23">
        <f>IF(OR(G172="",I172=""),"",G172*I172)</f>
        <v/>
      </c>
      <c r="K172" s="35" t="n"/>
    </row>
    <row r="173">
      <c r="A173" s="41" t="n"/>
      <c r="B173" s="34" t="n"/>
      <c r="C173" s="34" t="n"/>
      <c r="D173" s="35" t="n"/>
      <c r="E173" s="22">
        <f>IF(D173="","",IFERROR(VLOOKUP(D173,Config!$F$6:$H$25,3,0),"Categoria inválida"))</f>
        <v/>
      </c>
      <c r="F173" s="35" t="n"/>
      <c r="G173" s="39" t="n"/>
      <c r="H173" s="37" t="n"/>
      <c r="I173" s="36" t="n"/>
      <c r="J173" s="23">
        <f>IF(OR(G173="",I173=""),"",G173*I173)</f>
        <v/>
      </c>
      <c r="K173" s="35" t="n"/>
    </row>
    <row r="174">
      <c r="A174" s="41" t="n"/>
      <c r="B174" s="34" t="n"/>
      <c r="C174" s="34" t="n"/>
      <c r="D174" s="35" t="n"/>
      <c r="E174" s="22">
        <f>IF(D174="","",IFERROR(VLOOKUP(D174,Config!$F$6:$H$25,3,0),"Categoria inválida"))</f>
        <v/>
      </c>
      <c r="F174" s="35" t="n"/>
      <c r="G174" s="39" t="n"/>
      <c r="H174" s="37" t="n"/>
      <c r="I174" s="36" t="n"/>
      <c r="J174" s="23">
        <f>IF(OR(G174="",I174=""),"",G174*I174)</f>
        <v/>
      </c>
      <c r="K174" s="35" t="n"/>
    </row>
    <row r="175">
      <c r="A175" s="41" t="n"/>
      <c r="B175" s="34" t="n"/>
      <c r="C175" s="34" t="n"/>
      <c r="D175" s="35" t="n"/>
      <c r="E175" s="22">
        <f>IF(D175="","",IFERROR(VLOOKUP(D175,Config!$F$6:$H$25,3,0),"Categoria inválida"))</f>
        <v/>
      </c>
      <c r="F175" s="35" t="n"/>
      <c r="G175" s="39" t="n"/>
      <c r="H175" s="37" t="n"/>
      <c r="I175" s="36" t="n"/>
      <c r="J175" s="23">
        <f>IF(OR(G175="",I175=""),"",G175*I175)</f>
        <v/>
      </c>
      <c r="K175" s="35" t="n"/>
    </row>
    <row r="176">
      <c r="A176" s="41" t="n"/>
      <c r="B176" s="34" t="n"/>
      <c r="C176" s="34" t="n"/>
      <c r="D176" s="35" t="n"/>
      <c r="E176" s="22">
        <f>IF(D176="","",IFERROR(VLOOKUP(D176,Config!$F$6:$H$25,3,0),"Categoria inválida"))</f>
        <v/>
      </c>
      <c r="F176" s="35" t="n"/>
      <c r="G176" s="39" t="n"/>
      <c r="H176" s="37" t="n"/>
      <c r="I176" s="36" t="n"/>
      <c r="J176" s="23">
        <f>IF(OR(G176="",I176=""),"",G176*I176)</f>
        <v/>
      </c>
      <c r="K176" s="35" t="n"/>
    </row>
    <row r="177">
      <c r="A177" s="41" t="n"/>
      <c r="B177" s="34" t="n"/>
      <c r="C177" s="34" t="n"/>
      <c r="D177" s="35" t="n"/>
      <c r="E177" s="22">
        <f>IF(D177="","",IFERROR(VLOOKUP(D177,Config!$F$6:$H$25,3,0),"Categoria inválida"))</f>
        <v/>
      </c>
      <c r="F177" s="35" t="n"/>
      <c r="G177" s="39" t="n"/>
      <c r="H177" s="37" t="n"/>
      <c r="I177" s="36" t="n"/>
      <c r="J177" s="23">
        <f>IF(OR(G177="",I177=""),"",G177*I177)</f>
        <v/>
      </c>
      <c r="K177" s="35" t="n"/>
    </row>
    <row r="178">
      <c r="A178" s="41" t="n"/>
      <c r="B178" s="34" t="n"/>
      <c r="C178" s="34" t="n"/>
      <c r="D178" s="35" t="n"/>
      <c r="E178" s="22">
        <f>IF(D178="","",IFERROR(VLOOKUP(D178,Config!$F$6:$H$25,3,0),"Categoria inválida"))</f>
        <v/>
      </c>
      <c r="F178" s="35" t="n"/>
      <c r="G178" s="39" t="n"/>
      <c r="H178" s="37" t="n"/>
      <c r="I178" s="36" t="n"/>
      <c r="J178" s="23">
        <f>IF(OR(G178="",I178=""),"",G178*I178)</f>
        <v/>
      </c>
      <c r="K178" s="35" t="n"/>
    </row>
    <row r="179">
      <c r="A179" s="41" t="n"/>
      <c r="B179" s="34" t="n"/>
      <c r="C179" s="34" t="n"/>
      <c r="D179" s="35" t="n"/>
      <c r="E179" s="22">
        <f>IF(D179="","",IFERROR(VLOOKUP(D179,Config!$F$6:$H$25,3,0),"Categoria inválida"))</f>
        <v/>
      </c>
      <c r="F179" s="35" t="n"/>
      <c r="G179" s="39" t="n"/>
      <c r="H179" s="37" t="n"/>
      <c r="I179" s="36" t="n"/>
      <c r="J179" s="23">
        <f>IF(OR(G179="",I179=""),"",G179*I179)</f>
        <v/>
      </c>
      <c r="K179" s="35" t="n"/>
    </row>
    <row r="180">
      <c r="A180" s="41" t="n"/>
      <c r="B180" s="34" t="n"/>
      <c r="C180" s="34" t="n"/>
      <c r="D180" s="35" t="n"/>
      <c r="E180" s="22">
        <f>IF(D180="","",IFERROR(VLOOKUP(D180,Config!$F$6:$H$25,3,0),"Categoria inválida"))</f>
        <v/>
      </c>
      <c r="F180" s="35" t="n"/>
      <c r="G180" s="39" t="n"/>
      <c r="H180" s="37" t="n"/>
      <c r="I180" s="36" t="n"/>
      <c r="J180" s="23">
        <f>IF(OR(G180="",I180=""),"",G180*I180)</f>
        <v/>
      </c>
      <c r="K180" s="35" t="n"/>
    </row>
    <row r="181">
      <c r="A181" s="41" t="n"/>
      <c r="B181" s="34" t="n"/>
      <c r="C181" s="34" t="n"/>
      <c r="D181" s="35" t="n"/>
      <c r="E181" s="22">
        <f>IF(D181="","",IFERROR(VLOOKUP(D181,Config!$F$6:$H$25,3,0),"Categoria inválida"))</f>
        <v/>
      </c>
      <c r="F181" s="35" t="n"/>
      <c r="G181" s="39" t="n"/>
      <c r="H181" s="37" t="n"/>
      <c r="I181" s="36" t="n"/>
      <c r="J181" s="23">
        <f>IF(OR(G181="",I181=""),"",G181*I181)</f>
        <v/>
      </c>
      <c r="K181" s="35" t="n"/>
    </row>
    <row r="182">
      <c r="A182" s="41" t="n"/>
      <c r="B182" s="34" t="n"/>
      <c r="C182" s="34" t="n"/>
      <c r="D182" s="35" t="n"/>
      <c r="E182" s="22">
        <f>IF(D182="","",IFERROR(VLOOKUP(D182,Config!$F$6:$H$25,3,0),"Categoria inválida"))</f>
        <v/>
      </c>
      <c r="F182" s="35" t="n"/>
      <c r="G182" s="39" t="n"/>
      <c r="H182" s="37" t="n"/>
      <c r="I182" s="36" t="n"/>
      <c r="J182" s="23">
        <f>IF(OR(G182="",I182=""),"",G182*I182)</f>
        <v/>
      </c>
      <c r="K182" s="35" t="n"/>
    </row>
    <row r="183">
      <c r="A183" s="41" t="n"/>
      <c r="B183" s="34" t="n"/>
      <c r="C183" s="34" t="n"/>
      <c r="D183" s="35" t="n"/>
      <c r="E183" s="22">
        <f>IF(D183="","",IFERROR(VLOOKUP(D183,Config!$F$6:$H$25,3,0),"Categoria inválida"))</f>
        <v/>
      </c>
      <c r="F183" s="35" t="n"/>
      <c r="G183" s="39" t="n"/>
      <c r="H183" s="37" t="n"/>
      <c r="I183" s="36" t="n"/>
      <c r="J183" s="23">
        <f>IF(OR(G183="",I183=""),"",G183*I183)</f>
        <v/>
      </c>
      <c r="K183" s="35" t="n"/>
    </row>
    <row r="184">
      <c r="A184" s="41" t="n"/>
      <c r="B184" s="34" t="n"/>
      <c r="C184" s="34" t="n"/>
      <c r="D184" s="35" t="n"/>
      <c r="E184" s="22">
        <f>IF(D184="","",IFERROR(VLOOKUP(D184,Config!$F$6:$H$25,3,0),"Categoria inválida"))</f>
        <v/>
      </c>
      <c r="F184" s="35" t="n"/>
      <c r="G184" s="39" t="n"/>
      <c r="H184" s="37" t="n"/>
      <c r="I184" s="36" t="n"/>
      <c r="J184" s="23">
        <f>IF(OR(G184="",I184=""),"",G184*I184)</f>
        <v/>
      </c>
      <c r="K184" s="35" t="n"/>
    </row>
    <row r="185">
      <c r="A185" s="41" t="n"/>
      <c r="B185" s="34" t="n"/>
      <c r="C185" s="34" t="n"/>
      <c r="D185" s="35" t="n"/>
      <c r="E185" s="22">
        <f>IF(D185="","",IFERROR(VLOOKUP(D185,Config!$F$6:$H$25,3,0),"Categoria inválida"))</f>
        <v/>
      </c>
      <c r="F185" s="35" t="n"/>
      <c r="G185" s="39" t="n"/>
      <c r="H185" s="37" t="n"/>
      <c r="I185" s="36" t="n"/>
      <c r="J185" s="23">
        <f>IF(OR(G185="",I185=""),"",G185*I185)</f>
        <v/>
      </c>
      <c r="K185" s="35" t="n"/>
    </row>
    <row r="186">
      <c r="A186" s="41" t="n"/>
      <c r="B186" s="34" t="n"/>
      <c r="C186" s="34" t="n"/>
      <c r="D186" s="35" t="n"/>
      <c r="E186" s="22">
        <f>IF(D186="","",IFERROR(VLOOKUP(D186,Config!$F$6:$H$25,3,0),"Categoria inválida"))</f>
        <v/>
      </c>
      <c r="F186" s="35" t="n"/>
      <c r="G186" s="39" t="n"/>
      <c r="H186" s="37" t="n"/>
      <c r="I186" s="36" t="n"/>
      <c r="J186" s="23">
        <f>IF(OR(G186="",I186=""),"",G186*I186)</f>
        <v/>
      </c>
      <c r="K186" s="35" t="n"/>
    </row>
    <row r="187">
      <c r="A187" s="41" t="n"/>
      <c r="B187" s="34" t="n"/>
      <c r="C187" s="34" t="n"/>
      <c r="D187" s="35" t="n"/>
      <c r="E187" s="22">
        <f>IF(D187="","",IFERROR(VLOOKUP(D187,Config!$F$6:$H$25,3,0),"Categoria inválida"))</f>
        <v/>
      </c>
      <c r="F187" s="35" t="n"/>
      <c r="G187" s="39" t="n"/>
      <c r="H187" s="37" t="n"/>
      <c r="I187" s="36" t="n"/>
      <c r="J187" s="23">
        <f>IF(OR(G187="",I187=""),"",G187*I187)</f>
        <v/>
      </c>
      <c r="K187" s="35" t="n"/>
    </row>
    <row r="188">
      <c r="A188" s="41" t="n"/>
      <c r="B188" s="34" t="n"/>
      <c r="C188" s="34" t="n"/>
      <c r="D188" s="35" t="n"/>
      <c r="E188" s="22">
        <f>IF(D188="","",IFERROR(VLOOKUP(D188,Config!$F$6:$H$25,3,0),"Categoria inválida"))</f>
        <v/>
      </c>
      <c r="F188" s="35" t="n"/>
      <c r="G188" s="39" t="n"/>
      <c r="H188" s="37" t="n"/>
      <c r="I188" s="36" t="n"/>
      <c r="J188" s="23">
        <f>IF(OR(G188="",I188=""),"",G188*I188)</f>
        <v/>
      </c>
      <c r="K188" s="35" t="n"/>
    </row>
    <row r="189">
      <c r="A189" s="41" t="n"/>
      <c r="B189" s="34" t="n"/>
      <c r="C189" s="34" t="n"/>
      <c r="D189" s="35" t="n"/>
      <c r="E189" s="22">
        <f>IF(D189="","",IFERROR(VLOOKUP(D189,Config!$F$6:$H$25,3,0),"Categoria inválida"))</f>
        <v/>
      </c>
      <c r="F189" s="35" t="n"/>
      <c r="G189" s="39" t="n"/>
      <c r="H189" s="37" t="n"/>
      <c r="I189" s="36" t="n"/>
      <c r="J189" s="23">
        <f>IF(OR(G189="",I189=""),"",G189*I189)</f>
        <v/>
      </c>
      <c r="K189" s="35" t="n"/>
    </row>
    <row r="190">
      <c r="A190" s="41" t="n"/>
      <c r="B190" s="34" t="n"/>
      <c r="C190" s="34" t="n"/>
      <c r="D190" s="35" t="n"/>
      <c r="E190" s="22">
        <f>IF(D190="","",IFERROR(VLOOKUP(D190,Config!$F$6:$H$25,3,0),"Categoria inválida"))</f>
        <v/>
      </c>
      <c r="F190" s="35" t="n"/>
      <c r="G190" s="39" t="n"/>
      <c r="H190" s="37" t="n"/>
      <c r="I190" s="36" t="n"/>
      <c r="J190" s="23">
        <f>IF(OR(G190="",I190=""),"",G190*I190)</f>
        <v/>
      </c>
      <c r="K190" s="35" t="n"/>
    </row>
    <row r="191">
      <c r="A191" s="41" t="n"/>
      <c r="B191" s="34" t="n"/>
      <c r="C191" s="34" t="n"/>
      <c r="D191" s="35" t="n"/>
      <c r="E191" s="22">
        <f>IF(D191="","",IFERROR(VLOOKUP(D191,Config!$F$6:$H$25,3,0),"Categoria inválida"))</f>
        <v/>
      </c>
      <c r="F191" s="35" t="n"/>
      <c r="G191" s="39" t="n"/>
      <c r="H191" s="37" t="n"/>
      <c r="I191" s="36" t="n"/>
      <c r="J191" s="23">
        <f>IF(OR(G191="",I191=""),"",G191*I191)</f>
        <v/>
      </c>
      <c r="K191" s="35" t="n"/>
    </row>
    <row r="192">
      <c r="A192" s="41" t="n"/>
      <c r="B192" s="34" t="n"/>
      <c r="C192" s="34" t="n"/>
      <c r="D192" s="35" t="n"/>
      <c r="E192" s="22">
        <f>IF(D192="","",IFERROR(VLOOKUP(D192,Config!$F$6:$H$25,3,0),"Categoria inválida"))</f>
        <v/>
      </c>
      <c r="F192" s="35" t="n"/>
      <c r="G192" s="39" t="n"/>
      <c r="H192" s="37" t="n"/>
      <c r="I192" s="36" t="n"/>
      <c r="J192" s="23">
        <f>IF(OR(G192="",I192=""),"",G192*I192)</f>
        <v/>
      </c>
      <c r="K192" s="35" t="n"/>
    </row>
    <row r="193">
      <c r="A193" s="41" t="n"/>
      <c r="B193" s="34" t="n"/>
      <c r="C193" s="34" t="n"/>
      <c r="D193" s="35" t="n"/>
      <c r="E193" s="22">
        <f>IF(D193="","",IFERROR(VLOOKUP(D193,Config!$F$6:$H$25,3,0),"Categoria inválida"))</f>
        <v/>
      </c>
      <c r="F193" s="35" t="n"/>
      <c r="G193" s="39" t="n"/>
      <c r="H193" s="37" t="n"/>
      <c r="I193" s="36" t="n"/>
      <c r="J193" s="23">
        <f>IF(OR(G193="",I193=""),"",G193*I193)</f>
        <v/>
      </c>
      <c r="K193" s="35" t="n"/>
    </row>
    <row r="194">
      <c r="A194" s="41" t="n"/>
      <c r="B194" s="34" t="n"/>
      <c r="C194" s="34" t="n"/>
      <c r="D194" s="35" t="n"/>
      <c r="E194" s="22">
        <f>IF(D194="","",IFERROR(VLOOKUP(D194,Config!$F$6:$H$25,3,0),"Categoria inválida"))</f>
        <v/>
      </c>
      <c r="F194" s="35" t="n"/>
      <c r="G194" s="39" t="n"/>
      <c r="H194" s="37" t="n"/>
      <c r="I194" s="36" t="n"/>
      <c r="J194" s="23">
        <f>IF(OR(G194="",I194=""),"",G194*I194)</f>
        <v/>
      </c>
      <c r="K194" s="35" t="n"/>
    </row>
    <row r="195">
      <c r="A195" s="41" t="n"/>
      <c r="B195" s="34" t="n"/>
      <c r="C195" s="34" t="n"/>
      <c r="D195" s="35" t="n"/>
      <c r="E195" s="22">
        <f>IF(D195="","",IFERROR(VLOOKUP(D195,Config!$F$6:$H$25,3,0),"Categoria inválida"))</f>
        <v/>
      </c>
      <c r="F195" s="35" t="n"/>
      <c r="G195" s="39" t="n"/>
      <c r="H195" s="37" t="n"/>
      <c r="I195" s="36" t="n"/>
      <c r="J195" s="23">
        <f>IF(OR(G195="",I195=""),"",G195*I195)</f>
        <v/>
      </c>
      <c r="K195" s="35" t="n"/>
    </row>
    <row r="196">
      <c r="A196" s="41" t="n"/>
      <c r="B196" s="34" t="n"/>
      <c r="C196" s="34" t="n"/>
      <c r="D196" s="35" t="n"/>
      <c r="E196" s="22">
        <f>IF(D196="","",IFERROR(VLOOKUP(D196,Config!$F$6:$H$25,3,0),"Categoria inválida"))</f>
        <v/>
      </c>
      <c r="F196" s="35" t="n"/>
      <c r="G196" s="39" t="n"/>
      <c r="H196" s="37" t="n"/>
      <c r="I196" s="36" t="n"/>
      <c r="J196" s="23">
        <f>IF(OR(G196="",I196=""),"",G196*I196)</f>
        <v/>
      </c>
      <c r="K196" s="35" t="n"/>
    </row>
    <row r="197">
      <c r="A197" s="41" t="n"/>
      <c r="B197" s="34" t="n"/>
      <c r="C197" s="34" t="n"/>
      <c r="D197" s="35" t="n"/>
      <c r="E197" s="22">
        <f>IF(D197="","",IFERROR(VLOOKUP(D197,Config!$F$6:$H$25,3,0),"Categoria inválida"))</f>
        <v/>
      </c>
      <c r="F197" s="35" t="n"/>
      <c r="G197" s="39" t="n"/>
      <c r="H197" s="37" t="n"/>
      <c r="I197" s="36" t="n"/>
      <c r="J197" s="23">
        <f>IF(OR(G197="",I197=""),"",G197*I197)</f>
        <v/>
      </c>
      <c r="K197" s="35" t="n"/>
    </row>
    <row r="198">
      <c r="A198" s="41" t="n"/>
      <c r="B198" s="34" t="n"/>
      <c r="C198" s="34" t="n"/>
      <c r="D198" s="35" t="n"/>
      <c r="E198" s="22">
        <f>IF(D198="","",IFERROR(VLOOKUP(D198,Config!$F$6:$H$25,3,0),"Categoria inválida"))</f>
        <v/>
      </c>
      <c r="F198" s="35" t="n"/>
      <c r="G198" s="39" t="n"/>
      <c r="H198" s="37" t="n"/>
      <c r="I198" s="36" t="n"/>
      <c r="J198" s="23">
        <f>IF(OR(G198="",I198=""),"",G198*I198)</f>
        <v/>
      </c>
      <c r="K198" s="35" t="n"/>
    </row>
    <row r="199">
      <c r="A199" s="41" t="n"/>
      <c r="B199" s="34" t="n"/>
      <c r="C199" s="34" t="n"/>
      <c r="D199" s="35" t="n"/>
      <c r="E199" s="22">
        <f>IF(D199="","",IFERROR(VLOOKUP(D199,Config!$F$6:$H$25,3,0),"Categoria inválida"))</f>
        <v/>
      </c>
      <c r="F199" s="35" t="n"/>
      <c r="G199" s="39" t="n"/>
      <c r="H199" s="37" t="n"/>
      <c r="I199" s="36" t="n"/>
      <c r="J199" s="23">
        <f>IF(OR(G199="",I199=""),"",G199*I199)</f>
        <v/>
      </c>
      <c r="K199" s="35" t="n"/>
    </row>
    <row r="200">
      <c r="A200" s="41" t="n"/>
      <c r="B200" s="34" t="n"/>
      <c r="C200" s="34" t="n"/>
      <c r="D200" s="35" t="n"/>
      <c r="E200" s="22">
        <f>IF(D200="","",IFERROR(VLOOKUP(D200,Config!$F$6:$H$25,3,0),"Categoria inválida"))</f>
        <v/>
      </c>
      <c r="F200" s="35" t="n"/>
      <c r="G200" s="39" t="n"/>
      <c r="H200" s="37" t="n"/>
      <c r="I200" s="36" t="n"/>
      <c r="J200" s="23">
        <f>IF(OR(G200="",I200=""),"",G200*I200)</f>
        <v/>
      </c>
      <c r="K200" s="35" t="n"/>
    </row>
    <row r="201">
      <c r="A201" s="41" t="n"/>
      <c r="B201" s="34" t="n"/>
      <c r="C201" s="34" t="n"/>
      <c r="D201" s="35" t="n"/>
      <c r="E201" s="22">
        <f>IF(D201="","",IFERROR(VLOOKUP(D201,Config!$F$6:$H$25,3,0),"Categoria inválida"))</f>
        <v/>
      </c>
      <c r="F201" s="35" t="n"/>
      <c r="G201" s="39" t="n"/>
      <c r="H201" s="37" t="n"/>
      <c r="I201" s="36" t="n"/>
      <c r="J201" s="23">
        <f>IF(OR(G201="",I201=""),"",G201*I201)</f>
        <v/>
      </c>
      <c r="K201" s="35" t="n"/>
    </row>
    <row r="202">
      <c r="A202" s="41" t="n"/>
      <c r="B202" s="34" t="n"/>
      <c r="C202" s="34" t="n"/>
      <c r="D202" s="35" t="n"/>
      <c r="E202" s="22">
        <f>IF(D202="","",IFERROR(VLOOKUP(D202,Config!$F$6:$H$25,3,0),"Categoria inválida"))</f>
        <v/>
      </c>
      <c r="F202" s="35" t="n"/>
      <c r="G202" s="39" t="n"/>
      <c r="H202" s="37" t="n"/>
      <c r="I202" s="36" t="n"/>
      <c r="J202" s="23">
        <f>IF(OR(G202="",I202=""),"",G202*I202)</f>
        <v/>
      </c>
      <c r="K202" s="35" t="n"/>
    </row>
    <row r="203">
      <c r="A203" s="41" t="n"/>
      <c r="B203" s="34" t="n"/>
      <c r="C203" s="34" t="n"/>
      <c r="D203" s="35" t="n"/>
      <c r="E203" s="22">
        <f>IF(D203="","",IFERROR(VLOOKUP(D203,Config!$F$6:$H$25,3,0),"Categoria inválida"))</f>
        <v/>
      </c>
      <c r="F203" s="35" t="n"/>
      <c r="G203" s="39" t="n"/>
      <c r="H203" s="37" t="n"/>
      <c r="I203" s="36" t="n"/>
      <c r="J203" s="23">
        <f>IF(OR(G203="",I203=""),"",G203*I203)</f>
        <v/>
      </c>
      <c r="K203" s="35" t="n"/>
    </row>
    <row r="204">
      <c r="A204" s="41" t="n"/>
      <c r="B204" s="34" t="n"/>
      <c r="C204" s="34" t="n"/>
      <c r="D204" s="35" t="n"/>
      <c r="E204" s="22">
        <f>IF(D204="","",IFERROR(VLOOKUP(D204,Config!$F$6:$H$25,3,0),"Categoria inválida"))</f>
        <v/>
      </c>
      <c r="F204" s="35" t="n"/>
      <c r="G204" s="39" t="n"/>
      <c r="H204" s="37" t="n"/>
      <c r="I204" s="36" t="n"/>
      <c r="J204" s="23">
        <f>IF(OR(G204="",I204=""),"",G204*I204)</f>
        <v/>
      </c>
      <c r="K204" s="35" t="n"/>
    </row>
    <row r="205">
      <c r="A205" s="41" t="n"/>
      <c r="B205" s="34" t="n"/>
      <c r="C205" s="34" t="n"/>
      <c r="D205" s="35" t="n"/>
      <c r="E205" s="22">
        <f>IF(D205="","",IFERROR(VLOOKUP(D205,Config!$F$6:$H$25,3,0),"Categoria inválida"))</f>
        <v/>
      </c>
      <c r="F205" s="35" t="n"/>
      <c r="G205" s="39" t="n"/>
      <c r="H205" s="37" t="n"/>
      <c r="I205" s="36" t="n"/>
      <c r="J205" s="23">
        <f>IF(OR(G205="",I205=""),"",G205*I205)</f>
        <v/>
      </c>
      <c r="K205" s="35" t="n"/>
    </row>
    <row r="206">
      <c r="A206" s="41" t="n"/>
      <c r="B206" s="34" t="n"/>
      <c r="C206" s="34" t="n"/>
      <c r="D206" s="35" t="n"/>
      <c r="E206" s="22">
        <f>IF(D206="","",IFERROR(VLOOKUP(D206,Config!$F$6:$H$25,3,0),"Categoria inválida"))</f>
        <v/>
      </c>
      <c r="F206" s="35" t="n"/>
      <c r="G206" s="39" t="n"/>
      <c r="H206" s="37" t="n"/>
      <c r="I206" s="36" t="n"/>
      <c r="J206" s="23">
        <f>IF(OR(G206="",I206=""),"",G206*I206)</f>
        <v/>
      </c>
      <c r="K206" s="35" t="n"/>
    </row>
    <row r="207">
      <c r="A207" s="41" t="n"/>
      <c r="B207" s="34" t="n"/>
      <c r="C207" s="34" t="n"/>
      <c r="D207" s="35" t="n"/>
      <c r="E207" s="22">
        <f>IF(D207="","",IFERROR(VLOOKUP(D207,Config!$F$6:$H$25,3,0),"Categoria inválida"))</f>
        <v/>
      </c>
      <c r="F207" s="35" t="n"/>
      <c r="G207" s="39" t="n"/>
      <c r="H207" s="37" t="n"/>
      <c r="I207" s="36" t="n"/>
      <c r="J207" s="23">
        <f>IF(OR(G207="",I207=""),"",G207*I207)</f>
        <v/>
      </c>
      <c r="K207" s="35" t="n"/>
    </row>
    <row r="208">
      <c r="A208" s="41" t="n"/>
      <c r="B208" s="34" t="n"/>
      <c r="C208" s="34" t="n"/>
      <c r="D208" s="35" t="n"/>
      <c r="E208" s="22">
        <f>IF(D208="","",IFERROR(VLOOKUP(D208,Config!$F$6:$H$25,3,0),"Categoria inválida"))</f>
        <v/>
      </c>
      <c r="F208" s="35" t="n"/>
      <c r="G208" s="39" t="n"/>
      <c r="H208" s="37" t="n"/>
      <c r="I208" s="36" t="n"/>
      <c r="J208" s="23">
        <f>IF(OR(G208="",I208=""),"",G208*I208)</f>
        <v/>
      </c>
      <c r="K208" s="35" t="n"/>
    </row>
    <row r="209">
      <c r="A209" s="41" t="n"/>
      <c r="B209" s="34" t="n"/>
      <c r="C209" s="34" t="n"/>
      <c r="D209" s="35" t="n"/>
      <c r="E209" s="22">
        <f>IF(D209="","",IFERROR(VLOOKUP(D209,Config!$F$6:$H$25,3,0),"Categoria inválida"))</f>
        <v/>
      </c>
      <c r="F209" s="35" t="n"/>
      <c r="G209" s="39" t="n"/>
      <c r="H209" s="37" t="n"/>
      <c r="I209" s="36" t="n"/>
      <c r="J209" s="23">
        <f>IF(OR(G209="",I209=""),"",G209*I209)</f>
        <v/>
      </c>
      <c r="K209" s="35" t="n"/>
    </row>
    <row r="210">
      <c r="A210" s="41" t="n"/>
      <c r="B210" s="34" t="n"/>
      <c r="C210" s="34" t="n"/>
      <c r="D210" s="35" t="n"/>
      <c r="E210" s="22">
        <f>IF(D210="","",IFERROR(VLOOKUP(D210,Config!$F$6:$H$25,3,0),"Categoria inválida"))</f>
        <v/>
      </c>
      <c r="F210" s="35" t="n"/>
      <c r="G210" s="39" t="n"/>
      <c r="H210" s="37" t="n"/>
      <c r="I210" s="36" t="n"/>
      <c r="J210" s="23">
        <f>IF(OR(G210="",I210=""),"",G210*I210)</f>
        <v/>
      </c>
      <c r="K210" s="35" t="n"/>
    </row>
    <row r="211">
      <c r="A211" s="41" t="n"/>
      <c r="B211" s="34" t="n"/>
      <c r="C211" s="34" t="n"/>
      <c r="D211" s="35" t="n"/>
      <c r="E211" s="22">
        <f>IF(D211="","",IFERROR(VLOOKUP(D211,Config!$F$6:$H$25,3,0),"Categoria inválida"))</f>
        <v/>
      </c>
      <c r="F211" s="35" t="n"/>
      <c r="G211" s="39" t="n"/>
      <c r="H211" s="37" t="n"/>
      <c r="I211" s="36" t="n"/>
      <c r="J211" s="23">
        <f>IF(OR(G211="",I211=""),"",G211*I211)</f>
        <v/>
      </c>
      <c r="K211" s="35" t="n"/>
    </row>
    <row r="212">
      <c r="A212" s="41" t="n"/>
      <c r="B212" s="34" t="n"/>
      <c r="C212" s="34" t="n"/>
      <c r="D212" s="35" t="n"/>
      <c r="E212" s="22">
        <f>IF(D212="","",IFERROR(VLOOKUP(D212,Config!$F$6:$H$25,3,0),"Categoria inválida"))</f>
        <v/>
      </c>
      <c r="F212" s="35" t="n"/>
      <c r="G212" s="39" t="n"/>
      <c r="H212" s="37" t="n"/>
      <c r="I212" s="36" t="n"/>
      <c r="J212" s="23">
        <f>IF(OR(G212="",I212=""),"",G212*I212)</f>
        <v/>
      </c>
      <c r="K212" s="35" t="n"/>
    </row>
    <row r="213">
      <c r="A213" s="41" t="n"/>
      <c r="B213" s="34" t="n"/>
      <c r="C213" s="34" t="n"/>
      <c r="D213" s="35" t="n"/>
      <c r="E213" s="22">
        <f>IF(D213="","",IFERROR(VLOOKUP(D213,Config!$F$6:$H$25,3,0),"Categoria inválida"))</f>
        <v/>
      </c>
      <c r="F213" s="35" t="n"/>
      <c r="G213" s="39" t="n"/>
      <c r="H213" s="37" t="n"/>
      <c r="I213" s="36" t="n"/>
      <c r="J213" s="23">
        <f>IF(OR(G213="",I213=""),"",G213*I213)</f>
        <v/>
      </c>
      <c r="K213" s="35" t="n"/>
    </row>
    <row r="214">
      <c r="A214" s="41" t="n"/>
      <c r="B214" s="34" t="n"/>
      <c r="C214" s="34" t="n"/>
      <c r="D214" s="35" t="n"/>
      <c r="E214" s="22">
        <f>IF(D214="","",IFERROR(VLOOKUP(D214,Config!$F$6:$H$25,3,0),"Categoria inválida"))</f>
        <v/>
      </c>
      <c r="F214" s="35" t="n"/>
      <c r="G214" s="39" t="n"/>
      <c r="H214" s="37" t="n"/>
      <c r="I214" s="36" t="n"/>
      <c r="J214" s="23">
        <f>IF(OR(G214="",I214=""),"",G214*I214)</f>
        <v/>
      </c>
      <c r="K214" s="35" t="n"/>
    </row>
    <row r="215">
      <c r="A215" s="41" t="n"/>
      <c r="B215" s="34" t="n"/>
      <c r="C215" s="34" t="n"/>
      <c r="D215" s="35" t="n"/>
      <c r="E215" s="22">
        <f>IF(D215="","",IFERROR(VLOOKUP(D215,Config!$F$6:$H$25,3,0),"Categoria inválida"))</f>
        <v/>
      </c>
      <c r="F215" s="35" t="n"/>
      <c r="G215" s="39" t="n"/>
      <c r="H215" s="37" t="n"/>
      <c r="I215" s="36" t="n"/>
      <c r="J215" s="23">
        <f>IF(OR(G215="",I215=""),"",G215*I215)</f>
        <v/>
      </c>
      <c r="K215" s="35" t="n"/>
    </row>
    <row r="216">
      <c r="A216" s="41" t="n"/>
      <c r="B216" s="34" t="n"/>
      <c r="C216" s="34" t="n"/>
      <c r="D216" s="35" t="n"/>
      <c r="E216" s="22">
        <f>IF(D216="","",IFERROR(VLOOKUP(D216,Config!$F$6:$H$25,3,0),"Categoria inválida"))</f>
        <v/>
      </c>
      <c r="F216" s="35" t="n"/>
      <c r="G216" s="39" t="n"/>
      <c r="H216" s="37" t="n"/>
      <c r="I216" s="36" t="n"/>
      <c r="J216" s="23">
        <f>IF(OR(G216="",I216=""),"",G216*I216)</f>
        <v/>
      </c>
      <c r="K216" s="35" t="n"/>
    </row>
    <row r="217">
      <c r="A217" s="41" t="n"/>
      <c r="B217" s="34" t="n"/>
      <c r="C217" s="34" t="n"/>
      <c r="D217" s="35" t="n"/>
      <c r="E217" s="22">
        <f>IF(D217="","",IFERROR(VLOOKUP(D217,Config!$F$6:$H$25,3,0),"Categoria inválida"))</f>
        <v/>
      </c>
      <c r="F217" s="35" t="n"/>
      <c r="G217" s="39" t="n"/>
      <c r="H217" s="37" t="n"/>
      <c r="I217" s="36" t="n"/>
      <c r="J217" s="23">
        <f>IF(OR(G217="",I217=""),"",G217*I217)</f>
        <v/>
      </c>
      <c r="K217" s="35" t="n"/>
    </row>
    <row r="218">
      <c r="A218" s="41" t="n"/>
      <c r="B218" s="34" t="n"/>
      <c r="C218" s="34" t="n"/>
      <c r="D218" s="35" t="n"/>
      <c r="E218" s="22">
        <f>IF(D218="","",IFERROR(VLOOKUP(D218,Config!$F$6:$H$25,3,0),"Categoria inválida"))</f>
        <v/>
      </c>
      <c r="F218" s="35" t="n"/>
      <c r="G218" s="39" t="n"/>
      <c r="H218" s="37" t="n"/>
      <c r="I218" s="36" t="n"/>
      <c r="J218" s="23">
        <f>IF(OR(G218="",I218=""),"",G218*I218)</f>
        <v/>
      </c>
      <c r="K218" s="35" t="n"/>
    </row>
    <row r="219">
      <c r="A219" s="41" t="n"/>
      <c r="B219" s="34" t="n"/>
      <c r="C219" s="34" t="n"/>
      <c r="D219" s="35" t="n"/>
      <c r="E219" s="22">
        <f>IF(D219="","",IFERROR(VLOOKUP(D219,Config!$F$6:$H$25,3,0),"Categoria inválida"))</f>
        <v/>
      </c>
      <c r="F219" s="35" t="n"/>
      <c r="G219" s="39" t="n"/>
      <c r="H219" s="37" t="n"/>
      <c r="I219" s="36" t="n"/>
      <c r="J219" s="23">
        <f>IF(OR(G219="",I219=""),"",G219*I219)</f>
        <v/>
      </c>
      <c r="K219" s="35" t="n"/>
    </row>
    <row r="220">
      <c r="A220" s="41" t="n"/>
      <c r="B220" s="34" t="n"/>
      <c r="C220" s="34" t="n"/>
      <c r="D220" s="35" t="n"/>
      <c r="E220" s="22">
        <f>IF(D220="","",IFERROR(VLOOKUP(D220,Config!$F$6:$H$25,3,0),"Categoria inválida"))</f>
        <v/>
      </c>
      <c r="F220" s="35" t="n"/>
      <c r="G220" s="39" t="n"/>
      <c r="H220" s="37" t="n"/>
      <c r="I220" s="36" t="n"/>
      <c r="J220" s="23">
        <f>IF(OR(G220="",I220=""),"",G220*I220)</f>
        <v/>
      </c>
      <c r="K220" s="35" t="n"/>
    </row>
    <row r="221">
      <c r="A221" s="41" t="n"/>
      <c r="B221" s="34" t="n"/>
      <c r="C221" s="34" t="n"/>
      <c r="D221" s="35" t="n"/>
      <c r="E221" s="22">
        <f>IF(D221="","",IFERROR(VLOOKUP(D221,Config!$F$6:$H$25,3,0),"Categoria inválida"))</f>
        <v/>
      </c>
      <c r="F221" s="35" t="n"/>
      <c r="G221" s="39" t="n"/>
      <c r="H221" s="37" t="n"/>
      <c r="I221" s="36" t="n"/>
      <c r="J221" s="23">
        <f>IF(OR(G221="",I221=""),"",G221*I221)</f>
        <v/>
      </c>
      <c r="K221" s="35" t="n"/>
    </row>
    <row r="222">
      <c r="A222" s="41" t="n"/>
      <c r="B222" s="34" t="n"/>
      <c r="C222" s="34" t="n"/>
      <c r="D222" s="35" t="n"/>
      <c r="E222" s="22">
        <f>IF(D222="","",IFERROR(VLOOKUP(D222,Config!$F$6:$H$25,3,0),"Categoria inválida"))</f>
        <v/>
      </c>
      <c r="F222" s="35" t="n"/>
      <c r="G222" s="39" t="n"/>
      <c r="H222" s="37" t="n"/>
      <c r="I222" s="36" t="n"/>
      <c r="J222" s="23">
        <f>IF(OR(G222="",I222=""),"",G222*I222)</f>
        <v/>
      </c>
      <c r="K222" s="35" t="n"/>
    </row>
    <row r="223">
      <c r="A223" s="41" t="n"/>
      <c r="B223" s="34" t="n"/>
      <c r="C223" s="34" t="n"/>
      <c r="D223" s="35" t="n"/>
      <c r="E223" s="22">
        <f>IF(D223="","",IFERROR(VLOOKUP(D223,Config!$F$6:$H$25,3,0),"Categoria inválida"))</f>
        <v/>
      </c>
      <c r="F223" s="35" t="n"/>
      <c r="G223" s="39" t="n"/>
      <c r="H223" s="37" t="n"/>
      <c r="I223" s="36" t="n"/>
      <c r="J223" s="23">
        <f>IF(OR(G223="",I223=""),"",G223*I223)</f>
        <v/>
      </c>
      <c r="K223" s="35" t="n"/>
    </row>
    <row r="224">
      <c r="A224" s="41" t="n"/>
      <c r="B224" s="34" t="n"/>
      <c r="C224" s="34" t="n"/>
      <c r="D224" s="35" t="n"/>
      <c r="E224" s="22">
        <f>IF(D224="","",IFERROR(VLOOKUP(D224,Config!$F$6:$H$25,3,0),"Categoria inválida"))</f>
        <v/>
      </c>
      <c r="F224" s="35" t="n"/>
      <c r="G224" s="39" t="n"/>
      <c r="H224" s="37" t="n"/>
      <c r="I224" s="36" t="n"/>
      <c r="J224" s="23">
        <f>IF(OR(G224="",I224=""),"",G224*I224)</f>
        <v/>
      </c>
      <c r="K224" s="35" t="n"/>
    </row>
    <row r="225">
      <c r="A225" s="41" t="n"/>
      <c r="B225" s="34" t="n"/>
      <c r="C225" s="34" t="n"/>
      <c r="D225" s="35" t="n"/>
      <c r="E225" s="22">
        <f>IF(D225="","",IFERROR(VLOOKUP(D225,Config!$F$6:$H$25,3,0),"Categoria inválida"))</f>
        <v/>
      </c>
      <c r="F225" s="35" t="n"/>
      <c r="G225" s="39" t="n"/>
      <c r="H225" s="37" t="n"/>
      <c r="I225" s="36" t="n"/>
      <c r="J225" s="23">
        <f>IF(OR(G225="",I225=""),"",G225*I225)</f>
        <v/>
      </c>
      <c r="K225" s="35" t="n"/>
    </row>
    <row r="226">
      <c r="A226" s="41" t="n"/>
      <c r="B226" s="34" t="n"/>
      <c r="C226" s="34" t="n"/>
      <c r="D226" s="35" t="n"/>
      <c r="E226" s="22">
        <f>IF(D226="","",IFERROR(VLOOKUP(D226,Config!$F$6:$H$25,3,0),"Categoria inválida"))</f>
        <v/>
      </c>
      <c r="F226" s="35" t="n"/>
      <c r="G226" s="39" t="n"/>
      <c r="H226" s="37" t="n"/>
      <c r="I226" s="36" t="n"/>
      <c r="J226" s="23">
        <f>IF(OR(G226="",I226=""),"",G226*I226)</f>
        <v/>
      </c>
      <c r="K226" s="35" t="n"/>
    </row>
    <row r="227">
      <c r="A227" s="41" t="n"/>
      <c r="B227" s="34" t="n"/>
      <c r="C227" s="34" t="n"/>
      <c r="D227" s="35" t="n"/>
      <c r="E227" s="22">
        <f>IF(D227="","",IFERROR(VLOOKUP(D227,Config!$F$6:$H$25,3,0),"Categoria inválida"))</f>
        <v/>
      </c>
      <c r="F227" s="35" t="n"/>
      <c r="G227" s="39" t="n"/>
      <c r="H227" s="37" t="n"/>
      <c r="I227" s="36" t="n"/>
      <c r="J227" s="23">
        <f>IF(OR(G227="",I227=""),"",G227*I227)</f>
        <v/>
      </c>
      <c r="K227" s="35" t="n"/>
    </row>
    <row r="228">
      <c r="A228" s="41" t="n"/>
      <c r="B228" s="34" t="n"/>
      <c r="C228" s="34" t="n"/>
      <c r="D228" s="35" t="n"/>
      <c r="E228" s="22">
        <f>IF(D228="","",IFERROR(VLOOKUP(D228,Config!$F$6:$H$25,3,0),"Categoria inválida"))</f>
        <v/>
      </c>
      <c r="F228" s="35" t="n"/>
      <c r="G228" s="39" t="n"/>
      <c r="H228" s="37" t="n"/>
      <c r="I228" s="36" t="n"/>
      <c r="J228" s="23">
        <f>IF(OR(G228="",I228=""),"",G228*I228)</f>
        <v/>
      </c>
      <c r="K228" s="35" t="n"/>
    </row>
    <row r="229">
      <c r="A229" s="41" t="n"/>
      <c r="B229" s="34" t="n"/>
      <c r="C229" s="34" t="n"/>
      <c r="D229" s="35" t="n"/>
      <c r="E229" s="22">
        <f>IF(D229="","",IFERROR(VLOOKUP(D229,Config!$F$6:$H$25,3,0),"Categoria inválida"))</f>
        <v/>
      </c>
      <c r="F229" s="35" t="n"/>
      <c r="G229" s="39" t="n"/>
      <c r="H229" s="37" t="n"/>
      <c r="I229" s="36" t="n"/>
      <c r="J229" s="23">
        <f>IF(OR(G229="",I229=""),"",G229*I229)</f>
        <v/>
      </c>
      <c r="K229" s="35" t="n"/>
    </row>
    <row r="230">
      <c r="A230" s="41" t="n"/>
      <c r="B230" s="34" t="n"/>
      <c r="C230" s="34" t="n"/>
      <c r="D230" s="35" t="n"/>
      <c r="E230" s="22">
        <f>IF(D230="","",IFERROR(VLOOKUP(D230,Config!$F$6:$H$25,3,0),"Categoria inválida"))</f>
        <v/>
      </c>
      <c r="F230" s="35" t="n"/>
      <c r="G230" s="39" t="n"/>
      <c r="H230" s="37" t="n"/>
      <c r="I230" s="36" t="n"/>
      <c r="J230" s="23">
        <f>IF(OR(G230="",I230=""),"",G230*I230)</f>
        <v/>
      </c>
      <c r="K230" s="35" t="n"/>
    </row>
    <row r="231">
      <c r="A231" s="41" t="n"/>
      <c r="B231" s="34" t="n"/>
      <c r="C231" s="34" t="n"/>
      <c r="D231" s="35" t="n"/>
      <c r="E231" s="22">
        <f>IF(D231="","",IFERROR(VLOOKUP(D231,Config!$F$6:$H$25,3,0),"Categoria inválida"))</f>
        <v/>
      </c>
      <c r="F231" s="35" t="n"/>
      <c r="G231" s="39" t="n"/>
      <c r="H231" s="37" t="n"/>
      <c r="I231" s="36" t="n"/>
      <c r="J231" s="23">
        <f>IF(OR(G231="",I231=""),"",G231*I231)</f>
        <v/>
      </c>
      <c r="K231" s="35" t="n"/>
    </row>
    <row r="232">
      <c r="A232" s="41" t="n"/>
      <c r="B232" s="34" t="n"/>
      <c r="C232" s="34" t="n"/>
      <c r="D232" s="35" t="n"/>
      <c r="E232" s="22">
        <f>IF(D232="","",IFERROR(VLOOKUP(D232,Config!$F$6:$H$25,3,0),"Categoria inválida"))</f>
        <v/>
      </c>
      <c r="F232" s="35" t="n"/>
      <c r="G232" s="39" t="n"/>
      <c r="H232" s="37" t="n"/>
      <c r="I232" s="36" t="n"/>
      <c r="J232" s="23">
        <f>IF(OR(G232="",I232=""),"",G232*I232)</f>
        <v/>
      </c>
      <c r="K232" s="35" t="n"/>
    </row>
    <row r="233">
      <c r="A233" s="41" t="n"/>
      <c r="B233" s="34" t="n"/>
      <c r="C233" s="34" t="n"/>
      <c r="D233" s="35" t="n"/>
      <c r="E233" s="22">
        <f>IF(D233="","",IFERROR(VLOOKUP(D233,Config!$F$6:$H$25,3,0),"Categoria inválida"))</f>
        <v/>
      </c>
      <c r="F233" s="35" t="n"/>
      <c r="G233" s="39" t="n"/>
      <c r="H233" s="37" t="n"/>
      <c r="I233" s="36" t="n"/>
      <c r="J233" s="23">
        <f>IF(OR(G233="",I233=""),"",G233*I233)</f>
        <v/>
      </c>
      <c r="K233" s="35" t="n"/>
    </row>
    <row r="234">
      <c r="A234" s="41" t="n"/>
      <c r="B234" s="34" t="n"/>
      <c r="C234" s="34" t="n"/>
      <c r="D234" s="35" t="n"/>
      <c r="E234" s="22">
        <f>IF(D234="","",IFERROR(VLOOKUP(D234,Config!$F$6:$H$25,3,0),"Categoria inválida"))</f>
        <v/>
      </c>
      <c r="F234" s="35" t="n"/>
      <c r="G234" s="39" t="n"/>
      <c r="H234" s="37" t="n"/>
      <c r="I234" s="36" t="n"/>
      <c r="J234" s="23">
        <f>IF(OR(G234="",I234=""),"",G234*I234)</f>
        <v/>
      </c>
      <c r="K234" s="35" t="n"/>
    </row>
    <row r="235">
      <c r="A235" s="41" t="n"/>
      <c r="B235" s="34" t="n"/>
      <c r="C235" s="34" t="n"/>
      <c r="D235" s="35" t="n"/>
      <c r="E235" s="22">
        <f>IF(D235="","",IFERROR(VLOOKUP(D235,Config!$F$6:$H$25,3,0),"Categoria inválida"))</f>
        <v/>
      </c>
      <c r="F235" s="35" t="n"/>
      <c r="G235" s="39" t="n"/>
      <c r="H235" s="37" t="n"/>
      <c r="I235" s="36" t="n"/>
      <c r="J235" s="23">
        <f>IF(OR(G235="",I235=""),"",G235*I235)</f>
        <v/>
      </c>
      <c r="K235" s="35" t="n"/>
    </row>
    <row r="236">
      <c r="A236" s="41" t="n"/>
      <c r="B236" s="34" t="n"/>
      <c r="C236" s="34" t="n"/>
      <c r="D236" s="35" t="n"/>
      <c r="E236" s="22">
        <f>IF(D236="","",IFERROR(VLOOKUP(D236,Config!$F$6:$H$25,3,0),"Categoria inválida"))</f>
        <v/>
      </c>
      <c r="F236" s="35" t="n"/>
      <c r="G236" s="39" t="n"/>
      <c r="H236" s="37" t="n"/>
      <c r="I236" s="36" t="n"/>
      <c r="J236" s="23">
        <f>IF(OR(G236="",I236=""),"",G236*I236)</f>
        <v/>
      </c>
      <c r="K236" s="35" t="n"/>
    </row>
    <row r="237">
      <c r="A237" s="41" t="n"/>
      <c r="B237" s="34" t="n"/>
      <c r="C237" s="34" t="n"/>
      <c r="D237" s="35" t="n"/>
      <c r="E237" s="22">
        <f>IF(D237="","",IFERROR(VLOOKUP(D237,Config!$F$6:$H$25,3,0),"Categoria inválida"))</f>
        <v/>
      </c>
      <c r="F237" s="35" t="n"/>
      <c r="G237" s="39" t="n"/>
      <c r="H237" s="37" t="n"/>
      <c r="I237" s="36" t="n"/>
      <c r="J237" s="23">
        <f>IF(OR(G237="",I237=""),"",G237*I237)</f>
        <v/>
      </c>
      <c r="K237" s="35" t="n"/>
    </row>
    <row r="238">
      <c r="A238" s="41" t="n"/>
      <c r="B238" s="34" t="n"/>
      <c r="C238" s="34" t="n"/>
      <c r="D238" s="35" t="n"/>
      <c r="E238" s="22">
        <f>IF(D238="","",IFERROR(VLOOKUP(D238,Config!$F$6:$H$25,3,0),"Categoria inválida"))</f>
        <v/>
      </c>
      <c r="F238" s="35" t="n"/>
      <c r="G238" s="39" t="n"/>
      <c r="H238" s="37" t="n"/>
      <c r="I238" s="36" t="n"/>
      <c r="J238" s="23">
        <f>IF(OR(G238="",I238=""),"",G238*I238)</f>
        <v/>
      </c>
      <c r="K238" s="35" t="n"/>
    </row>
    <row r="239">
      <c r="A239" s="41" t="n"/>
      <c r="B239" s="34" t="n"/>
      <c r="C239" s="34" t="n"/>
      <c r="D239" s="35" t="n"/>
      <c r="E239" s="22">
        <f>IF(D239="","",IFERROR(VLOOKUP(D239,Config!$F$6:$H$25,3,0),"Categoria inválida"))</f>
        <v/>
      </c>
      <c r="F239" s="35" t="n"/>
      <c r="G239" s="39" t="n"/>
      <c r="H239" s="37" t="n"/>
      <c r="I239" s="36" t="n"/>
      <c r="J239" s="23">
        <f>IF(OR(G239="",I239=""),"",G239*I239)</f>
        <v/>
      </c>
      <c r="K239" s="35" t="n"/>
    </row>
    <row r="240">
      <c r="A240" s="41" t="n"/>
      <c r="B240" s="34" t="n"/>
      <c r="C240" s="34" t="n"/>
      <c r="D240" s="35" t="n"/>
      <c r="E240" s="22">
        <f>IF(D240="","",IFERROR(VLOOKUP(D240,Config!$F$6:$H$25,3,0),"Categoria inválida"))</f>
        <v/>
      </c>
      <c r="F240" s="35" t="n"/>
      <c r="G240" s="39" t="n"/>
      <c r="H240" s="37" t="n"/>
      <c r="I240" s="36" t="n"/>
      <c r="J240" s="23">
        <f>IF(OR(G240="",I240=""),"",G240*I240)</f>
        <v/>
      </c>
      <c r="K240" s="35" t="n"/>
    </row>
    <row r="241">
      <c r="A241" s="41" t="n"/>
      <c r="B241" s="34" t="n"/>
      <c r="C241" s="34" t="n"/>
      <c r="D241" s="35" t="n"/>
      <c r="E241" s="22">
        <f>IF(D241="","",IFERROR(VLOOKUP(D241,Config!$F$6:$H$25,3,0),"Categoria inválida"))</f>
        <v/>
      </c>
      <c r="F241" s="35" t="n"/>
      <c r="G241" s="39" t="n"/>
      <c r="H241" s="37" t="n"/>
      <c r="I241" s="36" t="n"/>
      <c r="J241" s="23">
        <f>IF(OR(G241="",I241=""),"",G241*I241)</f>
        <v/>
      </c>
      <c r="K241" s="35" t="n"/>
    </row>
    <row r="242">
      <c r="A242" s="41" t="n"/>
      <c r="B242" s="34" t="n"/>
      <c r="C242" s="34" t="n"/>
      <c r="D242" s="35" t="n"/>
      <c r="E242" s="22">
        <f>IF(D242="","",IFERROR(VLOOKUP(D242,Config!$F$6:$H$25,3,0),"Categoria inválida"))</f>
        <v/>
      </c>
      <c r="F242" s="35" t="n"/>
      <c r="G242" s="39" t="n"/>
      <c r="H242" s="37" t="n"/>
      <c r="I242" s="36" t="n"/>
      <c r="J242" s="23">
        <f>IF(OR(G242="",I242=""),"",G242*I242)</f>
        <v/>
      </c>
      <c r="K242" s="35" t="n"/>
    </row>
    <row r="243">
      <c r="A243" s="41" t="n"/>
      <c r="B243" s="34" t="n"/>
      <c r="C243" s="34" t="n"/>
      <c r="D243" s="35" t="n"/>
      <c r="E243" s="22">
        <f>IF(D243="","",IFERROR(VLOOKUP(D243,Config!$F$6:$H$25,3,0),"Categoria inválida"))</f>
        <v/>
      </c>
      <c r="F243" s="35" t="n"/>
      <c r="G243" s="39" t="n"/>
      <c r="H243" s="37" t="n"/>
      <c r="I243" s="36" t="n"/>
      <c r="J243" s="23">
        <f>IF(OR(G243="",I243=""),"",G243*I243)</f>
        <v/>
      </c>
      <c r="K243" s="35" t="n"/>
    </row>
    <row r="244">
      <c r="A244" s="41" t="n"/>
      <c r="B244" s="34" t="n"/>
      <c r="C244" s="34" t="n"/>
      <c r="D244" s="35" t="n"/>
      <c r="E244" s="22">
        <f>IF(D244="","",IFERROR(VLOOKUP(D244,Config!$F$6:$H$25,3,0),"Categoria inválida"))</f>
        <v/>
      </c>
      <c r="F244" s="35" t="n"/>
      <c r="G244" s="39" t="n"/>
      <c r="H244" s="37" t="n"/>
      <c r="I244" s="36" t="n"/>
      <c r="J244" s="23">
        <f>IF(OR(G244="",I244=""),"",G244*I244)</f>
        <v/>
      </c>
      <c r="K244" s="35" t="n"/>
    </row>
    <row r="245">
      <c r="A245" s="41" t="n"/>
      <c r="B245" s="34" t="n"/>
      <c r="C245" s="34" t="n"/>
      <c r="D245" s="35" t="n"/>
      <c r="E245" s="22">
        <f>IF(D245="","",IFERROR(VLOOKUP(D245,Config!$F$6:$H$25,3,0),"Categoria inválida"))</f>
        <v/>
      </c>
      <c r="F245" s="35" t="n"/>
      <c r="G245" s="39" t="n"/>
      <c r="H245" s="37" t="n"/>
      <c r="I245" s="36" t="n"/>
      <c r="J245" s="23">
        <f>IF(OR(G245="",I245=""),"",G245*I245)</f>
        <v/>
      </c>
      <c r="K245" s="35" t="n"/>
    </row>
    <row r="246">
      <c r="A246" s="41" t="n"/>
      <c r="B246" s="34" t="n"/>
      <c r="C246" s="34" t="n"/>
      <c r="D246" s="35" t="n"/>
      <c r="E246" s="22">
        <f>IF(D246="","",IFERROR(VLOOKUP(D246,Config!$F$6:$H$25,3,0),"Categoria inválida"))</f>
        <v/>
      </c>
      <c r="F246" s="35" t="n"/>
      <c r="G246" s="39" t="n"/>
      <c r="H246" s="37" t="n"/>
      <c r="I246" s="36" t="n"/>
      <c r="J246" s="23">
        <f>IF(OR(G246="",I246=""),"",G246*I246)</f>
        <v/>
      </c>
      <c r="K246" s="35" t="n"/>
    </row>
    <row r="247">
      <c r="A247" s="41" t="n"/>
      <c r="B247" s="34" t="n"/>
      <c r="C247" s="34" t="n"/>
      <c r="D247" s="35" t="n"/>
      <c r="E247" s="22">
        <f>IF(D247="","",IFERROR(VLOOKUP(D247,Config!$F$6:$H$25,3,0),"Categoria inválida"))</f>
        <v/>
      </c>
      <c r="F247" s="35" t="n"/>
      <c r="G247" s="39" t="n"/>
      <c r="H247" s="37" t="n"/>
      <c r="I247" s="36" t="n"/>
      <c r="J247" s="23">
        <f>IF(OR(G247="",I247=""),"",G247*I247)</f>
        <v/>
      </c>
      <c r="K247" s="35" t="n"/>
    </row>
    <row r="248">
      <c r="A248" s="41" t="n"/>
      <c r="B248" s="34" t="n"/>
      <c r="C248" s="34" t="n"/>
      <c r="D248" s="35" t="n"/>
      <c r="E248" s="22">
        <f>IF(D248="","",IFERROR(VLOOKUP(D248,Config!$F$6:$H$25,3,0),"Categoria inválida"))</f>
        <v/>
      </c>
      <c r="F248" s="35" t="n"/>
      <c r="G248" s="39" t="n"/>
      <c r="H248" s="37" t="n"/>
      <c r="I248" s="36" t="n"/>
      <c r="J248" s="23">
        <f>IF(OR(G248="",I248=""),"",G248*I248)</f>
        <v/>
      </c>
      <c r="K248" s="35" t="n"/>
    </row>
    <row r="249">
      <c r="A249" s="41" t="n"/>
      <c r="B249" s="34" t="n"/>
      <c r="C249" s="34" t="n"/>
      <c r="D249" s="35" t="n"/>
      <c r="E249" s="22">
        <f>IF(D249="","",IFERROR(VLOOKUP(D249,Config!$F$6:$H$25,3,0),"Categoria inválida"))</f>
        <v/>
      </c>
      <c r="F249" s="35" t="n"/>
      <c r="G249" s="39" t="n"/>
      <c r="H249" s="37" t="n"/>
      <c r="I249" s="36" t="n"/>
      <c r="J249" s="23">
        <f>IF(OR(G249="",I249=""),"",G249*I249)</f>
        <v/>
      </c>
      <c r="K249" s="35" t="n"/>
    </row>
    <row r="250">
      <c r="A250" s="41" t="n"/>
      <c r="B250" s="34" t="n"/>
      <c r="C250" s="34" t="n"/>
      <c r="D250" s="35" t="n"/>
      <c r="E250" s="22">
        <f>IF(D250="","",IFERROR(VLOOKUP(D250,Config!$F$6:$H$25,3,0),"Categoria inválida"))</f>
        <v/>
      </c>
      <c r="F250" s="35" t="n"/>
      <c r="G250" s="39" t="n"/>
      <c r="H250" s="37" t="n"/>
      <c r="I250" s="36" t="n"/>
      <c r="J250" s="23">
        <f>IF(OR(G250="",I250=""),"",G250*I250)</f>
        <v/>
      </c>
      <c r="K250" s="35" t="n"/>
    </row>
    <row r="251">
      <c r="A251" s="41" t="n"/>
      <c r="B251" s="34" t="n"/>
      <c r="C251" s="34" t="n"/>
      <c r="D251" s="35" t="n"/>
      <c r="E251" s="22">
        <f>IF(D251="","",IFERROR(VLOOKUP(D251,Config!$F$6:$H$25,3,0),"Categoria inválida"))</f>
        <v/>
      </c>
      <c r="F251" s="35" t="n"/>
      <c r="G251" s="39" t="n"/>
      <c r="H251" s="37" t="n"/>
      <c r="I251" s="36" t="n"/>
      <c r="J251" s="23">
        <f>IF(OR(G251="",I251=""),"",G251*I251)</f>
        <v/>
      </c>
      <c r="K251" s="35" t="n"/>
    </row>
    <row r="252">
      <c r="A252" s="41" t="n"/>
      <c r="B252" s="34" t="n"/>
      <c r="C252" s="34" t="n"/>
      <c r="D252" s="35" t="n"/>
      <c r="E252" s="22">
        <f>IF(D252="","",IFERROR(VLOOKUP(D252,Config!$F$6:$H$25,3,0),"Categoria inválida"))</f>
        <v/>
      </c>
      <c r="F252" s="35" t="n"/>
      <c r="G252" s="39" t="n"/>
      <c r="H252" s="37" t="n"/>
      <c r="I252" s="36" t="n"/>
      <c r="J252" s="23">
        <f>IF(OR(G252="",I252=""),"",G252*I252)</f>
        <v/>
      </c>
      <c r="K252" s="35" t="n"/>
    </row>
    <row r="253">
      <c r="A253" s="41" t="n"/>
      <c r="B253" s="34" t="n"/>
      <c r="C253" s="34" t="n"/>
      <c r="D253" s="35" t="n"/>
      <c r="E253" s="22">
        <f>IF(D253="","",IFERROR(VLOOKUP(D253,Config!$F$6:$H$25,3,0),"Categoria inválida"))</f>
        <v/>
      </c>
      <c r="F253" s="35" t="n"/>
      <c r="G253" s="39" t="n"/>
      <c r="H253" s="37" t="n"/>
      <c r="I253" s="36" t="n"/>
      <c r="J253" s="23">
        <f>IF(OR(G253="",I253=""),"",G253*I253)</f>
        <v/>
      </c>
      <c r="K253" s="35" t="n"/>
    </row>
    <row r="254">
      <c r="A254" s="41" t="n"/>
      <c r="B254" s="34" t="n"/>
      <c r="C254" s="34" t="n"/>
      <c r="D254" s="35" t="n"/>
      <c r="E254" s="22">
        <f>IF(D254="","",IFERROR(VLOOKUP(D254,Config!$F$6:$H$25,3,0),"Categoria inválida"))</f>
        <v/>
      </c>
      <c r="F254" s="35" t="n"/>
      <c r="G254" s="39" t="n"/>
      <c r="H254" s="37" t="n"/>
      <c r="I254" s="36" t="n"/>
      <c r="J254" s="23">
        <f>IF(OR(G254="",I254=""),"",G254*I254)</f>
        <v/>
      </c>
      <c r="K254" s="35" t="n"/>
    </row>
    <row r="255">
      <c r="A255" s="41" t="n"/>
      <c r="B255" s="34" t="n"/>
      <c r="C255" s="34" t="n"/>
      <c r="D255" s="35" t="n"/>
      <c r="E255" s="22">
        <f>IF(D255="","",IFERROR(VLOOKUP(D255,Config!$F$6:$H$25,3,0),"Categoria inválida"))</f>
        <v/>
      </c>
      <c r="F255" s="35" t="n"/>
      <c r="G255" s="39" t="n"/>
      <c r="H255" s="37" t="n"/>
      <c r="I255" s="36" t="n"/>
      <c r="J255" s="23">
        <f>IF(OR(G255="",I255=""),"",G255*I255)</f>
        <v/>
      </c>
      <c r="K255" s="35" t="n"/>
    </row>
    <row r="256">
      <c r="A256" s="41" t="n"/>
      <c r="B256" s="34" t="n"/>
      <c r="C256" s="34" t="n"/>
      <c r="D256" s="35" t="n"/>
      <c r="E256" s="22">
        <f>IF(D256="","",IFERROR(VLOOKUP(D256,Config!$F$6:$H$25,3,0),"Categoria inválida"))</f>
        <v/>
      </c>
      <c r="F256" s="35" t="n"/>
      <c r="G256" s="39" t="n"/>
      <c r="H256" s="37" t="n"/>
      <c r="I256" s="36" t="n"/>
      <c r="J256" s="23">
        <f>IF(OR(G256="",I256=""),"",G256*I256)</f>
        <v/>
      </c>
      <c r="K256" s="35" t="n"/>
    </row>
    <row r="257">
      <c r="A257" s="41" t="n"/>
      <c r="B257" s="34" t="n"/>
      <c r="C257" s="34" t="n"/>
      <c r="D257" s="35" t="n"/>
      <c r="E257" s="22">
        <f>IF(D257="","",IFERROR(VLOOKUP(D257,Config!$F$6:$H$25,3,0),"Categoria inválida"))</f>
        <v/>
      </c>
      <c r="F257" s="35" t="n"/>
      <c r="G257" s="39" t="n"/>
      <c r="H257" s="37" t="n"/>
      <c r="I257" s="36" t="n"/>
      <c r="J257" s="23">
        <f>IF(OR(G257="",I257=""),"",G257*I257)</f>
        <v/>
      </c>
      <c r="K257" s="35" t="n"/>
    </row>
    <row r="258">
      <c r="A258" s="41" t="n"/>
      <c r="B258" s="34" t="n"/>
      <c r="C258" s="34" t="n"/>
      <c r="D258" s="35" t="n"/>
      <c r="E258" s="22">
        <f>IF(D258="","",IFERROR(VLOOKUP(D258,Config!$F$6:$H$25,3,0),"Categoria inválida"))</f>
        <v/>
      </c>
      <c r="F258" s="35" t="n"/>
      <c r="G258" s="39" t="n"/>
      <c r="H258" s="37" t="n"/>
      <c r="I258" s="36" t="n"/>
      <c r="J258" s="23">
        <f>IF(OR(G258="",I258=""),"",G258*I258)</f>
        <v/>
      </c>
      <c r="K258" s="35" t="n"/>
    </row>
    <row r="259">
      <c r="A259" s="41" t="n"/>
      <c r="B259" s="34" t="n"/>
      <c r="C259" s="34" t="n"/>
      <c r="D259" s="35" t="n"/>
      <c r="E259" s="22">
        <f>IF(D259="","",IFERROR(VLOOKUP(D259,Config!$F$6:$H$25,3,0),"Categoria inválida"))</f>
        <v/>
      </c>
      <c r="F259" s="35" t="n"/>
      <c r="G259" s="39" t="n"/>
      <c r="H259" s="37" t="n"/>
      <c r="I259" s="36" t="n"/>
      <c r="J259" s="23">
        <f>IF(OR(G259="",I259=""),"",G259*I259)</f>
        <v/>
      </c>
      <c r="K259" s="35" t="n"/>
    </row>
    <row r="260">
      <c r="A260" s="41" t="n"/>
      <c r="B260" s="34" t="n"/>
      <c r="C260" s="34" t="n"/>
      <c r="D260" s="35" t="n"/>
      <c r="E260" s="22">
        <f>IF(D260="","",IFERROR(VLOOKUP(D260,Config!$F$6:$H$25,3,0),"Categoria inválida"))</f>
        <v/>
      </c>
      <c r="F260" s="35" t="n"/>
      <c r="G260" s="39" t="n"/>
      <c r="H260" s="37" t="n"/>
      <c r="I260" s="36" t="n"/>
      <c r="J260" s="23">
        <f>IF(OR(G260="",I260=""),"",G260*I260)</f>
        <v/>
      </c>
      <c r="K260" s="35" t="n"/>
    </row>
    <row r="261">
      <c r="A261" s="41" t="n"/>
      <c r="B261" s="34" t="n"/>
      <c r="C261" s="34" t="n"/>
      <c r="D261" s="35" t="n"/>
      <c r="E261" s="22">
        <f>IF(D261="","",IFERROR(VLOOKUP(D261,Config!$F$6:$H$25,3,0),"Categoria inválida"))</f>
        <v/>
      </c>
      <c r="F261" s="35" t="n"/>
      <c r="G261" s="39" t="n"/>
      <c r="H261" s="37" t="n"/>
      <c r="I261" s="36" t="n"/>
      <c r="J261" s="23">
        <f>IF(OR(G261="",I261=""),"",G261*I261)</f>
        <v/>
      </c>
      <c r="K261" s="35" t="n"/>
    </row>
    <row r="262">
      <c r="A262" s="41" t="n"/>
      <c r="B262" s="34" t="n"/>
      <c r="C262" s="34" t="n"/>
      <c r="D262" s="35" t="n"/>
      <c r="E262" s="22">
        <f>IF(D262="","",IFERROR(VLOOKUP(D262,Config!$F$6:$H$25,3,0),"Categoria inválida"))</f>
        <v/>
      </c>
      <c r="F262" s="35" t="n"/>
      <c r="G262" s="39" t="n"/>
      <c r="H262" s="37" t="n"/>
      <c r="I262" s="36" t="n"/>
      <c r="J262" s="23">
        <f>IF(OR(G262="",I262=""),"",G262*I262)</f>
        <v/>
      </c>
      <c r="K262" s="35" t="n"/>
    </row>
    <row r="263">
      <c r="A263" s="41" t="n"/>
      <c r="B263" s="34" t="n"/>
      <c r="C263" s="34" t="n"/>
      <c r="D263" s="35" t="n"/>
      <c r="E263" s="22">
        <f>IF(D263="","",IFERROR(VLOOKUP(D263,Config!$F$6:$H$25,3,0),"Categoria inválida"))</f>
        <v/>
      </c>
      <c r="F263" s="35" t="n"/>
      <c r="G263" s="39" t="n"/>
      <c r="H263" s="37" t="n"/>
      <c r="I263" s="36" t="n"/>
      <c r="J263" s="23">
        <f>IF(OR(G263="",I263=""),"",G263*I263)</f>
        <v/>
      </c>
      <c r="K263" s="35" t="n"/>
    </row>
    <row r="264">
      <c r="A264" s="41" t="n"/>
      <c r="B264" s="34" t="n"/>
      <c r="C264" s="34" t="n"/>
      <c r="D264" s="35" t="n"/>
      <c r="E264" s="22">
        <f>IF(D264="","",IFERROR(VLOOKUP(D264,Config!$F$6:$H$25,3,0),"Categoria inválida"))</f>
        <v/>
      </c>
      <c r="F264" s="35" t="n"/>
      <c r="G264" s="39" t="n"/>
      <c r="H264" s="37" t="n"/>
      <c r="I264" s="36" t="n"/>
      <c r="J264" s="23">
        <f>IF(OR(G264="",I264=""),"",G264*I264)</f>
        <v/>
      </c>
      <c r="K264" s="35" t="n"/>
    </row>
    <row r="265">
      <c r="A265" s="41" t="n"/>
      <c r="B265" s="34" t="n"/>
      <c r="C265" s="34" t="n"/>
      <c r="D265" s="35" t="n"/>
      <c r="E265" s="22">
        <f>IF(D265="","",IFERROR(VLOOKUP(D265,Config!$F$6:$H$25,3,0),"Categoria inválida"))</f>
        <v/>
      </c>
      <c r="F265" s="35" t="n"/>
      <c r="G265" s="39" t="n"/>
      <c r="H265" s="37" t="n"/>
      <c r="I265" s="36" t="n"/>
      <c r="J265" s="23">
        <f>IF(OR(G265="",I265=""),"",G265*I265)</f>
        <v/>
      </c>
      <c r="K265" s="35" t="n"/>
    </row>
    <row r="266">
      <c r="A266" s="41" t="n"/>
      <c r="B266" s="34" t="n"/>
      <c r="C266" s="34" t="n"/>
      <c r="D266" s="35" t="n"/>
      <c r="E266" s="22">
        <f>IF(D266="","",IFERROR(VLOOKUP(D266,Config!$F$6:$H$25,3,0),"Categoria inválida"))</f>
        <v/>
      </c>
      <c r="F266" s="35" t="n"/>
      <c r="G266" s="39" t="n"/>
      <c r="H266" s="37" t="n"/>
      <c r="I266" s="36" t="n"/>
      <c r="J266" s="23">
        <f>IF(OR(G266="",I266=""),"",G266*I266)</f>
        <v/>
      </c>
      <c r="K266" s="35" t="n"/>
    </row>
    <row r="267">
      <c r="A267" s="41" t="n"/>
      <c r="B267" s="34" t="n"/>
      <c r="C267" s="34" t="n"/>
      <c r="D267" s="35" t="n"/>
      <c r="E267" s="22">
        <f>IF(D267="","",IFERROR(VLOOKUP(D267,Config!$F$6:$H$25,3,0),"Categoria inválida"))</f>
        <v/>
      </c>
      <c r="F267" s="35" t="n"/>
      <c r="G267" s="39" t="n"/>
      <c r="H267" s="37" t="n"/>
      <c r="I267" s="36" t="n"/>
      <c r="J267" s="23">
        <f>IF(OR(G267="",I267=""),"",G267*I267)</f>
        <v/>
      </c>
      <c r="K267" s="35" t="n"/>
    </row>
    <row r="268">
      <c r="A268" s="41" t="n"/>
      <c r="B268" s="34" t="n"/>
      <c r="C268" s="34" t="n"/>
      <c r="D268" s="35" t="n"/>
      <c r="E268" s="22">
        <f>IF(D268="","",IFERROR(VLOOKUP(D268,Config!$F$6:$H$25,3,0),"Categoria inválida"))</f>
        <v/>
      </c>
      <c r="F268" s="35" t="n"/>
      <c r="G268" s="39" t="n"/>
      <c r="H268" s="37" t="n"/>
      <c r="I268" s="36" t="n"/>
      <c r="J268" s="23">
        <f>IF(OR(G268="",I268=""),"",G268*I268)</f>
        <v/>
      </c>
      <c r="K268" s="35" t="n"/>
    </row>
    <row r="269">
      <c r="A269" s="41" t="n"/>
      <c r="B269" s="34" t="n"/>
      <c r="C269" s="34" t="n"/>
      <c r="D269" s="35" t="n"/>
      <c r="E269" s="22">
        <f>IF(D269="","",IFERROR(VLOOKUP(D269,Config!$F$6:$H$25,3,0),"Categoria inválida"))</f>
        <v/>
      </c>
      <c r="F269" s="35" t="n"/>
      <c r="G269" s="39" t="n"/>
      <c r="H269" s="37" t="n"/>
      <c r="I269" s="36" t="n"/>
      <c r="J269" s="23">
        <f>IF(OR(G269="",I269=""),"",G269*I269)</f>
        <v/>
      </c>
      <c r="K269" s="35" t="n"/>
    </row>
    <row r="270">
      <c r="A270" s="41" t="n"/>
      <c r="B270" s="34" t="n"/>
      <c r="C270" s="34" t="n"/>
      <c r="D270" s="35" t="n"/>
      <c r="E270" s="22">
        <f>IF(D270="","",IFERROR(VLOOKUP(D270,Config!$F$6:$H$25,3,0),"Categoria inválida"))</f>
        <v/>
      </c>
      <c r="F270" s="35" t="n"/>
      <c r="G270" s="39" t="n"/>
      <c r="H270" s="37" t="n"/>
      <c r="I270" s="36" t="n"/>
      <c r="J270" s="23">
        <f>IF(OR(G270="",I270=""),"",G270*I270)</f>
        <v/>
      </c>
      <c r="K270" s="35" t="n"/>
    </row>
    <row r="271">
      <c r="A271" s="41" t="n"/>
      <c r="B271" s="34" t="n"/>
      <c r="C271" s="34" t="n"/>
      <c r="D271" s="35" t="n"/>
      <c r="E271" s="22">
        <f>IF(D271="","",IFERROR(VLOOKUP(D271,Config!$F$6:$H$25,3,0),"Categoria inválida"))</f>
        <v/>
      </c>
      <c r="F271" s="35" t="n"/>
      <c r="G271" s="39" t="n"/>
      <c r="H271" s="37" t="n"/>
      <c r="I271" s="36" t="n"/>
      <c r="J271" s="23">
        <f>IF(OR(G271="",I271=""),"",G271*I271)</f>
        <v/>
      </c>
      <c r="K271" s="35" t="n"/>
    </row>
    <row r="272">
      <c r="A272" s="41" t="n"/>
      <c r="B272" s="34" t="n"/>
      <c r="C272" s="34" t="n"/>
      <c r="D272" s="35" t="n"/>
      <c r="E272" s="22">
        <f>IF(D272="","",IFERROR(VLOOKUP(D272,Config!$F$6:$H$25,3,0),"Categoria inválida"))</f>
        <v/>
      </c>
      <c r="F272" s="35" t="n"/>
      <c r="G272" s="39" t="n"/>
      <c r="H272" s="37" t="n"/>
      <c r="I272" s="36" t="n"/>
      <c r="J272" s="23">
        <f>IF(OR(G272="",I272=""),"",G272*I272)</f>
        <v/>
      </c>
      <c r="K272" s="35" t="n"/>
    </row>
    <row r="273">
      <c r="A273" s="41" t="n"/>
      <c r="B273" s="34" t="n"/>
      <c r="C273" s="34" t="n"/>
      <c r="D273" s="35" t="n"/>
      <c r="E273" s="22">
        <f>IF(D273="","",IFERROR(VLOOKUP(D273,Config!$F$6:$H$25,3,0),"Categoria inválida"))</f>
        <v/>
      </c>
      <c r="F273" s="35" t="n"/>
      <c r="G273" s="39" t="n"/>
      <c r="H273" s="37" t="n"/>
      <c r="I273" s="36" t="n"/>
      <c r="J273" s="23">
        <f>IF(OR(G273="",I273=""),"",G273*I273)</f>
        <v/>
      </c>
      <c r="K273" s="35" t="n"/>
    </row>
    <row r="274">
      <c r="A274" s="41" t="n"/>
      <c r="B274" s="34" t="n"/>
      <c r="C274" s="34" t="n"/>
      <c r="D274" s="35" t="n"/>
      <c r="E274" s="22">
        <f>IF(D274="","",IFERROR(VLOOKUP(D274,Config!$F$6:$H$25,3,0),"Categoria inválida"))</f>
        <v/>
      </c>
      <c r="F274" s="35" t="n"/>
      <c r="G274" s="39" t="n"/>
      <c r="H274" s="37" t="n"/>
      <c r="I274" s="36" t="n"/>
      <c r="J274" s="23">
        <f>IF(OR(G274="",I274=""),"",G274*I274)</f>
        <v/>
      </c>
      <c r="K274" s="35" t="n"/>
    </row>
    <row r="275">
      <c r="A275" s="41" t="n"/>
      <c r="B275" s="34" t="n"/>
      <c r="C275" s="34" t="n"/>
      <c r="D275" s="35" t="n"/>
      <c r="E275" s="22">
        <f>IF(D275="","",IFERROR(VLOOKUP(D275,Config!$F$6:$H$25,3,0),"Categoria inválida"))</f>
        <v/>
      </c>
      <c r="F275" s="35" t="n"/>
      <c r="G275" s="39" t="n"/>
      <c r="H275" s="37" t="n"/>
      <c r="I275" s="36" t="n"/>
      <c r="J275" s="23">
        <f>IF(OR(G275="",I275=""),"",G275*I275)</f>
        <v/>
      </c>
      <c r="K275" s="35" t="n"/>
    </row>
    <row r="276">
      <c r="A276" s="41" t="n"/>
      <c r="B276" s="34" t="n"/>
      <c r="C276" s="34" t="n"/>
      <c r="D276" s="35" t="n"/>
      <c r="E276" s="22">
        <f>IF(D276="","",IFERROR(VLOOKUP(D276,Config!$F$6:$H$25,3,0),"Categoria inválida"))</f>
        <v/>
      </c>
      <c r="F276" s="35" t="n"/>
      <c r="G276" s="39" t="n"/>
      <c r="H276" s="37" t="n"/>
      <c r="I276" s="36" t="n"/>
      <c r="J276" s="23">
        <f>IF(OR(G276="",I276=""),"",G276*I276)</f>
        <v/>
      </c>
      <c r="K276" s="35" t="n"/>
    </row>
    <row r="277">
      <c r="A277" s="41" t="n"/>
      <c r="B277" s="34" t="n"/>
      <c r="C277" s="34" t="n"/>
      <c r="D277" s="35" t="n"/>
      <c r="E277" s="22">
        <f>IF(D277="","",IFERROR(VLOOKUP(D277,Config!$F$6:$H$25,3,0),"Categoria inválida"))</f>
        <v/>
      </c>
      <c r="F277" s="35" t="n"/>
      <c r="G277" s="39" t="n"/>
      <c r="H277" s="37" t="n"/>
      <c r="I277" s="36" t="n"/>
      <c r="J277" s="23">
        <f>IF(OR(G277="",I277=""),"",G277*I277)</f>
        <v/>
      </c>
      <c r="K277" s="35" t="n"/>
    </row>
    <row r="278">
      <c r="A278" s="41" t="n"/>
      <c r="B278" s="34" t="n"/>
      <c r="C278" s="34" t="n"/>
      <c r="D278" s="35" t="n"/>
      <c r="E278" s="22">
        <f>IF(D278="","",IFERROR(VLOOKUP(D278,Config!$F$6:$H$25,3,0),"Categoria inválida"))</f>
        <v/>
      </c>
      <c r="F278" s="35" t="n"/>
      <c r="G278" s="39" t="n"/>
      <c r="H278" s="37" t="n"/>
      <c r="I278" s="36" t="n"/>
      <c r="J278" s="23">
        <f>IF(OR(G278="",I278=""),"",G278*I278)</f>
        <v/>
      </c>
      <c r="K278" s="35" t="n"/>
    </row>
    <row r="279">
      <c r="A279" s="41" t="n"/>
      <c r="B279" s="34" t="n"/>
      <c r="C279" s="34" t="n"/>
      <c r="D279" s="35" t="n"/>
      <c r="E279" s="22">
        <f>IF(D279="","",IFERROR(VLOOKUP(D279,Config!$F$6:$H$25,3,0),"Categoria inválida"))</f>
        <v/>
      </c>
      <c r="F279" s="35" t="n"/>
      <c r="G279" s="39" t="n"/>
      <c r="H279" s="37" t="n"/>
      <c r="I279" s="36" t="n"/>
      <c r="J279" s="23">
        <f>IF(OR(G279="",I279=""),"",G279*I279)</f>
        <v/>
      </c>
      <c r="K279" s="35" t="n"/>
    </row>
    <row r="280">
      <c r="A280" s="41" t="n"/>
      <c r="B280" s="34" t="n"/>
      <c r="C280" s="34" t="n"/>
      <c r="D280" s="35" t="n"/>
      <c r="E280" s="22">
        <f>IF(D280="","",IFERROR(VLOOKUP(D280,Config!$F$6:$H$25,3,0),"Categoria inválida"))</f>
        <v/>
      </c>
      <c r="F280" s="35" t="n"/>
      <c r="G280" s="39" t="n"/>
      <c r="H280" s="37" t="n"/>
      <c r="I280" s="36" t="n"/>
      <c r="J280" s="23">
        <f>IF(OR(G280="",I280=""),"",G280*I280)</f>
        <v/>
      </c>
      <c r="K280" s="35" t="n"/>
    </row>
    <row r="281">
      <c r="A281" s="41" t="n"/>
      <c r="B281" s="34" t="n"/>
      <c r="C281" s="34" t="n"/>
      <c r="D281" s="35" t="n"/>
      <c r="E281" s="22">
        <f>IF(D281="","",IFERROR(VLOOKUP(D281,Config!$F$6:$H$25,3,0),"Categoria inválida"))</f>
        <v/>
      </c>
      <c r="F281" s="35" t="n"/>
      <c r="G281" s="39" t="n"/>
      <c r="H281" s="37" t="n"/>
      <c r="I281" s="36" t="n"/>
      <c r="J281" s="23">
        <f>IF(OR(G281="",I281=""),"",G281*I281)</f>
        <v/>
      </c>
      <c r="K281" s="35" t="n"/>
    </row>
    <row r="282">
      <c r="A282" s="41" t="n"/>
      <c r="B282" s="34" t="n"/>
      <c r="C282" s="34" t="n"/>
      <c r="D282" s="35" t="n"/>
      <c r="E282" s="22">
        <f>IF(D282="","",IFERROR(VLOOKUP(D282,Config!$F$6:$H$25,3,0),"Categoria inválida"))</f>
        <v/>
      </c>
      <c r="F282" s="35" t="n"/>
      <c r="G282" s="39" t="n"/>
      <c r="H282" s="37" t="n"/>
      <c r="I282" s="36" t="n"/>
      <c r="J282" s="23">
        <f>IF(OR(G282="",I282=""),"",G282*I282)</f>
        <v/>
      </c>
      <c r="K282" s="35" t="n"/>
    </row>
    <row r="283">
      <c r="A283" s="41" t="n"/>
      <c r="B283" s="34" t="n"/>
      <c r="C283" s="34" t="n"/>
      <c r="D283" s="35" t="n"/>
      <c r="E283" s="22">
        <f>IF(D283="","",IFERROR(VLOOKUP(D283,Config!$F$6:$H$25,3,0),"Categoria inválida"))</f>
        <v/>
      </c>
      <c r="F283" s="35" t="n"/>
      <c r="G283" s="39" t="n"/>
      <c r="H283" s="37" t="n"/>
      <c r="I283" s="36" t="n"/>
      <c r="J283" s="23">
        <f>IF(OR(G283="",I283=""),"",G283*I283)</f>
        <v/>
      </c>
      <c r="K283" s="35" t="n"/>
    </row>
    <row r="284">
      <c r="A284" s="41" t="n"/>
      <c r="B284" s="34" t="n"/>
      <c r="C284" s="34" t="n"/>
      <c r="D284" s="35" t="n"/>
      <c r="E284" s="22">
        <f>IF(D284="","",IFERROR(VLOOKUP(D284,Config!$F$6:$H$25,3,0),"Categoria inválida"))</f>
        <v/>
      </c>
      <c r="F284" s="35" t="n"/>
      <c r="G284" s="39" t="n"/>
      <c r="H284" s="37" t="n"/>
      <c r="I284" s="36" t="n"/>
      <c r="J284" s="23">
        <f>IF(OR(G284="",I284=""),"",G284*I284)</f>
        <v/>
      </c>
      <c r="K284" s="35" t="n"/>
    </row>
    <row r="285">
      <c r="A285" s="41" t="n"/>
      <c r="B285" s="34" t="n"/>
      <c r="C285" s="34" t="n"/>
      <c r="D285" s="35" t="n"/>
      <c r="E285" s="22">
        <f>IF(D285="","",IFERROR(VLOOKUP(D285,Config!$F$6:$H$25,3,0),"Categoria inválida"))</f>
        <v/>
      </c>
      <c r="F285" s="35" t="n"/>
      <c r="G285" s="39" t="n"/>
      <c r="H285" s="37" t="n"/>
      <c r="I285" s="36" t="n"/>
      <c r="J285" s="23">
        <f>IF(OR(G285="",I285=""),"",G285*I285)</f>
        <v/>
      </c>
      <c r="K285" s="35" t="n"/>
    </row>
    <row r="286">
      <c r="A286" s="41" t="n"/>
      <c r="B286" s="34" t="n"/>
      <c r="C286" s="34" t="n"/>
      <c r="D286" s="35" t="n"/>
      <c r="E286" s="22">
        <f>IF(D286="","",IFERROR(VLOOKUP(D286,Config!$F$6:$H$25,3,0),"Categoria inválida"))</f>
        <v/>
      </c>
      <c r="F286" s="35" t="n"/>
      <c r="G286" s="39" t="n"/>
      <c r="H286" s="37" t="n"/>
      <c r="I286" s="36" t="n"/>
      <c r="J286" s="23">
        <f>IF(OR(G286="",I286=""),"",G286*I286)</f>
        <v/>
      </c>
      <c r="K286" s="35" t="n"/>
    </row>
    <row r="287">
      <c r="A287" s="41" t="n"/>
      <c r="B287" s="34" t="n"/>
      <c r="C287" s="34" t="n"/>
      <c r="D287" s="35" t="n"/>
      <c r="E287" s="22">
        <f>IF(D287="","",IFERROR(VLOOKUP(D287,Config!$F$6:$H$25,3,0),"Categoria inválida"))</f>
        <v/>
      </c>
      <c r="F287" s="35" t="n"/>
      <c r="G287" s="39" t="n"/>
      <c r="H287" s="37" t="n"/>
      <c r="I287" s="36" t="n"/>
      <c r="J287" s="23">
        <f>IF(OR(G287="",I287=""),"",G287*I287)</f>
        <v/>
      </c>
      <c r="K287" s="35" t="n"/>
    </row>
    <row r="288">
      <c r="A288" s="41" t="n"/>
      <c r="B288" s="34" t="n"/>
      <c r="C288" s="34" t="n"/>
      <c r="D288" s="35" t="n"/>
      <c r="E288" s="22">
        <f>IF(D288="","",IFERROR(VLOOKUP(D288,Config!$F$6:$H$25,3,0),"Categoria inválida"))</f>
        <v/>
      </c>
      <c r="F288" s="35" t="n"/>
      <c r="G288" s="39" t="n"/>
      <c r="H288" s="37" t="n"/>
      <c r="I288" s="36" t="n"/>
      <c r="J288" s="23">
        <f>IF(OR(G288="",I288=""),"",G288*I288)</f>
        <v/>
      </c>
      <c r="K288" s="35" t="n"/>
    </row>
    <row r="289">
      <c r="A289" s="41" t="n"/>
      <c r="B289" s="34" t="n"/>
      <c r="C289" s="34" t="n"/>
      <c r="D289" s="35" t="n"/>
      <c r="E289" s="22">
        <f>IF(D289="","",IFERROR(VLOOKUP(D289,Config!$F$6:$H$25,3,0),"Categoria inválida"))</f>
        <v/>
      </c>
      <c r="F289" s="35" t="n"/>
      <c r="G289" s="39" t="n"/>
      <c r="H289" s="37" t="n"/>
      <c r="I289" s="36" t="n"/>
      <c r="J289" s="23">
        <f>IF(OR(G289="",I289=""),"",G289*I289)</f>
        <v/>
      </c>
      <c r="K289" s="35" t="n"/>
    </row>
    <row r="290">
      <c r="A290" s="41" t="n"/>
      <c r="B290" s="34" t="n"/>
      <c r="C290" s="34" t="n"/>
      <c r="D290" s="35" t="n"/>
      <c r="E290" s="22">
        <f>IF(D290="","",IFERROR(VLOOKUP(D290,Config!$F$6:$H$25,3,0),"Categoria inválida"))</f>
        <v/>
      </c>
      <c r="F290" s="35" t="n"/>
      <c r="G290" s="39" t="n"/>
      <c r="H290" s="37" t="n"/>
      <c r="I290" s="36" t="n"/>
      <c r="J290" s="23">
        <f>IF(OR(G290="",I290=""),"",G290*I290)</f>
        <v/>
      </c>
      <c r="K290" s="35" t="n"/>
    </row>
    <row r="291">
      <c r="A291" s="41" t="n"/>
      <c r="B291" s="34" t="n"/>
      <c r="C291" s="34" t="n"/>
      <c r="D291" s="35" t="n"/>
      <c r="E291" s="22">
        <f>IF(D291="","",IFERROR(VLOOKUP(D291,Config!$F$6:$H$25,3,0),"Categoria inválida"))</f>
        <v/>
      </c>
      <c r="F291" s="35" t="n"/>
      <c r="G291" s="39" t="n"/>
      <c r="H291" s="37" t="n"/>
      <c r="I291" s="36" t="n"/>
      <c r="J291" s="23">
        <f>IF(OR(G291="",I291=""),"",G291*I291)</f>
        <v/>
      </c>
      <c r="K291" s="35" t="n"/>
    </row>
    <row r="292">
      <c r="A292" s="41" t="n"/>
      <c r="B292" s="34" t="n"/>
      <c r="C292" s="34" t="n"/>
      <c r="D292" s="35" t="n"/>
      <c r="E292" s="22">
        <f>IF(D292="","",IFERROR(VLOOKUP(D292,Config!$F$6:$H$25,3,0),"Categoria inválida"))</f>
        <v/>
      </c>
      <c r="F292" s="35" t="n"/>
      <c r="G292" s="39" t="n"/>
      <c r="H292" s="37" t="n"/>
      <c r="I292" s="36" t="n"/>
      <c r="J292" s="23">
        <f>IF(OR(G292="",I292=""),"",G292*I292)</f>
        <v/>
      </c>
      <c r="K292" s="35" t="n"/>
    </row>
    <row r="293">
      <c r="A293" s="41" t="n"/>
      <c r="B293" s="34" t="n"/>
      <c r="C293" s="34" t="n"/>
      <c r="D293" s="35" t="n"/>
      <c r="E293" s="22">
        <f>IF(D293="","",IFERROR(VLOOKUP(D293,Config!$F$6:$H$25,3,0),"Categoria inválida"))</f>
        <v/>
      </c>
      <c r="F293" s="35" t="n"/>
      <c r="G293" s="39" t="n"/>
      <c r="H293" s="37" t="n"/>
      <c r="I293" s="36" t="n"/>
      <c r="J293" s="23">
        <f>IF(OR(G293="",I293=""),"",G293*I293)</f>
        <v/>
      </c>
      <c r="K293" s="35" t="n"/>
    </row>
    <row r="294">
      <c r="A294" s="41" t="n"/>
      <c r="B294" s="34" t="n"/>
      <c r="C294" s="34" t="n"/>
      <c r="D294" s="35" t="n"/>
      <c r="E294" s="22">
        <f>IF(D294="","",IFERROR(VLOOKUP(D294,Config!$F$6:$H$25,3,0),"Categoria inválida"))</f>
        <v/>
      </c>
      <c r="F294" s="35" t="n"/>
      <c r="G294" s="39" t="n"/>
      <c r="H294" s="37" t="n"/>
      <c r="I294" s="36" t="n"/>
      <c r="J294" s="23">
        <f>IF(OR(G294="",I294=""),"",G294*I294)</f>
        <v/>
      </c>
      <c r="K294" s="35" t="n"/>
    </row>
    <row r="295">
      <c r="A295" s="41" t="n"/>
      <c r="B295" s="34" t="n"/>
      <c r="C295" s="34" t="n"/>
      <c r="D295" s="35" t="n"/>
      <c r="E295" s="22">
        <f>IF(D295="","",IFERROR(VLOOKUP(D295,Config!$F$6:$H$25,3,0),"Categoria inválida"))</f>
        <v/>
      </c>
      <c r="F295" s="35" t="n"/>
      <c r="G295" s="39" t="n"/>
      <c r="H295" s="37" t="n"/>
      <c r="I295" s="36" t="n"/>
      <c r="J295" s="23">
        <f>IF(OR(G295="",I295=""),"",G295*I295)</f>
        <v/>
      </c>
      <c r="K295" s="35" t="n"/>
    </row>
    <row r="296">
      <c r="A296" s="41" t="n"/>
      <c r="B296" s="34" t="n"/>
      <c r="C296" s="34" t="n"/>
      <c r="D296" s="35" t="n"/>
      <c r="E296" s="22">
        <f>IF(D296="","",IFERROR(VLOOKUP(D296,Config!$F$6:$H$25,3,0),"Categoria inválida"))</f>
        <v/>
      </c>
      <c r="F296" s="35" t="n"/>
      <c r="G296" s="39" t="n"/>
      <c r="H296" s="37" t="n"/>
      <c r="I296" s="36" t="n"/>
      <c r="J296" s="23">
        <f>IF(OR(G296="",I296=""),"",G296*I296)</f>
        <v/>
      </c>
      <c r="K296" s="35" t="n"/>
    </row>
    <row r="297">
      <c r="A297" s="41" t="n"/>
      <c r="B297" s="34" t="n"/>
      <c r="C297" s="34" t="n"/>
      <c r="D297" s="35" t="n"/>
      <c r="E297" s="22">
        <f>IF(D297="","",IFERROR(VLOOKUP(D297,Config!$F$6:$H$25,3,0),"Categoria inválida"))</f>
        <v/>
      </c>
      <c r="F297" s="35" t="n"/>
      <c r="G297" s="39" t="n"/>
      <c r="H297" s="37" t="n"/>
      <c r="I297" s="36" t="n"/>
      <c r="J297" s="23">
        <f>IF(OR(G297="",I297=""),"",G297*I297)</f>
        <v/>
      </c>
      <c r="K297" s="35" t="n"/>
    </row>
    <row r="298">
      <c r="A298" s="41" t="n"/>
      <c r="B298" s="34" t="n"/>
      <c r="C298" s="34" t="n"/>
      <c r="D298" s="35" t="n"/>
      <c r="E298" s="22">
        <f>IF(D298="","",IFERROR(VLOOKUP(D298,Config!$F$6:$H$25,3,0),"Categoria inválida"))</f>
        <v/>
      </c>
      <c r="F298" s="35" t="n"/>
      <c r="G298" s="39" t="n"/>
      <c r="H298" s="37" t="n"/>
      <c r="I298" s="36" t="n"/>
      <c r="J298" s="23">
        <f>IF(OR(G298="",I298=""),"",G298*I298)</f>
        <v/>
      </c>
      <c r="K298" s="35" t="n"/>
    </row>
    <row r="299">
      <c r="A299" s="41" t="n"/>
      <c r="B299" s="34" t="n"/>
      <c r="C299" s="34" t="n"/>
      <c r="D299" s="35" t="n"/>
      <c r="E299" s="22">
        <f>IF(D299="","",IFERROR(VLOOKUP(D299,Config!$F$6:$H$25,3,0),"Categoria inválida"))</f>
        <v/>
      </c>
      <c r="F299" s="35" t="n"/>
      <c r="G299" s="39" t="n"/>
      <c r="H299" s="37" t="n"/>
      <c r="I299" s="36" t="n"/>
      <c r="J299" s="23">
        <f>IF(OR(G299="",I299=""),"",G299*I299)</f>
        <v/>
      </c>
      <c r="K299" s="35" t="n"/>
    </row>
    <row r="300">
      <c r="A300" s="41" t="n"/>
      <c r="B300" s="34" t="n"/>
      <c r="C300" s="34" t="n"/>
      <c r="D300" s="35" t="n"/>
      <c r="E300" s="22">
        <f>IF(D300="","",IFERROR(VLOOKUP(D300,Config!$F$6:$H$25,3,0),"Categoria inválida"))</f>
        <v/>
      </c>
      <c r="F300" s="35" t="n"/>
      <c r="G300" s="39" t="n"/>
      <c r="H300" s="37" t="n"/>
      <c r="I300" s="36" t="n"/>
      <c r="J300" s="23">
        <f>IF(OR(G300="",I300=""),"",G300*I300)</f>
        <v/>
      </c>
      <c r="K300" s="35" t="n"/>
    </row>
    <row r="301">
      <c r="A301" s="41" t="n"/>
      <c r="B301" s="34" t="n"/>
      <c r="C301" s="34" t="n"/>
      <c r="D301" s="35" t="n"/>
      <c r="E301" s="22">
        <f>IF(D301="","",IFERROR(VLOOKUP(D301,Config!$F$6:$H$25,3,0),"Categoria inválida"))</f>
        <v/>
      </c>
      <c r="F301" s="35" t="n"/>
      <c r="G301" s="39" t="n"/>
      <c r="H301" s="37" t="n"/>
      <c r="I301" s="36" t="n"/>
      <c r="J301" s="23">
        <f>IF(OR(G301="",I301=""),"",G301*I301)</f>
        <v/>
      </c>
      <c r="K301" s="35" t="n"/>
    </row>
    <row r="302">
      <c r="A302" s="41" t="n"/>
      <c r="B302" s="34" t="n"/>
      <c r="C302" s="34" t="n"/>
      <c r="D302" s="35" t="n"/>
      <c r="E302" s="22">
        <f>IF(D302="","",IFERROR(VLOOKUP(D302,Config!$F$6:$H$25,3,0),"Categoria inválida"))</f>
        <v/>
      </c>
      <c r="F302" s="35" t="n"/>
      <c r="G302" s="39" t="n"/>
      <c r="H302" s="37" t="n"/>
      <c r="I302" s="36" t="n"/>
      <c r="J302" s="23">
        <f>IF(OR(G302="",I302=""),"",G302*I302)</f>
        <v/>
      </c>
      <c r="K302" s="35" t="n"/>
    </row>
    <row r="303">
      <c r="A303" s="41" t="n"/>
      <c r="B303" s="34" t="n"/>
      <c r="C303" s="34" t="n"/>
      <c r="D303" s="35" t="n"/>
      <c r="E303" s="22">
        <f>IF(D303="","",IFERROR(VLOOKUP(D303,Config!$F$6:$H$25,3,0),"Categoria inválida"))</f>
        <v/>
      </c>
      <c r="F303" s="35" t="n"/>
      <c r="G303" s="39" t="n"/>
      <c r="H303" s="37" t="n"/>
      <c r="I303" s="36" t="n"/>
      <c r="J303" s="23">
        <f>IF(OR(G303="",I303=""),"",G303*I303)</f>
        <v/>
      </c>
      <c r="K303" s="35" t="n"/>
    </row>
    <row r="304">
      <c r="A304" s="41" t="n"/>
      <c r="B304" s="34" t="n"/>
      <c r="C304" s="34" t="n"/>
      <c r="D304" s="35" t="n"/>
      <c r="E304" s="22">
        <f>IF(D304="","",IFERROR(VLOOKUP(D304,Config!$F$6:$H$25,3,0),"Categoria inválida"))</f>
        <v/>
      </c>
      <c r="F304" s="35" t="n"/>
      <c r="G304" s="39" t="n"/>
      <c r="H304" s="37" t="n"/>
      <c r="I304" s="36" t="n"/>
      <c r="J304" s="23">
        <f>IF(OR(G304="",I304=""),"",G304*I304)</f>
        <v/>
      </c>
      <c r="K304" s="35" t="n"/>
    </row>
    <row r="305">
      <c r="A305" s="41" t="n"/>
      <c r="B305" s="34" t="n"/>
      <c r="C305" s="34" t="n"/>
      <c r="D305" s="35" t="n"/>
      <c r="E305" s="22">
        <f>IF(D305="","",IFERROR(VLOOKUP(D305,Config!$F$6:$H$25,3,0),"Categoria inválida"))</f>
        <v/>
      </c>
      <c r="F305" s="35" t="n"/>
      <c r="G305" s="39" t="n"/>
      <c r="H305" s="37" t="n"/>
      <c r="I305" s="36" t="n"/>
      <c r="J305" s="23">
        <f>IF(OR(G305="",I305=""),"",G305*I305)</f>
        <v/>
      </c>
      <c r="K305" s="35" t="n"/>
    </row>
    <row r="306">
      <c r="A306" s="41" t="n"/>
      <c r="B306" s="34" t="n"/>
      <c r="C306" s="34" t="n"/>
      <c r="D306" s="35" t="n"/>
      <c r="E306" s="22">
        <f>IF(D306="","",IFERROR(VLOOKUP(D306,Config!$F$6:$H$25,3,0),"Categoria inválida"))</f>
        <v/>
      </c>
      <c r="F306" s="35" t="n"/>
      <c r="G306" s="39" t="n"/>
      <c r="H306" s="37" t="n"/>
      <c r="I306" s="36" t="n"/>
      <c r="J306" s="23">
        <f>IF(OR(G306="",I306=""),"",G306*I306)</f>
        <v/>
      </c>
      <c r="K306" s="35" t="n"/>
    </row>
    <row r="307">
      <c r="A307" s="41" t="n"/>
      <c r="B307" s="34" t="n"/>
      <c r="C307" s="34" t="n"/>
      <c r="D307" s="35" t="n"/>
      <c r="E307" s="22">
        <f>IF(D307="","",IFERROR(VLOOKUP(D307,Config!$F$6:$H$25,3,0),"Categoria inválida"))</f>
        <v/>
      </c>
      <c r="F307" s="35" t="n"/>
      <c r="G307" s="39" t="n"/>
      <c r="H307" s="37" t="n"/>
      <c r="I307" s="36" t="n"/>
      <c r="J307" s="23">
        <f>IF(OR(G307="",I307=""),"",G307*I307)</f>
        <v/>
      </c>
      <c r="K307" s="35" t="n"/>
    </row>
    <row r="308">
      <c r="A308" s="41" t="n"/>
      <c r="B308" s="34" t="n"/>
      <c r="C308" s="34" t="n"/>
      <c r="D308" s="35" t="n"/>
      <c r="E308" s="22">
        <f>IF(D308="","",IFERROR(VLOOKUP(D308,Config!$F$6:$H$25,3,0),"Categoria inválida"))</f>
        <v/>
      </c>
      <c r="F308" s="35" t="n"/>
      <c r="G308" s="39" t="n"/>
      <c r="H308" s="37" t="n"/>
      <c r="I308" s="36" t="n"/>
      <c r="J308" s="23">
        <f>IF(OR(G308="",I308=""),"",G308*I308)</f>
        <v/>
      </c>
      <c r="K308" s="35" t="n"/>
    </row>
    <row r="309">
      <c r="A309" s="41" t="n"/>
      <c r="B309" s="34" t="n"/>
      <c r="C309" s="34" t="n"/>
      <c r="D309" s="35" t="n"/>
      <c r="E309" s="22">
        <f>IF(D309="","",IFERROR(VLOOKUP(D309,Config!$F$6:$H$25,3,0),"Categoria inválida"))</f>
        <v/>
      </c>
      <c r="F309" s="35" t="n"/>
      <c r="G309" s="39" t="n"/>
      <c r="H309" s="37" t="n"/>
      <c r="I309" s="36" t="n"/>
      <c r="J309" s="23">
        <f>IF(OR(G309="",I309=""),"",G309*I309)</f>
        <v/>
      </c>
      <c r="K309" s="35" t="n"/>
    </row>
    <row r="310">
      <c r="A310" s="41" t="n"/>
      <c r="B310" s="34" t="n"/>
      <c r="C310" s="34" t="n"/>
      <c r="D310" s="35" t="n"/>
      <c r="E310" s="22">
        <f>IF(D310="","",IFERROR(VLOOKUP(D310,Config!$F$6:$H$25,3,0),"Categoria inválida"))</f>
        <v/>
      </c>
      <c r="F310" s="35" t="n"/>
      <c r="G310" s="39" t="n"/>
      <c r="H310" s="37" t="n"/>
      <c r="I310" s="36" t="n"/>
      <c r="J310" s="23">
        <f>IF(OR(G310="",I310=""),"",G310*I310)</f>
        <v/>
      </c>
      <c r="K310" s="35" t="n"/>
    </row>
    <row r="311">
      <c r="A311" s="41" t="n"/>
      <c r="B311" s="34" t="n"/>
      <c r="C311" s="34" t="n"/>
      <c r="D311" s="35" t="n"/>
      <c r="E311" s="22">
        <f>IF(D311="","",IFERROR(VLOOKUP(D311,Config!$F$6:$H$25,3,0),"Categoria inválida"))</f>
        <v/>
      </c>
      <c r="F311" s="35" t="n"/>
      <c r="G311" s="39" t="n"/>
      <c r="H311" s="37" t="n"/>
      <c r="I311" s="36" t="n"/>
      <c r="J311" s="23">
        <f>IF(OR(G311="",I311=""),"",G311*I311)</f>
        <v/>
      </c>
      <c r="K311" s="35" t="n"/>
    </row>
    <row r="312">
      <c r="A312" s="41" t="n"/>
      <c r="B312" s="34" t="n"/>
      <c r="C312" s="34" t="n"/>
      <c r="D312" s="35" t="n"/>
      <c r="E312" s="22">
        <f>IF(D312="","",IFERROR(VLOOKUP(D312,Config!$F$6:$H$25,3,0),"Categoria inválida"))</f>
        <v/>
      </c>
      <c r="F312" s="35" t="n"/>
      <c r="G312" s="39" t="n"/>
      <c r="H312" s="37" t="n"/>
      <c r="I312" s="36" t="n"/>
      <c r="J312" s="23">
        <f>IF(OR(G312="",I312=""),"",G312*I312)</f>
        <v/>
      </c>
      <c r="K312" s="35" t="n"/>
    </row>
    <row r="313">
      <c r="A313" s="41" t="n"/>
      <c r="B313" s="34" t="n"/>
      <c r="C313" s="34" t="n"/>
      <c r="D313" s="35" t="n"/>
      <c r="E313" s="22">
        <f>IF(D313="","",IFERROR(VLOOKUP(D313,Config!$F$6:$H$25,3,0),"Categoria inválida"))</f>
        <v/>
      </c>
      <c r="F313" s="35" t="n"/>
      <c r="G313" s="39" t="n"/>
      <c r="H313" s="37" t="n"/>
      <c r="I313" s="36" t="n"/>
      <c r="J313" s="23">
        <f>IF(OR(G313="",I313=""),"",G313*I313)</f>
        <v/>
      </c>
      <c r="K313" s="35" t="n"/>
    </row>
    <row r="314">
      <c r="A314" s="41" t="n"/>
      <c r="B314" s="34" t="n"/>
      <c r="C314" s="34" t="n"/>
      <c r="D314" s="35" t="n"/>
      <c r="E314" s="22">
        <f>IF(D314="","",IFERROR(VLOOKUP(D314,Config!$F$6:$H$25,3,0),"Categoria inválida"))</f>
        <v/>
      </c>
      <c r="F314" s="35" t="n"/>
      <c r="G314" s="39" t="n"/>
      <c r="H314" s="37" t="n"/>
      <c r="I314" s="36" t="n"/>
      <c r="J314" s="23">
        <f>IF(OR(G314="",I314=""),"",G314*I314)</f>
        <v/>
      </c>
      <c r="K314" s="35" t="n"/>
    </row>
    <row r="315">
      <c r="A315" s="41" t="n"/>
      <c r="B315" s="34" t="n"/>
      <c r="C315" s="34" t="n"/>
      <c r="D315" s="35" t="n"/>
      <c r="E315" s="22">
        <f>IF(D315="","",IFERROR(VLOOKUP(D315,Config!$F$6:$H$25,3,0),"Categoria inválida"))</f>
        <v/>
      </c>
      <c r="F315" s="35" t="n"/>
      <c r="G315" s="39" t="n"/>
      <c r="H315" s="37" t="n"/>
      <c r="I315" s="36" t="n"/>
      <c r="J315" s="23">
        <f>IF(OR(G315="",I315=""),"",G315*I315)</f>
        <v/>
      </c>
      <c r="K315" s="35" t="n"/>
    </row>
    <row r="316">
      <c r="A316" s="41" t="n"/>
      <c r="B316" s="34" t="n"/>
      <c r="C316" s="34" t="n"/>
      <c r="D316" s="35" t="n"/>
      <c r="E316" s="22">
        <f>IF(D316="","",IFERROR(VLOOKUP(D316,Config!$F$6:$H$25,3,0),"Categoria inválida"))</f>
        <v/>
      </c>
      <c r="F316" s="35" t="n"/>
      <c r="G316" s="39" t="n"/>
      <c r="H316" s="37" t="n"/>
      <c r="I316" s="36" t="n"/>
      <c r="J316" s="23">
        <f>IF(OR(G316="",I316=""),"",G316*I316)</f>
        <v/>
      </c>
      <c r="K316" s="35" t="n"/>
    </row>
    <row r="317">
      <c r="A317" s="41" t="n"/>
      <c r="B317" s="34" t="n"/>
      <c r="C317" s="34" t="n"/>
      <c r="D317" s="35" t="n"/>
      <c r="E317" s="22">
        <f>IF(D317="","",IFERROR(VLOOKUP(D317,Config!$F$6:$H$25,3,0),"Categoria inválida"))</f>
        <v/>
      </c>
      <c r="F317" s="35" t="n"/>
      <c r="G317" s="39" t="n"/>
      <c r="H317" s="37" t="n"/>
      <c r="I317" s="36" t="n"/>
      <c r="J317" s="23">
        <f>IF(OR(G317="",I317=""),"",G317*I317)</f>
        <v/>
      </c>
      <c r="K317" s="35" t="n"/>
    </row>
    <row r="318">
      <c r="A318" s="41" t="n"/>
      <c r="B318" s="34" t="n"/>
      <c r="C318" s="34" t="n"/>
      <c r="D318" s="35" t="n"/>
      <c r="E318" s="22">
        <f>IF(D318="","",IFERROR(VLOOKUP(D318,Config!$F$6:$H$25,3,0),"Categoria inválida"))</f>
        <v/>
      </c>
      <c r="F318" s="35" t="n"/>
      <c r="G318" s="39" t="n"/>
      <c r="H318" s="37" t="n"/>
      <c r="I318" s="36" t="n"/>
      <c r="J318" s="23">
        <f>IF(OR(G318="",I318=""),"",G318*I318)</f>
        <v/>
      </c>
      <c r="K318" s="35" t="n"/>
    </row>
    <row r="319">
      <c r="A319" s="41" t="n"/>
      <c r="B319" s="34" t="n"/>
      <c r="C319" s="34" t="n"/>
      <c r="D319" s="35" t="n"/>
      <c r="E319" s="22">
        <f>IF(D319="","",IFERROR(VLOOKUP(D319,Config!$F$6:$H$25,3,0),"Categoria inválida"))</f>
        <v/>
      </c>
      <c r="F319" s="35" t="n"/>
      <c r="G319" s="39" t="n"/>
      <c r="H319" s="37" t="n"/>
      <c r="I319" s="36" t="n"/>
      <c r="J319" s="23">
        <f>IF(OR(G319="",I319=""),"",G319*I319)</f>
        <v/>
      </c>
      <c r="K319" s="35" t="n"/>
    </row>
    <row r="320">
      <c r="A320" s="41" t="n"/>
      <c r="B320" s="34" t="n"/>
      <c r="C320" s="34" t="n"/>
      <c r="D320" s="35" t="n"/>
      <c r="E320" s="22">
        <f>IF(D320="","",IFERROR(VLOOKUP(D320,Config!$F$6:$H$25,3,0),"Categoria inválida"))</f>
        <v/>
      </c>
      <c r="F320" s="35" t="n"/>
      <c r="G320" s="39" t="n"/>
      <c r="H320" s="37" t="n"/>
      <c r="I320" s="36" t="n"/>
      <c r="J320" s="23">
        <f>IF(OR(G320="",I320=""),"",G320*I320)</f>
        <v/>
      </c>
      <c r="K320" s="35" t="n"/>
    </row>
    <row r="321">
      <c r="A321" s="41" t="n"/>
      <c r="B321" s="34" t="n"/>
      <c r="C321" s="34" t="n"/>
      <c r="D321" s="35" t="n"/>
      <c r="E321" s="22">
        <f>IF(D321="","",IFERROR(VLOOKUP(D321,Config!$F$6:$H$25,3,0),"Categoria inválida"))</f>
        <v/>
      </c>
      <c r="F321" s="35" t="n"/>
      <c r="G321" s="39" t="n"/>
      <c r="H321" s="37" t="n"/>
      <c r="I321" s="36" t="n"/>
      <c r="J321" s="23">
        <f>IF(OR(G321="",I321=""),"",G321*I321)</f>
        <v/>
      </c>
      <c r="K321" s="35" t="n"/>
    </row>
    <row r="322">
      <c r="A322" s="41" t="n"/>
      <c r="B322" s="34" t="n"/>
      <c r="C322" s="34" t="n"/>
      <c r="D322" s="35" t="n"/>
      <c r="E322" s="22">
        <f>IF(D322="","",IFERROR(VLOOKUP(D322,Config!$F$6:$H$25,3,0),"Categoria inválida"))</f>
        <v/>
      </c>
      <c r="F322" s="35" t="n"/>
      <c r="G322" s="39" t="n"/>
      <c r="H322" s="37" t="n"/>
      <c r="I322" s="36" t="n"/>
      <c r="J322" s="23">
        <f>IF(OR(G322="",I322=""),"",G322*I322)</f>
        <v/>
      </c>
      <c r="K322" s="35" t="n"/>
    </row>
    <row r="323">
      <c r="A323" s="41" t="n"/>
      <c r="B323" s="34" t="n"/>
      <c r="C323" s="34" t="n"/>
      <c r="D323" s="35" t="n"/>
      <c r="E323" s="22">
        <f>IF(D323="","",IFERROR(VLOOKUP(D323,Config!$F$6:$H$25,3,0),"Categoria inválida"))</f>
        <v/>
      </c>
      <c r="F323" s="35" t="n"/>
      <c r="G323" s="39" t="n"/>
      <c r="H323" s="37" t="n"/>
      <c r="I323" s="36" t="n"/>
      <c r="J323" s="23">
        <f>IF(OR(G323="",I323=""),"",G323*I323)</f>
        <v/>
      </c>
      <c r="K323" s="35" t="n"/>
    </row>
    <row r="324">
      <c r="A324" s="41" t="n"/>
      <c r="B324" s="34" t="n"/>
      <c r="C324" s="34" t="n"/>
      <c r="D324" s="35" t="n"/>
      <c r="E324" s="22">
        <f>IF(D324="","",IFERROR(VLOOKUP(D324,Config!$F$6:$H$25,3,0),"Categoria inválida"))</f>
        <v/>
      </c>
      <c r="F324" s="35" t="n"/>
      <c r="G324" s="39" t="n"/>
      <c r="H324" s="37" t="n"/>
      <c r="I324" s="36" t="n"/>
      <c r="J324" s="23">
        <f>IF(OR(G324="",I324=""),"",G324*I324)</f>
        <v/>
      </c>
      <c r="K324" s="35" t="n"/>
    </row>
    <row r="325">
      <c r="A325" s="41" t="n"/>
      <c r="B325" s="34" t="n"/>
      <c r="C325" s="34" t="n"/>
      <c r="D325" s="35" t="n"/>
      <c r="E325" s="22">
        <f>IF(D325="","",IFERROR(VLOOKUP(D325,Config!$F$6:$H$25,3,0),"Categoria inválida"))</f>
        <v/>
      </c>
      <c r="F325" s="35" t="n"/>
      <c r="G325" s="39" t="n"/>
      <c r="H325" s="37" t="n"/>
      <c r="I325" s="36" t="n"/>
      <c r="J325" s="23">
        <f>IF(OR(G325="",I325=""),"",G325*I325)</f>
        <v/>
      </c>
      <c r="K325" s="35" t="n"/>
    </row>
    <row r="326">
      <c r="A326" s="41" t="n"/>
      <c r="B326" s="34" t="n"/>
      <c r="C326" s="34" t="n"/>
      <c r="D326" s="35" t="n"/>
      <c r="E326" s="22">
        <f>IF(D326="","",IFERROR(VLOOKUP(D326,Config!$F$6:$H$25,3,0),"Categoria inválida"))</f>
        <v/>
      </c>
      <c r="F326" s="35" t="n"/>
      <c r="G326" s="39" t="n"/>
      <c r="H326" s="37" t="n"/>
      <c r="I326" s="36" t="n"/>
      <c r="J326" s="23">
        <f>IF(OR(G326="",I326=""),"",G326*I326)</f>
        <v/>
      </c>
      <c r="K326" s="35" t="n"/>
    </row>
    <row r="327">
      <c r="A327" s="41" t="n"/>
      <c r="B327" s="34" t="n"/>
      <c r="C327" s="34" t="n"/>
      <c r="D327" s="35" t="n"/>
      <c r="E327" s="22">
        <f>IF(D327="","",IFERROR(VLOOKUP(D327,Config!$F$6:$H$25,3,0),"Categoria inválida"))</f>
        <v/>
      </c>
      <c r="F327" s="35" t="n"/>
      <c r="G327" s="39" t="n"/>
      <c r="H327" s="37" t="n"/>
      <c r="I327" s="36" t="n"/>
      <c r="J327" s="23">
        <f>IF(OR(G327="",I327=""),"",G327*I327)</f>
        <v/>
      </c>
      <c r="K327" s="35" t="n"/>
    </row>
    <row r="328">
      <c r="A328" s="41" t="n"/>
      <c r="B328" s="34" t="n"/>
      <c r="C328" s="34" t="n"/>
      <c r="D328" s="35" t="n"/>
      <c r="E328" s="22">
        <f>IF(D328="","",IFERROR(VLOOKUP(D328,Config!$F$6:$H$25,3,0),"Categoria inválida"))</f>
        <v/>
      </c>
      <c r="F328" s="35" t="n"/>
      <c r="G328" s="39" t="n"/>
      <c r="H328" s="37" t="n"/>
      <c r="I328" s="36" t="n"/>
      <c r="J328" s="23">
        <f>IF(OR(G328="",I328=""),"",G328*I328)</f>
        <v/>
      </c>
      <c r="K328" s="35" t="n"/>
    </row>
    <row r="329">
      <c r="A329" s="41" t="n"/>
      <c r="B329" s="34" t="n"/>
      <c r="C329" s="34" t="n"/>
      <c r="D329" s="35" t="n"/>
      <c r="E329" s="22">
        <f>IF(D329="","",IFERROR(VLOOKUP(D329,Config!$F$6:$H$25,3,0),"Categoria inválida"))</f>
        <v/>
      </c>
      <c r="F329" s="35" t="n"/>
      <c r="G329" s="39" t="n"/>
      <c r="H329" s="37" t="n"/>
      <c r="I329" s="36" t="n"/>
      <c r="J329" s="23">
        <f>IF(OR(G329="",I329=""),"",G329*I329)</f>
        <v/>
      </c>
      <c r="K329" s="35" t="n"/>
    </row>
    <row r="330">
      <c r="A330" s="41" t="n"/>
      <c r="B330" s="34" t="n"/>
      <c r="C330" s="34" t="n"/>
      <c r="D330" s="35" t="n"/>
      <c r="E330" s="22">
        <f>IF(D330="","",IFERROR(VLOOKUP(D330,Config!$F$6:$H$25,3,0),"Categoria inválida"))</f>
        <v/>
      </c>
      <c r="F330" s="35" t="n"/>
      <c r="G330" s="39" t="n"/>
      <c r="H330" s="37" t="n"/>
      <c r="I330" s="36" t="n"/>
      <c r="J330" s="23">
        <f>IF(OR(G330="",I330=""),"",G330*I330)</f>
        <v/>
      </c>
      <c r="K330" s="35" t="n"/>
    </row>
    <row r="331">
      <c r="A331" s="41" t="n"/>
      <c r="B331" s="34" t="n"/>
      <c r="C331" s="34" t="n"/>
      <c r="D331" s="35" t="n"/>
      <c r="E331" s="22">
        <f>IF(D331="","",IFERROR(VLOOKUP(D331,Config!$F$6:$H$25,3,0),"Categoria inválida"))</f>
        <v/>
      </c>
      <c r="F331" s="35" t="n"/>
      <c r="G331" s="39" t="n"/>
      <c r="H331" s="37" t="n"/>
      <c r="I331" s="36" t="n"/>
      <c r="J331" s="23">
        <f>IF(OR(G331="",I331=""),"",G331*I331)</f>
        <v/>
      </c>
      <c r="K331" s="35" t="n"/>
    </row>
    <row r="332">
      <c r="A332" s="41" t="n"/>
      <c r="B332" s="34" t="n"/>
      <c r="C332" s="34" t="n"/>
      <c r="D332" s="35" t="n"/>
      <c r="E332" s="22">
        <f>IF(D332="","",IFERROR(VLOOKUP(D332,Config!$F$6:$H$25,3,0),"Categoria inválida"))</f>
        <v/>
      </c>
      <c r="F332" s="35" t="n"/>
      <c r="G332" s="39" t="n"/>
      <c r="H332" s="37" t="n"/>
      <c r="I332" s="36" t="n"/>
      <c r="J332" s="23">
        <f>IF(OR(G332="",I332=""),"",G332*I332)</f>
        <v/>
      </c>
      <c r="K332" s="35" t="n"/>
    </row>
    <row r="333">
      <c r="A333" s="41" t="n"/>
      <c r="B333" s="34" t="n"/>
      <c r="C333" s="34" t="n"/>
      <c r="D333" s="35" t="n"/>
      <c r="E333" s="22">
        <f>IF(D333="","",IFERROR(VLOOKUP(D333,Config!$F$6:$H$25,3,0),"Categoria inválida"))</f>
        <v/>
      </c>
      <c r="F333" s="35" t="n"/>
      <c r="G333" s="39" t="n"/>
      <c r="H333" s="37" t="n"/>
      <c r="I333" s="36" t="n"/>
      <c r="J333" s="23">
        <f>IF(OR(G333="",I333=""),"",G333*I333)</f>
        <v/>
      </c>
      <c r="K333" s="35" t="n"/>
    </row>
    <row r="334">
      <c r="A334" s="41" t="n"/>
      <c r="B334" s="34" t="n"/>
      <c r="C334" s="34" t="n"/>
      <c r="D334" s="35" t="n"/>
      <c r="E334" s="22">
        <f>IF(D334="","",IFERROR(VLOOKUP(D334,Config!$F$6:$H$25,3,0),"Categoria inválida"))</f>
        <v/>
      </c>
      <c r="F334" s="35" t="n"/>
      <c r="G334" s="39" t="n"/>
      <c r="H334" s="37" t="n"/>
      <c r="I334" s="36" t="n"/>
      <c r="J334" s="23">
        <f>IF(OR(G334="",I334=""),"",G334*I334)</f>
        <v/>
      </c>
      <c r="K334" s="35" t="n"/>
    </row>
    <row r="335">
      <c r="A335" s="41" t="n"/>
      <c r="B335" s="34" t="n"/>
      <c r="C335" s="34" t="n"/>
      <c r="D335" s="35" t="n"/>
      <c r="E335" s="22">
        <f>IF(D335="","",IFERROR(VLOOKUP(D335,Config!$F$6:$H$25,3,0),"Categoria inválida"))</f>
        <v/>
      </c>
      <c r="F335" s="35" t="n"/>
      <c r="G335" s="39" t="n"/>
      <c r="H335" s="37" t="n"/>
      <c r="I335" s="36" t="n"/>
      <c r="J335" s="23">
        <f>IF(OR(G335="",I335=""),"",G335*I335)</f>
        <v/>
      </c>
      <c r="K335" s="35" t="n"/>
    </row>
    <row r="336">
      <c r="A336" s="41" t="n"/>
      <c r="B336" s="34" t="n"/>
      <c r="C336" s="34" t="n"/>
      <c r="D336" s="35" t="n"/>
      <c r="E336" s="22">
        <f>IF(D336="","",IFERROR(VLOOKUP(D336,Config!$F$6:$H$25,3,0),"Categoria inválida"))</f>
        <v/>
      </c>
      <c r="F336" s="35" t="n"/>
      <c r="G336" s="39" t="n"/>
      <c r="H336" s="37" t="n"/>
      <c r="I336" s="36" t="n"/>
      <c r="J336" s="23">
        <f>IF(OR(G336="",I336=""),"",G336*I336)</f>
        <v/>
      </c>
      <c r="K336" s="35" t="n"/>
    </row>
    <row r="337">
      <c r="A337" s="41" t="n"/>
      <c r="B337" s="34" t="n"/>
      <c r="C337" s="34" t="n"/>
      <c r="D337" s="35" t="n"/>
      <c r="E337" s="22">
        <f>IF(D337="","",IFERROR(VLOOKUP(D337,Config!$F$6:$H$25,3,0),"Categoria inválida"))</f>
        <v/>
      </c>
      <c r="F337" s="35" t="n"/>
      <c r="G337" s="39" t="n"/>
      <c r="H337" s="37" t="n"/>
      <c r="I337" s="36" t="n"/>
      <c r="J337" s="23">
        <f>IF(OR(G337="",I337=""),"",G337*I337)</f>
        <v/>
      </c>
      <c r="K337" s="35" t="n"/>
    </row>
    <row r="338">
      <c r="A338" s="41" t="n"/>
      <c r="B338" s="34" t="n"/>
      <c r="C338" s="34" t="n"/>
      <c r="D338" s="35" t="n"/>
      <c r="E338" s="22">
        <f>IF(D338="","",IFERROR(VLOOKUP(D338,Config!$F$6:$H$25,3,0),"Categoria inválida"))</f>
        <v/>
      </c>
      <c r="F338" s="35" t="n"/>
      <c r="G338" s="39" t="n"/>
      <c r="H338" s="37" t="n"/>
      <c r="I338" s="36" t="n"/>
      <c r="J338" s="23">
        <f>IF(OR(G338="",I338=""),"",G338*I338)</f>
        <v/>
      </c>
      <c r="K338" s="35" t="n"/>
    </row>
    <row r="339">
      <c r="A339" s="41" t="n"/>
      <c r="B339" s="34" t="n"/>
      <c r="C339" s="34" t="n"/>
      <c r="D339" s="35" t="n"/>
      <c r="E339" s="22">
        <f>IF(D339="","",IFERROR(VLOOKUP(D339,Config!$F$6:$H$25,3,0),"Categoria inválida"))</f>
        <v/>
      </c>
      <c r="F339" s="35" t="n"/>
      <c r="G339" s="39" t="n"/>
      <c r="H339" s="37" t="n"/>
      <c r="I339" s="36" t="n"/>
      <c r="J339" s="23">
        <f>IF(OR(G339="",I339=""),"",G339*I339)</f>
        <v/>
      </c>
      <c r="K339" s="35" t="n"/>
    </row>
    <row r="340">
      <c r="A340" s="41" t="n"/>
      <c r="B340" s="34" t="n"/>
      <c r="C340" s="34" t="n"/>
      <c r="D340" s="35" t="n"/>
      <c r="E340" s="22">
        <f>IF(D340="","",IFERROR(VLOOKUP(D340,Config!$F$6:$H$25,3,0),"Categoria inválida"))</f>
        <v/>
      </c>
      <c r="F340" s="35" t="n"/>
      <c r="G340" s="39" t="n"/>
      <c r="H340" s="37" t="n"/>
      <c r="I340" s="36" t="n"/>
      <c r="J340" s="23">
        <f>IF(OR(G340="",I340=""),"",G340*I340)</f>
        <v/>
      </c>
      <c r="K340" s="35" t="n"/>
    </row>
    <row r="341">
      <c r="A341" s="41" t="n"/>
      <c r="B341" s="34" t="n"/>
      <c r="C341" s="34" t="n"/>
      <c r="D341" s="35" t="n"/>
      <c r="E341" s="22">
        <f>IF(D341="","",IFERROR(VLOOKUP(D341,Config!$F$6:$H$25,3,0),"Categoria inválida"))</f>
        <v/>
      </c>
      <c r="F341" s="35" t="n"/>
      <c r="G341" s="39" t="n"/>
      <c r="H341" s="37" t="n"/>
      <c r="I341" s="36" t="n"/>
      <c r="J341" s="23">
        <f>IF(OR(G341="",I341=""),"",G341*I341)</f>
        <v/>
      </c>
      <c r="K341" s="35" t="n"/>
    </row>
    <row r="342">
      <c r="A342" s="41" t="n"/>
      <c r="B342" s="34" t="n"/>
      <c r="C342" s="34" t="n"/>
      <c r="D342" s="35" t="n"/>
      <c r="E342" s="22">
        <f>IF(D342="","",IFERROR(VLOOKUP(D342,Config!$F$6:$H$25,3,0),"Categoria inválida"))</f>
        <v/>
      </c>
      <c r="F342" s="35" t="n"/>
      <c r="G342" s="39" t="n"/>
      <c r="H342" s="37" t="n"/>
      <c r="I342" s="36" t="n"/>
      <c r="J342" s="23">
        <f>IF(OR(G342="",I342=""),"",G342*I342)</f>
        <v/>
      </c>
      <c r="K342" s="35" t="n"/>
    </row>
    <row r="343">
      <c r="A343" s="41" t="n"/>
      <c r="B343" s="34" t="n"/>
      <c r="C343" s="34" t="n"/>
      <c r="D343" s="35" t="n"/>
      <c r="E343" s="22">
        <f>IF(D343="","",IFERROR(VLOOKUP(D343,Config!$F$6:$H$25,3,0),"Categoria inválida"))</f>
        <v/>
      </c>
      <c r="F343" s="35" t="n"/>
      <c r="G343" s="39" t="n"/>
      <c r="H343" s="37" t="n"/>
      <c r="I343" s="36" t="n"/>
      <c r="J343" s="23">
        <f>IF(OR(G343="",I343=""),"",G343*I343)</f>
        <v/>
      </c>
      <c r="K343" s="35" t="n"/>
    </row>
    <row r="344">
      <c r="A344" s="41" t="n"/>
      <c r="B344" s="34" t="n"/>
      <c r="C344" s="34" t="n"/>
      <c r="D344" s="35" t="n"/>
      <c r="E344" s="22">
        <f>IF(D344="","",IFERROR(VLOOKUP(D344,Config!$F$6:$H$25,3,0),"Categoria inválida"))</f>
        <v/>
      </c>
      <c r="F344" s="35" t="n"/>
      <c r="G344" s="39" t="n"/>
      <c r="H344" s="37" t="n"/>
      <c r="I344" s="36" t="n"/>
      <c r="J344" s="23">
        <f>IF(OR(G344="",I344=""),"",G344*I344)</f>
        <v/>
      </c>
      <c r="K344" s="35" t="n"/>
    </row>
    <row r="345">
      <c r="A345" s="41" t="n"/>
      <c r="B345" s="34" t="n"/>
      <c r="C345" s="34" t="n"/>
      <c r="D345" s="35" t="n"/>
      <c r="E345" s="22">
        <f>IF(D345="","",IFERROR(VLOOKUP(D345,Config!$F$6:$H$25,3,0),"Categoria inválida"))</f>
        <v/>
      </c>
      <c r="F345" s="35" t="n"/>
      <c r="G345" s="39" t="n"/>
      <c r="H345" s="37" t="n"/>
      <c r="I345" s="36" t="n"/>
      <c r="J345" s="23">
        <f>IF(OR(G345="",I345=""),"",G345*I345)</f>
        <v/>
      </c>
      <c r="K345" s="35" t="n"/>
    </row>
    <row r="346">
      <c r="A346" s="41" t="n"/>
      <c r="B346" s="34" t="n"/>
      <c r="C346" s="34" t="n"/>
      <c r="D346" s="35" t="n"/>
      <c r="E346" s="22">
        <f>IF(D346="","",IFERROR(VLOOKUP(D346,Config!$F$6:$H$25,3,0),"Categoria inválida"))</f>
        <v/>
      </c>
      <c r="F346" s="35" t="n"/>
      <c r="G346" s="39" t="n"/>
      <c r="H346" s="37" t="n"/>
      <c r="I346" s="36" t="n"/>
      <c r="J346" s="23">
        <f>IF(OR(G346="",I346=""),"",G346*I346)</f>
        <v/>
      </c>
      <c r="K346" s="35" t="n"/>
    </row>
    <row r="347">
      <c r="A347" s="41" t="n"/>
      <c r="B347" s="34" t="n"/>
      <c r="C347" s="34" t="n"/>
      <c r="D347" s="35" t="n"/>
      <c r="E347" s="22">
        <f>IF(D347="","",IFERROR(VLOOKUP(D347,Config!$F$6:$H$25,3,0),"Categoria inválida"))</f>
        <v/>
      </c>
      <c r="F347" s="35" t="n"/>
      <c r="G347" s="39" t="n"/>
      <c r="H347" s="37" t="n"/>
      <c r="I347" s="36" t="n"/>
      <c r="J347" s="23">
        <f>IF(OR(G347="",I347=""),"",G347*I347)</f>
        <v/>
      </c>
      <c r="K347" s="35" t="n"/>
    </row>
    <row r="348">
      <c r="A348" s="41" t="n"/>
      <c r="B348" s="34" t="n"/>
      <c r="C348" s="34" t="n"/>
      <c r="D348" s="35" t="n"/>
      <c r="E348" s="22">
        <f>IF(D348="","",IFERROR(VLOOKUP(D348,Config!$F$6:$H$25,3,0),"Categoria inválida"))</f>
        <v/>
      </c>
      <c r="F348" s="35" t="n"/>
      <c r="G348" s="39" t="n"/>
      <c r="H348" s="37" t="n"/>
      <c r="I348" s="36" t="n"/>
      <c r="J348" s="23">
        <f>IF(OR(G348="",I348=""),"",G348*I348)</f>
        <v/>
      </c>
      <c r="K348" s="35" t="n"/>
    </row>
    <row r="349">
      <c r="A349" s="41" t="n"/>
      <c r="B349" s="34" t="n"/>
      <c r="C349" s="34" t="n"/>
      <c r="D349" s="35" t="n"/>
      <c r="E349" s="22">
        <f>IF(D349="","",IFERROR(VLOOKUP(D349,Config!$F$6:$H$25,3,0),"Categoria inválida"))</f>
        <v/>
      </c>
      <c r="F349" s="35" t="n"/>
      <c r="G349" s="39" t="n"/>
      <c r="H349" s="37" t="n"/>
      <c r="I349" s="36" t="n"/>
      <c r="J349" s="23">
        <f>IF(OR(G349="",I349=""),"",G349*I349)</f>
        <v/>
      </c>
      <c r="K349" s="35" t="n"/>
    </row>
    <row r="350">
      <c r="A350" s="41" t="n"/>
      <c r="B350" s="34" t="n"/>
      <c r="C350" s="34" t="n"/>
      <c r="D350" s="35" t="n"/>
      <c r="E350" s="22">
        <f>IF(D350="","",IFERROR(VLOOKUP(D350,Config!$F$6:$H$25,3,0),"Categoria inválida"))</f>
        <v/>
      </c>
      <c r="F350" s="35" t="n"/>
      <c r="G350" s="39" t="n"/>
      <c r="H350" s="37" t="n"/>
      <c r="I350" s="36" t="n"/>
      <c r="J350" s="23">
        <f>IF(OR(G350="",I350=""),"",G350*I350)</f>
        <v/>
      </c>
      <c r="K350" s="35" t="n"/>
    </row>
    <row r="351">
      <c r="A351" s="41" t="n"/>
      <c r="B351" s="34" t="n"/>
      <c r="C351" s="34" t="n"/>
      <c r="D351" s="35" t="n"/>
      <c r="E351" s="22">
        <f>IF(D351="","",IFERROR(VLOOKUP(D351,Config!$F$6:$H$25,3,0),"Categoria inválida"))</f>
        <v/>
      </c>
      <c r="F351" s="35" t="n"/>
      <c r="G351" s="39" t="n"/>
      <c r="H351" s="37" t="n"/>
      <c r="I351" s="36" t="n"/>
      <c r="J351" s="23">
        <f>IF(OR(G351="",I351=""),"",G351*I351)</f>
        <v/>
      </c>
      <c r="K351" s="35" t="n"/>
    </row>
    <row r="352">
      <c r="A352" s="41" t="n"/>
      <c r="B352" s="34" t="n"/>
      <c r="C352" s="34" t="n"/>
      <c r="D352" s="35" t="n"/>
      <c r="E352" s="22">
        <f>IF(D352="","",IFERROR(VLOOKUP(D352,Config!$F$6:$H$25,3,0),"Categoria inválida"))</f>
        <v/>
      </c>
      <c r="F352" s="35" t="n"/>
      <c r="G352" s="39" t="n"/>
      <c r="H352" s="37" t="n"/>
      <c r="I352" s="36" t="n"/>
      <c r="J352" s="23">
        <f>IF(OR(G352="",I352=""),"",G352*I352)</f>
        <v/>
      </c>
      <c r="K352" s="35" t="n"/>
    </row>
    <row r="353">
      <c r="A353" s="41" t="n"/>
      <c r="B353" s="34" t="n"/>
      <c r="C353" s="34" t="n"/>
      <c r="D353" s="35" t="n"/>
      <c r="E353" s="22">
        <f>IF(D353="","",IFERROR(VLOOKUP(D353,Config!$F$6:$H$25,3,0),"Categoria inválida"))</f>
        <v/>
      </c>
      <c r="F353" s="35" t="n"/>
      <c r="G353" s="39" t="n"/>
      <c r="H353" s="37" t="n"/>
      <c r="I353" s="36" t="n"/>
      <c r="J353" s="23">
        <f>IF(OR(G353="",I353=""),"",G353*I353)</f>
        <v/>
      </c>
      <c r="K353" s="35" t="n"/>
    </row>
    <row r="354">
      <c r="A354" s="41" t="n"/>
      <c r="B354" s="34" t="n"/>
      <c r="C354" s="34" t="n"/>
      <c r="D354" s="35" t="n"/>
      <c r="E354" s="22">
        <f>IF(D354="","",IFERROR(VLOOKUP(D354,Config!$F$6:$H$25,3,0),"Categoria inválida"))</f>
        <v/>
      </c>
      <c r="F354" s="35" t="n"/>
      <c r="G354" s="39" t="n"/>
      <c r="H354" s="37" t="n"/>
      <c r="I354" s="36" t="n"/>
      <c r="J354" s="23">
        <f>IF(OR(G354="",I354=""),"",G354*I354)</f>
        <v/>
      </c>
      <c r="K354" s="35" t="n"/>
    </row>
    <row r="355">
      <c r="A355" s="41" t="n"/>
      <c r="B355" s="34" t="n"/>
      <c r="C355" s="34" t="n"/>
      <c r="D355" s="35" t="n"/>
      <c r="E355" s="22">
        <f>IF(D355="","",IFERROR(VLOOKUP(D355,Config!$F$6:$H$25,3,0),"Categoria inválida"))</f>
        <v/>
      </c>
      <c r="F355" s="35" t="n"/>
      <c r="G355" s="39" t="n"/>
      <c r="H355" s="37" t="n"/>
      <c r="I355" s="36" t="n"/>
      <c r="J355" s="23">
        <f>IF(OR(G355="",I355=""),"",G355*I355)</f>
        <v/>
      </c>
      <c r="K355" s="35" t="n"/>
    </row>
    <row r="356">
      <c r="A356" s="41" t="n"/>
      <c r="B356" s="34" t="n"/>
      <c r="C356" s="34" t="n"/>
      <c r="D356" s="35" t="n"/>
      <c r="E356" s="22">
        <f>IF(D356="","",IFERROR(VLOOKUP(D356,Config!$F$6:$H$25,3,0),"Categoria inválida"))</f>
        <v/>
      </c>
      <c r="F356" s="35" t="n"/>
      <c r="G356" s="39" t="n"/>
      <c r="H356" s="37" t="n"/>
      <c r="I356" s="36" t="n"/>
      <c r="J356" s="23">
        <f>IF(OR(G356="",I356=""),"",G356*I356)</f>
        <v/>
      </c>
      <c r="K356" s="35" t="n"/>
    </row>
    <row r="357">
      <c r="A357" s="41" t="n"/>
      <c r="B357" s="34" t="n"/>
      <c r="C357" s="34" t="n"/>
      <c r="D357" s="35" t="n"/>
      <c r="E357" s="22">
        <f>IF(D357="","",IFERROR(VLOOKUP(D357,Config!$F$6:$H$25,3,0),"Categoria inválida"))</f>
        <v/>
      </c>
      <c r="F357" s="35" t="n"/>
      <c r="G357" s="39" t="n"/>
      <c r="H357" s="37" t="n"/>
      <c r="I357" s="36" t="n"/>
      <c r="J357" s="23">
        <f>IF(OR(G357="",I357=""),"",G357*I357)</f>
        <v/>
      </c>
      <c r="K357" s="35" t="n"/>
    </row>
    <row r="358">
      <c r="A358" s="41" t="n"/>
      <c r="B358" s="34" t="n"/>
      <c r="C358" s="34" t="n"/>
      <c r="D358" s="35" t="n"/>
      <c r="E358" s="22">
        <f>IF(D358="","",IFERROR(VLOOKUP(D358,Config!$F$6:$H$25,3,0),"Categoria inválida"))</f>
        <v/>
      </c>
      <c r="F358" s="35" t="n"/>
      <c r="G358" s="39" t="n"/>
      <c r="H358" s="37" t="n"/>
      <c r="I358" s="36" t="n"/>
      <c r="J358" s="23">
        <f>IF(OR(G358="",I358=""),"",G358*I358)</f>
        <v/>
      </c>
      <c r="K358" s="35" t="n"/>
    </row>
    <row r="359">
      <c r="A359" s="41" t="n"/>
      <c r="B359" s="34" t="n"/>
      <c r="C359" s="34" t="n"/>
      <c r="D359" s="35" t="n"/>
      <c r="E359" s="22">
        <f>IF(D359="","",IFERROR(VLOOKUP(D359,Config!$F$6:$H$25,3,0),"Categoria inválida"))</f>
        <v/>
      </c>
      <c r="F359" s="35" t="n"/>
      <c r="G359" s="39" t="n"/>
      <c r="H359" s="37" t="n"/>
      <c r="I359" s="36" t="n"/>
      <c r="J359" s="23">
        <f>IF(OR(G359="",I359=""),"",G359*I359)</f>
        <v/>
      </c>
      <c r="K359" s="35" t="n"/>
    </row>
    <row r="360">
      <c r="A360" s="41" t="n"/>
      <c r="B360" s="34" t="n"/>
      <c r="C360" s="34" t="n"/>
      <c r="D360" s="35" t="n"/>
      <c r="E360" s="22">
        <f>IF(D360="","",IFERROR(VLOOKUP(D360,Config!$F$6:$H$25,3,0),"Categoria inválida"))</f>
        <v/>
      </c>
      <c r="F360" s="35" t="n"/>
      <c r="G360" s="39" t="n"/>
      <c r="H360" s="37" t="n"/>
      <c r="I360" s="36" t="n"/>
      <c r="J360" s="23">
        <f>IF(OR(G360="",I360=""),"",G360*I360)</f>
        <v/>
      </c>
      <c r="K360" s="35" t="n"/>
    </row>
    <row r="361">
      <c r="A361" s="41" t="n"/>
      <c r="B361" s="34" t="n"/>
      <c r="C361" s="34" t="n"/>
      <c r="D361" s="35" t="n"/>
      <c r="E361" s="22">
        <f>IF(D361="","",IFERROR(VLOOKUP(D361,Config!$F$6:$H$25,3,0),"Categoria inválida"))</f>
        <v/>
      </c>
      <c r="F361" s="35" t="n"/>
      <c r="G361" s="39" t="n"/>
      <c r="H361" s="37" t="n"/>
      <c r="I361" s="36" t="n"/>
      <c r="J361" s="23">
        <f>IF(OR(G361="",I361=""),"",G361*I361)</f>
        <v/>
      </c>
      <c r="K361" s="35" t="n"/>
    </row>
    <row r="362">
      <c r="A362" s="41" t="n"/>
      <c r="B362" s="34" t="n"/>
      <c r="C362" s="34" t="n"/>
      <c r="D362" s="35" t="n"/>
      <c r="E362" s="22">
        <f>IF(D362="","",IFERROR(VLOOKUP(D362,Config!$F$6:$H$25,3,0),"Categoria inválida"))</f>
        <v/>
      </c>
      <c r="F362" s="35" t="n"/>
      <c r="G362" s="39" t="n"/>
      <c r="H362" s="37" t="n"/>
      <c r="I362" s="36" t="n"/>
      <c r="J362" s="23">
        <f>IF(OR(G362="",I362=""),"",G362*I362)</f>
        <v/>
      </c>
      <c r="K362" s="35" t="n"/>
    </row>
    <row r="363">
      <c r="A363" s="41" t="n"/>
      <c r="B363" s="34" t="n"/>
      <c r="C363" s="34" t="n"/>
      <c r="D363" s="35" t="n"/>
      <c r="E363" s="22">
        <f>IF(D363="","",IFERROR(VLOOKUP(D363,Config!$F$6:$H$25,3,0),"Categoria inválida"))</f>
        <v/>
      </c>
      <c r="F363" s="35" t="n"/>
      <c r="G363" s="39" t="n"/>
      <c r="H363" s="37" t="n"/>
      <c r="I363" s="36" t="n"/>
      <c r="J363" s="23">
        <f>IF(OR(G363="",I363=""),"",G363*I363)</f>
        <v/>
      </c>
      <c r="K363" s="35" t="n"/>
    </row>
    <row r="364">
      <c r="A364" s="41" t="n"/>
      <c r="B364" s="34" t="n"/>
      <c r="C364" s="34" t="n"/>
      <c r="D364" s="35" t="n"/>
      <c r="E364" s="22">
        <f>IF(D364="","",IFERROR(VLOOKUP(D364,Config!$F$6:$H$25,3,0),"Categoria inválida"))</f>
        <v/>
      </c>
      <c r="F364" s="35" t="n"/>
      <c r="G364" s="39" t="n"/>
      <c r="H364" s="37" t="n"/>
      <c r="I364" s="36" t="n"/>
      <c r="J364" s="23">
        <f>IF(OR(G364="",I364=""),"",G364*I364)</f>
        <v/>
      </c>
      <c r="K364" s="35" t="n"/>
    </row>
    <row r="365">
      <c r="A365" s="41" t="n"/>
      <c r="B365" s="34" t="n"/>
      <c r="C365" s="34" t="n"/>
      <c r="D365" s="35" t="n"/>
      <c r="E365" s="22">
        <f>IF(D365="","",IFERROR(VLOOKUP(D365,Config!$F$6:$H$25,3,0),"Categoria inválida"))</f>
        <v/>
      </c>
      <c r="F365" s="35" t="n"/>
      <c r="G365" s="39" t="n"/>
      <c r="H365" s="37" t="n"/>
      <c r="I365" s="36" t="n"/>
      <c r="J365" s="23">
        <f>IF(OR(G365="",I365=""),"",G365*I365)</f>
        <v/>
      </c>
      <c r="K365" s="35" t="n"/>
    </row>
    <row r="366">
      <c r="A366" s="41" t="n"/>
      <c r="B366" s="34" t="n"/>
      <c r="C366" s="34" t="n"/>
      <c r="D366" s="35" t="n"/>
      <c r="E366" s="22">
        <f>IF(D366="","",IFERROR(VLOOKUP(D366,Config!$F$6:$H$25,3,0),"Categoria inválida"))</f>
        <v/>
      </c>
      <c r="F366" s="35" t="n"/>
      <c r="G366" s="39" t="n"/>
      <c r="H366" s="37" t="n"/>
      <c r="I366" s="36" t="n"/>
      <c r="J366" s="23">
        <f>IF(OR(G366="",I366=""),"",G366*I366)</f>
        <v/>
      </c>
      <c r="K366" s="35" t="n"/>
    </row>
    <row r="367">
      <c r="A367" s="41" t="n"/>
      <c r="B367" s="34" t="n"/>
      <c r="C367" s="34" t="n"/>
      <c r="D367" s="35" t="n"/>
      <c r="E367" s="22">
        <f>IF(D367="","",IFERROR(VLOOKUP(D367,Config!$F$6:$H$25,3,0),"Categoria inválida"))</f>
        <v/>
      </c>
      <c r="F367" s="35" t="n"/>
      <c r="G367" s="39" t="n"/>
      <c r="H367" s="37" t="n"/>
      <c r="I367" s="36" t="n"/>
      <c r="J367" s="23">
        <f>IF(OR(G367="",I367=""),"",G367*I367)</f>
        <v/>
      </c>
      <c r="K367" s="35" t="n"/>
    </row>
    <row r="368">
      <c r="A368" s="41" t="n"/>
      <c r="B368" s="34" t="n"/>
      <c r="C368" s="34" t="n"/>
      <c r="D368" s="35" t="n"/>
      <c r="E368" s="22">
        <f>IF(D368="","",IFERROR(VLOOKUP(D368,Config!$F$6:$H$25,3,0),"Categoria inválida"))</f>
        <v/>
      </c>
      <c r="F368" s="35" t="n"/>
      <c r="G368" s="39" t="n"/>
      <c r="H368" s="37" t="n"/>
      <c r="I368" s="36" t="n"/>
      <c r="J368" s="23">
        <f>IF(OR(G368="",I368=""),"",G368*I368)</f>
        <v/>
      </c>
      <c r="K368" s="35" t="n"/>
    </row>
    <row r="369">
      <c r="A369" s="41" t="n"/>
      <c r="B369" s="34" t="n"/>
      <c r="C369" s="34" t="n"/>
      <c r="D369" s="35" t="n"/>
      <c r="E369" s="22">
        <f>IF(D369="","",IFERROR(VLOOKUP(D369,Config!$F$6:$H$25,3,0),"Categoria inválida"))</f>
        <v/>
      </c>
      <c r="F369" s="35" t="n"/>
      <c r="G369" s="39" t="n"/>
      <c r="H369" s="37" t="n"/>
      <c r="I369" s="36" t="n"/>
      <c r="J369" s="23">
        <f>IF(OR(G369="",I369=""),"",G369*I369)</f>
        <v/>
      </c>
      <c r="K369" s="35" t="n"/>
    </row>
    <row r="370">
      <c r="A370" s="41" t="n"/>
      <c r="B370" s="34" t="n"/>
      <c r="C370" s="34" t="n"/>
      <c r="D370" s="35" t="n"/>
      <c r="E370" s="22">
        <f>IF(D370="","",IFERROR(VLOOKUP(D370,Config!$F$6:$H$25,3,0),"Categoria inválida"))</f>
        <v/>
      </c>
      <c r="F370" s="35" t="n"/>
      <c r="G370" s="39" t="n"/>
      <c r="H370" s="37" t="n"/>
      <c r="I370" s="36" t="n"/>
      <c r="J370" s="23">
        <f>IF(OR(G370="",I370=""),"",G370*I370)</f>
        <v/>
      </c>
      <c r="K370" s="35" t="n"/>
    </row>
    <row r="371">
      <c r="A371" s="41" t="n"/>
      <c r="B371" s="34" t="n"/>
      <c r="C371" s="34" t="n"/>
      <c r="D371" s="35" t="n"/>
      <c r="E371" s="22">
        <f>IF(D371="","",IFERROR(VLOOKUP(D371,Config!$F$6:$H$25,3,0),"Categoria inválida"))</f>
        <v/>
      </c>
      <c r="F371" s="35" t="n"/>
      <c r="G371" s="39" t="n"/>
      <c r="H371" s="37" t="n"/>
      <c r="I371" s="36" t="n"/>
      <c r="J371" s="23">
        <f>IF(OR(G371="",I371=""),"",G371*I371)</f>
        <v/>
      </c>
      <c r="K371" s="35" t="n"/>
    </row>
    <row r="372">
      <c r="A372" s="41" t="n"/>
      <c r="B372" s="34" t="n"/>
      <c r="C372" s="34" t="n"/>
      <c r="D372" s="35" t="n"/>
      <c r="E372" s="22">
        <f>IF(D372="","",IFERROR(VLOOKUP(D372,Config!$F$6:$H$25,3,0),"Categoria inválida"))</f>
        <v/>
      </c>
      <c r="F372" s="35" t="n"/>
      <c r="G372" s="39" t="n"/>
      <c r="H372" s="37" t="n"/>
      <c r="I372" s="36" t="n"/>
      <c r="J372" s="23">
        <f>IF(OR(G372="",I372=""),"",G372*I372)</f>
        <v/>
      </c>
      <c r="K372" s="35" t="n"/>
    </row>
    <row r="373">
      <c r="A373" s="41" t="n"/>
      <c r="B373" s="34" t="n"/>
      <c r="C373" s="34" t="n"/>
      <c r="D373" s="35" t="n"/>
      <c r="E373" s="22">
        <f>IF(D373="","",IFERROR(VLOOKUP(D373,Config!$F$6:$H$25,3,0),"Categoria inválida"))</f>
        <v/>
      </c>
      <c r="F373" s="35" t="n"/>
      <c r="G373" s="39" t="n"/>
      <c r="H373" s="37" t="n"/>
      <c r="I373" s="36" t="n"/>
      <c r="J373" s="23">
        <f>IF(OR(G373="",I373=""),"",G373*I373)</f>
        <v/>
      </c>
      <c r="K373" s="35" t="n"/>
    </row>
    <row r="374">
      <c r="A374" s="41" t="n"/>
      <c r="B374" s="34" t="n"/>
      <c r="C374" s="34" t="n"/>
      <c r="D374" s="35" t="n"/>
      <c r="E374" s="22">
        <f>IF(D374="","",IFERROR(VLOOKUP(D374,Config!$F$6:$H$25,3,0),"Categoria inválida"))</f>
        <v/>
      </c>
      <c r="F374" s="35" t="n"/>
      <c r="G374" s="39" t="n"/>
      <c r="H374" s="37" t="n"/>
      <c r="I374" s="36" t="n"/>
      <c r="J374" s="23">
        <f>IF(OR(G374="",I374=""),"",G374*I374)</f>
        <v/>
      </c>
      <c r="K374" s="35" t="n"/>
    </row>
    <row r="375">
      <c r="A375" s="41" t="n"/>
      <c r="B375" s="34" t="n"/>
      <c r="C375" s="34" t="n"/>
      <c r="D375" s="35" t="n"/>
      <c r="E375" s="22">
        <f>IF(D375="","",IFERROR(VLOOKUP(D375,Config!$F$6:$H$25,3,0),"Categoria inválida"))</f>
        <v/>
      </c>
      <c r="F375" s="35" t="n"/>
      <c r="G375" s="39" t="n"/>
      <c r="H375" s="37" t="n"/>
      <c r="I375" s="36" t="n"/>
      <c r="J375" s="23">
        <f>IF(OR(G375="",I375=""),"",G375*I375)</f>
        <v/>
      </c>
      <c r="K375" s="35" t="n"/>
    </row>
    <row r="376">
      <c r="A376" s="41" t="n"/>
      <c r="B376" s="34" t="n"/>
      <c r="C376" s="34" t="n"/>
      <c r="D376" s="35" t="n"/>
      <c r="E376" s="22">
        <f>IF(D376="","",IFERROR(VLOOKUP(D376,Config!$F$6:$H$25,3,0),"Categoria inválida"))</f>
        <v/>
      </c>
      <c r="F376" s="35" t="n"/>
      <c r="G376" s="39" t="n"/>
      <c r="H376" s="37" t="n"/>
      <c r="I376" s="36" t="n"/>
      <c r="J376" s="23">
        <f>IF(OR(G376="",I376=""),"",G376*I376)</f>
        <v/>
      </c>
      <c r="K376" s="35" t="n"/>
    </row>
    <row r="377">
      <c r="A377" s="41" t="n"/>
      <c r="B377" s="34" t="n"/>
      <c r="C377" s="34" t="n"/>
      <c r="D377" s="35" t="n"/>
      <c r="E377" s="22">
        <f>IF(D377="","",IFERROR(VLOOKUP(D377,Config!$F$6:$H$25,3,0),"Categoria inválida"))</f>
        <v/>
      </c>
      <c r="F377" s="35" t="n"/>
      <c r="G377" s="39" t="n"/>
      <c r="H377" s="37" t="n"/>
      <c r="I377" s="36" t="n"/>
      <c r="J377" s="23">
        <f>IF(OR(G377="",I377=""),"",G377*I377)</f>
        <v/>
      </c>
      <c r="K377" s="35" t="n"/>
    </row>
    <row r="378">
      <c r="A378" s="41" t="n"/>
      <c r="B378" s="34" t="n"/>
      <c r="C378" s="34" t="n"/>
      <c r="D378" s="35" t="n"/>
      <c r="E378" s="22">
        <f>IF(D378="","",IFERROR(VLOOKUP(D378,Config!$F$6:$H$25,3,0),"Categoria inválida"))</f>
        <v/>
      </c>
      <c r="F378" s="35" t="n"/>
      <c r="G378" s="39" t="n"/>
      <c r="H378" s="37" t="n"/>
      <c r="I378" s="36" t="n"/>
      <c r="J378" s="23">
        <f>IF(OR(G378="",I378=""),"",G378*I378)</f>
        <v/>
      </c>
      <c r="K378" s="35" t="n"/>
    </row>
    <row r="379">
      <c r="A379" s="41" t="n"/>
      <c r="B379" s="34" t="n"/>
      <c r="C379" s="34" t="n"/>
      <c r="D379" s="35" t="n"/>
      <c r="E379" s="22">
        <f>IF(D379="","",IFERROR(VLOOKUP(D379,Config!$F$6:$H$25,3,0),"Categoria inválida"))</f>
        <v/>
      </c>
      <c r="F379" s="35" t="n"/>
      <c r="G379" s="39" t="n"/>
      <c r="H379" s="37" t="n"/>
      <c r="I379" s="36" t="n"/>
      <c r="J379" s="23">
        <f>IF(OR(G379="",I379=""),"",G379*I379)</f>
        <v/>
      </c>
      <c r="K379" s="35" t="n"/>
    </row>
    <row r="380">
      <c r="A380" s="41" t="n"/>
      <c r="B380" s="34" t="n"/>
      <c r="C380" s="34" t="n"/>
      <c r="D380" s="35" t="n"/>
      <c r="E380" s="22">
        <f>IF(D380="","",IFERROR(VLOOKUP(D380,Config!$F$6:$H$25,3,0),"Categoria inválida"))</f>
        <v/>
      </c>
      <c r="F380" s="35" t="n"/>
      <c r="G380" s="39" t="n"/>
      <c r="H380" s="37" t="n"/>
      <c r="I380" s="36" t="n"/>
      <c r="J380" s="23">
        <f>IF(OR(G380="",I380=""),"",G380*I380)</f>
        <v/>
      </c>
      <c r="K380" s="35" t="n"/>
    </row>
    <row r="381">
      <c r="A381" s="41" t="n"/>
      <c r="B381" s="34" t="n"/>
      <c r="C381" s="34" t="n"/>
      <c r="D381" s="35" t="n"/>
      <c r="E381" s="22">
        <f>IF(D381="","",IFERROR(VLOOKUP(D381,Config!$F$6:$H$25,3,0),"Categoria inválida"))</f>
        <v/>
      </c>
      <c r="F381" s="35" t="n"/>
      <c r="G381" s="39" t="n"/>
      <c r="H381" s="37" t="n"/>
      <c r="I381" s="36" t="n"/>
      <c r="J381" s="23">
        <f>IF(OR(G381="",I381=""),"",G381*I381)</f>
        <v/>
      </c>
      <c r="K381" s="35" t="n"/>
    </row>
    <row r="382">
      <c r="A382" s="41" t="n"/>
      <c r="B382" s="34" t="n"/>
      <c r="C382" s="34" t="n"/>
      <c r="D382" s="35" t="n"/>
      <c r="E382" s="22">
        <f>IF(D382="","",IFERROR(VLOOKUP(D382,Config!$F$6:$H$25,3,0),"Categoria inválida"))</f>
        <v/>
      </c>
      <c r="F382" s="35" t="n"/>
      <c r="G382" s="39" t="n"/>
      <c r="H382" s="37" t="n"/>
      <c r="I382" s="36" t="n"/>
      <c r="J382" s="23">
        <f>IF(OR(G382="",I382=""),"",G382*I382)</f>
        <v/>
      </c>
      <c r="K382" s="35" t="n"/>
    </row>
    <row r="383">
      <c r="A383" s="41" t="n"/>
      <c r="B383" s="34" t="n"/>
      <c r="C383" s="34" t="n"/>
      <c r="D383" s="35" t="n"/>
      <c r="E383" s="22">
        <f>IF(D383="","",IFERROR(VLOOKUP(D383,Config!$F$6:$H$25,3,0),"Categoria inválida"))</f>
        <v/>
      </c>
      <c r="F383" s="35" t="n"/>
      <c r="G383" s="39" t="n"/>
      <c r="H383" s="37" t="n"/>
      <c r="I383" s="36" t="n"/>
      <c r="J383" s="23">
        <f>IF(OR(G383="",I383=""),"",G383*I383)</f>
        <v/>
      </c>
      <c r="K383" s="35" t="n"/>
    </row>
    <row r="384">
      <c r="A384" s="41" t="n"/>
      <c r="B384" s="34" t="n"/>
      <c r="C384" s="34" t="n"/>
      <c r="D384" s="35" t="n"/>
      <c r="E384" s="22">
        <f>IF(D384="","",IFERROR(VLOOKUP(D384,Config!$F$6:$H$25,3,0),"Categoria inválida"))</f>
        <v/>
      </c>
      <c r="F384" s="35" t="n"/>
      <c r="G384" s="39" t="n"/>
      <c r="H384" s="37" t="n"/>
      <c r="I384" s="36" t="n"/>
      <c r="J384" s="23">
        <f>IF(OR(G384="",I384=""),"",G384*I384)</f>
        <v/>
      </c>
      <c r="K384" s="35" t="n"/>
    </row>
    <row r="385">
      <c r="A385" s="41" t="n"/>
      <c r="B385" s="34" t="n"/>
      <c r="C385" s="34" t="n"/>
      <c r="D385" s="35" t="n"/>
      <c r="E385" s="22">
        <f>IF(D385="","",IFERROR(VLOOKUP(D385,Config!$F$6:$H$25,3,0),"Categoria inválida"))</f>
        <v/>
      </c>
      <c r="F385" s="35" t="n"/>
      <c r="G385" s="39" t="n"/>
      <c r="H385" s="37" t="n"/>
      <c r="I385" s="36" t="n"/>
      <c r="J385" s="23">
        <f>IF(OR(G385="",I385=""),"",G385*I385)</f>
        <v/>
      </c>
      <c r="K385" s="35" t="n"/>
    </row>
    <row r="386">
      <c r="A386" s="41" t="n"/>
      <c r="B386" s="34" t="n"/>
      <c r="C386" s="34" t="n"/>
      <c r="D386" s="35" t="n"/>
      <c r="E386" s="22">
        <f>IF(D386="","",IFERROR(VLOOKUP(D386,Config!$F$6:$H$25,3,0),"Categoria inválida"))</f>
        <v/>
      </c>
      <c r="F386" s="35" t="n"/>
      <c r="G386" s="39" t="n"/>
      <c r="H386" s="37" t="n"/>
      <c r="I386" s="36" t="n"/>
      <c r="J386" s="23">
        <f>IF(OR(G386="",I386=""),"",G386*I386)</f>
        <v/>
      </c>
      <c r="K386" s="35" t="n"/>
    </row>
    <row r="387">
      <c r="A387" s="41" t="n"/>
      <c r="B387" s="34" t="n"/>
      <c r="C387" s="34" t="n"/>
      <c r="D387" s="35" t="n"/>
      <c r="E387" s="22">
        <f>IF(D387="","",IFERROR(VLOOKUP(D387,Config!$F$6:$H$25,3,0),"Categoria inválida"))</f>
        <v/>
      </c>
      <c r="F387" s="35" t="n"/>
      <c r="G387" s="39" t="n"/>
      <c r="H387" s="37" t="n"/>
      <c r="I387" s="36" t="n"/>
      <c r="J387" s="23">
        <f>IF(OR(G387="",I387=""),"",G387*I387)</f>
        <v/>
      </c>
      <c r="K387" s="35" t="n"/>
    </row>
    <row r="388">
      <c r="A388" s="41" t="n"/>
      <c r="B388" s="34" t="n"/>
      <c r="C388" s="34" t="n"/>
      <c r="D388" s="35" t="n"/>
      <c r="E388" s="22">
        <f>IF(D388="","",IFERROR(VLOOKUP(D388,Config!$F$6:$H$25,3,0),"Categoria inválida"))</f>
        <v/>
      </c>
      <c r="F388" s="35" t="n"/>
      <c r="G388" s="39" t="n"/>
      <c r="H388" s="37" t="n"/>
      <c r="I388" s="36" t="n"/>
      <c r="J388" s="23">
        <f>IF(OR(G388="",I388=""),"",G388*I388)</f>
        <v/>
      </c>
      <c r="K388" s="35" t="n"/>
    </row>
    <row r="389">
      <c r="A389" s="41" t="n"/>
      <c r="B389" s="34" t="n"/>
      <c r="C389" s="34" t="n"/>
      <c r="D389" s="35" t="n"/>
      <c r="E389" s="22">
        <f>IF(D389="","",IFERROR(VLOOKUP(D389,Config!$F$6:$H$25,3,0),"Categoria inválida"))</f>
        <v/>
      </c>
      <c r="F389" s="35" t="n"/>
      <c r="G389" s="39" t="n"/>
      <c r="H389" s="37" t="n"/>
      <c r="I389" s="36" t="n"/>
      <c r="J389" s="23">
        <f>IF(OR(G389="",I389=""),"",G389*I389)</f>
        <v/>
      </c>
      <c r="K389" s="35" t="n"/>
    </row>
    <row r="390">
      <c r="A390" s="41" t="n"/>
      <c r="B390" s="34" t="n"/>
      <c r="C390" s="34" t="n"/>
      <c r="D390" s="35" t="n"/>
      <c r="E390" s="22">
        <f>IF(D390="","",IFERROR(VLOOKUP(D390,Config!$F$6:$H$25,3,0),"Categoria inválida"))</f>
        <v/>
      </c>
      <c r="F390" s="35" t="n"/>
      <c r="G390" s="39" t="n"/>
      <c r="H390" s="37" t="n"/>
      <c r="I390" s="36" t="n"/>
      <c r="J390" s="23">
        <f>IF(OR(G390="",I390=""),"",G390*I390)</f>
        <v/>
      </c>
      <c r="K390" s="35" t="n"/>
    </row>
    <row r="391">
      <c r="A391" s="41" t="n"/>
      <c r="B391" s="34" t="n"/>
      <c r="C391" s="34" t="n"/>
      <c r="D391" s="35" t="n"/>
      <c r="E391" s="22">
        <f>IF(D391="","",IFERROR(VLOOKUP(D391,Config!$F$6:$H$25,3,0),"Categoria inválida"))</f>
        <v/>
      </c>
      <c r="F391" s="35" t="n"/>
      <c r="G391" s="39" t="n"/>
      <c r="H391" s="37" t="n"/>
      <c r="I391" s="36" t="n"/>
      <c r="J391" s="23">
        <f>IF(OR(G391="",I391=""),"",G391*I391)</f>
        <v/>
      </c>
      <c r="K391" s="35" t="n"/>
    </row>
    <row r="392">
      <c r="A392" s="41" t="n"/>
      <c r="B392" s="34" t="n"/>
      <c r="C392" s="34" t="n"/>
      <c r="D392" s="35" t="n"/>
      <c r="E392" s="22">
        <f>IF(D392="","",IFERROR(VLOOKUP(D392,Config!$F$6:$H$25,3,0),"Categoria inválida"))</f>
        <v/>
      </c>
      <c r="F392" s="35" t="n"/>
      <c r="G392" s="39" t="n"/>
      <c r="H392" s="37" t="n"/>
      <c r="I392" s="36" t="n"/>
      <c r="J392" s="23">
        <f>IF(OR(G392="",I392=""),"",G392*I392)</f>
        <v/>
      </c>
      <c r="K392" s="35" t="n"/>
    </row>
    <row r="393">
      <c r="A393" s="41" t="n"/>
      <c r="B393" s="34" t="n"/>
      <c r="C393" s="34" t="n"/>
      <c r="D393" s="35" t="n"/>
      <c r="E393" s="22">
        <f>IF(D393="","",IFERROR(VLOOKUP(D393,Config!$F$6:$H$25,3,0),"Categoria inválida"))</f>
        <v/>
      </c>
      <c r="F393" s="35" t="n"/>
      <c r="G393" s="39" t="n"/>
      <c r="H393" s="37" t="n"/>
      <c r="I393" s="36" t="n"/>
      <c r="J393" s="23">
        <f>IF(OR(G393="",I393=""),"",G393*I393)</f>
        <v/>
      </c>
      <c r="K393" s="35" t="n"/>
    </row>
    <row r="394">
      <c r="A394" s="41" t="n"/>
      <c r="B394" s="34" t="n"/>
      <c r="C394" s="34" t="n"/>
      <c r="D394" s="35" t="n"/>
      <c r="E394" s="22">
        <f>IF(D394="","",IFERROR(VLOOKUP(D394,Config!$F$6:$H$25,3,0),"Categoria inválida"))</f>
        <v/>
      </c>
      <c r="F394" s="35" t="n"/>
      <c r="G394" s="39" t="n"/>
      <c r="H394" s="37" t="n"/>
      <c r="I394" s="36" t="n"/>
      <c r="J394" s="23">
        <f>IF(OR(G394="",I394=""),"",G394*I394)</f>
        <v/>
      </c>
      <c r="K394" s="35" t="n"/>
    </row>
    <row r="395">
      <c r="A395" s="41" t="n"/>
      <c r="B395" s="34" t="n"/>
      <c r="C395" s="34" t="n"/>
      <c r="D395" s="35" t="n"/>
      <c r="E395" s="22">
        <f>IF(D395="","",IFERROR(VLOOKUP(D395,Config!$F$6:$H$25,3,0),"Categoria inválida"))</f>
        <v/>
      </c>
      <c r="F395" s="35" t="n"/>
      <c r="G395" s="39" t="n"/>
      <c r="H395" s="37" t="n"/>
      <c r="I395" s="36" t="n"/>
      <c r="J395" s="23">
        <f>IF(OR(G395="",I395=""),"",G395*I395)</f>
        <v/>
      </c>
      <c r="K395" s="35" t="n"/>
    </row>
    <row r="396">
      <c r="A396" s="41" t="n"/>
      <c r="B396" s="34" t="n"/>
      <c r="C396" s="34" t="n"/>
      <c r="D396" s="35" t="n"/>
      <c r="E396" s="22">
        <f>IF(D396="","",IFERROR(VLOOKUP(D396,Config!$F$6:$H$25,3,0),"Categoria inválida"))</f>
        <v/>
      </c>
      <c r="F396" s="35" t="n"/>
      <c r="G396" s="39" t="n"/>
      <c r="H396" s="37" t="n"/>
      <c r="I396" s="36" t="n"/>
      <c r="J396" s="23">
        <f>IF(OR(G396="",I396=""),"",G396*I396)</f>
        <v/>
      </c>
      <c r="K396" s="35" t="n"/>
    </row>
    <row r="397">
      <c r="A397" s="41" t="n"/>
      <c r="B397" s="34" t="n"/>
      <c r="C397" s="34" t="n"/>
      <c r="D397" s="35" t="n"/>
      <c r="E397" s="22">
        <f>IF(D397="","",IFERROR(VLOOKUP(D397,Config!$F$6:$H$25,3,0),"Categoria inválida"))</f>
        <v/>
      </c>
      <c r="F397" s="35" t="n"/>
      <c r="G397" s="39" t="n"/>
      <c r="H397" s="37" t="n"/>
      <c r="I397" s="36" t="n"/>
      <c r="J397" s="23">
        <f>IF(OR(G397="",I397=""),"",G397*I397)</f>
        <v/>
      </c>
      <c r="K397" s="35" t="n"/>
    </row>
    <row r="398">
      <c r="A398" s="41" t="n"/>
      <c r="B398" s="34" t="n"/>
      <c r="C398" s="34" t="n"/>
      <c r="D398" s="35" t="n"/>
      <c r="E398" s="22">
        <f>IF(D398="","",IFERROR(VLOOKUP(D398,Config!$F$6:$H$25,3,0),"Categoria inválida"))</f>
        <v/>
      </c>
      <c r="F398" s="35" t="n"/>
      <c r="G398" s="39" t="n"/>
      <c r="H398" s="37" t="n"/>
      <c r="I398" s="36" t="n"/>
      <c r="J398" s="23">
        <f>IF(OR(G398="",I398=""),"",G398*I398)</f>
        <v/>
      </c>
      <c r="K398" s="35" t="n"/>
    </row>
    <row r="399">
      <c r="A399" s="41" t="n"/>
      <c r="B399" s="34" t="n"/>
      <c r="C399" s="34" t="n"/>
      <c r="D399" s="35" t="n"/>
      <c r="E399" s="22">
        <f>IF(D399="","",IFERROR(VLOOKUP(D399,Config!$F$6:$H$25,3,0),"Categoria inválida"))</f>
        <v/>
      </c>
      <c r="F399" s="35" t="n"/>
      <c r="G399" s="39" t="n"/>
      <c r="H399" s="37" t="n"/>
      <c r="I399" s="36" t="n"/>
      <c r="J399" s="23">
        <f>IF(OR(G399="",I399=""),"",G399*I399)</f>
        <v/>
      </c>
      <c r="K399" s="35" t="n"/>
    </row>
    <row r="400">
      <c r="A400" s="41" t="n"/>
      <c r="B400" s="34" t="n"/>
      <c r="C400" s="34" t="n"/>
      <c r="D400" s="35" t="n"/>
      <c r="E400" s="22">
        <f>IF(D400="","",IFERROR(VLOOKUP(D400,Config!$F$6:$H$25,3,0),"Categoria inválida"))</f>
        <v/>
      </c>
      <c r="F400" s="35" t="n"/>
      <c r="G400" s="39" t="n"/>
      <c r="H400" s="37" t="n"/>
      <c r="I400" s="36" t="n"/>
      <c r="J400" s="23">
        <f>IF(OR(G400="",I400=""),"",G400*I400)</f>
        <v/>
      </c>
      <c r="K400" s="35" t="n"/>
    </row>
    <row r="401">
      <c r="A401" s="41" t="n"/>
      <c r="B401" s="34" t="n"/>
      <c r="C401" s="34" t="n"/>
      <c r="D401" s="35" t="n"/>
      <c r="E401" s="22">
        <f>IF(D401="","",IFERROR(VLOOKUP(D401,Config!$F$6:$H$25,3,0),"Categoria inválida"))</f>
        <v/>
      </c>
      <c r="F401" s="35" t="n"/>
      <c r="G401" s="39" t="n"/>
      <c r="H401" s="37" t="n"/>
      <c r="I401" s="36" t="n"/>
      <c r="J401" s="23">
        <f>IF(OR(G401="",I401=""),"",G401*I401)</f>
        <v/>
      </c>
      <c r="K401" s="35" t="n"/>
    </row>
    <row r="402">
      <c r="A402" s="41" t="n"/>
      <c r="B402" s="34" t="n"/>
      <c r="C402" s="34" t="n"/>
      <c r="D402" s="35" t="n"/>
      <c r="E402" s="22">
        <f>IF(D402="","",IFERROR(VLOOKUP(D402,Config!$F$6:$H$25,3,0),"Categoria inválida"))</f>
        <v/>
      </c>
      <c r="F402" s="35" t="n"/>
      <c r="G402" s="39" t="n"/>
      <c r="H402" s="37" t="n"/>
      <c r="I402" s="36" t="n"/>
      <c r="J402" s="23">
        <f>IF(OR(G402="",I402=""),"",G402*I402)</f>
        <v/>
      </c>
      <c r="K402" s="35" t="n"/>
    </row>
    <row r="403">
      <c r="A403" s="41" t="n"/>
      <c r="B403" s="34" t="n"/>
      <c r="C403" s="34" t="n"/>
      <c r="D403" s="35" t="n"/>
      <c r="E403" s="22">
        <f>IF(D403="","",IFERROR(VLOOKUP(D403,Config!$F$6:$H$25,3,0),"Categoria inválida"))</f>
        <v/>
      </c>
      <c r="F403" s="35" t="n"/>
      <c r="G403" s="39" t="n"/>
      <c r="H403" s="37" t="n"/>
      <c r="I403" s="36" t="n"/>
      <c r="J403" s="23">
        <f>IF(OR(G403="",I403=""),"",G403*I403)</f>
        <v/>
      </c>
      <c r="K403" s="35" t="n"/>
    </row>
    <row r="404">
      <c r="A404" s="41" t="n"/>
      <c r="B404" s="34" t="n"/>
      <c r="C404" s="34" t="n"/>
      <c r="D404" s="35" t="n"/>
      <c r="E404" s="22">
        <f>IF(D404="","",IFERROR(VLOOKUP(D404,Config!$F$6:$H$25,3,0),"Categoria inválida"))</f>
        <v/>
      </c>
      <c r="F404" s="35" t="n"/>
      <c r="G404" s="39" t="n"/>
      <c r="H404" s="37" t="n"/>
      <c r="I404" s="36" t="n"/>
      <c r="J404" s="23">
        <f>IF(OR(G404="",I404=""),"",G404*I404)</f>
        <v/>
      </c>
      <c r="K404" s="35" t="n"/>
    </row>
    <row r="405">
      <c r="A405" s="41" t="n"/>
      <c r="B405" s="34" t="n"/>
      <c r="C405" s="34" t="n"/>
      <c r="D405" s="35" t="n"/>
      <c r="E405" s="22">
        <f>IF(D405="","",IFERROR(VLOOKUP(D405,Config!$F$6:$H$25,3,0),"Categoria inválida"))</f>
        <v/>
      </c>
      <c r="F405" s="35" t="n"/>
      <c r="G405" s="39" t="n"/>
      <c r="H405" s="37" t="n"/>
      <c r="I405" s="36" t="n"/>
      <c r="J405" s="23">
        <f>IF(OR(G405="",I405=""),"",G405*I405)</f>
        <v/>
      </c>
      <c r="K405" s="35" t="n"/>
    </row>
    <row r="406">
      <c r="A406" s="41" t="n"/>
      <c r="B406" s="34" t="n"/>
      <c r="C406" s="34" t="n"/>
      <c r="D406" s="35" t="n"/>
      <c r="E406" s="22">
        <f>IF(D406="","",IFERROR(VLOOKUP(D406,Config!$F$6:$H$25,3,0),"Categoria inválida"))</f>
        <v/>
      </c>
      <c r="F406" s="35" t="n"/>
      <c r="G406" s="39" t="n"/>
      <c r="H406" s="37" t="n"/>
      <c r="I406" s="36" t="n"/>
      <c r="J406" s="23">
        <f>IF(OR(G406="",I406=""),"",G406*I406)</f>
        <v/>
      </c>
      <c r="K406" s="35" t="n"/>
    </row>
    <row r="407">
      <c r="A407" s="41" t="n"/>
      <c r="B407" s="34" t="n"/>
      <c r="C407" s="34" t="n"/>
      <c r="D407" s="35" t="n"/>
      <c r="E407" s="22">
        <f>IF(D407="","",IFERROR(VLOOKUP(D407,Config!$F$6:$H$25,3,0),"Categoria inválida"))</f>
        <v/>
      </c>
      <c r="F407" s="35" t="n"/>
      <c r="G407" s="39" t="n"/>
      <c r="H407" s="37" t="n"/>
      <c r="I407" s="36" t="n"/>
      <c r="J407" s="23">
        <f>IF(OR(G407="",I407=""),"",G407*I407)</f>
        <v/>
      </c>
      <c r="K407" s="35" t="n"/>
    </row>
    <row r="408">
      <c r="A408" s="41" t="n"/>
      <c r="B408" s="34" t="n"/>
      <c r="C408" s="34" t="n"/>
      <c r="D408" s="35" t="n"/>
      <c r="E408" s="22">
        <f>IF(D408="","",IFERROR(VLOOKUP(D408,Config!$F$6:$H$25,3,0),"Categoria inválida"))</f>
        <v/>
      </c>
      <c r="F408" s="35" t="n"/>
      <c r="G408" s="39" t="n"/>
      <c r="H408" s="37" t="n"/>
      <c r="I408" s="36" t="n"/>
      <c r="J408" s="23">
        <f>IF(OR(G408="",I408=""),"",G408*I408)</f>
        <v/>
      </c>
      <c r="K408" s="35" t="n"/>
    </row>
    <row r="409">
      <c r="A409" s="41" t="n"/>
      <c r="B409" s="34" t="n"/>
      <c r="C409" s="34" t="n"/>
      <c r="D409" s="35" t="n"/>
      <c r="E409" s="22">
        <f>IF(D409="","",IFERROR(VLOOKUP(D409,Config!$F$6:$H$25,3,0),"Categoria inválida"))</f>
        <v/>
      </c>
      <c r="F409" s="35" t="n"/>
      <c r="G409" s="39" t="n"/>
      <c r="H409" s="37" t="n"/>
      <c r="I409" s="36" t="n"/>
      <c r="J409" s="23">
        <f>IF(OR(G409="",I409=""),"",G409*I409)</f>
        <v/>
      </c>
      <c r="K409" s="35" t="n"/>
    </row>
    <row r="410">
      <c r="A410" s="41" t="n"/>
      <c r="B410" s="34" t="n"/>
      <c r="C410" s="34" t="n"/>
      <c r="D410" s="35" t="n"/>
      <c r="E410" s="22">
        <f>IF(D410="","",IFERROR(VLOOKUP(D410,Config!$F$6:$H$25,3,0),"Categoria inválida"))</f>
        <v/>
      </c>
      <c r="F410" s="35" t="n"/>
      <c r="G410" s="39" t="n"/>
      <c r="H410" s="37" t="n"/>
      <c r="I410" s="36" t="n"/>
      <c r="J410" s="23">
        <f>IF(OR(G410="",I410=""),"",G410*I410)</f>
        <v/>
      </c>
      <c r="K410" s="35" t="n"/>
    </row>
    <row r="411">
      <c r="A411" s="41" t="n"/>
      <c r="B411" s="34" t="n"/>
      <c r="C411" s="34" t="n"/>
      <c r="D411" s="35" t="n"/>
      <c r="E411" s="22">
        <f>IF(D411="","",IFERROR(VLOOKUP(D411,Config!$F$6:$H$25,3,0),"Categoria inválida"))</f>
        <v/>
      </c>
      <c r="F411" s="35" t="n"/>
      <c r="G411" s="39" t="n"/>
      <c r="H411" s="37" t="n"/>
      <c r="I411" s="36" t="n"/>
      <c r="J411" s="23">
        <f>IF(OR(G411="",I411=""),"",G411*I411)</f>
        <v/>
      </c>
      <c r="K411" s="35" t="n"/>
    </row>
    <row r="412">
      <c r="A412" s="41" t="n"/>
      <c r="B412" s="34" t="n"/>
      <c r="C412" s="34" t="n"/>
      <c r="D412" s="35" t="n"/>
      <c r="E412" s="22">
        <f>IF(D412="","",IFERROR(VLOOKUP(D412,Config!$F$6:$H$25,3,0),"Categoria inválida"))</f>
        <v/>
      </c>
      <c r="F412" s="35" t="n"/>
      <c r="G412" s="39" t="n"/>
      <c r="H412" s="37" t="n"/>
      <c r="I412" s="36" t="n"/>
      <c r="J412" s="23">
        <f>IF(OR(G412="",I412=""),"",G412*I412)</f>
        <v/>
      </c>
      <c r="K412" s="35" t="n"/>
    </row>
    <row r="413">
      <c r="A413" s="41" t="n"/>
      <c r="B413" s="34" t="n"/>
      <c r="C413" s="34" t="n"/>
      <c r="D413" s="35" t="n"/>
      <c r="E413" s="22">
        <f>IF(D413="","",IFERROR(VLOOKUP(D413,Config!$F$6:$H$25,3,0),"Categoria inválida"))</f>
        <v/>
      </c>
      <c r="F413" s="35" t="n"/>
      <c r="G413" s="39" t="n"/>
      <c r="H413" s="37" t="n"/>
      <c r="I413" s="36" t="n"/>
      <c r="J413" s="23">
        <f>IF(OR(G413="",I413=""),"",G413*I413)</f>
        <v/>
      </c>
      <c r="K413" s="35" t="n"/>
    </row>
    <row r="414">
      <c r="A414" s="41" t="n"/>
      <c r="B414" s="34" t="n"/>
      <c r="C414" s="34" t="n"/>
      <c r="D414" s="35" t="n"/>
      <c r="E414" s="22">
        <f>IF(D414="","",IFERROR(VLOOKUP(D414,Config!$F$6:$H$25,3,0),"Categoria inválida"))</f>
        <v/>
      </c>
      <c r="F414" s="35" t="n"/>
      <c r="G414" s="39" t="n"/>
      <c r="H414" s="37" t="n"/>
      <c r="I414" s="36" t="n"/>
      <c r="J414" s="23">
        <f>IF(OR(G414="",I414=""),"",G414*I414)</f>
        <v/>
      </c>
      <c r="K414" s="35" t="n"/>
    </row>
    <row r="415">
      <c r="A415" s="41" t="n"/>
      <c r="B415" s="34" t="n"/>
      <c r="C415" s="34" t="n"/>
      <c r="D415" s="35" t="n"/>
      <c r="E415" s="22">
        <f>IF(D415="","",IFERROR(VLOOKUP(D415,Config!$F$6:$H$25,3,0),"Categoria inválida"))</f>
        <v/>
      </c>
      <c r="F415" s="35" t="n"/>
      <c r="G415" s="39" t="n"/>
      <c r="H415" s="37" t="n"/>
      <c r="I415" s="36" t="n"/>
      <c r="J415" s="23">
        <f>IF(OR(G415="",I415=""),"",G415*I415)</f>
        <v/>
      </c>
      <c r="K415" s="35" t="n"/>
    </row>
    <row r="416">
      <c r="A416" s="41" t="n"/>
      <c r="B416" s="34" t="n"/>
      <c r="C416" s="34" t="n"/>
      <c r="D416" s="35" t="n"/>
      <c r="E416" s="22">
        <f>IF(D416="","",IFERROR(VLOOKUP(D416,Config!$F$6:$H$25,3,0),"Categoria inválida"))</f>
        <v/>
      </c>
      <c r="F416" s="35" t="n"/>
      <c r="G416" s="39" t="n"/>
      <c r="H416" s="37" t="n"/>
      <c r="I416" s="36" t="n"/>
      <c r="J416" s="23">
        <f>IF(OR(G416="",I416=""),"",G416*I416)</f>
        <v/>
      </c>
      <c r="K416" s="35" t="n"/>
    </row>
    <row r="417">
      <c r="A417" s="41" t="n"/>
      <c r="B417" s="34" t="n"/>
      <c r="C417" s="34" t="n"/>
      <c r="D417" s="35" t="n"/>
      <c r="E417" s="22">
        <f>IF(D417="","",IFERROR(VLOOKUP(D417,Config!$F$6:$H$25,3,0),"Categoria inválida"))</f>
        <v/>
      </c>
      <c r="F417" s="35" t="n"/>
      <c r="G417" s="39" t="n"/>
      <c r="H417" s="37" t="n"/>
      <c r="I417" s="36" t="n"/>
      <c r="J417" s="23">
        <f>IF(OR(G417="",I417=""),"",G417*I417)</f>
        <v/>
      </c>
      <c r="K417" s="35" t="n"/>
    </row>
    <row r="418">
      <c r="A418" s="41" t="n"/>
      <c r="B418" s="34" t="n"/>
      <c r="C418" s="34" t="n"/>
      <c r="D418" s="35" t="n"/>
      <c r="E418" s="22">
        <f>IF(D418="","",IFERROR(VLOOKUP(D418,Config!$F$6:$H$25,3,0),"Categoria inválida"))</f>
        <v/>
      </c>
      <c r="F418" s="35" t="n"/>
      <c r="G418" s="39" t="n"/>
      <c r="H418" s="37" t="n"/>
      <c r="I418" s="36" t="n"/>
      <c r="J418" s="23">
        <f>IF(OR(G418="",I418=""),"",G418*I418)</f>
        <v/>
      </c>
      <c r="K418" s="35" t="n"/>
    </row>
    <row r="419">
      <c r="A419" s="41" t="n"/>
      <c r="B419" s="34" t="n"/>
      <c r="C419" s="34" t="n"/>
      <c r="D419" s="35" t="n"/>
      <c r="E419" s="22">
        <f>IF(D419="","",IFERROR(VLOOKUP(D419,Config!$F$6:$H$25,3,0),"Categoria inválida"))</f>
        <v/>
      </c>
      <c r="F419" s="35" t="n"/>
      <c r="G419" s="39" t="n"/>
      <c r="H419" s="37" t="n"/>
      <c r="I419" s="36" t="n"/>
      <c r="J419" s="23">
        <f>IF(OR(G419="",I419=""),"",G419*I419)</f>
        <v/>
      </c>
      <c r="K419" s="35" t="n"/>
    </row>
    <row r="420">
      <c r="A420" s="41" t="n"/>
      <c r="B420" s="34" t="n"/>
      <c r="C420" s="34" t="n"/>
      <c r="D420" s="35" t="n"/>
      <c r="E420" s="22">
        <f>IF(D420="","",IFERROR(VLOOKUP(D420,Config!$F$6:$H$25,3,0),"Categoria inválida"))</f>
        <v/>
      </c>
      <c r="F420" s="35" t="n"/>
      <c r="G420" s="39" t="n"/>
      <c r="H420" s="37" t="n"/>
      <c r="I420" s="36" t="n"/>
      <c r="J420" s="23">
        <f>IF(OR(G420="",I420=""),"",G420*I420)</f>
        <v/>
      </c>
      <c r="K420" s="35" t="n"/>
    </row>
    <row r="421">
      <c r="A421" s="41" t="n"/>
      <c r="B421" s="34" t="n"/>
      <c r="C421" s="34" t="n"/>
      <c r="D421" s="35" t="n"/>
      <c r="E421" s="22">
        <f>IF(D421="","",IFERROR(VLOOKUP(D421,Config!$F$6:$H$25,3,0),"Categoria inválida"))</f>
        <v/>
      </c>
      <c r="F421" s="35" t="n"/>
      <c r="G421" s="39" t="n"/>
      <c r="H421" s="37" t="n"/>
      <c r="I421" s="36" t="n"/>
      <c r="J421" s="23">
        <f>IF(OR(G421="",I421=""),"",G421*I421)</f>
        <v/>
      </c>
      <c r="K421" s="35" t="n"/>
    </row>
    <row r="422">
      <c r="A422" s="41" t="n"/>
      <c r="B422" s="34" t="n"/>
      <c r="C422" s="34" t="n"/>
      <c r="D422" s="35" t="n"/>
      <c r="E422" s="22">
        <f>IF(D422="","",IFERROR(VLOOKUP(D422,Config!$F$6:$H$25,3,0),"Categoria inválida"))</f>
        <v/>
      </c>
      <c r="F422" s="35" t="n"/>
      <c r="G422" s="39" t="n"/>
      <c r="H422" s="37" t="n"/>
      <c r="I422" s="36" t="n"/>
      <c r="J422" s="23">
        <f>IF(OR(G422="",I422=""),"",G422*I422)</f>
        <v/>
      </c>
      <c r="K422" s="35" t="n"/>
    </row>
    <row r="423">
      <c r="A423" s="41" t="n"/>
      <c r="B423" s="34" t="n"/>
      <c r="C423" s="34" t="n"/>
      <c r="D423" s="35" t="n"/>
      <c r="E423" s="22">
        <f>IF(D423="","",IFERROR(VLOOKUP(D423,Config!$F$6:$H$25,3,0),"Categoria inválida"))</f>
        <v/>
      </c>
      <c r="F423" s="35" t="n"/>
      <c r="G423" s="39" t="n"/>
      <c r="H423" s="37" t="n"/>
      <c r="I423" s="36" t="n"/>
      <c r="J423" s="23">
        <f>IF(OR(G423="",I423=""),"",G423*I423)</f>
        <v/>
      </c>
      <c r="K423" s="35" t="n"/>
    </row>
    <row r="424">
      <c r="A424" s="41" t="n"/>
      <c r="B424" s="34" t="n"/>
      <c r="C424" s="34" t="n"/>
      <c r="D424" s="35" t="n"/>
      <c r="E424" s="22">
        <f>IF(D424="","",IFERROR(VLOOKUP(D424,Config!$F$6:$H$25,3,0),"Categoria inválida"))</f>
        <v/>
      </c>
      <c r="F424" s="35" t="n"/>
      <c r="G424" s="39" t="n"/>
      <c r="H424" s="37" t="n"/>
      <c r="I424" s="36" t="n"/>
      <c r="J424" s="23">
        <f>IF(OR(G424="",I424=""),"",G424*I424)</f>
        <v/>
      </c>
      <c r="K424" s="35" t="n"/>
    </row>
    <row r="425">
      <c r="A425" s="41" t="n"/>
      <c r="B425" s="34" t="n"/>
      <c r="C425" s="34" t="n"/>
      <c r="D425" s="35" t="n"/>
      <c r="E425" s="22">
        <f>IF(D425="","",IFERROR(VLOOKUP(D425,Config!$F$6:$H$25,3,0),"Categoria inválida"))</f>
        <v/>
      </c>
      <c r="F425" s="35" t="n"/>
      <c r="G425" s="39" t="n"/>
      <c r="H425" s="37" t="n"/>
      <c r="I425" s="36" t="n"/>
      <c r="J425" s="23">
        <f>IF(OR(G425="",I425=""),"",G425*I425)</f>
        <v/>
      </c>
      <c r="K425" s="35" t="n"/>
    </row>
    <row r="426">
      <c r="A426" s="41" t="n"/>
      <c r="B426" s="34" t="n"/>
      <c r="C426" s="34" t="n"/>
      <c r="D426" s="35" t="n"/>
      <c r="E426" s="22">
        <f>IF(D426="","",IFERROR(VLOOKUP(D426,Config!$F$6:$H$25,3,0),"Categoria inválida"))</f>
        <v/>
      </c>
      <c r="F426" s="35" t="n"/>
      <c r="G426" s="39" t="n"/>
      <c r="H426" s="37" t="n"/>
      <c r="I426" s="36" t="n"/>
      <c r="J426" s="23">
        <f>IF(OR(G426="",I426=""),"",G426*I426)</f>
        <v/>
      </c>
      <c r="K426" s="35" t="n"/>
    </row>
    <row r="427">
      <c r="A427" s="41" t="n"/>
      <c r="B427" s="34" t="n"/>
      <c r="C427" s="34" t="n"/>
      <c r="D427" s="35" t="n"/>
      <c r="E427" s="22">
        <f>IF(D427="","",IFERROR(VLOOKUP(D427,Config!$F$6:$H$25,3,0),"Categoria inválida"))</f>
        <v/>
      </c>
      <c r="F427" s="35" t="n"/>
      <c r="G427" s="39" t="n"/>
      <c r="H427" s="37" t="n"/>
      <c r="I427" s="36" t="n"/>
      <c r="J427" s="23">
        <f>IF(OR(G427="",I427=""),"",G427*I427)</f>
        <v/>
      </c>
      <c r="K427" s="35" t="n"/>
    </row>
    <row r="428">
      <c r="A428" s="41" t="n"/>
      <c r="B428" s="34" t="n"/>
      <c r="C428" s="34" t="n"/>
      <c r="D428" s="35" t="n"/>
      <c r="E428" s="22">
        <f>IF(D428="","",IFERROR(VLOOKUP(D428,Config!$F$6:$H$25,3,0),"Categoria inválida"))</f>
        <v/>
      </c>
      <c r="F428" s="35" t="n"/>
      <c r="G428" s="39" t="n"/>
      <c r="H428" s="37" t="n"/>
      <c r="I428" s="36" t="n"/>
      <c r="J428" s="23">
        <f>IF(OR(G428="",I428=""),"",G428*I428)</f>
        <v/>
      </c>
      <c r="K428" s="35" t="n"/>
    </row>
    <row r="429">
      <c r="A429" s="41" t="n"/>
      <c r="B429" s="34" t="n"/>
      <c r="C429" s="34" t="n"/>
      <c r="D429" s="35" t="n"/>
      <c r="E429" s="22">
        <f>IF(D429="","",IFERROR(VLOOKUP(D429,Config!$F$6:$H$25,3,0),"Categoria inválida"))</f>
        <v/>
      </c>
      <c r="F429" s="35" t="n"/>
      <c r="G429" s="39" t="n"/>
      <c r="H429" s="37" t="n"/>
      <c r="I429" s="36" t="n"/>
      <c r="J429" s="23">
        <f>IF(OR(G429="",I429=""),"",G429*I429)</f>
        <v/>
      </c>
      <c r="K429" s="35" t="n"/>
    </row>
    <row r="430">
      <c r="A430" s="41" t="n"/>
      <c r="B430" s="34" t="n"/>
      <c r="C430" s="34" t="n"/>
      <c r="D430" s="35" t="n"/>
      <c r="E430" s="22">
        <f>IF(D430="","",IFERROR(VLOOKUP(D430,Config!$F$6:$H$25,3,0),"Categoria inválida"))</f>
        <v/>
      </c>
      <c r="F430" s="35" t="n"/>
      <c r="G430" s="39" t="n"/>
      <c r="H430" s="37" t="n"/>
      <c r="I430" s="36" t="n"/>
      <c r="J430" s="23">
        <f>IF(OR(G430="",I430=""),"",G430*I430)</f>
        <v/>
      </c>
      <c r="K430" s="35" t="n"/>
    </row>
    <row r="431">
      <c r="A431" s="41" t="n"/>
      <c r="B431" s="34" t="n"/>
      <c r="C431" s="34" t="n"/>
      <c r="D431" s="35" t="n"/>
      <c r="E431" s="22">
        <f>IF(D431="","",IFERROR(VLOOKUP(D431,Config!$F$6:$H$25,3,0),"Categoria inválida"))</f>
        <v/>
      </c>
      <c r="F431" s="35" t="n"/>
      <c r="G431" s="39" t="n"/>
      <c r="H431" s="37" t="n"/>
      <c r="I431" s="36" t="n"/>
      <c r="J431" s="23">
        <f>IF(OR(G431="",I431=""),"",G431*I431)</f>
        <v/>
      </c>
      <c r="K431" s="35" t="n"/>
    </row>
    <row r="432">
      <c r="A432" s="41" t="n"/>
      <c r="B432" s="34" t="n"/>
      <c r="C432" s="34" t="n"/>
      <c r="D432" s="35" t="n"/>
      <c r="E432" s="22">
        <f>IF(D432="","",IFERROR(VLOOKUP(D432,Config!$F$6:$H$25,3,0),"Categoria inválida"))</f>
        <v/>
      </c>
      <c r="F432" s="35" t="n"/>
      <c r="G432" s="39" t="n"/>
      <c r="H432" s="37" t="n"/>
      <c r="I432" s="36" t="n"/>
      <c r="J432" s="23">
        <f>IF(OR(G432="",I432=""),"",G432*I432)</f>
        <v/>
      </c>
      <c r="K432" s="35" t="n"/>
    </row>
    <row r="433">
      <c r="A433" s="41" t="n"/>
      <c r="B433" s="34" t="n"/>
      <c r="C433" s="34" t="n"/>
      <c r="D433" s="35" t="n"/>
      <c r="E433" s="22">
        <f>IF(D433="","",IFERROR(VLOOKUP(D433,Config!$F$6:$H$25,3,0),"Categoria inválida"))</f>
        <v/>
      </c>
      <c r="F433" s="35" t="n"/>
      <c r="G433" s="39" t="n"/>
      <c r="H433" s="37" t="n"/>
      <c r="I433" s="36" t="n"/>
      <c r="J433" s="23">
        <f>IF(OR(G433="",I433=""),"",G433*I433)</f>
        <v/>
      </c>
      <c r="K433" s="35" t="n"/>
    </row>
    <row r="434">
      <c r="A434" s="41" t="n"/>
      <c r="B434" s="34" t="n"/>
      <c r="C434" s="34" t="n"/>
      <c r="D434" s="35" t="n"/>
      <c r="E434" s="22">
        <f>IF(D434="","",IFERROR(VLOOKUP(D434,Config!$F$6:$H$25,3,0),"Categoria inválida"))</f>
        <v/>
      </c>
      <c r="F434" s="35" t="n"/>
      <c r="G434" s="39" t="n"/>
      <c r="H434" s="37" t="n"/>
      <c r="I434" s="36" t="n"/>
      <c r="J434" s="23">
        <f>IF(OR(G434="",I434=""),"",G434*I434)</f>
        <v/>
      </c>
      <c r="K434" s="35" t="n"/>
    </row>
    <row r="435">
      <c r="A435" s="41" t="n"/>
      <c r="B435" s="34" t="n"/>
      <c r="C435" s="34" t="n"/>
      <c r="D435" s="35" t="n"/>
      <c r="E435" s="22">
        <f>IF(D435="","",IFERROR(VLOOKUP(D435,Config!$F$6:$H$25,3,0),"Categoria inválida"))</f>
        <v/>
      </c>
      <c r="F435" s="35" t="n"/>
      <c r="G435" s="39" t="n"/>
      <c r="H435" s="37" t="n"/>
      <c r="I435" s="36" t="n"/>
      <c r="J435" s="23">
        <f>IF(OR(G435="",I435=""),"",G435*I435)</f>
        <v/>
      </c>
      <c r="K435" s="35" t="n"/>
    </row>
    <row r="436">
      <c r="A436" s="41" t="n"/>
      <c r="B436" s="34" t="n"/>
      <c r="C436" s="34" t="n"/>
      <c r="D436" s="35" t="n"/>
      <c r="E436" s="22">
        <f>IF(D436="","",IFERROR(VLOOKUP(D436,Config!$F$6:$H$25,3,0),"Categoria inválida"))</f>
        <v/>
      </c>
      <c r="F436" s="35" t="n"/>
      <c r="G436" s="39" t="n"/>
      <c r="H436" s="37" t="n"/>
      <c r="I436" s="36" t="n"/>
      <c r="J436" s="23">
        <f>IF(OR(G436="",I436=""),"",G436*I436)</f>
        <v/>
      </c>
      <c r="K436" s="35" t="n"/>
    </row>
    <row r="437">
      <c r="A437" s="41" t="n"/>
      <c r="B437" s="34" t="n"/>
      <c r="C437" s="34" t="n"/>
      <c r="D437" s="35" t="n"/>
      <c r="E437" s="22">
        <f>IF(D437="","",IFERROR(VLOOKUP(D437,Config!$F$6:$H$25,3,0),"Categoria inválida"))</f>
        <v/>
      </c>
      <c r="F437" s="35" t="n"/>
      <c r="G437" s="39" t="n"/>
      <c r="H437" s="37" t="n"/>
      <c r="I437" s="36" t="n"/>
      <c r="J437" s="23">
        <f>IF(OR(G437="",I437=""),"",G437*I437)</f>
        <v/>
      </c>
      <c r="K437" s="35" t="n"/>
    </row>
    <row r="438">
      <c r="A438" s="41" t="n"/>
      <c r="B438" s="34" t="n"/>
      <c r="C438" s="34" t="n"/>
      <c r="D438" s="35" t="n"/>
      <c r="E438" s="22">
        <f>IF(D438="","",IFERROR(VLOOKUP(D438,Config!$F$6:$H$25,3,0),"Categoria inválida"))</f>
        <v/>
      </c>
      <c r="F438" s="35" t="n"/>
      <c r="G438" s="39" t="n"/>
      <c r="H438" s="37" t="n"/>
      <c r="I438" s="36" t="n"/>
      <c r="J438" s="23">
        <f>IF(OR(G438="",I438=""),"",G438*I438)</f>
        <v/>
      </c>
      <c r="K438" s="35" t="n"/>
    </row>
    <row r="439">
      <c r="A439" s="41" t="n"/>
      <c r="B439" s="34" t="n"/>
      <c r="C439" s="34" t="n"/>
      <c r="D439" s="35" t="n"/>
      <c r="E439" s="22">
        <f>IF(D439="","",IFERROR(VLOOKUP(D439,Config!$F$6:$H$25,3,0),"Categoria inválida"))</f>
        <v/>
      </c>
      <c r="F439" s="35" t="n"/>
      <c r="G439" s="39" t="n"/>
      <c r="H439" s="37" t="n"/>
      <c r="I439" s="36" t="n"/>
      <c r="J439" s="23">
        <f>IF(OR(G439="",I439=""),"",G439*I439)</f>
        <v/>
      </c>
      <c r="K439" s="35" t="n"/>
    </row>
    <row r="440">
      <c r="A440" s="41" t="n"/>
      <c r="B440" s="34" t="n"/>
      <c r="C440" s="34" t="n"/>
      <c r="D440" s="35" t="n"/>
      <c r="E440" s="22">
        <f>IF(D440="","",IFERROR(VLOOKUP(D440,Config!$F$6:$H$25,3,0),"Categoria inválida"))</f>
        <v/>
      </c>
      <c r="F440" s="35" t="n"/>
      <c r="G440" s="39" t="n"/>
      <c r="H440" s="37" t="n"/>
      <c r="I440" s="36" t="n"/>
      <c r="J440" s="23">
        <f>IF(OR(G440="",I440=""),"",G440*I440)</f>
        <v/>
      </c>
      <c r="K440" s="35" t="n"/>
    </row>
    <row r="441">
      <c r="A441" s="41" t="n"/>
      <c r="B441" s="34" t="n"/>
      <c r="C441" s="34" t="n"/>
      <c r="D441" s="35" t="n"/>
      <c r="E441" s="22">
        <f>IF(D441="","",IFERROR(VLOOKUP(D441,Config!$F$6:$H$25,3,0),"Categoria inválida"))</f>
        <v/>
      </c>
      <c r="F441" s="35" t="n"/>
      <c r="G441" s="39" t="n"/>
      <c r="H441" s="37" t="n"/>
      <c r="I441" s="36" t="n"/>
      <c r="J441" s="23">
        <f>IF(OR(G441="",I441=""),"",G441*I441)</f>
        <v/>
      </c>
      <c r="K441" s="35" t="n"/>
    </row>
    <row r="442">
      <c r="A442" s="41" t="n"/>
      <c r="B442" s="34" t="n"/>
      <c r="C442" s="34" t="n"/>
      <c r="D442" s="35" t="n"/>
      <c r="E442" s="22">
        <f>IF(D442="","",IFERROR(VLOOKUP(D442,Config!$F$6:$H$25,3,0),"Categoria inválida"))</f>
        <v/>
      </c>
      <c r="F442" s="35" t="n"/>
      <c r="G442" s="39" t="n"/>
      <c r="H442" s="37" t="n"/>
      <c r="I442" s="36" t="n"/>
      <c r="J442" s="23">
        <f>IF(OR(G442="",I442=""),"",G442*I442)</f>
        <v/>
      </c>
      <c r="K442" s="35" t="n"/>
    </row>
    <row r="443">
      <c r="A443" s="41" t="n"/>
      <c r="B443" s="34" t="n"/>
      <c r="C443" s="34" t="n"/>
      <c r="D443" s="35" t="n"/>
      <c r="E443" s="22">
        <f>IF(D443="","",IFERROR(VLOOKUP(D443,Config!$F$6:$H$25,3,0),"Categoria inválida"))</f>
        <v/>
      </c>
      <c r="F443" s="35" t="n"/>
      <c r="G443" s="39" t="n"/>
      <c r="H443" s="37" t="n"/>
      <c r="I443" s="36" t="n"/>
      <c r="J443" s="23">
        <f>IF(OR(G443="",I443=""),"",G443*I443)</f>
        <v/>
      </c>
      <c r="K443" s="35" t="n"/>
    </row>
    <row r="444">
      <c r="A444" s="41" t="n"/>
      <c r="B444" s="34" t="n"/>
      <c r="C444" s="34" t="n"/>
      <c r="D444" s="35" t="n"/>
      <c r="E444" s="22">
        <f>IF(D444="","",IFERROR(VLOOKUP(D444,Config!$F$6:$H$25,3,0),"Categoria inválida"))</f>
        <v/>
      </c>
      <c r="F444" s="35" t="n"/>
      <c r="G444" s="39" t="n"/>
      <c r="H444" s="37" t="n"/>
      <c r="I444" s="36" t="n"/>
      <c r="J444" s="23">
        <f>IF(OR(G444="",I444=""),"",G444*I444)</f>
        <v/>
      </c>
      <c r="K444" s="35" t="n"/>
    </row>
    <row r="445">
      <c r="A445" s="41" t="n"/>
      <c r="B445" s="34" t="n"/>
      <c r="C445" s="34" t="n"/>
      <c r="D445" s="35" t="n"/>
      <c r="E445" s="22">
        <f>IF(D445="","",IFERROR(VLOOKUP(D445,Config!$F$6:$H$25,3,0),"Categoria inválida"))</f>
        <v/>
      </c>
      <c r="F445" s="35" t="n"/>
      <c r="G445" s="39" t="n"/>
      <c r="H445" s="37" t="n"/>
      <c r="I445" s="36" t="n"/>
      <c r="J445" s="23">
        <f>IF(OR(G445="",I445=""),"",G445*I445)</f>
        <v/>
      </c>
      <c r="K445" s="35" t="n"/>
    </row>
    <row r="446">
      <c r="A446" s="41" t="n"/>
      <c r="B446" s="34" t="n"/>
      <c r="C446" s="34" t="n"/>
      <c r="D446" s="35" t="n"/>
      <c r="E446" s="22">
        <f>IF(D446="","",IFERROR(VLOOKUP(D446,Config!$F$6:$H$25,3,0),"Categoria inválida"))</f>
        <v/>
      </c>
      <c r="F446" s="35" t="n"/>
      <c r="G446" s="39" t="n"/>
      <c r="H446" s="37" t="n"/>
      <c r="I446" s="36" t="n"/>
      <c r="J446" s="23">
        <f>IF(OR(G446="",I446=""),"",G446*I446)</f>
        <v/>
      </c>
      <c r="K446" s="35" t="n"/>
    </row>
    <row r="447">
      <c r="A447" s="41" t="n"/>
      <c r="B447" s="34" t="n"/>
      <c r="C447" s="34" t="n"/>
      <c r="D447" s="35" t="n"/>
      <c r="E447" s="22">
        <f>IF(D447="","",IFERROR(VLOOKUP(D447,Config!$F$6:$H$25,3,0),"Categoria inválida"))</f>
        <v/>
      </c>
      <c r="F447" s="35" t="n"/>
      <c r="G447" s="39" t="n"/>
      <c r="H447" s="37" t="n"/>
      <c r="I447" s="36" t="n"/>
      <c r="J447" s="23">
        <f>IF(OR(G447="",I447=""),"",G447*I447)</f>
        <v/>
      </c>
      <c r="K447" s="35" t="n"/>
    </row>
    <row r="448">
      <c r="A448" s="41" t="n"/>
      <c r="B448" s="34" t="n"/>
      <c r="C448" s="34" t="n"/>
      <c r="D448" s="35" t="n"/>
      <c r="E448" s="22">
        <f>IF(D448="","",IFERROR(VLOOKUP(D448,Config!$F$6:$H$25,3,0),"Categoria inválida"))</f>
        <v/>
      </c>
      <c r="F448" s="35" t="n"/>
      <c r="G448" s="39" t="n"/>
      <c r="H448" s="37" t="n"/>
      <c r="I448" s="36" t="n"/>
      <c r="J448" s="23">
        <f>IF(OR(G448="",I448=""),"",G448*I448)</f>
        <v/>
      </c>
      <c r="K448" s="35" t="n"/>
    </row>
    <row r="449">
      <c r="A449" s="41" t="n"/>
      <c r="B449" s="34" t="n"/>
      <c r="C449" s="34" t="n"/>
      <c r="D449" s="35" t="n"/>
      <c r="E449" s="22">
        <f>IF(D449="","",IFERROR(VLOOKUP(D449,Config!$F$6:$H$25,3,0),"Categoria inválida"))</f>
        <v/>
      </c>
      <c r="F449" s="35" t="n"/>
      <c r="G449" s="39" t="n"/>
      <c r="H449" s="37" t="n"/>
      <c r="I449" s="36" t="n"/>
      <c r="J449" s="23">
        <f>IF(OR(G449="",I449=""),"",G449*I449)</f>
        <v/>
      </c>
      <c r="K449" s="35" t="n"/>
    </row>
    <row r="450">
      <c r="A450" s="41" t="n"/>
      <c r="B450" s="34" t="n"/>
      <c r="C450" s="34" t="n"/>
      <c r="D450" s="35" t="n"/>
      <c r="E450" s="22">
        <f>IF(D450="","",IFERROR(VLOOKUP(D450,Config!$F$6:$H$25,3,0),"Categoria inválida"))</f>
        <v/>
      </c>
      <c r="F450" s="35" t="n"/>
      <c r="G450" s="39" t="n"/>
      <c r="H450" s="37" t="n"/>
      <c r="I450" s="36" t="n"/>
      <c r="J450" s="23">
        <f>IF(OR(G450="",I450=""),"",G450*I450)</f>
        <v/>
      </c>
      <c r="K450" s="35" t="n"/>
    </row>
    <row r="451">
      <c r="A451" s="41" t="n"/>
      <c r="B451" s="34" t="n"/>
      <c r="C451" s="34" t="n"/>
      <c r="D451" s="35" t="n"/>
      <c r="E451" s="22">
        <f>IF(D451="","",IFERROR(VLOOKUP(D451,Config!$F$6:$H$25,3,0),"Categoria inválida"))</f>
        <v/>
      </c>
      <c r="F451" s="35" t="n"/>
      <c r="G451" s="39" t="n"/>
      <c r="H451" s="37" t="n"/>
      <c r="I451" s="36" t="n"/>
      <c r="J451" s="23">
        <f>IF(OR(G451="",I451=""),"",G451*I451)</f>
        <v/>
      </c>
      <c r="K451" s="35" t="n"/>
    </row>
    <row r="452">
      <c r="A452" s="41" t="n"/>
      <c r="B452" s="34" t="n"/>
      <c r="C452" s="34" t="n"/>
      <c r="D452" s="35" t="n"/>
      <c r="E452" s="22">
        <f>IF(D452="","",IFERROR(VLOOKUP(D452,Config!$F$6:$H$25,3,0),"Categoria inválida"))</f>
        <v/>
      </c>
      <c r="F452" s="35" t="n"/>
      <c r="G452" s="39" t="n"/>
      <c r="H452" s="37" t="n"/>
      <c r="I452" s="36" t="n"/>
      <c r="J452" s="23">
        <f>IF(OR(G452="",I452=""),"",G452*I452)</f>
        <v/>
      </c>
      <c r="K452" s="35" t="n"/>
    </row>
    <row r="453">
      <c r="A453" s="41" t="n"/>
      <c r="B453" s="34" t="n"/>
      <c r="C453" s="34" t="n"/>
      <c r="D453" s="35" t="n"/>
      <c r="E453" s="22">
        <f>IF(D453="","",IFERROR(VLOOKUP(D453,Config!$F$6:$H$25,3,0),"Categoria inválida"))</f>
        <v/>
      </c>
      <c r="F453" s="35" t="n"/>
      <c r="G453" s="39" t="n"/>
      <c r="H453" s="37" t="n"/>
      <c r="I453" s="36" t="n"/>
      <c r="J453" s="23">
        <f>IF(OR(G453="",I453=""),"",G453*I453)</f>
        <v/>
      </c>
      <c r="K453" s="35" t="n"/>
    </row>
    <row r="454">
      <c r="A454" s="41" t="n"/>
      <c r="B454" s="34" t="n"/>
      <c r="C454" s="34" t="n"/>
      <c r="D454" s="35" t="n"/>
      <c r="E454" s="22">
        <f>IF(D454="","",IFERROR(VLOOKUP(D454,Config!$F$6:$H$25,3,0),"Categoria inválida"))</f>
        <v/>
      </c>
      <c r="F454" s="35" t="n"/>
      <c r="G454" s="39" t="n"/>
      <c r="H454" s="37" t="n"/>
      <c r="I454" s="36" t="n"/>
      <c r="J454" s="23">
        <f>IF(OR(G454="",I454=""),"",G454*I454)</f>
        <v/>
      </c>
      <c r="K454" s="35" t="n"/>
    </row>
    <row r="455">
      <c r="A455" s="41" t="n"/>
      <c r="B455" s="34" t="n"/>
      <c r="C455" s="34" t="n"/>
      <c r="D455" s="35" t="n"/>
      <c r="E455" s="22">
        <f>IF(D455="","",IFERROR(VLOOKUP(D455,Config!$F$6:$H$25,3,0),"Categoria inválida"))</f>
        <v/>
      </c>
      <c r="F455" s="35" t="n"/>
      <c r="G455" s="39" t="n"/>
      <c r="H455" s="37" t="n"/>
      <c r="I455" s="36" t="n"/>
      <c r="J455" s="23">
        <f>IF(OR(G455="",I455=""),"",G455*I455)</f>
        <v/>
      </c>
      <c r="K455" s="35" t="n"/>
    </row>
    <row r="456">
      <c r="A456" s="41" t="n"/>
      <c r="B456" s="34" t="n"/>
      <c r="C456" s="34" t="n"/>
      <c r="D456" s="35" t="n"/>
      <c r="E456" s="22">
        <f>IF(D456="","",IFERROR(VLOOKUP(D456,Config!$F$6:$H$25,3,0),"Categoria inválida"))</f>
        <v/>
      </c>
      <c r="F456" s="35" t="n"/>
      <c r="G456" s="39" t="n"/>
      <c r="H456" s="37" t="n"/>
      <c r="I456" s="36" t="n"/>
      <c r="J456" s="23">
        <f>IF(OR(G456="",I456=""),"",G456*I456)</f>
        <v/>
      </c>
      <c r="K456" s="35" t="n"/>
    </row>
    <row r="457">
      <c r="A457" s="41" t="n"/>
      <c r="B457" s="34" t="n"/>
      <c r="C457" s="34" t="n"/>
      <c r="D457" s="35" t="n"/>
      <c r="E457" s="22">
        <f>IF(D457="","",IFERROR(VLOOKUP(D457,Config!$F$6:$H$25,3,0),"Categoria inválida"))</f>
        <v/>
      </c>
      <c r="F457" s="35" t="n"/>
      <c r="G457" s="39" t="n"/>
      <c r="H457" s="37" t="n"/>
      <c r="I457" s="36" t="n"/>
      <c r="J457" s="23">
        <f>IF(OR(G457="",I457=""),"",G457*I457)</f>
        <v/>
      </c>
      <c r="K457" s="35" t="n"/>
    </row>
    <row r="458">
      <c r="A458" s="41" t="n"/>
      <c r="B458" s="34" t="n"/>
      <c r="C458" s="34" t="n"/>
      <c r="D458" s="35" t="n"/>
      <c r="E458" s="22">
        <f>IF(D458="","",IFERROR(VLOOKUP(D458,Config!$F$6:$H$25,3,0),"Categoria inválida"))</f>
        <v/>
      </c>
      <c r="F458" s="35" t="n"/>
      <c r="G458" s="39" t="n"/>
      <c r="H458" s="37" t="n"/>
      <c r="I458" s="36" t="n"/>
      <c r="J458" s="23">
        <f>IF(OR(G458="",I458=""),"",G458*I458)</f>
        <v/>
      </c>
      <c r="K458" s="35" t="n"/>
    </row>
    <row r="459">
      <c r="A459" s="41" t="n"/>
      <c r="B459" s="34" t="n"/>
      <c r="C459" s="34" t="n"/>
      <c r="D459" s="35" t="n"/>
      <c r="E459" s="22">
        <f>IF(D459="","",IFERROR(VLOOKUP(D459,Config!$F$6:$H$25,3,0),"Categoria inválida"))</f>
        <v/>
      </c>
      <c r="F459" s="35" t="n"/>
      <c r="G459" s="39" t="n"/>
      <c r="H459" s="37" t="n"/>
      <c r="I459" s="36" t="n"/>
      <c r="J459" s="23">
        <f>IF(OR(G459="",I459=""),"",G459*I459)</f>
        <v/>
      </c>
      <c r="K459" s="35" t="n"/>
    </row>
    <row r="460">
      <c r="A460" s="41" t="n"/>
      <c r="B460" s="34" t="n"/>
      <c r="C460" s="34" t="n"/>
      <c r="D460" s="35" t="n"/>
      <c r="E460" s="22">
        <f>IF(D460="","",IFERROR(VLOOKUP(D460,Config!$F$6:$H$25,3,0),"Categoria inválida"))</f>
        <v/>
      </c>
      <c r="F460" s="35" t="n"/>
      <c r="G460" s="39" t="n"/>
      <c r="H460" s="37" t="n"/>
      <c r="I460" s="36" t="n"/>
      <c r="J460" s="23">
        <f>IF(OR(G460="",I460=""),"",G460*I460)</f>
        <v/>
      </c>
      <c r="K460" s="35" t="n"/>
    </row>
    <row r="461">
      <c r="A461" s="41" t="n"/>
      <c r="B461" s="34" t="n"/>
      <c r="C461" s="34" t="n"/>
      <c r="D461" s="35" t="n"/>
      <c r="E461" s="22">
        <f>IF(D461="","",IFERROR(VLOOKUP(D461,Config!$F$6:$H$25,3,0),"Categoria inválida"))</f>
        <v/>
      </c>
      <c r="F461" s="35" t="n"/>
      <c r="G461" s="39" t="n"/>
      <c r="H461" s="37" t="n"/>
      <c r="I461" s="36" t="n"/>
      <c r="J461" s="23">
        <f>IF(OR(G461="",I461=""),"",G461*I461)</f>
        <v/>
      </c>
      <c r="K461" s="35" t="n"/>
    </row>
    <row r="462">
      <c r="A462" s="41" t="n"/>
      <c r="B462" s="34" t="n"/>
      <c r="C462" s="34" t="n"/>
      <c r="D462" s="35" t="n"/>
      <c r="E462" s="22">
        <f>IF(D462="","",IFERROR(VLOOKUP(D462,Config!$F$6:$H$25,3,0),"Categoria inválida"))</f>
        <v/>
      </c>
      <c r="F462" s="35" t="n"/>
      <c r="G462" s="39" t="n"/>
      <c r="H462" s="37" t="n"/>
      <c r="I462" s="36" t="n"/>
      <c r="J462" s="23">
        <f>IF(OR(G462="",I462=""),"",G462*I462)</f>
        <v/>
      </c>
      <c r="K462" s="35" t="n"/>
    </row>
    <row r="463">
      <c r="A463" s="41" t="n"/>
      <c r="B463" s="34" t="n"/>
      <c r="C463" s="34" t="n"/>
      <c r="D463" s="35" t="n"/>
      <c r="E463" s="22">
        <f>IF(D463="","",IFERROR(VLOOKUP(D463,Config!$F$6:$H$25,3,0),"Categoria inválida"))</f>
        <v/>
      </c>
      <c r="F463" s="35" t="n"/>
      <c r="G463" s="39" t="n"/>
      <c r="H463" s="37" t="n"/>
      <c r="I463" s="36" t="n"/>
      <c r="J463" s="23">
        <f>IF(OR(G463="",I463=""),"",G463*I463)</f>
        <v/>
      </c>
      <c r="K463" s="35" t="n"/>
    </row>
    <row r="464">
      <c r="A464" s="41" t="n"/>
      <c r="B464" s="34" t="n"/>
      <c r="C464" s="34" t="n"/>
      <c r="D464" s="35" t="n"/>
      <c r="E464" s="22">
        <f>IF(D464="","",IFERROR(VLOOKUP(D464,Config!$F$6:$H$25,3,0),"Categoria inválida"))</f>
        <v/>
      </c>
      <c r="F464" s="35" t="n"/>
      <c r="G464" s="39" t="n"/>
      <c r="H464" s="37" t="n"/>
      <c r="I464" s="36" t="n"/>
      <c r="J464" s="23">
        <f>IF(OR(G464="",I464=""),"",G464*I464)</f>
        <v/>
      </c>
      <c r="K464" s="35" t="n"/>
    </row>
    <row r="465">
      <c r="A465" s="41" t="n"/>
      <c r="B465" s="34" t="n"/>
      <c r="C465" s="34" t="n"/>
      <c r="D465" s="35" t="n"/>
      <c r="E465" s="22">
        <f>IF(D465="","",IFERROR(VLOOKUP(D465,Config!$F$6:$H$25,3,0),"Categoria inválida"))</f>
        <v/>
      </c>
      <c r="F465" s="35" t="n"/>
      <c r="G465" s="39" t="n"/>
      <c r="H465" s="37" t="n"/>
      <c r="I465" s="36" t="n"/>
      <c r="J465" s="23">
        <f>IF(OR(G465="",I465=""),"",G465*I465)</f>
        <v/>
      </c>
      <c r="K465" s="35" t="n"/>
    </row>
    <row r="466">
      <c r="A466" s="41" t="n"/>
      <c r="B466" s="34" t="n"/>
      <c r="C466" s="34" t="n"/>
      <c r="D466" s="35" t="n"/>
      <c r="E466" s="22">
        <f>IF(D466="","",IFERROR(VLOOKUP(D466,Config!$F$6:$H$25,3,0),"Categoria inválida"))</f>
        <v/>
      </c>
      <c r="F466" s="35" t="n"/>
      <c r="G466" s="39" t="n"/>
      <c r="H466" s="37" t="n"/>
      <c r="I466" s="36" t="n"/>
      <c r="J466" s="23">
        <f>IF(OR(G466="",I466=""),"",G466*I466)</f>
        <v/>
      </c>
      <c r="K466" s="35" t="n"/>
    </row>
    <row r="467">
      <c r="A467" s="41" t="n"/>
      <c r="B467" s="34" t="n"/>
      <c r="C467" s="34" t="n"/>
      <c r="D467" s="35" t="n"/>
      <c r="E467" s="22">
        <f>IF(D467="","",IFERROR(VLOOKUP(D467,Config!$F$6:$H$25,3,0),"Categoria inválida"))</f>
        <v/>
      </c>
      <c r="F467" s="35" t="n"/>
      <c r="G467" s="39" t="n"/>
      <c r="H467" s="37" t="n"/>
      <c r="I467" s="36" t="n"/>
      <c r="J467" s="23">
        <f>IF(OR(G467="",I467=""),"",G467*I467)</f>
        <v/>
      </c>
      <c r="K467" s="35" t="n"/>
    </row>
    <row r="468">
      <c r="A468" s="41" t="n"/>
      <c r="B468" s="34" t="n"/>
      <c r="C468" s="34" t="n"/>
      <c r="D468" s="35" t="n"/>
      <c r="E468" s="22">
        <f>IF(D468="","",IFERROR(VLOOKUP(D468,Config!$F$6:$H$25,3,0),"Categoria inválida"))</f>
        <v/>
      </c>
      <c r="F468" s="35" t="n"/>
      <c r="G468" s="39" t="n"/>
      <c r="H468" s="37" t="n"/>
      <c r="I468" s="36" t="n"/>
      <c r="J468" s="23">
        <f>IF(OR(G468="",I468=""),"",G468*I468)</f>
        <v/>
      </c>
      <c r="K468" s="35" t="n"/>
    </row>
    <row r="469">
      <c r="A469" s="41" t="n"/>
      <c r="B469" s="34" t="n"/>
      <c r="C469" s="34" t="n"/>
      <c r="D469" s="35" t="n"/>
      <c r="E469" s="22">
        <f>IF(D469="","",IFERROR(VLOOKUP(D469,Config!$F$6:$H$25,3,0),"Categoria inválida"))</f>
        <v/>
      </c>
      <c r="F469" s="35" t="n"/>
      <c r="G469" s="39" t="n"/>
      <c r="H469" s="37" t="n"/>
      <c r="I469" s="36" t="n"/>
      <c r="J469" s="23">
        <f>IF(OR(G469="",I469=""),"",G469*I469)</f>
        <v/>
      </c>
      <c r="K469" s="35" t="n"/>
    </row>
    <row r="470">
      <c r="A470" s="41" t="n"/>
      <c r="B470" s="34" t="n"/>
      <c r="C470" s="34" t="n"/>
      <c r="D470" s="35" t="n"/>
      <c r="E470" s="22">
        <f>IF(D470="","",IFERROR(VLOOKUP(D470,Config!$F$6:$H$25,3,0),"Categoria inválida"))</f>
        <v/>
      </c>
      <c r="F470" s="35" t="n"/>
      <c r="G470" s="39" t="n"/>
      <c r="H470" s="37" t="n"/>
      <c r="I470" s="36" t="n"/>
      <c r="J470" s="23">
        <f>IF(OR(G470="",I470=""),"",G470*I470)</f>
        <v/>
      </c>
      <c r="K470" s="35" t="n"/>
    </row>
    <row r="471">
      <c r="A471" s="41" t="n"/>
      <c r="B471" s="34" t="n"/>
      <c r="C471" s="34" t="n"/>
      <c r="D471" s="35" t="n"/>
      <c r="E471" s="22">
        <f>IF(D471="","",IFERROR(VLOOKUP(D471,Config!$F$6:$H$25,3,0),"Categoria inválida"))</f>
        <v/>
      </c>
      <c r="F471" s="35" t="n"/>
      <c r="G471" s="39" t="n"/>
      <c r="H471" s="37" t="n"/>
      <c r="I471" s="36" t="n"/>
      <c r="J471" s="23">
        <f>IF(OR(G471="",I471=""),"",G471*I471)</f>
        <v/>
      </c>
      <c r="K471" s="35" t="n"/>
    </row>
    <row r="472">
      <c r="A472" s="41" t="n"/>
      <c r="B472" s="34" t="n"/>
      <c r="C472" s="34" t="n"/>
      <c r="D472" s="35" t="n"/>
      <c r="E472" s="22">
        <f>IF(D472="","",IFERROR(VLOOKUP(D472,Config!$F$6:$H$25,3,0),"Categoria inválida"))</f>
        <v/>
      </c>
      <c r="F472" s="35" t="n"/>
      <c r="G472" s="39" t="n"/>
      <c r="H472" s="37" t="n"/>
      <c r="I472" s="36" t="n"/>
      <c r="J472" s="23">
        <f>IF(OR(G472="",I472=""),"",G472*I472)</f>
        <v/>
      </c>
      <c r="K472" s="35" t="n"/>
    </row>
    <row r="473">
      <c r="A473" s="41" t="n"/>
      <c r="B473" s="34" t="n"/>
      <c r="C473" s="34" t="n"/>
      <c r="D473" s="35" t="n"/>
      <c r="E473" s="22">
        <f>IF(D473="","",IFERROR(VLOOKUP(D473,Config!$F$6:$H$25,3,0),"Categoria inválida"))</f>
        <v/>
      </c>
      <c r="F473" s="35" t="n"/>
      <c r="G473" s="39" t="n"/>
      <c r="H473" s="37" t="n"/>
      <c r="I473" s="36" t="n"/>
      <c r="J473" s="23">
        <f>IF(OR(G473="",I473=""),"",G473*I473)</f>
        <v/>
      </c>
      <c r="K473" s="35" t="n"/>
    </row>
    <row r="474">
      <c r="A474" s="41" t="n"/>
      <c r="B474" s="34" t="n"/>
      <c r="C474" s="34" t="n"/>
      <c r="D474" s="35" t="n"/>
      <c r="E474" s="22">
        <f>IF(D474="","",IFERROR(VLOOKUP(D474,Config!$F$6:$H$25,3,0),"Categoria inválida"))</f>
        <v/>
      </c>
      <c r="F474" s="35" t="n"/>
      <c r="G474" s="39" t="n"/>
      <c r="H474" s="37" t="n"/>
      <c r="I474" s="36" t="n"/>
      <c r="J474" s="23">
        <f>IF(OR(G474="",I474=""),"",G474*I474)</f>
        <v/>
      </c>
      <c r="K474" s="35" t="n"/>
    </row>
    <row r="475">
      <c r="A475" s="41" t="n"/>
      <c r="B475" s="34" t="n"/>
      <c r="C475" s="34" t="n"/>
      <c r="D475" s="35" t="n"/>
      <c r="E475" s="22">
        <f>IF(D475="","",IFERROR(VLOOKUP(D475,Config!$F$6:$H$25,3,0),"Categoria inválida"))</f>
        <v/>
      </c>
      <c r="F475" s="35" t="n"/>
      <c r="G475" s="39" t="n"/>
      <c r="H475" s="37" t="n"/>
      <c r="I475" s="36" t="n"/>
      <c r="J475" s="23">
        <f>IF(OR(G475="",I475=""),"",G475*I475)</f>
        <v/>
      </c>
      <c r="K475" s="35" t="n"/>
    </row>
    <row r="476">
      <c r="A476" s="41" t="n"/>
      <c r="B476" s="34" t="n"/>
      <c r="C476" s="34" t="n"/>
      <c r="D476" s="35" t="n"/>
      <c r="E476" s="22">
        <f>IF(D476="","",IFERROR(VLOOKUP(D476,Config!$F$6:$H$25,3,0),"Categoria inválida"))</f>
        <v/>
      </c>
      <c r="F476" s="35" t="n"/>
      <c r="G476" s="39" t="n"/>
      <c r="H476" s="37" t="n"/>
      <c r="I476" s="36" t="n"/>
      <c r="J476" s="23">
        <f>IF(OR(G476="",I476=""),"",G476*I476)</f>
        <v/>
      </c>
      <c r="K476" s="35" t="n"/>
    </row>
    <row r="477">
      <c r="A477" s="41" t="n"/>
      <c r="B477" s="34" t="n"/>
      <c r="C477" s="34" t="n"/>
      <c r="D477" s="35" t="n"/>
      <c r="E477" s="22">
        <f>IF(D477="","",IFERROR(VLOOKUP(D477,Config!$F$6:$H$25,3,0),"Categoria inválida"))</f>
        <v/>
      </c>
      <c r="F477" s="35" t="n"/>
      <c r="G477" s="39" t="n"/>
      <c r="H477" s="37" t="n"/>
      <c r="I477" s="36" t="n"/>
      <c r="J477" s="23">
        <f>IF(OR(G477="",I477=""),"",G477*I477)</f>
        <v/>
      </c>
      <c r="K477" s="35" t="n"/>
    </row>
    <row r="478">
      <c r="A478" s="41" t="n"/>
      <c r="B478" s="34" t="n"/>
      <c r="C478" s="34" t="n"/>
      <c r="D478" s="35" t="n"/>
      <c r="E478" s="22">
        <f>IF(D478="","",IFERROR(VLOOKUP(D478,Config!$F$6:$H$25,3,0),"Categoria inválida"))</f>
        <v/>
      </c>
      <c r="F478" s="35" t="n"/>
      <c r="G478" s="39" t="n"/>
      <c r="H478" s="37" t="n"/>
      <c r="I478" s="36" t="n"/>
      <c r="J478" s="23">
        <f>IF(OR(G478="",I478=""),"",G478*I478)</f>
        <v/>
      </c>
      <c r="K478" s="35" t="n"/>
    </row>
    <row r="479">
      <c r="A479" s="41" t="n"/>
      <c r="B479" s="34" t="n"/>
      <c r="C479" s="34" t="n"/>
      <c r="D479" s="35" t="n"/>
      <c r="E479" s="22">
        <f>IF(D479="","",IFERROR(VLOOKUP(D479,Config!$F$6:$H$25,3,0),"Categoria inválida"))</f>
        <v/>
      </c>
      <c r="F479" s="35" t="n"/>
      <c r="G479" s="39" t="n"/>
      <c r="H479" s="37" t="n"/>
      <c r="I479" s="36" t="n"/>
      <c r="J479" s="23">
        <f>IF(OR(G479="",I479=""),"",G479*I479)</f>
        <v/>
      </c>
      <c r="K479" s="35" t="n"/>
    </row>
    <row r="480">
      <c r="A480" s="41" t="n"/>
      <c r="B480" s="34" t="n"/>
      <c r="C480" s="34" t="n"/>
      <c r="D480" s="35" t="n"/>
      <c r="E480" s="22">
        <f>IF(D480="","",IFERROR(VLOOKUP(D480,Config!$F$6:$H$25,3,0),"Categoria inválida"))</f>
        <v/>
      </c>
      <c r="F480" s="35" t="n"/>
      <c r="G480" s="39" t="n"/>
      <c r="H480" s="37" t="n"/>
      <c r="I480" s="36" t="n"/>
      <c r="J480" s="23">
        <f>IF(OR(G480="",I480=""),"",G480*I480)</f>
        <v/>
      </c>
      <c r="K480" s="35" t="n"/>
    </row>
    <row r="481">
      <c r="A481" s="41" t="n"/>
      <c r="B481" s="34" t="n"/>
      <c r="C481" s="34" t="n"/>
      <c r="D481" s="35" t="n"/>
      <c r="E481" s="22">
        <f>IF(D481="","",IFERROR(VLOOKUP(D481,Config!$F$6:$H$25,3,0),"Categoria inválida"))</f>
        <v/>
      </c>
      <c r="F481" s="35" t="n"/>
      <c r="G481" s="39" t="n"/>
      <c r="H481" s="37" t="n"/>
      <c r="I481" s="36" t="n"/>
      <c r="J481" s="23">
        <f>IF(OR(G481="",I481=""),"",G481*I481)</f>
        <v/>
      </c>
      <c r="K481" s="35" t="n"/>
    </row>
    <row r="482">
      <c r="A482" s="41" t="n"/>
      <c r="B482" s="34" t="n"/>
      <c r="C482" s="34" t="n"/>
      <c r="D482" s="35" t="n"/>
      <c r="E482" s="22">
        <f>IF(D482="","",IFERROR(VLOOKUP(D482,Config!$F$6:$H$25,3,0),"Categoria inválida"))</f>
        <v/>
      </c>
      <c r="F482" s="35" t="n"/>
      <c r="G482" s="39" t="n"/>
      <c r="H482" s="37" t="n"/>
      <c r="I482" s="36" t="n"/>
      <c r="J482" s="23">
        <f>IF(OR(G482="",I482=""),"",G482*I482)</f>
        <v/>
      </c>
      <c r="K482" s="35" t="n"/>
    </row>
    <row r="483">
      <c r="A483" s="41" t="n"/>
      <c r="B483" s="34" t="n"/>
      <c r="C483" s="34" t="n"/>
      <c r="D483" s="35" t="n"/>
      <c r="E483" s="22">
        <f>IF(D483="","",IFERROR(VLOOKUP(D483,Config!$F$6:$H$25,3,0),"Categoria inválida"))</f>
        <v/>
      </c>
      <c r="F483" s="35" t="n"/>
      <c r="G483" s="39" t="n"/>
      <c r="H483" s="37" t="n"/>
      <c r="I483" s="36" t="n"/>
      <c r="J483" s="23">
        <f>IF(OR(G483="",I483=""),"",G483*I483)</f>
        <v/>
      </c>
      <c r="K483" s="35" t="n"/>
    </row>
    <row r="484">
      <c r="A484" s="41" t="n"/>
      <c r="B484" s="34" t="n"/>
      <c r="C484" s="34" t="n"/>
      <c r="D484" s="35" t="n"/>
      <c r="E484" s="22">
        <f>IF(D484="","",IFERROR(VLOOKUP(D484,Config!$F$6:$H$25,3,0),"Categoria inválida"))</f>
        <v/>
      </c>
      <c r="F484" s="35" t="n"/>
      <c r="G484" s="39" t="n"/>
      <c r="H484" s="37" t="n"/>
      <c r="I484" s="36" t="n"/>
      <c r="J484" s="23">
        <f>IF(OR(G484="",I484=""),"",G484*I484)</f>
        <v/>
      </c>
      <c r="K484" s="35" t="n"/>
    </row>
    <row r="485">
      <c r="A485" s="41" t="n"/>
      <c r="B485" s="34" t="n"/>
      <c r="C485" s="34" t="n"/>
      <c r="D485" s="35" t="n"/>
      <c r="E485" s="22">
        <f>IF(D485="","",IFERROR(VLOOKUP(D485,Config!$F$6:$H$25,3,0),"Categoria inválida"))</f>
        <v/>
      </c>
      <c r="F485" s="35" t="n"/>
      <c r="G485" s="39" t="n"/>
      <c r="H485" s="37" t="n"/>
      <c r="I485" s="36" t="n"/>
      <c r="J485" s="23">
        <f>IF(OR(G485="",I485=""),"",G485*I485)</f>
        <v/>
      </c>
      <c r="K485" s="35" t="n"/>
    </row>
    <row r="486">
      <c r="A486" s="41" t="n"/>
      <c r="B486" s="34" t="n"/>
      <c r="C486" s="34" t="n"/>
      <c r="D486" s="35" t="n"/>
      <c r="E486" s="22">
        <f>IF(D486="","",IFERROR(VLOOKUP(D486,Config!$F$6:$H$25,3,0),"Categoria inválida"))</f>
        <v/>
      </c>
      <c r="F486" s="35" t="n"/>
      <c r="G486" s="39" t="n"/>
      <c r="H486" s="37" t="n"/>
      <c r="I486" s="36" t="n"/>
      <c r="J486" s="23">
        <f>IF(OR(G486="",I486=""),"",G486*I486)</f>
        <v/>
      </c>
      <c r="K486" s="35" t="n"/>
    </row>
    <row r="487">
      <c r="A487" s="41" t="n"/>
      <c r="B487" s="34" t="n"/>
      <c r="C487" s="34" t="n"/>
      <c r="D487" s="35" t="n"/>
      <c r="E487" s="22">
        <f>IF(D487="","",IFERROR(VLOOKUP(D487,Config!$F$6:$H$25,3,0),"Categoria inválida"))</f>
        <v/>
      </c>
      <c r="F487" s="35" t="n"/>
      <c r="G487" s="39" t="n"/>
      <c r="H487" s="37" t="n"/>
      <c r="I487" s="36" t="n"/>
      <c r="J487" s="23">
        <f>IF(OR(G487="",I487=""),"",G487*I487)</f>
        <v/>
      </c>
      <c r="K487" s="35" t="n"/>
    </row>
    <row r="488">
      <c r="A488" s="41" t="n"/>
      <c r="B488" s="34" t="n"/>
      <c r="C488" s="34" t="n"/>
      <c r="D488" s="35" t="n"/>
      <c r="E488" s="22">
        <f>IF(D488="","",IFERROR(VLOOKUP(D488,Config!$F$6:$H$25,3,0),"Categoria inválida"))</f>
        <v/>
      </c>
      <c r="F488" s="35" t="n"/>
      <c r="G488" s="39" t="n"/>
      <c r="H488" s="37" t="n"/>
      <c r="I488" s="36" t="n"/>
      <c r="J488" s="23">
        <f>IF(OR(G488="",I488=""),"",G488*I488)</f>
        <v/>
      </c>
      <c r="K488" s="35" t="n"/>
    </row>
    <row r="489">
      <c r="A489" s="41" t="n"/>
      <c r="B489" s="34" t="n"/>
      <c r="C489" s="34" t="n"/>
      <c r="D489" s="35" t="n"/>
      <c r="E489" s="22">
        <f>IF(D489="","",IFERROR(VLOOKUP(D489,Config!$F$6:$H$25,3,0),"Categoria inválida"))</f>
        <v/>
      </c>
      <c r="F489" s="35" t="n"/>
      <c r="G489" s="39" t="n"/>
      <c r="H489" s="37" t="n"/>
      <c r="I489" s="36" t="n"/>
      <c r="J489" s="23">
        <f>IF(OR(G489="",I489=""),"",G489*I489)</f>
        <v/>
      </c>
      <c r="K489" s="35" t="n"/>
    </row>
    <row r="490">
      <c r="A490" s="41" t="n"/>
      <c r="B490" s="34" t="n"/>
      <c r="C490" s="34" t="n"/>
      <c r="D490" s="35" t="n"/>
      <c r="E490" s="22">
        <f>IF(D490="","",IFERROR(VLOOKUP(D490,Config!$F$6:$H$25,3,0),"Categoria inválida"))</f>
        <v/>
      </c>
      <c r="F490" s="35" t="n"/>
      <c r="G490" s="39" t="n"/>
      <c r="H490" s="37" t="n"/>
      <c r="I490" s="36" t="n"/>
      <c r="J490" s="23">
        <f>IF(OR(G490="",I490=""),"",G490*I490)</f>
        <v/>
      </c>
      <c r="K490" s="35" t="n"/>
    </row>
    <row r="491">
      <c r="A491" s="41" t="n"/>
      <c r="B491" s="34" t="n"/>
      <c r="C491" s="34" t="n"/>
      <c r="D491" s="35" t="n"/>
      <c r="E491" s="22">
        <f>IF(D491="","",IFERROR(VLOOKUP(D491,Config!$F$6:$H$25,3,0),"Categoria inválida"))</f>
        <v/>
      </c>
      <c r="F491" s="35" t="n"/>
      <c r="G491" s="39" t="n"/>
      <c r="H491" s="37" t="n"/>
      <c r="I491" s="36" t="n"/>
      <c r="J491" s="23">
        <f>IF(OR(G491="",I491=""),"",G491*I491)</f>
        <v/>
      </c>
      <c r="K491" s="35" t="n"/>
    </row>
    <row r="492">
      <c r="A492" s="41" t="n"/>
      <c r="B492" s="34" t="n"/>
      <c r="C492" s="34" t="n"/>
      <c r="D492" s="35" t="n"/>
      <c r="E492" s="22">
        <f>IF(D492="","",IFERROR(VLOOKUP(D492,Config!$F$6:$H$25,3,0),"Categoria inválida"))</f>
        <v/>
      </c>
      <c r="F492" s="35" t="n"/>
      <c r="G492" s="39" t="n"/>
      <c r="H492" s="37" t="n"/>
      <c r="I492" s="36" t="n"/>
      <c r="J492" s="23">
        <f>IF(OR(G492="",I492=""),"",G492*I492)</f>
        <v/>
      </c>
      <c r="K492" s="35" t="n"/>
    </row>
    <row r="493">
      <c r="A493" s="41" t="n"/>
      <c r="B493" s="34" t="n"/>
      <c r="C493" s="34" t="n"/>
      <c r="D493" s="35" t="n"/>
      <c r="E493" s="22">
        <f>IF(D493="","",IFERROR(VLOOKUP(D493,Config!$F$6:$H$25,3,0),"Categoria inválida"))</f>
        <v/>
      </c>
      <c r="F493" s="35" t="n"/>
      <c r="G493" s="39" t="n"/>
      <c r="H493" s="37" t="n"/>
      <c r="I493" s="36" t="n"/>
      <c r="J493" s="23">
        <f>IF(OR(G493="",I493=""),"",G493*I493)</f>
        <v/>
      </c>
      <c r="K493" s="35" t="n"/>
    </row>
    <row r="494">
      <c r="A494" s="41" t="n"/>
      <c r="B494" s="34" t="n"/>
      <c r="C494" s="34" t="n"/>
      <c r="D494" s="35" t="n"/>
      <c r="E494" s="22">
        <f>IF(D494="","",IFERROR(VLOOKUP(D494,Config!$F$6:$H$25,3,0),"Categoria inválida"))</f>
        <v/>
      </c>
      <c r="F494" s="35" t="n"/>
      <c r="G494" s="39" t="n"/>
      <c r="H494" s="37" t="n"/>
      <c r="I494" s="36" t="n"/>
      <c r="J494" s="23">
        <f>IF(OR(G494="",I494=""),"",G494*I494)</f>
        <v/>
      </c>
      <c r="K494" s="35" t="n"/>
    </row>
    <row r="495">
      <c r="A495" s="41" t="n"/>
      <c r="B495" s="34" t="n"/>
      <c r="C495" s="34" t="n"/>
      <c r="D495" s="35" t="n"/>
      <c r="E495" s="22">
        <f>IF(D495="","",IFERROR(VLOOKUP(D495,Config!$F$6:$H$25,3,0),"Categoria inválida"))</f>
        <v/>
      </c>
      <c r="F495" s="35" t="n"/>
      <c r="G495" s="39" t="n"/>
      <c r="H495" s="37" t="n"/>
      <c r="I495" s="36" t="n"/>
      <c r="J495" s="23">
        <f>IF(OR(G495="",I495=""),"",G495*I495)</f>
        <v/>
      </c>
      <c r="K495" s="35" t="n"/>
    </row>
    <row r="496">
      <c r="A496" s="41" t="n"/>
      <c r="B496" s="34" t="n"/>
      <c r="C496" s="34" t="n"/>
      <c r="D496" s="35" t="n"/>
      <c r="E496" s="22">
        <f>IF(D496="","",IFERROR(VLOOKUP(D496,Config!$F$6:$H$25,3,0),"Categoria inválida"))</f>
        <v/>
      </c>
      <c r="F496" s="35" t="n"/>
      <c r="G496" s="39" t="n"/>
      <c r="H496" s="37" t="n"/>
      <c r="I496" s="36" t="n"/>
      <c r="J496" s="23">
        <f>IF(OR(G496="",I496=""),"",G496*I496)</f>
        <v/>
      </c>
      <c r="K496" s="35" t="n"/>
    </row>
    <row r="497">
      <c r="A497" s="41" t="n"/>
      <c r="B497" s="34" t="n"/>
      <c r="C497" s="34" t="n"/>
      <c r="D497" s="35" t="n"/>
      <c r="E497" s="22">
        <f>IF(D497="","",IFERROR(VLOOKUP(D497,Config!$F$6:$H$25,3,0),"Categoria inválida"))</f>
        <v/>
      </c>
      <c r="F497" s="35" t="n"/>
      <c r="G497" s="39" t="n"/>
      <c r="H497" s="37" t="n"/>
      <c r="I497" s="36" t="n"/>
      <c r="J497" s="23">
        <f>IF(OR(G497="",I497=""),"",G497*I497)</f>
        <v/>
      </c>
      <c r="K497" s="35" t="n"/>
    </row>
    <row r="498">
      <c r="A498" s="41" t="n"/>
      <c r="B498" s="34" t="n"/>
      <c r="C498" s="34" t="n"/>
      <c r="D498" s="35" t="n"/>
      <c r="E498" s="22">
        <f>IF(D498="","",IFERROR(VLOOKUP(D498,Config!$F$6:$H$25,3,0),"Categoria inválida"))</f>
        <v/>
      </c>
      <c r="F498" s="35" t="n"/>
      <c r="G498" s="39" t="n"/>
      <c r="H498" s="37" t="n"/>
      <c r="I498" s="36" t="n"/>
      <c r="J498" s="23">
        <f>IF(OR(G498="",I498=""),"",G498*I498)</f>
        <v/>
      </c>
      <c r="K498" s="35" t="n"/>
    </row>
    <row r="499">
      <c r="A499" s="41" t="n"/>
      <c r="B499" s="34" t="n"/>
      <c r="C499" s="34" t="n"/>
      <c r="D499" s="35" t="n"/>
      <c r="E499" s="22">
        <f>IF(D499="","",IFERROR(VLOOKUP(D499,Config!$F$6:$H$25,3,0),"Categoria inválida"))</f>
        <v/>
      </c>
      <c r="F499" s="35" t="n"/>
      <c r="G499" s="39" t="n"/>
      <c r="H499" s="37" t="n"/>
      <c r="I499" s="36" t="n"/>
      <c r="J499" s="23">
        <f>IF(OR(G499="",I499=""),"",G499*I499)</f>
        <v/>
      </c>
      <c r="K499" s="35" t="n"/>
    </row>
    <row r="500">
      <c r="A500" s="41" t="n"/>
      <c r="B500" s="34" t="n"/>
      <c r="C500" s="34" t="n"/>
      <c r="D500" s="35" t="n"/>
      <c r="E500" s="22">
        <f>IF(D500="","",IFERROR(VLOOKUP(D500,Config!$F$6:$H$25,3,0),"Categoria inválida"))</f>
        <v/>
      </c>
      <c r="F500" s="35" t="n"/>
      <c r="G500" s="39" t="n"/>
      <c r="H500" s="37" t="n"/>
      <c r="I500" s="36" t="n"/>
      <c r="J500" s="23">
        <f>IF(OR(G500="",I500=""),"",G500*I500)</f>
        <v/>
      </c>
      <c r="K500" s="35" t="n"/>
    </row>
    <row r="501">
      <c r="A501" s="41" t="n"/>
      <c r="B501" s="34" t="n"/>
      <c r="C501" s="34" t="n"/>
      <c r="D501" s="35" t="n"/>
      <c r="E501" s="22">
        <f>IF(D501="","",IFERROR(VLOOKUP(D501,Config!$F$6:$H$25,3,0),"Categoria inválida"))</f>
        <v/>
      </c>
      <c r="F501" s="35" t="n"/>
      <c r="G501" s="39" t="n"/>
      <c r="H501" s="37" t="n"/>
      <c r="I501" s="36" t="n"/>
      <c r="J501" s="23">
        <f>IF(OR(G501="",I501=""),"",G501*I501)</f>
        <v/>
      </c>
      <c r="K501" s="35" t="n"/>
    </row>
    <row r="502">
      <c r="A502" s="41" t="n"/>
      <c r="B502" s="34" t="n"/>
      <c r="C502" s="34" t="n"/>
      <c r="D502" s="35" t="n"/>
      <c r="E502" s="22">
        <f>IF(D502="","",IFERROR(VLOOKUP(D502,Config!$F$6:$H$25,3,0),"Categoria inválida"))</f>
        <v/>
      </c>
      <c r="F502" s="35" t="n"/>
      <c r="G502" s="39" t="n"/>
      <c r="H502" s="37" t="n"/>
      <c r="I502" s="36" t="n"/>
      <c r="J502" s="23">
        <f>IF(OR(G502="",I502=""),"",G502*I502)</f>
        <v/>
      </c>
      <c r="K502" s="35" t="n"/>
    </row>
    <row r="503">
      <c r="A503" s="41" t="n"/>
      <c r="B503" s="34" t="n"/>
      <c r="C503" s="34" t="n"/>
      <c r="D503" s="35" t="n"/>
      <c r="E503" s="22">
        <f>IF(D503="","",IFERROR(VLOOKUP(D503,Config!$F$6:$H$25,3,0),"Categoria inválida"))</f>
        <v/>
      </c>
      <c r="F503" s="35" t="n"/>
      <c r="G503" s="39" t="n"/>
      <c r="H503" s="37" t="n"/>
      <c r="I503" s="36" t="n"/>
      <c r="J503" s="23">
        <f>IF(OR(G503="",I503=""),"",G503*I503)</f>
        <v/>
      </c>
      <c r="K503" s="35" t="n"/>
    </row>
    <row r="504">
      <c r="A504" s="41" t="n"/>
      <c r="B504" s="34" t="n"/>
      <c r="C504" s="34" t="n"/>
      <c r="D504" s="35" t="n"/>
      <c r="E504" s="22">
        <f>IF(D504="","",IFERROR(VLOOKUP(D504,Config!$F$6:$H$25,3,0),"Categoria inválida"))</f>
        <v/>
      </c>
      <c r="F504" s="35" t="n"/>
      <c r="G504" s="39" t="n"/>
      <c r="H504" s="37" t="n"/>
      <c r="I504" s="36" t="n"/>
      <c r="J504" s="23">
        <f>IF(OR(G504="",I504=""),"",G504*I504)</f>
        <v/>
      </c>
      <c r="K504" s="35" t="n"/>
    </row>
    <row r="505">
      <c r="A505" s="41" t="n"/>
      <c r="B505" s="34" t="n"/>
      <c r="C505" s="34" t="n"/>
      <c r="D505" s="35" t="n"/>
      <c r="E505" s="22">
        <f>IF(D505="","",IFERROR(VLOOKUP(D505,Config!$F$6:$H$25,3,0),"Categoria inválida"))</f>
        <v/>
      </c>
      <c r="F505" s="35" t="n"/>
      <c r="G505" s="39" t="n"/>
      <c r="H505" s="37" t="n"/>
      <c r="I505" s="36" t="n"/>
      <c r="J505" s="23">
        <f>IF(OR(G505="",I505=""),"",G505*I505)</f>
        <v/>
      </c>
      <c r="K505" s="35" t="n"/>
    </row>
    <row r="506">
      <c r="A506" s="41" t="n"/>
      <c r="B506" s="34" t="n"/>
      <c r="C506" s="34" t="n"/>
      <c r="D506" s="35" t="n"/>
      <c r="E506" s="22">
        <f>IF(D506="","",IFERROR(VLOOKUP(D506,Config!$F$6:$H$25,3,0),"Categoria inválida"))</f>
        <v/>
      </c>
      <c r="F506" s="35" t="n"/>
      <c r="G506" s="39" t="n"/>
      <c r="H506" s="37" t="n"/>
      <c r="I506" s="36" t="n"/>
      <c r="J506" s="23">
        <f>IF(OR(G506="",I506=""),"",G506*I506)</f>
        <v/>
      </c>
      <c r="K506" s="35" t="n"/>
    </row>
    <row r="507">
      <c r="A507" s="41" t="n"/>
      <c r="B507" s="34" t="n"/>
      <c r="C507" s="34" t="n"/>
      <c r="D507" s="35" t="n"/>
      <c r="E507" s="22">
        <f>IF(D507="","",IFERROR(VLOOKUP(D507,Config!$F$6:$H$25,3,0),"Categoria inválida"))</f>
        <v/>
      </c>
      <c r="F507" s="35" t="n"/>
      <c r="G507" s="39" t="n"/>
      <c r="H507" s="37" t="n"/>
      <c r="I507" s="36" t="n"/>
      <c r="J507" s="23">
        <f>IF(OR(G507="",I507=""),"",G507*I507)</f>
        <v/>
      </c>
      <c r="K507" s="35" t="n"/>
    </row>
    <row r="508">
      <c r="A508" s="41" t="n"/>
      <c r="B508" s="34" t="n"/>
      <c r="C508" s="34" t="n"/>
      <c r="D508" s="35" t="n"/>
      <c r="E508" s="22">
        <f>IF(D508="","",IFERROR(VLOOKUP(D508,Config!$F$6:$H$25,3,0),"Categoria inválida"))</f>
        <v/>
      </c>
      <c r="F508" s="35" t="n"/>
      <c r="G508" s="39" t="n"/>
      <c r="H508" s="37" t="n"/>
      <c r="I508" s="36" t="n"/>
      <c r="J508" s="23">
        <f>IF(OR(G508="",I508=""),"",G508*I508)</f>
        <v/>
      </c>
      <c r="K508" s="35" t="n"/>
    </row>
    <row r="509">
      <c r="A509" s="41" t="n"/>
      <c r="B509" s="34" t="n"/>
      <c r="C509" s="34" t="n"/>
      <c r="D509" s="35" t="n"/>
      <c r="E509" s="22">
        <f>IF(D509="","",IFERROR(VLOOKUP(D509,Config!$F$6:$H$25,3,0),"Categoria inválida"))</f>
        <v/>
      </c>
      <c r="F509" s="35" t="n"/>
      <c r="G509" s="39" t="n"/>
      <c r="H509" s="37" t="n"/>
      <c r="I509" s="36" t="n"/>
      <c r="J509" s="23">
        <f>IF(OR(G509="",I509=""),"",G509*I509)</f>
        <v/>
      </c>
      <c r="K509" s="35" t="n"/>
    </row>
    <row r="510">
      <c r="A510" s="41" t="n"/>
      <c r="B510" s="34" t="n"/>
      <c r="C510" s="34" t="n"/>
      <c r="D510" s="35" t="n"/>
      <c r="E510" s="22">
        <f>IF(D510="","",IFERROR(VLOOKUP(D510,Config!$F$6:$H$25,3,0),"Categoria inválida"))</f>
        <v/>
      </c>
      <c r="F510" s="35" t="n"/>
      <c r="G510" s="39" t="n"/>
      <c r="H510" s="37" t="n"/>
      <c r="I510" s="36" t="n"/>
      <c r="J510" s="23">
        <f>IF(OR(G510="",I510=""),"",G510*I510)</f>
        <v/>
      </c>
      <c r="K510" s="35" t="n"/>
    </row>
    <row r="511">
      <c r="A511" s="41" t="n"/>
      <c r="B511" s="34" t="n"/>
      <c r="C511" s="34" t="n"/>
      <c r="D511" s="35" t="n"/>
      <c r="E511" s="22">
        <f>IF(D511="","",IFERROR(VLOOKUP(D511,Config!$F$6:$H$25,3,0),"Categoria inválida"))</f>
        <v/>
      </c>
      <c r="F511" s="35" t="n"/>
      <c r="G511" s="39" t="n"/>
      <c r="H511" s="37" t="n"/>
      <c r="I511" s="36" t="n"/>
      <c r="J511" s="23">
        <f>IF(OR(G511="",I511=""),"",G511*I511)</f>
        <v/>
      </c>
      <c r="K511" s="35" t="n"/>
    </row>
    <row r="512">
      <c r="A512" s="41" t="n"/>
      <c r="B512" s="34" t="n"/>
      <c r="C512" s="34" t="n"/>
      <c r="D512" s="35" t="n"/>
      <c r="E512" s="22">
        <f>IF(D512="","",IFERROR(VLOOKUP(D512,Config!$F$6:$H$25,3,0),"Categoria inválida"))</f>
        <v/>
      </c>
      <c r="F512" s="35" t="n"/>
      <c r="G512" s="39" t="n"/>
      <c r="H512" s="37" t="n"/>
      <c r="I512" s="36" t="n"/>
      <c r="J512" s="23">
        <f>IF(OR(G512="",I512=""),"",G512*I512)</f>
        <v/>
      </c>
      <c r="K512" s="35" t="n"/>
    </row>
    <row r="513">
      <c r="A513" s="41" t="n"/>
      <c r="B513" s="34" t="n"/>
      <c r="C513" s="34" t="n"/>
      <c r="D513" s="35" t="n"/>
      <c r="E513" s="22">
        <f>IF(D513="","",IFERROR(VLOOKUP(D513,Config!$F$6:$H$25,3,0),"Categoria inválida"))</f>
        <v/>
      </c>
      <c r="F513" s="35" t="n"/>
      <c r="G513" s="39" t="n"/>
      <c r="H513" s="37" t="n"/>
      <c r="I513" s="36" t="n"/>
      <c r="J513" s="23">
        <f>IF(OR(G513="",I513=""),"",G513*I513)</f>
        <v/>
      </c>
      <c r="K513" s="35" t="n"/>
    </row>
    <row r="514">
      <c r="A514" s="41" t="n"/>
      <c r="B514" s="34" t="n"/>
      <c r="C514" s="34" t="n"/>
      <c r="D514" s="35" t="n"/>
      <c r="E514" s="22">
        <f>IF(D514="","",IFERROR(VLOOKUP(D514,Config!$F$6:$H$25,3,0),"Categoria inválida"))</f>
        <v/>
      </c>
      <c r="F514" s="35" t="n"/>
      <c r="G514" s="39" t="n"/>
      <c r="H514" s="37" t="n"/>
      <c r="I514" s="36" t="n"/>
      <c r="J514" s="23">
        <f>IF(OR(G514="",I514=""),"",G514*I514)</f>
        <v/>
      </c>
      <c r="K514" s="35" t="n"/>
    </row>
    <row r="515">
      <c r="A515" s="41" t="n"/>
      <c r="B515" s="34" t="n"/>
      <c r="C515" s="34" t="n"/>
      <c r="D515" s="35" t="n"/>
      <c r="E515" s="22">
        <f>IF(D515="","",IFERROR(VLOOKUP(D515,Config!$F$6:$H$25,3,0),"Categoria inválida"))</f>
        <v/>
      </c>
      <c r="F515" s="35" t="n"/>
      <c r="G515" s="39" t="n"/>
      <c r="H515" s="37" t="n"/>
      <c r="I515" s="36" t="n"/>
      <c r="J515" s="23">
        <f>IF(OR(G515="",I515=""),"",G515*I515)</f>
        <v/>
      </c>
      <c r="K515" s="35" t="n"/>
    </row>
    <row r="516">
      <c r="A516" s="41" t="n"/>
      <c r="B516" s="34" t="n"/>
      <c r="C516" s="34" t="n"/>
      <c r="D516" s="35" t="n"/>
      <c r="E516" s="22">
        <f>IF(D516="","",IFERROR(VLOOKUP(D516,Config!$F$6:$H$25,3,0),"Categoria inválida"))</f>
        <v/>
      </c>
      <c r="F516" s="35" t="n"/>
      <c r="G516" s="39" t="n"/>
      <c r="H516" s="37" t="n"/>
      <c r="I516" s="36" t="n"/>
      <c r="J516" s="23">
        <f>IF(OR(G516="",I516=""),"",G516*I516)</f>
        <v/>
      </c>
      <c r="K516" s="35" t="n"/>
    </row>
    <row r="517">
      <c r="A517" s="41" t="n"/>
      <c r="B517" s="34" t="n"/>
      <c r="C517" s="34" t="n"/>
      <c r="D517" s="35" t="n"/>
      <c r="E517" s="22">
        <f>IF(D517="","",IFERROR(VLOOKUP(D517,Config!$F$6:$H$25,3,0),"Categoria inválida"))</f>
        <v/>
      </c>
      <c r="F517" s="35" t="n"/>
      <c r="G517" s="39" t="n"/>
      <c r="H517" s="37" t="n"/>
      <c r="I517" s="36" t="n"/>
      <c r="J517" s="23">
        <f>IF(OR(G517="",I517=""),"",G517*I517)</f>
        <v/>
      </c>
      <c r="K517" s="35" t="n"/>
    </row>
    <row r="518">
      <c r="A518" s="41" t="n"/>
      <c r="B518" s="34" t="n"/>
      <c r="C518" s="34" t="n"/>
      <c r="D518" s="35" t="n"/>
      <c r="E518" s="22">
        <f>IF(D518="","",IFERROR(VLOOKUP(D518,Config!$F$6:$H$25,3,0),"Categoria inválida"))</f>
        <v/>
      </c>
      <c r="F518" s="35" t="n"/>
      <c r="G518" s="39" t="n"/>
      <c r="H518" s="37" t="n"/>
      <c r="I518" s="36" t="n"/>
      <c r="J518" s="23">
        <f>IF(OR(G518="",I518=""),"",G518*I518)</f>
        <v/>
      </c>
      <c r="K518" s="35" t="n"/>
    </row>
    <row r="519">
      <c r="A519" s="41" t="n"/>
      <c r="B519" s="34" t="n"/>
      <c r="C519" s="34" t="n"/>
      <c r="D519" s="35" t="n"/>
      <c r="E519" s="22">
        <f>IF(D519="","",IFERROR(VLOOKUP(D519,Config!$F$6:$H$25,3,0),"Categoria inválida"))</f>
        <v/>
      </c>
      <c r="F519" s="35" t="n"/>
      <c r="G519" s="39" t="n"/>
      <c r="H519" s="37" t="n"/>
      <c r="I519" s="36" t="n"/>
      <c r="J519" s="23">
        <f>IF(OR(G519="",I519=""),"",G519*I519)</f>
        <v/>
      </c>
      <c r="K519" s="35" t="n"/>
    </row>
    <row r="520">
      <c r="A520" s="41" t="n"/>
      <c r="B520" s="34" t="n"/>
      <c r="C520" s="34" t="n"/>
      <c r="D520" s="35" t="n"/>
      <c r="E520" s="22">
        <f>IF(D520="","",IFERROR(VLOOKUP(D520,Config!$F$6:$H$25,3,0),"Categoria inválida"))</f>
        <v/>
      </c>
      <c r="F520" s="35" t="n"/>
      <c r="G520" s="39" t="n"/>
      <c r="H520" s="37" t="n"/>
      <c r="I520" s="36" t="n"/>
      <c r="J520" s="23">
        <f>IF(OR(G520="",I520=""),"",G520*I520)</f>
        <v/>
      </c>
      <c r="K520" s="35" t="n"/>
    </row>
    <row r="521">
      <c r="A521" s="41" t="n"/>
      <c r="B521" s="34" t="n"/>
      <c r="C521" s="34" t="n"/>
      <c r="D521" s="35" t="n"/>
      <c r="E521" s="22">
        <f>IF(D521="","",IFERROR(VLOOKUP(D521,Config!$F$6:$H$25,3,0),"Categoria inválida"))</f>
        <v/>
      </c>
      <c r="F521" s="35" t="n"/>
      <c r="G521" s="39" t="n"/>
      <c r="H521" s="37" t="n"/>
      <c r="I521" s="36" t="n"/>
      <c r="J521" s="23">
        <f>IF(OR(G521="",I521=""),"",G521*I521)</f>
        <v/>
      </c>
      <c r="K521" s="35" t="n"/>
    </row>
    <row r="522">
      <c r="A522" s="41" t="n"/>
      <c r="B522" s="34" t="n"/>
      <c r="C522" s="34" t="n"/>
      <c r="D522" s="35" t="n"/>
      <c r="E522" s="22">
        <f>IF(D522="","",IFERROR(VLOOKUP(D522,Config!$F$6:$H$25,3,0),"Categoria inválida"))</f>
        <v/>
      </c>
      <c r="F522" s="35" t="n"/>
      <c r="G522" s="39" t="n"/>
      <c r="H522" s="37" t="n"/>
      <c r="I522" s="36" t="n"/>
      <c r="J522" s="23">
        <f>IF(OR(G522="",I522=""),"",G522*I522)</f>
        <v/>
      </c>
      <c r="K522" s="35" t="n"/>
    </row>
    <row r="523">
      <c r="A523" s="41" t="n"/>
      <c r="B523" s="34" t="n"/>
      <c r="C523" s="34" t="n"/>
      <c r="D523" s="35" t="n"/>
      <c r="E523" s="22">
        <f>IF(D523="","",IFERROR(VLOOKUP(D523,Config!$F$6:$H$25,3,0),"Categoria inválida"))</f>
        <v/>
      </c>
      <c r="F523" s="35" t="n"/>
      <c r="G523" s="39" t="n"/>
      <c r="H523" s="37" t="n"/>
      <c r="I523" s="36" t="n"/>
      <c r="J523" s="23">
        <f>IF(OR(G523="",I523=""),"",G523*I523)</f>
        <v/>
      </c>
      <c r="K523" s="35" t="n"/>
    </row>
    <row r="524">
      <c r="A524" s="41" t="n"/>
      <c r="B524" s="34" t="n"/>
      <c r="C524" s="34" t="n"/>
      <c r="D524" s="35" t="n"/>
      <c r="E524" s="22">
        <f>IF(D524="","",IFERROR(VLOOKUP(D524,Config!$F$6:$H$25,3,0),"Categoria inválida"))</f>
        <v/>
      </c>
      <c r="F524" s="35" t="n"/>
      <c r="G524" s="39" t="n"/>
      <c r="H524" s="37" t="n"/>
      <c r="I524" s="36" t="n"/>
      <c r="J524" s="23">
        <f>IF(OR(G524="",I524=""),"",G524*I524)</f>
        <v/>
      </c>
      <c r="K524" s="35" t="n"/>
    </row>
    <row r="525">
      <c r="A525" s="41" t="n"/>
      <c r="B525" s="34" t="n"/>
      <c r="C525" s="34" t="n"/>
      <c r="D525" s="35" t="n"/>
      <c r="E525" s="22">
        <f>IF(D525="","",IFERROR(VLOOKUP(D525,Config!$F$6:$H$25,3,0),"Categoria inválida"))</f>
        <v/>
      </c>
      <c r="F525" s="35" t="n"/>
      <c r="G525" s="39" t="n"/>
      <c r="H525" s="37" t="n"/>
      <c r="I525" s="36" t="n"/>
      <c r="J525" s="23">
        <f>IF(OR(G525="",I525=""),"",G525*I525)</f>
        <v/>
      </c>
      <c r="K525" s="35" t="n"/>
    </row>
    <row r="526">
      <c r="A526" s="41" t="n"/>
      <c r="B526" s="34" t="n"/>
      <c r="C526" s="34" t="n"/>
      <c r="D526" s="35" t="n"/>
      <c r="E526" s="22">
        <f>IF(D526="","",IFERROR(VLOOKUP(D526,Config!$F$6:$H$25,3,0),"Categoria inválida"))</f>
        <v/>
      </c>
      <c r="F526" s="35" t="n"/>
      <c r="G526" s="39" t="n"/>
      <c r="H526" s="37" t="n"/>
      <c r="I526" s="36" t="n"/>
      <c r="J526" s="23">
        <f>IF(OR(G526="",I526=""),"",G526*I526)</f>
        <v/>
      </c>
      <c r="K526" s="35" t="n"/>
    </row>
    <row r="527">
      <c r="A527" s="41" t="n"/>
      <c r="B527" s="34" t="n"/>
      <c r="C527" s="34" t="n"/>
      <c r="D527" s="35" t="n"/>
      <c r="E527" s="22">
        <f>IF(D527="","",IFERROR(VLOOKUP(D527,Config!$F$6:$H$25,3,0),"Categoria inválida"))</f>
        <v/>
      </c>
      <c r="F527" s="35" t="n"/>
      <c r="G527" s="39" t="n"/>
      <c r="H527" s="37" t="n"/>
      <c r="I527" s="36" t="n"/>
      <c r="J527" s="23">
        <f>IF(OR(G527="",I527=""),"",G527*I527)</f>
        <v/>
      </c>
      <c r="K527" s="35" t="n"/>
    </row>
    <row r="528">
      <c r="A528" s="41" t="n"/>
      <c r="B528" s="34" t="n"/>
      <c r="C528" s="34" t="n"/>
      <c r="D528" s="35" t="n"/>
      <c r="E528" s="22">
        <f>IF(D528="","",IFERROR(VLOOKUP(D528,Config!$F$6:$H$25,3,0),"Categoria inválida"))</f>
        <v/>
      </c>
      <c r="F528" s="35" t="n"/>
      <c r="G528" s="39" t="n"/>
      <c r="H528" s="37" t="n"/>
      <c r="I528" s="36" t="n"/>
      <c r="J528" s="23">
        <f>IF(OR(G528="",I528=""),"",G528*I528)</f>
        <v/>
      </c>
      <c r="K528" s="35" t="n"/>
    </row>
    <row r="529">
      <c r="A529" s="41" t="n"/>
      <c r="B529" s="34" t="n"/>
      <c r="C529" s="34" t="n"/>
      <c r="D529" s="35" t="n"/>
      <c r="E529" s="22">
        <f>IF(D529="","",IFERROR(VLOOKUP(D529,Config!$F$6:$H$25,3,0),"Categoria inválida"))</f>
        <v/>
      </c>
      <c r="F529" s="35" t="n"/>
      <c r="G529" s="39" t="n"/>
      <c r="H529" s="37" t="n"/>
      <c r="I529" s="36" t="n"/>
      <c r="J529" s="23">
        <f>IF(OR(G529="",I529=""),"",G529*I529)</f>
        <v/>
      </c>
      <c r="K529" s="35" t="n"/>
    </row>
    <row r="530">
      <c r="A530" s="41" t="n"/>
      <c r="B530" s="34" t="n"/>
      <c r="C530" s="34" t="n"/>
      <c r="D530" s="35" t="n"/>
      <c r="E530" s="22">
        <f>IF(D530="","",IFERROR(VLOOKUP(D530,Config!$F$6:$H$25,3,0),"Categoria inválida"))</f>
        <v/>
      </c>
      <c r="F530" s="35" t="n"/>
      <c r="G530" s="39" t="n"/>
      <c r="H530" s="37" t="n"/>
      <c r="I530" s="36" t="n"/>
      <c r="J530" s="23">
        <f>IF(OR(G530="",I530=""),"",G530*I530)</f>
        <v/>
      </c>
      <c r="K530" s="35" t="n"/>
    </row>
    <row r="531">
      <c r="A531" s="41" t="n"/>
      <c r="B531" s="34" t="n"/>
      <c r="C531" s="34" t="n"/>
      <c r="D531" s="35" t="n"/>
      <c r="E531" s="22">
        <f>IF(D531="","",IFERROR(VLOOKUP(D531,Config!$F$6:$H$25,3,0),"Categoria inválida"))</f>
        <v/>
      </c>
      <c r="F531" s="35" t="n"/>
      <c r="G531" s="39" t="n"/>
      <c r="H531" s="37" t="n"/>
      <c r="I531" s="36" t="n"/>
      <c r="J531" s="23">
        <f>IF(OR(G531="",I531=""),"",G531*I531)</f>
        <v/>
      </c>
      <c r="K531" s="35" t="n"/>
    </row>
    <row r="532">
      <c r="A532" s="41" t="n"/>
      <c r="B532" s="34" t="n"/>
      <c r="C532" s="34" t="n"/>
      <c r="D532" s="35" t="n"/>
      <c r="E532" s="22">
        <f>IF(D532="","",IFERROR(VLOOKUP(D532,Config!$F$6:$H$25,3,0),"Categoria inválida"))</f>
        <v/>
      </c>
      <c r="F532" s="35" t="n"/>
      <c r="G532" s="39" t="n"/>
      <c r="H532" s="37" t="n"/>
      <c r="I532" s="36" t="n"/>
      <c r="J532" s="23">
        <f>IF(OR(G532="",I532=""),"",G532*I532)</f>
        <v/>
      </c>
      <c r="K532" s="35" t="n"/>
    </row>
    <row r="533">
      <c r="A533" s="41" t="n"/>
      <c r="B533" s="34" t="n"/>
      <c r="C533" s="34" t="n"/>
      <c r="D533" s="35" t="n"/>
      <c r="E533" s="22">
        <f>IF(D533="","",IFERROR(VLOOKUP(D533,Config!$F$6:$H$25,3,0),"Categoria inválida"))</f>
        <v/>
      </c>
      <c r="F533" s="35" t="n"/>
      <c r="G533" s="39" t="n"/>
      <c r="H533" s="37" t="n"/>
      <c r="I533" s="36" t="n"/>
      <c r="J533" s="23">
        <f>IF(OR(G533="",I533=""),"",G533*I533)</f>
        <v/>
      </c>
      <c r="K533" s="35" t="n"/>
    </row>
    <row r="534">
      <c r="A534" s="41" t="n"/>
      <c r="B534" s="34" t="n"/>
      <c r="C534" s="34" t="n"/>
      <c r="D534" s="35" t="n"/>
      <c r="E534" s="22">
        <f>IF(D534="","",IFERROR(VLOOKUP(D534,Config!$F$6:$H$25,3,0),"Categoria inválida"))</f>
        <v/>
      </c>
      <c r="F534" s="35" t="n"/>
      <c r="G534" s="39" t="n"/>
      <c r="H534" s="37" t="n"/>
      <c r="I534" s="36" t="n"/>
      <c r="J534" s="23">
        <f>IF(OR(G534="",I534=""),"",G534*I534)</f>
        <v/>
      </c>
      <c r="K534" s="35" t="n"/>
    </row>
    <row r="535">
      <c r="A535" s="41" t="n"/>
      <c r="B535" s="34" t="n"/>
      <c r="C535" s="34" t="n"/>
      <c r="D535" s="35" t="n"/>
      <c r="E535" s="22">
        <f>IF(D535="","",IFERROR(VLOOKUP(D535,Config!$F$6:$H$25,3,0),"Categoria inválida"))</f>
        <v/>
      </c>
      <c r="F535" s="35" t="n"/>
      <c r="G535" s="39" t="n"/>
      <c r="H535" s="37" t="n"/>
      <c r="I535" s="36" t="n"/>
      <c r="J535" s="23">
        <f>IF(OR(G535="",I535=""),"",G535*I535)</f>
        <v/>
      </c>
      <c r="K535" s="35" t="n"/>
    </row>
    <row r="536">
      <c r="A536" s="41" t="n"/>
      <c r="B536" s="34" t="n"/>
      <c r="C536" s="34" t="n"/>
      <c r="D536" s="35" t="n"/>
      <c r="E536" s="22">
        <f>IF(D536="","",IFERROR(VLOOKUP(D536,Config!$F$6:$H$25,3,0),"Categoria inválida"))</f>
        <v/>
      </c>
      <c r="F536" s="35" t="n"/>
      <c r="G536" s="39" t="n"/>
      <c r="H536" s="37" t="n"/>
      <c r="I536" s="36" t="n"/>
      <c r="J536" s="23">
        <f>IF(OR(G536="",I536=""),"",G536*I536)</f>
        <v/>
      </c>
      <c r="K536" s="35" t="n"/>
    </row>
    <row r="537">
      <c r="A537" s="41" t="n"/>
      <c r="B537" s="34" t="n"/>
      <c r="C537" s="34" t="n"/>
      <c r="D537" s="35" t="n"/>
      <c r="E537" s="22">
        <f>IF(D537="","",IFERROR(VLOOKUP(D537,Config!$F$6:$H$25,3,0),"Categoria inválida"))</f>
        <v/>
      </c>
      <c r="F537" s="35" t="n"/>
      <c r="G537" s="39" t="n"/>
      <c r="H537" s="37" t="n"/>
      <c r="I537" s="36" t="n"/>
      <c r="J537" s="23">
        <f>IF(OR(G537="",I537=""),"",G537*I537)</f>
        <v/>
      </c>
      <c r="K537" s="35" t="n"/>
    </row>
    <row r="538">
      <c r="A538" s="41" t="n"/>
      <c r="B538" s="34" t="n"/>
      <c r="C538" s="34" t="n"/>
      <c r="D538" s="35" t="n"/>
      <c r="E538" s="22">
        <f>IF(D538="","",IFERROR(VLOOKUP(D538,Config!$F$6:$H$25,3,0),"Categoria inválida"))</f>
        <v/>
      </c>
      <c r="F538" s="35" t="n"/>
      <c r="G538" s="39" t="n"/>
      <c r="H538" s="37" t="n"/>
      <c r="I538" s="36" t="n"/>
      <c r="J538" s="23">
        <f>IF(OR(G538="",I538=""),"",G538*I538)</f>
        <v/>
      </c>
      <c r="K538" s="35" t="n"/>
    </row>
    <row r="539">
      <c r="A539" s="41" t="n"/>
      <c r="B539" s="34" t="n"/>
      <c r="C539" s="34" t="n"/>
      <c r="D539" s="35" t="n"/>
      <c r="E539" s="22">
        <f>IF(D539="","",IFERROR(VLOOKUP(D539,Config!$F$6:$H$25,3,0),"Categoria inválida"))</f>
        <v/>
      </c>
      <c r="F539" s="35" t="n"/>
      <c r="G539" s="39" t="n"/>
      <c r="H539" s="37" t="n"/>
      <c r="I539" s="36" t="n"/>
      <c r="J539" s="23">
        <f>IF(OR(G539="",I539=""),"",G539*I539)</f>
        <v/>
      </c>
      <c r="K539" s="35" t="n"/>
    </row>
    <row r="540">
      <c r="A540" s="41" t="n"/>
      <c r="B540" s="34" t="n"/>
      <c r="C540" s="34" t="n"/>
      <c r="D540" s="35" t="n"/>
      <c r="E540" s="22">
        <f>IF(D540="","",IFERROR(VLOOKUP(D540,Config!$F$6:$H$25,3,0),"Categoria inválida"))</f>
        <v/>
      </c>
      <c r="F540" s="35" t="n"/>
      <c r="G540" s="39" t="n"/>
      <c r="H540" s="37" t="n"/>
      <c r="I540" s="36" t="n"/>
      <c r="J540" s="23">
        <f>IF(OR(G540="",I540=""),"",G540*I540)</f>
        <v/>
      </c>
      <c r="K540" s="35" t="n"/>
    </row>
    <row r="541">
      <c r="A541" s="41" t="n"/>
      <c r="B541" s="34" t="n"/>
      <c r="C541" s="34" t="n"/>
      <c r="D541" s="35" t="n"/>
      <c r="E541" s="22">
        <f>IF(D541="","",IFERROR(VLOOKUP(D541,Config!$F$6:$H$25,3,0),"Categoria inválida"))</f>
        <v/>
      </c>
      <c r="F541" s="35" t="n"/>
      <c r="G541" s="39" t="n"/>
      <c r="H541" s="37" t="n"/>
      <c r="I541" s="36" t="n"/>
      <c r="J541" s="23">
        <f>IF(OR(G541="",I541=""),"",G541*I541)</f>
        <v/>
      </c>
      <c r="K541" s="35" t="n"/>
    </row>
    <row r="542">
      <c r="A542" s="41" t="n"/>
      <c r="B542" s="34" t="n"/>
      <c r="C542" s="34" t="n"/>
      <c r="D542" s="35" t="n"/>
      <c r="E542" s="22">
        <f>IF(D542="","",IFERROR(VLOOKUP(D542,Config!$F$6:$H$25,3,0),"Categoria inválida"))</f>
        <v/>
      </c>
      <c r="F542" s="35" t="n"/>
      <c r="G542" s="39" t="n"/>
      <c r="H542" s="37" t="n"/>
      <c r="I542" s="36" t="n"/>
      <c r="J542" s="23">
        <f>IF(OR(G542="",I542=""),"",G542*I542)</f>
        <v/>
      </c>
      <c r="K542" s="35" t="n"/>
    </row>
    <row r="543">
      <c r="A543" s="41" t="n"/>
      <c r="B543" s="34" t="n"/>
      <c r="C543" s="34" t="n"/>
      <c r="D543" s="35" t="n"/>
      <c r="E543" s="22">
        <f>IF(D543="","",IFERROR(VLOOKUP(D543,Config!$F$6:$H$25,3,0),"Categoria inválida"))</f>
        <v/>
      </c>
      <c r="F543" s="35" t="n"/>
      <c r="G543" s="39" t="n"/>
      <c r="H543" s="37" t="n"/>
      <c r="I543" s="36" t="n"/>
      <c r="J543" s="23">
        <f>IF(OR(G543="",I543=""),"",G543*I543)</f>
        <v/>
      </c>
      <c r="K543" s="35" t="n"/>
    </row>
    <row r="544">
      <c r="A544" s="41" t="n"/>
      <c r="B544" s="34" t="n"/>
      <c r="C544" s="34" t="n"/>
      <c r="D544" s="35" t="n"/>
      <c r="E544" s="22">
        <f>IF(D544="","",IFERROR(VLOOKUP(D544,Config!$F$6:$H$25,3,0),"Categoria inválida"))</f>
        <v/>
      </c>
      <c r="F544" s="35" t="n"/>
      <c r="G544" s="39" t="n"/>
      <c r="H544" s="37" t="n"/>
      <c r="I544" s="36" t="n"/>
      <c r="J544" s="23">
        <f>IF(OR(G544="",I544=""),"",G544*I544)</f>
        <v/>
      </c>
      <c r="K544" s="35" t="n"/>
    </row>
    <row r="545">
      <c r="A545" s="41" t="n"/>
      <c r="B545" s="34" t="n"/>
      <c r="C545" s="34" t="n"/>
      <c r="D545" s="35" t="n"/>
      <c r="E545" s="22">
        <f>IF(D545="","",IFERROR(VLOOKUP(D545,Config!$F$6:$H$25,3,0),"Categoria inválida"))</f>
        <v/>
      </c>
      <c r="F545" s="35" t="n"/>
      <c r="G545" s="39" t="n"/>
      <c r="H545" s="37" t="n"/>
      <c r="I545" s="36" t="n"/>
      <c r="J545" s="23">
        <f>IF(OR(G545="",I545=""),"",G545*I545)</f>
        <v/>
      </c>
      <c r="K545" s="35" t="n"/>
    </row>
    <row r="546">
      <c r="A546" s="41" t="n"/>
      <c r="B546" s="34" t="n"/>
      <c r="C546" s="34" t="n"/>
      <c r="D546" s="35" t="n"/>
      <c r="E546" s="22">
        <f>IF(D546="","",IFERROR(VLOOKUP(D546,Config!$F$6:$H$25,3,0),"Categoria inválida"))</f>
        <v/>
      </c>
      <c r="F546" s="35" t="n"/>
      <c r="G546" s="39" t="n"/>
      <c r="H546" s="37" t="n"/>
      <c r="I546" s="36" t="n"/>
      <c r="J546" s="23">
        <f>IF(OR(G546="",I546=""),"",G546*I546)</f>
        <v/>
      </c>
      <c r="K546" s="35" t="n"/>
    </row>
    <row r="547">
      <c r="A547" s="41" t="n"/>
      <c r="B547" s="34" t="n"/>
      <c r="C547" s="34" t="n"/>
      <c r="D547" s="35" t="n"/>
      <c r="E547" s="22">
        <f>IF(D547="","",IFERROR(VLOOKUP(D547,Config!$F$6:$H$25,3,0),"Categoria inválida"))</f>
        <v/>
      </c>
      <c r="F547" s="35" t="n"/>
      <c r="G547" s="39" t="n"/>
      <c r="H547" s="37" t="n"/>
      <c r="I547" s="36" t="n"/>
      <c r="J547" s="23">
        <f>IF(OR(G547="",I547=""),"",G547*I547)</f>
        <v/>
      </c>
      <c r="K547" s="35" t="n"/>
    </row>
    <row r="548">
      <c r="A548" s="41" t="n"/>
      <c r="B548" s="34" t="n"/>
      <c r="C548" s="34" t="n"/>
      <c r="D548" s="35" t="n"/>
      <c r="E548" s="22">
        <f>IF(D548="","",IFERROR(VLOOKUP(D548,Config!$F$6:$H$25,3,0),"Categoria inválida"))</f>
        <v/>
      </c>
      <c r="F548" s="35" t="n"/>
      <c r="G548" s="39" t="n"/>
      <c r="H548" s="37" t="n"/>
      <c r="I548" s="36" t="n"/>
      <c r="J548" s="23">
        <f>IF(OR(G548="",I548=""),"",G548*I548)</f>
        <v/>
      </c>
      <c r="K548" s="35" t="n"/>
    </row>
    <row r="549">
      <c r="A549" s="41" t="n"/>
      <c r="B549" s="34" t="n"/>
      <c r="C549" s="34" t="n"/>
      <c r="D549" s="35" t="n"/>
      <c r="E549" s="22">
        <f>IF(D549="","",IFERROR(VLOOKUP(D549,Config!$F$6:$H$25,3,0),"Categoria inválida"))</f>
        <v/>
      </c>
      <c r="F549" s="35" t="n"/>
      <c r="G549" s="39" t="n"/>
      <c r="H549" s="37" t="n"/>
      <c r="I549" s="36" t="n"/>
      <c r="J549" s="23">
        <f>IF(OR(G549="",I549=""),"",G549*I549)</f>
        <v/>
      </c>
      <c r="K549" s="35" t="n"/>
    </row>
    <row r="550">
      <c r="A550" s="41" t="n"/>
      <c r="B550" s="34" t="n"/>
      <c r="C550" s="34" t="n"/>
      <c r="D550" s="35" t="n"/>
      <c r="E550" s="22">
        <f>IF(D550="","",IFERROR(VLOOKUP(D550,Config!$F$6:$H$25,3,0),"Categoria inválida"))</f>
        <v/>
      </c>
      <c r="F550" s="35" t="n"/>
      <c r="G550" s="39" t="n"/>
      <c r="H550" s="37" t="n"/>
      <c r="I550" s="36" t="n"/>
      <c r="J550" s="23">
        <f>IF(OR(G550="",I550=""),"",G550*I550)</f>
        <v/>
      </c>
      <c r="K550" s="35" t="n"/>
    </row>
    <row r="551">
      <c r="A551" s="41" t="n"/>
      <c r="B551" s="34" t="n"/>
      <c r="C551" s="34" t="n"/>
      <c r="D551" s="35" t="n"/>
      <c r="E551" s="22">
        <f>IF(D551="","",IFERROR(VLOOKUP(D551,Config!$F$6:$H$25,3,0),"Categoria inválida"))</f>
        <v/>
      </c>
      <c r="F551" s="35" t="n"/>
      <c r="G551" s="39" t="n"/>
      <c r="H551" s="37" t="n"/>
      <c r="I551" s="36" t="n"/>
      <c r="J551" s="23">
        <f>IF(OR(G551="",I551=""),"",G551*I551)</f>
        <v/>
      </c>
      <c r="K551" s="35" t="n"/>
    </row>
    <row r="552">
      <c r="A552" s="41" t="n"/>
      <c r="B552" s="34" t="n"/>
      <c r="C552" s="34" t="n"/>
      <c r="D552" s="35" t="n"/>
      <c r="E552" s="22">
        <f>IF(D552="","",IFERROR(VLOOKUP(D552,Config!$F$6:$H$25,3,0),"Categoria inválida"))</f>
        <v/>
      </c>
      <c r="F552" s="35" t="n"/>
      <c r="G552" s="39" t="n"/>
      <c r="H552" s="37" t="n"/>
      <c r="I552" s="36" t="n"/>
      <c r="J552" s="23">
        <f>IF(OR(G552="",I552=""),"",G552*I552)</f>
        <v/>
      </c>
      <c r="K552" s="35" t="n"/>
    </row>
    <row r="553">
      <c r="A553" s="41" t="n"/>
      <c r="B553" s="34" t="n"/>
      <c r="C553" s="34" t="n"/>
      <c r="D553" s="35" t="n"/>
      <c r="E553" s="22">
        <f>IF(D553="","",IFERROR(VLOOKUP(D553,Config!$F$6:$H$25,3,0),"Categoria inválida"))</f>
        <v/>
      </c>
      <c r="F553" s="35" t="n"/>
      <c r="G553" s="39" t="n"/>
      <c r="H553" s="37" t="n"/>
      <c r="I553" s="36" t="n"/>
      <c r="J553" s="23">
        <f>IF(OR(G553="",I553=""),"",G553*I553)</f>
        <v/>
      </c>
      <c r="K553" s="35" t="n"/>
    </row>
    <row r="554">
      <c r="A554" s="41" t="n"/>
      <c r="B554" s="34" t="n"/>
      <c r="C554" s="34" t="n"/>
      <c r="D554" s="35" t="n"/>
      <c r="E554" s="22">
        <f>IF(D554="","",IFERROR(VLOOKUP(D554,Config!$F$6:$H$25,3,0),"Categoria inválida"))</f>
        <v/>
      </c>
      <c r="F554" s="35" t="n"/>
      <c r="G554" s="39" t="n"/>
      <c r="H554" s="37" t="n"/>
      <c r="I554" s="36" t="n"/>
      <c r="J554" s="23">
        <f>IF(OR(G554="",I554=""),"",G554*I554)</f>
        <v/>
      </c>
      <c r="K554" s="35" t="n"/>
    </row>
    <row r="555">
      <c r="A555" s="41" t="n"/>
      <c r="B555" s="34" t="n"/>
      <c r="C555" s="34" t="n"/>
      <c r="D555" s="35" t="n"/>
      <c r="E555" s="22">
        <f>IF(D555="","",IFERROR(VLOOKUP(D555,Config!$F$6:$H$25,3,0),"Categoria inválida"))</f>
        <v/>
      </c>
      <c r="F555" s="35" t="n"/>
      <c r="G555" s="39" t="n"/>
      <c r="H555" s="37" t="n"/>
      <c r="I555" s="36" t="n"/>
      <c r="J555" s="23">
        <f>IF(OR(G555="",I555=""),"",G555*I555)</f>
        <v/>
      </c>
      <c r="K555" s="35" t="n"/>
    </row>
    <row r="556">
      <c r="A556" s="41" t="n"/>
      <c r="B556" s="34" t="n"/>
      <c r="C556" s="34" t="n"/>
      <c r="D556" s="35" t="n"/>
      <c r="E556" s="22">
        <f>IF(D556="","",IFERROR(VLOOKUP(D556,Config!$F$6:$H$25,3,0),"Categoria inválida"))</f>
        <v/>
      </c>
      <c r="F556" s="35" t="n"/>
      <c r="G556" s="39" t="n"/>
      <c r="H556" s="37" t="n"/>
      <c r="I556" s="36" t="n"/>
      <c r="J556" s="23">
        <f>IF(OR(G556="",I556=""),"",G556*I556)</f>
        <v/>
      </c>
      <c r="K556" s="35" t="n"/>
    </row>
    <row r="557">
      <c r="A557" s="41" t="n"/>
      <c r="B557" s="34" t="n"/>
      <c r="C557" s="34" t="n"/>
      <c r="D557" s="35" t="n"/>
      <c r="E557" s="22">
        <f>IF(D557="","",IFERROR(VLOOKUP(D557,Config!$F$6:$H$25,3,0),"Categoria inválida"))</f>
        <v/>
      </c>
      <c r="F557" s="35" t="n"/>
      <c r="G557" s="39" t="n"/>
      <c r="H557" s="37" t="n"/>
      <c r="I557" s="36" t="n"/>
      <c r="J557" s="23">
        <f>IF(OR(G557="",I557=""),"",G557*I557)</f>
        <v/>
      </c>
      <c r="K557" s="35" t="n"/>
    </row>
    <row r="558">
      <c r="A558" s="41" t="n"/>
      <c r="B558" s="34" t="n"/>
      <c r="C558" s="34" t="n"/>
      <c r="D558" s="35" t="n"/>
      <c r="E558" s="22">
        <f>IF(D558="","",IFERROR(VLOOKUP(D558,Config!$F$6:$H$25,3,0),"Categoria inválida"))</f>
        <v/>
      </c>
      <c r="F558" s="35" t="n"/>
      <c r="G558" s="39" t="n"/>
      <c r="H558" s="37" t="n"/>
      <c r="I558" s="36" t="n"/>
      <c r="J558" s="23">
        <f>IF(OR(G558="",I558=""),"",G558*I558)</f>
        <v/>
      </c>
      <c r="K558" s="35" t="n"/>
    </row>
    <row r="559">
      <c r="A559" s="41" t="n"/>
      <c r="B559" s="34" t="n"/>
      <c r="C559" s="34" t="n"/>
      <c r="D559" s="35" t="n"/>
      <c r="E559" s="22">
        <f>IF(D559="","",IFERROR(VLOOKUP(D559,Config!$F$6:$H$25,3,0),"Categoria inválida"))</f>
        <v/>
      </c>
      <c r="F559" s="35" t="n"/>
      <c r="G559" s="39" t="n"/>
      <c r="H559" s="37" t="n"/>
      <c r="I559" s="36" t="n"/>
      <c r="J559" s="23">
        <f>IF(OR(G559="",I559=""),"",G559*I559)</f>
        <v/>
      </c>
      <c r="K559" s="35" t="n"/>
    </row>
    <row r="560">
      <c r="A560" s="41" t="n"/>
      <c r="B560" s="34" t="n"/>
      <c r="C560" s="34" t="n"/>
      <c r="D560" s="35" t="n"/>
      <c r="E560" s="22">
        <f>IF(D560="","",IFERROR(VLOOKUP(D560,Config!$F$6:$H$25,3,0),"Categoria inválida"))</f>
        <v/>
      </c>
      <c r="F560" s="35" t="n"/>
      <c r="G560" s="39" t="n"/>
      <c r="H560" s="37" t="n"/>
      <c r="I560" s="36" t="n"/>
      <c r="J560" s="23">
        <f>IF(OR(G560="",I560=""),"",G560*I560)</f>
        <v/>
      </c>
      <c r="K560" s="35" t="n"/>
    </row>
    <row r="561">
      <c r="A561" s="41" t="n"/>
      <c r="B561" s="34" t="n"/>
      <c r="C561" s="34" t="n"/>
      <c r="D561" s="35" t="n"/>
      <c r="E561" s="22">
        <f>IF(D561="","",IFERROR(VLOOKUP(D561,Config!$F$6:$H$25,3,0),"Categoria inválida"))</f>
        <v/>
      </c>
      <c r="F561" s="35" t="n"/>
      <c r="G561" s="39" t="n"/>
      <c r="H561" s="37" t="n"/>
      <c r="I561" s="36" t="n"/>
      <c r="J561" s="23">
        <f>IF(OR(G561="",I561=""),"",G561*I561)</f>
        <v/>
      </c>
      <c r="K561" s="35" t="n"/>
    </row>
    <row r="562">
      <c r="A562" s="41" t="n"/>
      <c r="B562" s="34" t="n"/>
      <c r="C562" s="34" t="n"/>
      <c r="D562" s="35" t="n"/>
      <c r="E562" s="22">
        <f>IF(D562="","",IFERROR(VLOOKUP(D562,Config!$F$6:$H$25,3,0),"Categoria inválida"))</f>
        <v/>
      </c>
      <c r="F562" s="35" t="n"/>
      <c r="G562" s="39" t="n"/>
      <c r="H562" s="37" t="n"/>
      <c r="I562" s="36" t="n"/>
      <c r="J562" s="23">
        <f>IF(OR(G562="",I562=""),"",G562*I562)</f>
        <v/>
      </c>
      <c r="K562" s="35" t="n"/>
    </row>
    <row r="563">
      <c r="A563" s="41" t="n"/>
      <c r="B563" s="34" t="n"/>
      <c r="C563" s="34" t="n"/>
      <c r="D563" s="35" t="n"/>
      <c r="E563" s="22">
        <f>IF(D563="","",IFERROR(VLOOKUP(D563,Config!$F$6:$H$25,3,0),"Categoria inválida"))</f>
        <v/>
      </c>
      <c r="F563" s="35" t="n"/>
      <c r="G563" s="39" t="n"/>
      <c r="H563" s="37" t="n"/>
      <c r="I563" s="36" t="n"/>
      <c r="J563" s="23">
        <f>IF(OR(G563="",I563=""),"",G563*I563)</f>
        <v/>
      </c>
      <c r="K563" s="35" t="n"/>
    </row>
    <row r="564">
      <c r="A564" s="41" t="n"/>
      <c r="B564" s="34" t="n"/>
      <c r="C564" s="34" t="n"/>
      <c r="D564" s="35" t="n"/>
      <c r="E564" s="22">
        <f>IF(D564="","",IFERROR(VLOOKUP(D564,Config!$F$6:$H$25,3,0),"Categoria inválida"))</f>
        <v/>
      </c>
      <c r="F564" s="35" t="n"/>
      <c r="G564" s="39" t="n"/>
      <c r="H564" s="37" t="n"/>
      <c r="I564" s="36" t="n"/>
      <c r="J564" s="23">
        <f>IF(OR(G564="",I564=""),"",G564*I564)</f>
        <v/>
      </c>
      <c r="K564" s="35" t="n"/>
    </row>
    <row r="565">
      <c r="A565" s="41" t="n"/>
      <c r="B565" s="34" t="n"/>
      <c r="C565" s="34" t="n"/>
      <c r="D565" s="35" t="n"/>
      <c r="E565" s="22">
        <f>IF(D565="","",IFERROR(VLOOKUP(D565,Config!$F$6:$H$25,3,0),"Categoria inválida"))</f>
        <v/>
      </c>
      <c r="F565" s="35" t="n"/>
      <c r="G565" s="39" t="n"/>
      <c r="H565" s="37" t="n"/>
      <c r="I565" s="36" t="n"/>
      <c r="J565" s="23">
        <f>IF(OR(G565="",I565=""),"",G565*I565)</f>
        <v/>
      </c>
      <c r="K565" s="35" t="n"/>
    </row>
    <row r="566">
      <c r="A566" s="41" t="n"/>
      <c r="B566" s="34" t="n"/>
      <c r="C566" s="34" t="n"/>
      <c r="D566" s="35" t="n"/>
      <c r="E566" s="22">
        <f>IF(D566="","",IFERROR(VLOOKUP(D566,Config!$F$6:$H$25,3,0),"Categoria inválida"))</f>
        <v/>
      </c>
      <c r="F566" s="35" t="n"/>
      <c r="G566" s="39" t="n"/>
      <c r="H566" s="37" t="n"/>
      <c r="I566" s="36" t="n"/>
      <c r="J566" s="23">
        <f>IF(OR(G566="",I566=""),"",G566*I566)</f>
        <v/>
      </c>
      <c r="K566" s="35" t="n"/>
    </row>
    <row r="567">
      <c r="A567" s="41" t="n"/>
      <c r="B567" s="34" t="n"/>
      <c r="C567" s="34" t="n"/>
      <c r="D567" s="35" t="n"/>
      <c r="E567" s="22">
        <f>IF(D567="","",IFERROR(VLOOKUP(D567,Config!$F$6:$H$25,3,0),"Categoria inválida"))</f>
        <v/>
      </c>
      <c r="F567" s="35" t="n"/>
      <c r="G567" s="39" t="n"/>
      <c r="H567" s="37" t="n"/>
      <c r="I567" s="36" t="n"/>
      <c r="J567" s="23">
        <f>IF(OR(G567="",I567=""),"",G567*I567)</f>
        <v/>
      </c>
      <c r="K567" s="35" t="n"/>
    </row>
    <row r="568">
      <c r="A568" s="41" t="n"/>
      <c r="B568" s="34" t="n"/>
      <c r="C568" s="34" t="n"/>
      <c r="D568" s="35" t="n"/>
      <c r="E568" s="22">
        <f>IF(D568="","",IFERROR(VLOOKUP(D568,Config!$F$6:$H$25,3,0),"Categoria inválida"))</f>
        <v/>
      </c>
      <c r="F568" s="35" t="n"/>
      <c r="G568" s="39" t="n"/>
      <c r="H568" s="37" t="n"/>
      <c r="I568" s="36" t="n"/>
      <c r="J568" s="23">
        <f>IF(OR(G568="",I568=""),"",G568*I568)</f>
        <v/>
      </c>
      <c r="K568" s="35" t="n"/>
    </row>
    <row r="569">
      <c r="A569" s="41" t="n"/>
      <c r="B569" s="34" t="n"/>
      <c r="C569" s="34" t="n"/>
      <c r="D569" s="35" t="n"/>
      <c r="E569" s="22">
        <f>IF(D569="","",IFERROR(VLOOKUP(D569,Config!$F$6:$H$25,3,0),"Categoria inválida"))</f>
        <v/>
      </c>
      <c r="F569" s="35" t="n"/>
      <c r="G569" s="39" t="n"/>
      <c r="H569" s="37" t="n"/>
      <c r="I569" s="36" t="n"/>
      <c r="J569" s="23">
        <f>IF(OR(G569="",I569=""),"",G569*I569)</f>
        <v/>
      </c>
      <c r="K569" s="35" t="n"/>
    </row>
    <row r="570">
      <c r="A570" s="41" t="n"/>
      <c r="B570" s="34" t="n"/>
      <c r="C570" s="34" t="n"/>
      <c r="D570" s="35" t="n"/>
      <c r="E570" s="22">
        <f>IF(D570="","",IFERROR(VLOOKUP(D570,Config!$F$6:$H$25,3,0),"Categoria inválida"))</f>
        <v/>
      </c>
      <c r="F570" s="35" t="n"/>
      <c r="G570" s="39" t="n"/>
      <c r="H570" s="37" t="n"/>
      <c r="I570" s="36" t="n"/>
      <c r="J570" s="23">
        <f>IF(OR(G570="",I570=""),"",G570*I570)</f>
        <v/>
      </c>
      <c r="K570" s="35" t="n"/>
    </row>
    <row r="571">
      <c r="A571" s="41" t="n"/>
      <c r="B571" s="34" t="n"/>
      <c r="C571" s="34" t="n"/>
      <c r="D571" s="35" t="n"/>
      <c r="E571" s="22">
        <f>IF(D571="","",IFERROR(VLOOKUP(D571,Config!$F$6:$H$25,3,0),"Categoria inválida"))</f>
        <v/>
      </c>
      <c r="F571" s="35" t="n"/>
      <c r="G571" s="39" t="n"/>
      <c r="H571" s="37" t="n"/>
      <c r="I571" s="36" t="n"/>
      <c r="J571" s="23">
        <f>IF(OR(G571="",I571=""),"",G571*I571)</f>
        <v/>
      </c>
      <c r="K571" s="35" t="n"/>
    </row>
    <row r="572">
      <c r="A572" s="41" t="n"/>
      <c r="B572" s="34" t="n"/>
      <c r="C572" s="34" t="n"/>
      <c r="D572" s="35" t="n"/>
      <c r="E572" s="22">
        <f>IF(D572="","",IFERROR(VLOOKUP(D572,Config!$F$6:$H$25,3,0),"Categoria inválida"))</f>
        <v/>
      </c>
      <c r="F572" s="35" t="n"/>
      <c r="G572" s="39" t="n"/>
      <c r="H572" s="37" t="n"/>
      <c r="I572" s="36" t="n"/>
      <c r="J572" s="23">
        <f>IF(OR(G572="",I572=""),"",G572*I572)</f>
        <v/>
      </c>
      <c r="K572" s="35" t="n"/>
    </row>
    <row r="573">
      <c r="A573" s="41" t="n"/>
      <c r="B573" s="34" t="n"/>
      <c r="C573" s="34" t="n"/>
      <c r="D573" s="35" t="n"/>
      <c r="E573" s="22">
        <f>IF(D573="","",IFERROR(VLOOKUP(D573,Config!$F$6:$H$25,3,0),"Categoria inválida"))</f>
        <v/>
      </c>
      <c r="F573" s="35" t="n"/>
      <c r="G573" s="39" t="n"/>
      <c r="H573" s="37" t="n"/>
      <c r="I573" s="36" t="n"/>
      <c r="J573" s="23">
        <f>IF(OR(G573="",I573=""),"",G573*I573)</f>
        <v/>
      </c>
      <c r="K573" s="35" t="n"/>
    </row>
    <row r="574">
      <c r="A574" s="41" t="n"/>
      <c r="B574" s="34" t="n"/>
      <c r="C574" s="34" t="n"/>
      <c r="D574" s="35" t="n"/>
      <c r="E574" s="22">
        <f>IF(D574="","",IFERROR(VLOOKUP(D574,Config!$F$6:$H$25,3,0),"Categoria inválida"))</f>
        <v/>
      </c>
      <c r="F574" s="35" t="n"/>
      <c r="G574" s="39" t="n"/>
      <c r="H574" s="37" t="n"/>
      <c r="I574" s="36" t="n"/>
      <c r="J574" s="23">
        <f>IF(OR(G574="",I574=""),"",G574*I574)</f>
        <v/>
      </c>
      <c r="K574" s="35" t="n"/>
    </row>
    <row r="575">
      <c r="A575" s="41" t="n"/>
      <c r="B575" s="34" t="n"/>
      <c r="C575" s="34" t="n"/>
      <c r="D575" s="35" t="n"/>
      <c r="E575" s="22">
        <f>IF(D575="","",IFERROR(VLOOKUP(D575,Config!$F$6:$H$25,3,0),"Categoria inválida"))</f>
        <v/>
      </c>
      <c r="F575" s="35" t="n"/>
      <c r="G575" s="39" t="n"/>
      <c r="H575" s="37" t="n"/>
      <c r="I575" s="36" t="n"/>
      <c r="J575" s="23">
        <f>IF(OR(G575="",I575=""),"",G575*I575)</f>
        <v/>
      </c>
      <c r="K575" s="35" t="n"/>
    </row>
    <row r="576">
      <c r="A576" s="41" t="n"/>
      <c r="B576" s="34" t="n"/>
      <c r="C576" s="34" t="n"/>
      <c r="D576" s="35" t="n"/>
      <c r="E576" s="22">
        <f>IF(D576="","",IFERROR(VLOOKUP(D576,Config!$F$6:$H$25,3,0),"Categoria inválida"))</f>
        <v/>
      </c>
      <c r="F576" s="35" t="n"/>
      <c r="G576" s="39" t="n"/>
      <c r="H576" s="37" t="n"/>
      <c r="I576" s="36" t="n"/>
      <c r="J576" s="23">
        <f>IF(OR(G576="",I576=""),"",G576*I576)</f>
        <v/>
      </c>
      <c r="K576" s="35" t="n"/>
    </row>
    <row r="577">
      <c r="A577" s="41" t="n"/>
      <c r="B577" s="34" t="n"/>
      <c r="C577" s="34" t="n"/>
      <c r="D577" s="35" t="n"/>
      <c r="E577" s="22">
        <f>IF(D577="","",IFERROR(VLOOKUP(D577,Config!$F$6:$H$25,3,0),"Categoria inválida"))</f>
        <v/>
      </c>
      <c r="F577" s="35" t="n"/>
      <c r="G577" s="39" t="n"/>
      <c r="H577" s="37" t="n"/>
      <c r="I577" s="36" t="n"/>
      <c r="J577" s="23">
        <f>IF(OR(G577="",I577=""),"",G577*I577)</f>
        <v/>
      </c>
      <c r="K577" s="35" t="n"/>
    </row>
    <row r="578">
      <c r="A578" s="41" t="n"/>
      <c r="B578" s="34" t="n"/>
      <c r="C578" s="34" t="n"/>
      <c r="D578" s="35" t="n"/>
      <c r="E578" s="22">
        <f>IF(D578="","",IFERROR(VLOOKUP(D578,Config!$F$6:$H$25,3,0),"Categoria inválida"))</f>
        <v/>
      </c>
      <c r="F578" s="35" t="n"/>
      <c r="G578" s="39" t="n"/>
      <c r="H578" s="37" t="n"/>
      <c r="I578" s="36" t="n"/>
      <c r="J578" s="23">
        <f>IF(OR(G578="",I578=""),"",G578*I578)</f>
        <v/>
      </c>
      <c r="K578" s="35" t="n"/>
    </row>
    <row r="579">
      <c r="A579" s="41" t="n"/>
      <c r="B579" s="34" t="n"/>
      <c r="C579" s="34" t="n"/>
      <c r="D579" s="35" t="n"/>
      <c r="E579" s="22">
        <f>IF(D579="","",IFERROR(VLOOKUP(D579,Config!$F$6:$H$25,3,0),"Categoria inválida"))</f>
        <v/>
      </c>
      <c r="F579" s="35" t="n"/>
      <c r="G579" s="39" t="n"/>
      <c r="H579" s="37" t="n"/>
      <c r="I579" s="36" t="n"/>
      <c r="J579" s="23">
        <f>IF(OR(G579="",I579=""),"",G579*I579)</f>
        <v/>
      </c>
      <c r="K579" s="35" t="n"/>
    </row>
    <row r="580">
      <c r="A580" s="41" t="n"/>
      <c r="B580" s="34" t="n"/>
      <c r="C580" s="34" t="n"/>
      <c r="D580" s="35" t="n"/>
      <c r="E580" s="22">
        <f>IF(D580="","",IFERROR(VLOOKUP(D580,Config!$F$6:$H$25,3,0),"Categoria inválida"))</f>
        <v/>
      </c>
      <c r="F580" s="35" t="n"/>
      <c r="G580" s="39" t="n"/>
      <c r="H580" s="37" t="n"/>
      <c r="I580" s="36" t="n"/>
      <c r="J580" s="23">
        <f>IF(OR(G580="",I580=""),"",G580*I580)</f>
        <v/>
      </c>
      <c r="K580" s="35" t="n"/>
    </row>
    <row r="581">
      <c r="A581" s="41" t="n"/>
      <c r="B581" s="34" t="n"/>
      <c r="C581" s="34" t="n"/>
      <c r="D581" s="35" t="n"/>
      <c r="E581" s="22">
        <f>IF(D581="","",IFERROR(VLOOKUP(D581,Config!$F$6:$H$25,3,0),"Categoria inválida"))</f>
        <v/>
      </c>
      <c r="F581" s="35" t="n"/>
      <c r="G581" s="39" t="n"/>
      <c r="H581" s="37" t="n"/>
      <c r="I581" s="36" t="n"/>
      <c r="J581" s="23">
        <f>IF(OR(G581="",I581=""),"",G581*I581)</f>
        <v/>
      </c>
      <c r="K581" s="35" t="n"/>
    </row>
    <row r="582">
      <c r="A582" s="41" t="n"/>
      <c r="B582" s="34" t="n"/>
      <c r="C582" s="34" t="n"/>
      <c r="D582" s="35" t="n"/>
      <c r="E582" s="22">
        <f>IF(D582="","",IFERROR(VLOOKUP(D582,Config!$F$6:$H$25,3,0),"Categoria inválida"))</f>
        <v/>
      </c>
      <c r="F582" s="35" t="n"/>
      <c r="G582" s="39" t="n"/>
      <c r="H582" s="37" t="n"/>
      <c r="I582" s="36" t="n"/>
      <c r="J582" s="23">
        <f>IF(OR(G582="",I582=""),"",G582*I582)</f>
        <v/>
      </c>
      <c r="K582" s="35" t="n"/>
    </row>
    <row r="583">
      <c r="A583" s="41" t="n"/>
      <c r="B583" s="34" t="n"/>
      <c r="C583" s="34" t="n"/>
      <c r="D583" s="35" t="n"/>
      <c r="E583" s="22">
        <f>IF(D583="","",IFERROR(VLOOKUP(D583,Config!$F$6:$H$25,3,0),"Categoria inválida"))</f>
        <v/>
      </c>
      <c r="F583" s="35" t="n"/>
      <c r="G583" s="39" t="n"/>
      <c r="H583" s="37" t="n"/>
      <c r="I583" s="36" t="n"/>
      <c r="J583" s="23">
        <f>IF(OR(G583="",I583=""),"",G583*I583)</f>
        <v/>
      </c>
      <c r="K583" s="35" t="n"/>
    </row>
    <row r="584">
      <c r="A584" s="41" t="n"/>
      <c r="B584" s="34" t="n"/>
      <c r="C584" s="34" t="n"/>
      <c r="D584" s="35" t="n"/>
      <c r="E584" s="22">
        <f>IF(D584="","",IFERROR(VLOOKUP(D584,Config!$F$6:$H$25,3,0),"Categoria inválida"))</f>
        <v/>
      </c>
      <c r="F584" s="35" t="n"/>
      <c r="G584" s="39" t="n"/>
      <c r="H584" s="37" t="n"/>
      <c r="I584" s="36" t="n"/>
      <c r="J584" s="23">
        <f>IF(OR(G584="",I584=""),"",G584*I584)</f>
        <v/>
      </c>
      <c r="K584" s="35" t="n"/>
    </row>
    <row r="585">
      <c r="A585" s="41" t="n"/>
      <c r="B585" s="34" t="n"/>
      <c r="C585" s="34" t="n"/>
      <c r="D585" s="35" t="n"/>
      <c r="E585" s="22">
        <f>IF(D585="","",IFERROR(VLOOKUP(D585,Config!$F$6:$H$25,3,0),"Categoria inválida"))</f>
        <v/>
      </c>
      <c r="F585" s="35" t="n"/>
      <c r="G585" s="39" t="n"/>
      <c r="H585" s="37" t="n"/>
      <c r="I585" s="36" t="n"/>
      <c r="J585" s="23">
        <f>IF(OR(G585="",I585=""),"",G585*I585)</f>
        <v/>
      </c>
      <c r="K585" s="35" t="n"/>
    </row>
    <row r="586">
      <c r="A586" s="41" t="n"/>
      <c r="B586" s="34" t="n"/>
      <c r="C586" s="34" t="n"/>
      <c r="D586" s="35" t="n"/>
      <c r="E586" s="22">
        <f>IF(D586="","",IFERROR(VLOOKUP(D586,Config!$F$6:$H$25,3,0),"Categoria inválida"))</f>
        <v/>
      </c>
      <c r="F586" s="35" t="n"/>
      <c r="G586" s="39" t="n"/>
      <c r="H586" s="37" t="n"/>
      <c r="I586" s="36" t="n"/>
      <c r="J586" s="23">
        <f>IF(OR(G586="",I586=""),"",G586*I586)</f>
        <v/>
      </c>
      <c r="K586" s="35" t="n"/>
    </row>
    <row r="587">
      <c r="A587" s="41" t="n"/>
      <c r="B587" s="34" t="n"/>
      <c r="C587" s="34" t="n"/>
      <c r="D587" s="35" t="n"/>
      <c r="E587" s="22">
        <f>IF(D587="","",IFERROR(VLOOKUP(D587,Config!$F$6:$H$25,3,0),"Categoria inválida"))</f>
        <v/>
      </c>
      <c r="F587" s="35" t="n"/>
      <c r="G587" s="39" t="n"/>
      <c r="H587" s="37" t="n"/>
      <c r="I587" s="36" t="n"/>
      <c r="J587" s="23">
        <f>IF(OR(G587="",I587=""),"",G587*I587)</f>
        <v/>
      </c>
      <c r="K587" s="35" t="n"/>
    </row>
    <row r="588">
      <c r="A588" s="41" t="n"/>
      <c r="B588" s="34" t="n"/>
      <c r="C588" s="34" t="n"/>
      <c r="D588" s="35" t="n"/>
      <c r="E588" s="22">
        <f>IF(D588="","",IFERROR(VLOOKUP(D588,Config!$F$6:$H$25,3,0),"Categoria inválida"))</f>
        <v/>
      </c>
      <c r="F588" s="35" t="n"/>
      <c r="G588" s="39" t="n"/>
      <c r="H588" s="37" t="n"/>
      <c r="I588" s="36" t="n"/>
      <c r="J588" s="23">
        <f>IF(OR(G588="",I588=""),"",G588*I588)</f>
        <v/>
      </c>
      <c r="K588" s="35" t="n"/>
    </row>
    <row r="589">
      <c r="A589" s="41" t="n"/>
      <c r="B589" s="34" t="n"/>
      <c r="C589" s="34" t="n"/>
      <c r="D589" s="35" t="n"/>
      <c r="E589" s="22">
        <f>IF(D589="","",IFERROR(VLOOKUP(D589,Config!$F$6:$H$25,3,0),"Categoria inválida"))</f>
        <v/>
      </c>
      <c r="F589" s="35" t="n"/>
      <c r="G589" s="39" t="n"/>
      <c r="H589" s="37" t="n"/>
      <c r="I589" s="36" t="n"/>
      <c r="J589" s="23">
        <f>IF(OR(G589="",I589=""),"",G589*I589)</f>
        <v/>
      </c>
      <c r="K589" s="35" t="n"/>
    </row>
    <row r="590">
      <c r="A590" s="41" t="n"/>
      <c r="B590" s="34" t="n"/>
      <c r="C590" s="34" t="n"/>
      <c r="D590" s="35" t="n"/>
      <c r="E590" s="22">
        <f>IF(D590="","",IFERROR(VLOOKUP(D590,Config!$F$6:$H$25,3,0),"Categoria inválida"))</f>
        <v/>
      </c>
      <c r="F590" s="35" t="n"/>
      <c r="G590" s="39" t="n"/>
      <c r="H590" s="37" t="n"/>
      <c r="I590" s="36" t="n"/>
      <c r="J590" s="23">
        <f>IF(OR(G590="",I590=""),"",G590*I590)</f>
        <v/>
      </c>
      <c r="K590" s="35" t="n"/>
    </row>
    <row r="591">
      <c r="A591" s="41" t="n"/>
      <c r="B591" s="34" t="n"/>
      <c r="C591" s="34" t="n"/>
      <c r="D591" s="35" t="n"/>
      <c r="E591" s="22">
        <f>IF(D591="","",IFERROR(VLOOKUP(D591,Config!$F$6:$H$25,3,0),"Categoria inválida"))</f>
        <v/>
      </c>
      <c r="F591" s="35" t="n"/>
      <c r="G591" s="39" t="n"/>
      <c r="H591" s="37" t="n"/>
      <c r="I591" s="36" t="n"/>
      <c r="J591" s="23">
        <f>IF(OR(G591="",I591=""),"",G591*I591)</f>
        <v/>
      </c>
      <c r="K591" s="35" t="n"/>
    </row>
    <row r="592">
      <c r="A592" s="41" t="n"/>
      <c r="B592" s="34" t="n"/>
      <c r="C592" s="34" t="n"/>
      <c r="D592" s="35" t="n"/>
      <c r="E592" s="22">
        <f>IF(D592="","",IFERROR(VLOOKUP(D592,Config!$F$6:$H$25,3,0),"Categoria inválida"))</f>
        <v/>
      </c>
      <c r="F592" s="35" t="n"/>
      <c r="G592" s="39" t="n"/>
      <c r="H592" s="37" t="n"/>
      <c r="I592" s="36" t="n"/>
      <c r="J592" s="23">
        <f>IF(OR(G592="",I592=""),"",G592*I592)</f>
        <v/>
      </c>
      <c r="K592" s="35" t="n"/>
    </row>
    <row r="593">
      <c r="A593" s="41" t="n"/>
      <c r="B593" s="34" t="n"/>
      <c r="C593" s="34" t="n"/>
      <c r="D593" s="35" t="n"/>
      <c r="E593" s="22">
        <f>IF(D593="","",IFERROR(VLOOKUP(D593,Config!$F$6:$H$25,3,0),"Categoria inválida"))</f>
        <v/>
      </c>
      <c r="F593" s="35" t="n"/>
      <c r="G593" s="39" t="n"/>
      <c r="H593" s="37" t="n"/>
      <c r="I593" s="36" t="n"/>
      <c r="J593" s="23">
        <f>IF(OR(G593="",I593=""),"",G593*I593)</f>
        <v/>
      </c>
      <c r="K593" s="35" t="n"/>
    </row>
    <row r="594">
      <c r="A594" s="41" t="n"/>
      <c r="B594" s="34" t="n"/>
      <c r="C594" s="34" t="n"/>
      <c r="D594" s="35" t="n"/>
      <c r="E594" s="22">
        <f>IF(D594="","",IFERROR(VLOOKUP(D594,Config!$F$6:$H$25,3,0),"Categoria inválida"))</f>
        <v/>
      </c>
      <c r="F594" s="35" t="n"/>
      <c r="G594" s="39" t="n"/>
      <c r="H594" s="37" t="n"/>
      <c r="I594" s="36" t="n"/>
      <c r="J594" s="23">
        <f>IF(OR(G594="",I594=""),"",G594*I594)</f>
        <v/>
      </c>
      <c r="K594" s="35" t="n"/>
    </row>
    <row r="595">
      <c r="A595" s="41" t="n"/>
      <c r="B595" s="34" t="n"/>
      <c r="C595" s="34" t="n"/>
      <c r="D595" s="35" t="n"/>
      <c r="E595" s="22">
        <f>IF(D595="","",IFERROR(VLOOKUP(D595,Config!$F$6:$H$25,3,0),"Categoria inválida"))</f>
        <v/>
      </c>
      <c r="F595" s="35" t="n"/>
      <c r="G595" s="39" t="n"/>
      <c r="H595" s="37" t="n"/>
      <c r="I595" s="36" t="n"/>
      <c r="J595" s="23">
        <f>IF(OR(G595="",I595=""),"",G595*I595)</f>
        <v/>
      </c>
      <c r="K595" s="35" t="n"/>
    </row>
    <row r="596">
      <c r="A596" s="41" t="n"/>
      <c r="B596" s="34" t="n"/>
      <c r="C596" s="34" t="n"/>
      <c r="D596" s="35" t="n"/>
      <c r="E596" s="22">
        <f>IF(D596="","",IFERROR(VLOOKUP(D596,Config!$F$6:$H$25,3,0),"Categoria inválida"))</f>
        <v/>
      </c>
      <c r="F596" s="35" t="n"/>
      <c r="G596" s="39" t="n"/>
      <c r="H596" s="37" t="n"/>
      <c r="I596" s="36" t="n"/>
      <c r="J596" s="23">
        <f>IF(OR(G596="",I596=""),"",G596*I596)</f>
        <v/>
      </c>
      <c r="K596" s="35" t="n"/>
    </row>
    <row r="597">
      <c r="A597" s="41" t="n"/>
      <c r="B597" s="34" t="n"/>
      <c r="C597" s="34" t="n"/>
      <c r="D597" s="35" t="n"/>
      <c r="E597" s="22">
        <f>IF(D597="","",IFERROR(VLOOKUP(D597,Config!$F$6:$H$25,3,0),"Categoria inválida"))</f>
        <v/>
      </c>
      <c r="F597" s="35" t="n"/>
      <c r="G597" s="39" t="n"/>
      <c r="H597" s="37" t="n"/>
      <c r="I597" s="36" t="n"/>
      <c r="J597" s="23">
        <f>IF(OR(G597="",I597=""),"",G597*I597)</f>
        <v/>
      </c>
      <c r="K597" s="35" t="n"/>
    </row>
    <row r="598">
      <c r="A598" s="41" t="n"/>
      <c r="B598" s="34" t="n"/>
      <c r="C598" s="34" t="n"/>
      <c r="D598" s="35" t="n"/>
      <c r="E598" s="22">
        <f>IF(D598="","",IFERROR(VLOOKUP(D598,Config!$F$6:$H$25,3,0),"Categoria inválida"))</f>
        <v/>
      </c>
      <c r="F598" s="35" t="n"/>
      <c r="G598" s="39" t="n"/>
      <c r="H598" s="37" t="n"/>
      <c r="I598" s="36" t="n"/>
      <c r="J598" s="23">
        <f>IF(OR(G598="",I598=""),"",G598*I598)</f>
        <v/>
      </c>
      <c r="K598" s="35" t="n"/>
    </row>
    <row r="599">
      <c r="A599" s="41" t="n"/>
      <c r="B599" s="34" t="n"/>
      <c r="C599" s="34" t="n"/>
      <c r="D599" s="35" t="n"/>
      <c r="E599" s="22">
        <f>IF(D599="","",IFERROR(VLOOKUP(D599,Config!$F$6:$H$25,3,0),"Categoria inválida"))</f>
        <v/>
      </c>
      <c r="F599" s="35" t="n"/>
      <c r="G599" s="39" t="n"/>
      <c r="H599" s="37" t="n"/>
      <c r="I599" s="36" t="n"/>
      <c r="J599" s="23">
        <f>IF(OR(G599="",I599=""),"",G599*I599)</f>
        <v/>
      </c>
      <c r="K599" s="35" t="n"/>
    </row>
    <row r="600">
      <c r="A600" s="41" t="n"/>
      <c r="B600" s="34" t="n"/>
      <c r="C600" s="34" t="n"/>
      <c r="D600" s="35" t="n"/>
      <c r="E600" s="22">
        <f>IF(D600="","",IFERROR(VLOOKUP(D600,Config!$F$6:$H$25,3,0),"Categoria inválida"))</f>
        <v/>
      </c>
      <c r="F600" s="35" t="n"/>
      <c r="G600" s="39" t="n"/>
      <c r="H600" s="37" t="n"/>
      <c r="I600" s="36" t="n"/>
      <c r="J600" s="23">
        <f>IF(OR(G600="",I600=""),"",G600*I600)</f>
        <v/>
      </c>
      <c r="K600" s="35" t="n"/>
    </row>
    <row r="601">
      <c r="A601" s="41" t="n"/>
      <c r="B601" s="34" t="n"/>
      <c r="C601" s="34" t="n"/>
      <c r="D601" s="35" t="n"/>
      <c r="E601" s="22">
        <f>IF(D601="","",IFERROR(VLOOKUP(D601,Config!$F$6:$H$25,3,0),"Categoria inválida"))</f>
        <v/>
      </c>
      <c r="F601" s="35" t="n"/>
      <c r="G601" s="39" t="n"/>
      <c r="H601" s="37" t="n"/>
      <c r="I601" s="36" t="n"/>
      <c r="J601" s="23">
        <f>IF(OR(G601="",I601=""),"",G601*I601)</f>
        <v/>
      </c>
      <c r="K601" s="35" t="n"/>
    </row>
    <row r="602">
      <c r="A602" s="41" t="n"/>
      <c r="B602" s="34" t="n"/>
      <c r="C602" s="34" t="n"/>
      <c r="D602" s="35" t="n"/>
      <c r="E602" s="22">
        <f>IF(D602="","",IFERROR(VLOOKUP(D602,Config!$F$6:$H$25,3,0),"Categoria inválida"))</f>
        <v/>
      </c>
      <c r="F602" s="35" t="n"/>
      <c r="G602" s="39" t="n"/>
      <c r="H602" s="37" t="n"/>
      <c r="I602" s="36" t="n"/>
      <c r="J602" s="23">
        <f>IF(OR(G602="",I602=""),"",G602*I602)</f>
        <v/>
      </c>
      <c r="K602" s="35" t="n"/>
    </row>
    <row r="603">
      <c r="A603" s="41" t="n"/>
      <c r="B603" s="34" t="n"/>
      <c r="C603" s="34" t="n"/>
      <c r="D603" s="35" t="n"/>
      <c r="E603" s="22">
        <f>IF(D603="","",IFERROR(VLOOKUP(D603,Config!$F$6:$H$25,3,0),"Categoria inválida"))</f>
        <v/>
      </c>
      <c r="F603" s="35" t="n"/>
      <c r="G603" s="39" t="n"/>
      <c r="H603" s="37" t="n"/>
      <c r="I603" s="36" t="n"/>
      <c r="J603" s="23">
        <f>IF(OR(G603="",I603=""),"",G603*I603)</f>
        <v/>
      </c>
      <c r="K603" s="35" t="n"/>
    </row>
    <row r="604">
      <c r="A604" s="41" t="n"/>
      <c r="B604" s="34" t="n"/>
      <c r="C604" s="34" t="n"/>
      <c r="D604" s="35" t="n"/>
      <c r="E604" s="22">
        <f>IF(D604="","",IFERROR(VLOOKUP(D604,Config!$F$6:$H$25,3,0),"Categoria inválida"))</f>
        <v/>
      </c>
      <c r="F604" s="35" t="n"/>
      <c r="G604" s="39" t="n"/>
      <c r="H604" s="37" t="n"/>
      <c r="I604" s="36" t="n"/>
      <c r="J604" s="23">
        <f>IF(OR(G604="",I604=""),"",G604*I604)</f>
        <v/>
      </c>
      <c r="K604" s="35" t="n"/>
    </row>
    <row r="605">
      <c r="A605" s="41" t="n"/>
      <c r="B605" s="34" t="n"/>
      <c r="C605" s="34" t="n"/>
      <c r="D605" s="35" t="n"/>
      <c r="E605" s="22">
        <f>IF(D605="","",IFERROR(VLOOKUP(D605,Config!$F$6:$H$25,3,0),"Categoria inválida"))</f>
        <v/>
      </c>
      <c r="F605" s="35" t="n"/>
      <c r="G605" s="39" t="n"/>
      <c r="H605" s="37" t="n"/>
      <c r="I605" s="36" t="n"/>
      <c r="J605" s="23">
        <f>IF(OR(G605="",I605=""),"",G605*I605)</f>
        <v/>
      </c>
      <c r="K605" s="35" t="n"/>
    </row>
    <row r="606">
      <c r="A606" s="41" t="n"/>
      <c r="B606" s="34" t="n"/>
      <c r="C606" s="34" t="n"/>
      <c r="D606" s="35" t="n"/>
      <c r="E606" s="22">
        <f>IF(D606="","",IFERROR(VLOOKUP(D606,Config!$F$6:$H$25,3,0),"Categoria inválida"))</f>
        <v/>
      </c>
      <c r="F606" s="35" t="n"/>
      <c r="G606" s="39" t="n"/>
      <c r="H606" s="37" t="n"/>
      <c r="I606" s="36" t="n"/>
      <c r="J606" s="23">
        <f>IF(OR(G606="",I606=""),"",G606*I606)</f>
        <v/>
      </c>
      <c r="K606" s="35" t="n"/>
    </row>
    <row r="607">
      <c r="A607" s="41" t="n"/>
      <c r="B607" s="34" t="n"/>
      <c r="C607" s="34" t="n"/>
      <c r="D607" s="35" t="n"/>
      <c r="E607" s="22">
        <f>IF(D607="","",IFERROR(VLOOKUP(D607,Config!$F$6:$H$25,3,0),"Categoria inválida"))</f>
        <v/>
      </c>
      <c r="F607" s="35" t="n"/>
      <c r="G607" s="39" t="n"/>
      <c r="H607" s="37" t="n"/>
      <c r="I607" s="36" t="n"/>
      <c r="J607" s="23">
        <f>IF(OR(G607="",I607=""),"",G607*I607)</f>
        <v/>
      </c>
      <c r="K607" s="35" t="n"/>
    </row>
    <row r="608">
      <c r="A608" s="41" t="n"/>
      <c r="B608" s="34" t="n"/>
      <c r="C608" s="34" t="n"/>
      <c r="D608" s="35" t="n"/>
      <c r="E608" s="22">
        <f>IF(D608="","",IFERROR(VLOOKUP(D608,Config!$F$6:$H$25,3,0),"Categoria inválida"))</f>
        <v/>
      </c>
      <c r="F608" s="35" t="n"/>
      <c r="G608" s="39" t="n"/>
      <c r="H608" s="37" t="n"/>
      <c r="I608" s="36" t="n"/>
      <c r="J608" s="23">
        <f>IF(OR(G608="",I608=""),"",G608*I608)</f>
        <v/>
      </c>
      <c r="K608" s="35" t="n"/>
    </row>
    <row r="609">
      <c r="A609" s="41" t="n"/>
      <c r="B609" s="34" t="n"/>
      <c r="C609" s="34" t="n"/>
      <c r="D609" s="35" t="n"/>
      <c r="E609" s="22">
        <f>IF(D609="","",IFERROR(VLOOKUP(D609,Config!$F$6:$H$25,3,0),"Categoria inválida"))</f>
        <v/>
      </c>
      <c r="F609" s="35" t="n"/>
      <c r="G609" s="39" t="n"/>
      <c r="H609" s="37" t="n"/>
      <c r="I609" s="36" t="n"/>
      <c r="J609" s="23">
        <f>IF(OR(G609="",I609=""),"",G609*I609)</f>
        <v/>
      </c>
      <c r="K609" s="35" t="n"/>
    </row>
    <row r="610">
      <c r="A610" s="41" t="n"/>
      <c r="B610" s="34" t="n"/>
      <c r="C610" s="34" t="n"/>
      <c r="D610" s="35" t="n"/>
      <c r="E610" s="22">
        <f>IF(D610="","",IFERROR(VLOOKUP(D610,Config!$F$6:$H$25,3,0),"Categoria inválida"))</f>
        <v/>
      </c>
      <c r="F610" s="35" t="n"/>
      <c r="G610" s="39" t="n"/>
      <c r="H610" s="37" t="n"/>
      <c r="I610" s="36" t="n"/>
      <c r="J610" s="23">
        <f>IF(OR(G610="",I610=""),"",G610*I610)</f>
        <v/>
      </c>
      <c r="K610" s="35" t="n"/>
    </row>
    <row r="611">
      <c r="A611" s="41" t="n"/>
      <c r="B611" s="34" t="n"/>
      <c r="C611" s="34" t="n"/>
      <c r="D611" s="35" t="n"/>
      <c r="E611" s="22">
        <f>IF(D611="","",IFERROR(VLOOKUP(D611,Config!$F$6:$H$25,3,0),"Categoria inválida"))</f>
        <v/>
      </c>
      <c r="F611" s="35" t="n"/>
      <c r="G611" s="39" t="n"/>
      <c r="H611" s="37" t="n"/>
      <c r="I611" s="36" t="n"/>
      <c r="J611" s="23">
        <f>IF(OR(G611="",I611=""),"",G611*I611)</f>
        <v/>
      </c>
      <c r="K611" s="35" t="n"/>
    </row>
    <row r="612">
      <c r="A612" s="41" t="n"/>
      <c r="B612" s="34" t="n"/>
      <c r="C612" s="34" t="n"/>
      <c r="D612" s="35" t="n"/>
      <c r="E612" s="22">
        <f>IF(D612="","",IFERROR(VLOOKUP(D612,Config!$F$6:$H$25,3,0),"Categoria inválida"))</f>
        <v/>
      </c>
      <c r="F612" s="35" t="n"/>
      <c r="G612" s="39" t="n"/>
      <c r="H612" s="37" t="n"/>
      <c r="I612" s="36" t="n"/>
      <c r="J612" s="23">
        <f>IF(OR(G612="",I612=""),"",G612*I612)</f>
        <v/>
      </c>
      <c r="K612" s="35" t="n"/>
    </row>
    <row r="613">
      <c r="A613" s="41" t="n"/>
      <c r="B613" s="34" t="n"/>
      <c r="C613" s="34" t="n"/>
      <c r="D613" s="35" t="n"/>
      <c r="E613" s="22">
        <f>IF(D613="","",IFERROR(VLOOKUP(D613,Config!$F$6:$H$25,3,0),"Categoria inválida"))</f>
        <v/>
      </c>
      <c r="F613" s="35" t="n"/>
      <c r="G613" s="39" t="n"/>
      <c r="H613" s="37" t="n"/>
      <c r="I613" s="36" t="n"/>
      <c r="J613" s="23">
        <f>IF(OR(G613="",I613=""),"",G613*I613)</f>
        <v/>
      </c>
      <c r="K613" s="35" t="n"/>
    </row>
    <row r="614">
      <c r="A614" s="41" t="n"/>
      <c r="B614" s="34" t="n"/>
      <c r="C614" s="34" t="n"/>
      <c r="D614" s="35" t="n"/>
      <c r="E614" s="22">
        <f>IF(D614="","",IFERROR(VLOOKUP(D614,Config!$F$6:$H$25,3,0),"Categoria inválida"))</f>
        <v/>
      </c>
      <c r="F614" s="35" t="n"/>
      <c r="G614" s="39" t="n"/>
      <c r="H614" s="37" t="n"/>
      <c r="I614" s="36" t="n"/>
      <c r="J614" s="23">
        <f>IF(OR(G614="",I614=""),"",G614*I614)</f>
        <v/>
      </c>
      <c r="K614" s="35" t="n"/>
    </row>
    <row r="615">
      <c r="A615" s="41" t="n"/>
      <c r="B615" s="34" t="n"/>
      <c r="C615" s="34" t="n"/>
      <c r="D615" s="35" t="n"/>
      <c r="E615" s="22">
        <f>IF(D615="","",IFERROR(VLOOKUP(D615,Config!$F$6:$H$25,3,0),"Categoria inválida"))</f>
        <v/>
      </c>
      <c r="F615" s="35" t="n"/>
      <c r="G615" s="39" t="n"/>
      <c r="H615" s="37" t="n"/>
      <c r="I615" s="36" t="n"/>
      <c r="J615" s="23">
        <f>IF(OR(G615="",I615=""),"",G615*I615)</f>
        <v/>
      </c>
      <c r="K615" s="35" t="n"/>
    </row>
    <row r="616">
      <c r="A616" s="41" t="n"/>
      <c r="B616" s="34" t="n"/>
      <c r="C616" s="34" t="n"/>
      <c r="D616" s="35" t="n"/>
      <c r="E616" s="22">
        <f>IF(D616="","",IFERROR(VLOOKUP(D616,Config!$F$6:$H$25,3,0),"Categoria inválida"))</f>
        <v/>
      </c>
      <c r="F616" s="35" t="n"/>
      <c r="G616" s="39" t="n"/>
      <c r="H616" s="37" t="n"/>
      <c r="I616" s="36" t="n"/>
      <c r="J616" s="23">
        <f>IF(OR(G616="",I616=""),"",G616*I616)</f>
        <v/>
      </c>
      <c r="K616" s="35" t="n"/>
    </row>
    <row r="617">
      <c r="A617" s="41" t="n"/>
      <c r="B617" s="34" t="n"/>
      <c r="C617" s="34" t="n"/>
      <c r="D617" s="35" t="n"/>
      <c r="E617" s="22">
        <f>IF(D617="","",IFERROR(VLOOKUP(D617,Config!$F$6:$H$25,3,0),"Categoria inválida"))</f>
        <v/>
      </c>
      <c r="F617" s="35" t="n"/>
      <c r="G617" s="39" t="n"/>
      <c r="H617" s="37" t="n"/>
      <c r="I617" s="36" t="n"/>
      <c r="J617" s="23">
        <f>IF(OR(G617="",I617=""),"",G617*I617)</f>
        <v/>
      </c>
      <c r="K617" s="35" t="n"/>
    </row>
    <row r="618">
      <c r="A618" s="41" t="n"/>
      <c r="B618" s="34" t="n"/>
      <c r="C618" s="34" t="n"/>
      <c r="D618" s="35" t="n"/>
      <c r="E618" s="22">
        <f>IF(D618="","",IFERROR(VLOOKUP(D618,Config!$F$6:$H$25,3,0),"Categoria inválida"))</f>
        <v/>
      </c>
      <c r="F618" s="35" t="n"/>
      <c r="G618" s="39" t="n"/>
      <c r="H618" s="37" t="n"/>
      <c r="I618" s="36" t="n"/>
      <c r="J618" s="23">
        <f>IF(OR(G618="",I618=""),"",G618*I618)</f>
        <v/>
      </c>
      <c r="K618" s="35" t="n"/>
    </row>
    <row r="619">
      <c r="A619" s="41" t="n"/>
      <c r="B619" s="34" t="n"/>
      <c r="C619" s="34" t="n"/>
      <c r="D619" s="35" t="n"/>
      <c r="E619" s="22">
        <f>IF(D619="","",IFERROR(VLOOKUP(D619,Config!$F$6:$H$25,3,0),"Categoria inválida"))</f>
        <v/>
      </c>
      <c r="F619" s="35" t="n"/>
      <c r="G619" s="39" t="n"/>
      <c r="H619" s="37" t="n"/>
      <c r="I619" s="36" t="n"/>
      <c r="J619" s="23">
        <f>IF(OR(G619="",I619=""),"",G619*I619)</f>
        <v/>
      </c>
      <c r="K619" s="35" t="n"/>
    </row>
    <row r="620">
      <c r="A620" s="41" t="n"/>
      <c r="B620" s="34" t="n"/>
      <c r="C620" s="34" t="n"/>
      <c r="D620" s="35" t="n"/>
      <c r="E620" s="22">
        <f>IF(D620="","",IFERROR(VLOOKUP(D620,Config!$F$6:$H$25,3,0),"Categoria inválida"))</f>
        <v/>
      </c>
      <c r="F620" s="35" t="n"/>
      <c r="G620" s="39" t="n"/>
      <c r="H620" s="37" t="n"/>
      <c r="I620" s="36" t="n"/>
      <c r="J620" s="23">
        <f>IF(OR(G620="",I620=""),"",G620*I620)</f>
        <v/>
      </c>
      <c r="K620" s="35" t="n"/>
    </row>
    <row r="621">
      <c r="A621" s="41" t="n"/>
      <c r="B621" s="34" t="n"/>
      <c r="C621" s="34" t="n"/>
      <c r="D621" s="35" t="n"/>
      <c r="E621" s="22">
        <f>IF(D621="","",IFERROR(VLOOKUP(D621,Config!$F$6:$H$25,3,0),"Categoria inválida"))</f>
        <v/>
      </c>
      <c r="F621" s="35" t="n"/>
      <c r="G621" s="39" t="n"/>
      <c r="H621" s="37" t="n"/>
      <c r="I621" s="36" t="n"/>
      <c r="J621" s="23">
        <f>IF(OR(G621="",I621=""),"",G621*I621)</f>
        <v/>
      </c>
      <c r="K621" s="35" t="n"/>
    </row>
    <row r="622">
      <c r="A622" s="41" t="n"/>
      <c r="B622" s="34" t="n"/>
      <c r="C622" s="34" t="n"/>
      <c r="D622" s="35" t="n"/>
      <c r="E622" s="22">
        <f>IF(D622="","",IFERROR(VLOOKUP(D622,Config!$F$6:$H$25,3,0),"Categoria inválida"))</f>
        <v/>
      </c>
      <c r="F622" s="35" t="n"/>
      <c r="G622" s="39" t="n"/>
      <c r="H622" s="37" t="n"/>
      <c r="I622" s="36" t="n"/>
      <c r="J622" s="23">
        <f>IF(OR(G622="",I622=""),"",G622*I622)</f>
        <v/>
      </c>
      <c r="K622" s="35" t="n"/>
    </row>
    <row r="623">
      <c r="A623" s="41" t="n"/>
      <c r="B623" s="34" t="n"/>
      <c r="C623" s="34" t="n"/>
      <c r="D623" s="35" t="n"/>
      <c r="E623" s="22">
        <f>IF(D623="","",IFERROR(VLOOKUP(D623,Config!$F$6:$H$25,3,0),"Categoria inválida"))</f>
        <v/>
      </c>
      <c r="F623" s="35" t="n"/>
      <c r="G623" s="39" t="n"/>
      <c r="H623" s="37" t="n"/>
      <c r="I623" s="36" t="n"/>
      <c r="J623" s="23">
        <f>IF(OR(G623="",I623=""),"",G623*I623)</f>
        <v/>
      </c>
      <c r="K623" s="35" t="n"/>
    </row>
    <row r="624">
      <c r="A624" s="41" t="n"/>
      <c r="B624" s="34" t="n"/>
      <c r="C624" s="34" t="n"/>
      <c r="D624" s="35" t="n"/>
      <c r="E624" s="22">
        <f>IF(D624="","",IFERROR(VLOOKUP(D624,Config!$F$6:$H$25,3,0),"Categoria inválida"))</f>
        <v/>
      </c>
      <c r="F624" s="35" t="n"/>
      <c r="G624" s="39" t="n"/>
      <c r="H624" s="37" t="n"/>
      <c r="I624" s="36" t="n"/>
      <c r="J624" s="23">
        <f>IF(OR(G624="",I624=""),"",G624*I624)</f>
        <v/>
      </c>
      <c r="K624" s="35" t="n"/>
    </row>
    <row r="625">
      <c r="A625" s="41" t="n"/>
      <c r="B625" s="34" t="n"/>
      <c r="C625" s="34" t="n"/>
      <c r="D625" s="35" t="n"/>
      <c r="E625" s="22">
        <f>IF(D625="","",IFERROR(VLOOKUP(D625,Config!$F$6:$H$25,3,0),"Categoria inválida"))</f>
        <v/>
      </c>
      <c r="F625" s="35" t="n"/>
      <c r="G625" s="39" t="n"/>
      <c r="H625" s="37" t="n"/>
      <c r="I625" s="36" t="n"/>
      <c r="J625" s="23">
        <f>IF(OR(G625="",I625=""),"",G625*I625)</f>
        <v/>
      </c>
      <c r="K625" s="35" t="n"/>
    </row>
    <row r="626">
      <c r="A626" s="41" t="n"/>
      <c r="B626" s="34" t="n"/>
      <c r="C626" s="34" t="n"/>
      <c r="D626" s="35" t="n"/>
      <c r="E626" s="22">
        <f>IF(D626="","",IFERROR(VLOOKUP(D626,Config!$F$6:$H$25,3,0),"Categoria inválida"))</f>
        <v/>
      </c>
      <c r="F626" s="35" t="n"/>
      <c r="G626" s="39" t="n"/>
      <c r="H626" s="37" t="n"/>
      <c r="I626" s="36" t="n"/>
      <c r="J626" s="23">
        <f>IF(OR(G626="",I626=""),"",G626*I626)</f>
        <v/>
      </c>
      <c r="K626" s="35" t="n"/>
    </row>
    <row r="627">
      <c r="A627" s="41" t="n"/>
      <c r="B627" s="34" t="n"/>
      <c r="C627" s="34" t="n"/>
      <c r="D627" s="35" t="n"/>
      <c r="E627" s="22">
        <f>IF(D627="","",IFERROR(VLOOKUP(D627,Config!$F$6:$H$25,3,0),"Categoria inválida"))</f>
        <v/>
      </c>
      <c r="F627" s="35" t="n"/>
      <c r="G627" s="39" t="n"/>
      <c r="H627" s="37" t="n"/>
      <c r="I627" s="36" t="n"/>
      <c r="J627" s="23">
        <f>IF(OR(G627="",I627=""),"",G627*I627)</f>
        <v/>
      </c>
      <c r="K627" s="35" t="n"/>
    </row>
    <row r="628">
      <c r="A628" s="41" t="n"/>
      <c r="B628" s="34" t="n"/>
      <c r="C628" s="34" t="n"/>
      <c r="D628" s="35" t="n"/>
      <c r="E628" s="22">
        <f>IF(D628="","",IFERROR(VLOOKUP(D628,Config!$F$6:$H$25,3,0),"Categoria inválida"))</f>
        <v/>
      </c>
      <c r="F628" s="35" t="n"/>
      <c r="G628" s="39" t="n"/>
      <c r="H628" s="37" t="n"/>
      <c r="I628" s="36" t="n"/>
      <c r="J628" s="23">
        <f>IF(OR(G628="",I628=""),"",G628*I628)</f>
        <v/>
      </c>
      <c r="K628" s="35" t="n"/>
    </row>
    <row r="629">
      <c r="A629" s="41" t="n"/>
      <c r="B629" s="34" t="n"/>
      <c r="C629" s="34" t="n"/>
      <c r="D629" s="35" t="n"/>
      <c r="E629" s="22">
        <f>IF(D629="","",IFERROR(VLOOKUP(D629,Config!$F$6:$H$25,3,0),"Categoria inválida"))</f>
        <v/>
      </c>
      <c r="F629" s="35" t="n"/>
      <c r="G629" s="39" t="n"/>
      <c r="H629" s="37" t="n"/>
      <c r="I629" s="36" t="n"/>
      <c r="J629" s="23">
        <f>IF(OR(G629="",I629=""),"",G629*I629)</f>
        <v/>
      </c>
      <c r="K629" s="35" t="n"/>
    </row>
    <row r="630">
      <c r="A630" s="41" t="n"/>
      <c r="B630" s="34" t="n"/>
      <c r="C630" s="34" t="n"/>
      <c r="D630" s="35" t="n"/>
      <c r="E630" s="22">
        <f>IF(D630="","",IFERROR(VLOOKUP(D630,Config!$F$6:$H$25,3,0),"Categoria inválida"))</f>
        <v/>
      </c>
      <c r="F630" s="35" t="n"/>
      <c r="G630" s="39" t="n"/>
      <c r="H630" s="37" t="n"/>
      <c r="I630" s="36" t="n"/>
      <c r="J630" s="23">
        <f>IF(OR(G630="",I630=""),"",G630*I630)</f>
        <v/>
      </c>
      <c r="K630" s="35" t="n"/>
    </row>
    <row r="631">
      <c r="A631" s="41" t="n"/>
      <c r="B631" s="34" t="n"/>
      <c r="C631" s="34" t="n"/>
      <c r="D631" s="35" t="n"/>
      <c r="E631" s="22">
        <f>IF(D631="","",IFERROR(VLOOKUP(D631,Config!$F$6:$H$25,3,0),"Categoria inválida"))</f>
        <v/>
      </c>
      <c r="F631" s="35" t="n"/>
      <c r="G631" s="39" t="n"/>
      <c r="H631" s="37" t="n"/>
      <c r="I631" s="36" t="n"/>
      <c r="J631" s="23">
        <f>IF(OR(G631="",I631=""),"",G631*I631)</f>
        <v/>
      </c>
      <c r="K631" s="35" t="n"/>
    </row>
    <row r="632">
      <c r="A632" s="41" t="n"/>
      <c r="B632" s="34" t="n"/>
      <c r="C632" s="34" t="n"/>
      <c r="D632" s="35" t="n"/>
      <c r="E632" s="22">
        <f>IF(D632="","",IFERROR(VLOOKUP(D632,Config!$F$6:$H$25,3,0),"Categoria inválida"))</f>
        <v/>
      </c>
      <c r="F632" s="35" t="n"/>
      <c r="G632" s="39" t="n"/>
      <c r="H632" s="37" t="n"/>
      <c r="I632" s="36" t="n"/>
      <c r="J632" s="23">
        <f>IF(OR(G632="",I632=""),"",G632*I632)</f>
        <v/>
      </c>
      <c r="K632" s="35" t="n"/>
    </row>
    <row r="633">
      <c r="A633" s="41" t="n"/>
      <c r="B633" s="34" t="n"/>
      <c r="C633" s="34" t="n"/>
      <c r="D633" s="35" t="n"/>
      <c r="E633" s="22">
        <f>IF(D633="","",IFERROR(VLOOKUP(D633,Config!$F$6:$H$25,3,0),"Categoria inválida"))</f>
        <v/>
      </c>
      <c r="F633" s="35" t="n"/>
      <c r="G633" s="39" t="n"/>
      <c r="H633" s="37" t="n"/>
      <c r="I633" s="36" t="n"/>
      <c r="J633" s="23">
        <f>IF(OR(G633="",I633=""),"",G633*I633)</f>
        <v/>
      </c>
      <c r="K633" s="35" t="n"/>
    </row>
    <row r="634">
      <c r="A634" s="41" t="n"/>
      <c r="B634" s="34" t="n"/>
      <c r="C634" s="34" t="n"/>
      <c r="D634" s="35" t="n"/>
      <c r="E634" s="22">
        <f>IF(D634="","",IFERROR(VLOOKUP(D634,Config!$F$6:$H$25,3,0),"Categoria inválida"))</f>
        <v/>
      </c>
      <c r="F634" s="35" t="n"/>
      <c r="G634" s="39" t="n"/>
      <c r="H634" s="37" t="n"/>
      <c r="I634" s="36" t="n"/>
      <c r="J634" s="23">
        <f>IF(OR(G634="",I634=""),"",G634*I634)</f>
        <v/>
      </c>
      <c r="K634" s="35" t="n"/>
    </row>
    <row r="635">
      <c r="A635" s="41" t="n"/>
      <c r="B635" s="34" t="n"/>
      <c r="C635" s="34" t="n"/>
      <c r="D635" s="35" t="n"/>
      <c r="E635" s="22">
        <f>IF(D635="","",IFERROR(VLOOKUP(D635,Config!$F$6:$H$25,3,0),"Categoria inválida"))</f>
        <v/>
      </c>
      <c r="F635" s="35" t="n"/>
      <c r="G635" s="39" t="n"/>
      <c r="H635" s="37" t="n"/>
      <c r="I635" s="36" t="n"/>
      <c r="J635" s="23">
        <f>IF(OR(G635="",I635=""),"",G635*I635)</f>
        <v/>
      </c>
      <c r="K635" s="35" t="n"/>
    </row>
    <row r="636">
      <c r="A636" s="41" t="n"/>
      <c r="B636" s="34" t="n"/>
      <c r="C636" s="34" t="n"/>
      <c r="D636" s="35" t="n"/>
      <c r="E636" s="22">
        <f>IF(D636="","",IFERROR(VLOOKUP(D636,Config!$F$6:$H$25,3,0),"Categoria inválida"))</f>
        <v/>
      </c>
      <c r="F636" s="35" t="n"/>
      <c r="G636" s="39" t="n"/>
      <c r="H636" s="37" t="n"/>
      <c r="I636" s="36" t="n"/>
      <c r="J636" s="23">
        <f>IF(OR(G636="",I636=""),"",G636*I636)</f>
        <v/>
      </c>
      <c r="K636" s="35" t="n"/>
    </row>
    <row r="637">
      <c r="A637" s="41" t="n"/>
      <c r="B637" s="34" t="n"/>
      <c r="C637" s="34" t="n"/>
      <c r="D637" s="35" t="n"/>
      <c r="E637" s="22">
        <f>IF(D637="","",IFERROR(VLOOKUP(D637,Config!$F$6:$H$25,3,0),"Categoria inválida"))</f>
        <v/>
      </c>
      <c r="F637" s="35" t="n"/>
      <c r="G637" s="39" t="n"/>
      <c r="H637" s="37" t="n"/>
      <c r="I637" s="36" t="n"/>
      <c r="J637" s="23">
        <f>IF(OR(G637="",I637=""),"",G637*I637)</f>
        <v/>
      </c>
      <c r="K637" s="35" t="n"/>
    </row>
    <row r="638">
      <c r="A638" s="41" t="n"/>
      <c r="B638" s="34" t="n"/>
      <c r="C638" s="34" t="n"/>
      <c r="D638" s="35" t="n"/>
      <c r="E638" s="22">
        <f>IF(D638="","",IFERROR(VLOOKUP(D638,Config!$F$6:$H$25,3,0),"Categoria inválida"))</f>
        <v/>
      </c>
      <c r="F638" s="35" t="n"/>
      <c r="G638" s="39" t="n"/>
      <c r="H638" s="37" t="n"/>
      <c r="I638" s="36" t="n"/>
      <c r="J638" s="23">
        <f>IF(OR(G638="",I638=""),"",G638*I638)</f>
        <v/>
      </c>
      <c r="K638" s="35" t="n"/>
    </row>
    <row r="639">
      <c r="A639" s="41" t="n"/>
      <c r="B639" s="34" t="n"/>
      <c r="C639" s="34" t="n"/>
      <c r="D639" s="35" t="n"/>
      <c r="E639" s="22">
        <f>IF(D639="","",IFERROR(VLOOKUP(D639,Config!$F$6:$H$25,3,0),"Categoria inválida"))</f>
        <v/>
      </c>
      <c r="F639" s="35" t="n"/>
      <c r="G639" s="39" t="n"/>
      <c r="H639" s="37" t="n"/>
      <c r="I639" s="36" t="n"/>
      <c r="J639" s="23">
        <f>IF(OR(G639="",I639=""),"",G639*I639)</f>
        <v/>
      </c>
      <c r="K639" s="35" t="n"/>
    </row>
    <row r="640">
      <c r="A640" s="41" t="n"/>
      <c r="B640" s="34" t="n"/>
      <c r="C640" s="34" t="n"/>
      <c r="D640" s="35" t="n"/>
      <c r="E640" s="22">
        <f>IF(D640="","",IFERROR(VLOOKUP(D640,Config!$F$6:$H$25,3,0),"Categoria inválida"))</f>
        <v/>
      </c>
      <c r="F640" s="35" t="n"/>
      <c r="G640" s="39" t="n"/>
      <c r="H640" s="37" t="n"/>
      <c r="I640" s="36" t="n"/>
      <c r="J640" s="23">
        <f>IF(OR(G640="",I640=""),"",G640*I640)</f>
        <v/>
      </c>
      <c r="K640" s="35" t="n"/>
    </row>
    <row r="641">
      <c r="A641" s="41" t="n"/>
      <c r="B641" s="34" t="n"/>
      <c r="C641" s="34" t="n"/>
      <c r="D641" s="35" t="n"/>
      <c r="E641" s="22">
        <f>IF(D641="","",IFERROR(VLOOKUP(D641,Config!$F$6:$H$25,3,0),"Categoria inválida"))</f>
        <v/>
      </c>
      <c r="F641" s="35" t="n"/>
      <c r="G641" s="39" t="n"/>
      <c r="H641" s="37" t="n"/>
      <c r="I641" s="36" t="n"/>
      <c r="J641" s="23">
        <f>IF(OR(G641="",I641=""),"",G641*I641)</f>
        <v/>
      </c>
      <c r="K641" s="35" t="n"/>
    </row>
    <row r="642">
      <c r="A642" s="41" t="n"/>
      <c r="B642" s="34" t="n"/>
      <c r="C642" s="34" t="n"/>
      <c r="D642" s="35" t="n"/>
      <c r="E642" s="22">
        <f>IF(D642="","",IFERROR(VLOOKUP(D642,Config!$F$6:$H$25,3,0),"Categoria inválida"))</f>
        <v/>
      </c>
      <c r="F642" s="35" t="n"/>
      <c r="G642" s="39" t="n"/>
      <c r="H642" s="37" t="n"/>
      <c r="I642" s="36" t="n"/>
      <c r="J642" s="23">
        <f>IF(OR(G642="",I642=""),"",G642*I642)</f>
        <v/>
      </c>
      <c r="K642" s="35" t="n"/>
    </row>
    <row r="643">
      <c r="A643" s="41" t="n"/>
      <c r="B643" s="34" t="n"/>
      <c r="C643" s="34" t="n"/>
      <c r="D643" s="35" t="n"/>
      <c r="E643" s="22">
        <f>IF(D643="","",IFERROR(VLOOKUP(D643,Config!$F$6:$H$25,3,0),"Categoria inválida"))</f>
        <v/>
      </c>
      <c r="F643" s="35" t="n"/>
      <c r="G643" s="39" t="n"/>
      <c r="H643" s="37" t="n"/>
      <c r="I643" s="36" t="n"/>
      <c r="J643" s="23">
        <f>IF(OR(G643="",I643=""),"",G643*I643)</f>
        <v/>
      </c>
      <c r="K643" s="35" t="n"/>
    </row>
    <row r="644">
      <c r="A644" s="41" t="n"/>
      <c r="B644" s="34" t="n"/>
      <c r="C644" s="34" t="n"/>
      <c r="D644" s="35" t="n"/>
      <c r="E644" s="22">
        <f>IF(D644="","",IFERROR(VLOOKUP(D644,Config!$F$6:$H$25,3,0),"Categoria inválida"))</f>
        <v/>
      </c>
      <c r="F644" s="35" t="n"/>
      <c r="G644" s="39" t="n"/>
      <c r="H644" s="37" t="n"/>
      <c r="I644" s="36" t="n"/>
      <c r="J644" s="23">
        <f>IF(OR(G644="",I644=""),"",G644*I644)</f>
        <v/>
      </c>
      <c r="K644" s="35" t="n"/>
    </row>
    <row r="645">
      <c r="A645" s="41" t="n"/>
      <c r="B645" s="34" t="n"/>
      <c r="C645" s="34" t="n"/>
      <c r="D645" s="35" t="n"/>
      <c r="E645" s="22">
        <f>IF(D645="","",IFERROR(VLOOKUP(D645,Config!$F$6:$H$25,3,0),"Categoria inválida"))</f>
        <v/>
      </c>
      <c r="F645" s="35" t="n"/>
      <c r="G645" s="39" t="n"/>
      <c r="H645" s="37" t="n"/>
      <c r="I645" s="36" t="n"/>
      <c r="J645" s="23">
        <f>IF(OR(G645="",I645=""),"",G645*I645)</f>
        <v/>
      </c>
      <c r="K645" s="35" t="n"/>
    </row>
    <row r="646">
      <c r="A646" s="41" t="n"/>
      <c r="B646" s="34" t="n"/>
      <c r="C646" s="34" t="n"/>
      <c r="D646" s="35" t="n"/>
      <c r="E646" s="22">
        <f>IF(D646="","",IFERROR(VLOOKUP(D646,Config!$F$6:$H$25,3,0),"Categoria inválida"))</f>
        <v/>
      </c>
      <c r="F646" s="35" t="n"/>
      <c r="G646" s="39" t="n"/>
      <c r="H646" s="37" t="n"/>
      <c r="I646" s="36" t="n"/>
      <c r="J646" s="23">
        <f>IF(OR(G646="",I646=""),"",G646*I646)</f>
        <v/>
      </c>
      <c r="K646" s="35" t="n"/>
    </row>
    <row r="647">
      <c r="A647" s="41" t="n"/>
      <c r="B647" s="34" t="n"/>
      <c r="C647" s="34" t="n"/>
      <c r="D647" s="35" t="n"/>
      <c r="E647" s="22">
        <f>IF(D647="","",IFERROR(VLOOKUP(D647,Config!$F$6:$H$25,3,0),"Categoria inválida"))</f>
        <v/>
      </c>
      <c r="F647" s="35" t="n"/>
      <c r="G647" s="39" t="n"/>
      <c r="H647" s="37" t="n"/>
      <c r="I647" s="36" t="n"/>
      <c r="J647" s="23">
        <f>IF(OR(G647="",I647=""),"",G647*I647)</f>
        <v/>
      </c>
      <c r="K647" s="35" t="n"/>
    </row>
    <row r="648">
      <c r="A648" s="41" t="n"/>
      <c r="B648" s="34" t="n"/>
      <c r="C648" s="34" t="n"/>
      <c r="D648" s="35" t="n"/>
      <c r="E648" s="22">
        <f>IF(D648="","",IFERROR(VLOOKUP(D648,Config!$F$6:$H$25,3,0),"Categoria inválida"))</f>
        <v/>
      </c>
      <c r="F648" s="35" t="n"/>
      <c r="G648" s="39" t="n"/>
      <c r="H648" s="37" t="n"/>
      <c r="I648" s="36" t="n"/>
      <c r="J648" s="23">
        <f>IF(OR(G648="",I648=""),"",G648*I648)</f>
        <v/>
      </c>
      <c r="K648" s="35" t="n"/>
    </row>
    <row r="649">
      <c r="A649" s="41" t="n"/>
      <c r="B649" s="34" t="n"/>
      <c r="C649" s="34" t="n"/>
      <c r="D649" s="35" t="n"/>
      <c r="E649" s="22">
        <f>IF(D649="","",IFERROR(VLOOKUP(D649,Config!$F$6:$H$25,3,0),"Categoria inválida"))</f>
        <v/>
      </c>
      <c r="F649" s="35" t="n"/>
      <c r="G649" s="39" t="n"/>
      <c r="H649" s="37" t="n"/>
      <c r="I649" s="36" t="n"/>
      <c r="J649" s="23">
        <f>IF(OR(G649="",I649=""),"",G649*I649)</f>
        <v/>
      </c>
      <c r="K649" s="35" t="n"/>
    </row>
    <row r="650">
      <c r="A650" s="41" t="n"/>
      <c r="B650" s="34" t="n"/>
      <c r="C650" s="34" t="n"/>
      <c r="D650" s="35" t="n"/>
      <c r="E650" s="22">
        <f>IF(D650="","",IFERROR(VLOOKUP(D650,Config!$F$6:$H$25,3,0),"Categoria inválida"))</f>
        <v/>
      </c>
      <c r="F650" s="35" t="n"/>
      <c r="G650" s="39" t="n"/>
      <c r="H650" s="37" t="n"/>
      <c r="I650" s="36" t="n"/>
      <c r="J650" s="23">
        <f>IF(OR(G650="",I650=""),"",G650*I650)</f>
        <v/>
      </c>
      <c r="K650" s="35" t="n"/>
    </row>
    <row r="651">
      <c r="A651" s="41" t="n"/>
      <c r="B651" s="34" t="n"/>
      <c r="C651" s="34" t="n"/>
      <c r="D651" s="35" t="n"/>
      <c r="E651" s="22">
        <f>IF(D651="","",IFERROR(VLOOKUP(D651,Config!$F$6:$H$25,3,0),"Categoria inválida"))</f>
        <v/>
      </c>
      <c r="F651" s="35" t="n"/>
      <c r="G651" s="39" t="n"/>
      <c r="H651" s="37" t="n"/>
      <c r="I651" s="36" t="n"/>
      <c r="J651" s="23">
        <f>IF(OR(G651="",I651=""),"",G651*I651)</f>
        <v/>
      </c>
      <c r="K651" s="35" t="n"/>
    </row>
    <row r="652">
      <c r="A652" s="41" t="n"/>
      <c r="B652" s="34" t="n"/>
      <c r="C652" s="34" t="n"/>
      <c r="D652" s="35" t="n"/>
      <c r="E652" s="22">
        <f>IF(D652="","",IFERROR(VLOOKUP(D652,Config!$F$6:$H$25,3,0),"Categoria inválida"))</f>
        <v/>
      </c>
      <c r="F652" s="35" t="n"/>
      <c r="G652" s="39" t="n"/>
      <c r="H652" s="37" t="n"/>
      <c r="I652" s="36" t="n"/>
      <c r="J652" s="23">
        <f>IF(OR(G652="",I652=""),"",G652*I652)</f>
        <v/>
      </c>
      <c r="K652" s="35" t="n"/>
    </row>
    <row r="653">
      <c r="A653" s="41" t="n"/>
      <c r="B653" s="34" t="n"/>
      <c r="C653" s="34" t="n"/>
      <c r="D653" s="35" t="n"/>
      <c r="E653" s="22">
        <f>IF(D653="","",IFERROR(VLOOKUP(D653,Config!$F$6:$H$25,3,0),"Categoria inválida"))</f>
        <v/>
      </c>
      <c r="F653" s="35" t="n"/>
      <c r="G653" s="39" t="n"/>
      <c r="H653" s="37" t="n"/>
      <c r="I653" s="36" t="n"/>
      <c r="J653" s="23">
        <f>IF(OR(G653="",I653=""),"",G653*I653)</f>
        <v/>
      </c>
      <c r="K653" s="35" t="n"/>
    </row>
    <row r="654">
      <c r="A654" s="41" t="n"/>
      <c r="B654" s="34" t="n"/>
      <c r="C654" s="34" t="n"/>
      <c r="D654" s="35" t="n"/>
      <c r="E654" s="22">
        <f>IF(D654="","",IFERROR(VLOOKUP(D654,Config!$F$6:$H$25,3,0),"Categoria inválida"))</f>
        <v/>
      </c>
      <c r="F654" s="35" t="n"/>
      <c r="G654" s="39" t="n"/>
      <c r="H654" s="37" t="n"/>
      <c r="I654" s="36" t="n"/>
      <c r="J654" s="23">
        <f>IF(OR(G654="",I654=""),"",G654*I654)</f>
        <v/>
      </c>
      <c r="K654" s="35" t="n"/>
    </row>
    <row r="655">
      <c r="A655" s="41" t="n"/>
      <c r="B655" s="34" t="n"/>
      <c r="C655" s="34" t="n"/>
      <c r="D655" s="35" t="n"/>
      <c r="E655" s="22">
        <f>IF(D655="","",IFERROR(VLOOKUP(D655,Config!$F$6:$H$25,3,0),"Categoria inválida"))</f>
        <v/>
      </c>
      <c r="F655" s="35" t="n"/>
      <c r="G655" s="39" t="n"/>
      <c r="H655" s="37" t="n"/>
      <c r="I655" s="36" t="n"/>
      <c r="J655" s="23">
        <f>IF(OR(G655="",I655=""),"",G655*I655)</f>
        <v/>
      </c>
      <c r="K655" s="35" t="n"/>
    </row>
    <row r="656">
      <c r="A656" s="41" t="n"/>
      <c r="B656" s="34" t="n"/>
      <c r="C656" s="34" t="n"/>
      <c r="D656" s="35" t="n"/>
      <c r="E656" s="22">
        <f>IF(D656="","",IFERROR(VLOOKUP(D656,Config!$F$6:$H$25,3,0),"Categoria inválida"))</f>
        <v/>
      </c>
      <c r="F656" s="35" t="n"/>
      <c r="G656" s="39" t="n"/>
      <c r="H656" s="37" t="n"/>
      <c r="I656" s="36" t="n"/>
      <c r="J656" s="23">
        <f>IF(OR(G656="",I656=""),"",G656*I656)</f>
        <v/>
      </c>
      <c r="K656" s="35" t="n"/>
    </row>
    <row r="657">
      <c r="A657" s="41" t="n"/>
      <c r="B657" s="34" t="n"/>
      <c r="C657" s="34" t="n"/>
      <c r="D657" s="35" t="n"/>
      <c r="E657" s="22">
        <f>IF(D657="","",IFERROR(VLOOKUP(D657,Config!$F$6:$H$25,3,0),"Categoria inválida"))</f>
        <v/>
      </c>
      <c r="F657" s="35" t="n"/>
      <c r="G657" s="39" t="n"/>
      <c r="H657" s="37" t="n"/>
      <c r="I657" s="36" t="n"/>
      <c r="J657" s="23">
        <f>IF(OR(G657="",I657=""),"",G657*I657)</f>
        <v/>
      </c>
      <c r="K657" s="35" t="n"/>
    </row>
    <row r="658">
      <c r="A658" s="41" t="n"/>
      <c r="B658" s="34" t="n"/>
      <c r="C658" s="34" t="n"/>
      <c r="D658" s="35" t="n"/>
      <c r="E658" s="22">
        <f>IF(D658="","",IFERROR(VLOOKUP(D658,Config!$F$6:$H$25,3,0),"Categoria inválida"))</f>
        <v/>
      </c>
      <c r="F658" s="35" t="n"/>
      <c r="G658" s="39" t="n"/>
      <c r="H658" s="37" t="n"/>
      <c r="I658" s="36" t="n"/>
      <c r="J658" s="23">
        <f>IF(OR(G658="",I658=""),"",G658*I658)</f>
        <v/>
      </c>
      <c r="K658" s="35" t="n"/>
    </row>
    <row r="659">
      <c r="A659" s="41" t="n"/>
      <c r="B659" s="34" t="n"/>
      <c r="C659" s="34" t="n"/>
      <c r="D659" s="35" t="n"/>
      <c r="E659" s="22">
        <f>IF(D659="","",IFERROR(VLOOKUP(D659,Config!$F$6:$H$25,3,0),"Categoria inválida"))</f>
        <v/>
      </c>
      <c r="F659" s="35" t="n"/>
      <c r="G659" s="39" t="n"/>
      <c r="H659" s="37" t="n"/>
      <c r="I659" s="36" t="n"/>
      <c r="J659" s="23">
        <f>IF(OR(G659="",I659=""),"",G659*I659)</f>
        <v/>
      </c>
      <c r="K659" s="35" t="n"/>
    </row>
    <row r="660">
      <c r="A660" s="41" t="n"/>
      <c r="B660" s="34" t="n"/>
      <c r="C660" s="34" t="n"/>
      <c r="D660" s="35" t="n"/>
      <c r="E660" s="22">
        <f>IF(D660="","",IFERROR(VLOOKUP(D660,Config!$F$6:$H$25,3,0),"Categoria inválida"))</f>
        <v/>
      </c>
      <c r="F660" s="35" t="n"/>
      <c r="G660" s="39" t="n"/>
      <c r="H660" s="37" t="n"/>
      <c r="I660" s="36" t="n"/>
      <c r="J660" s="23">
        <f>IF(OR(G660="",I660=""),"",G660*I660)</f>
        <v/>
      </c>
      <c r="K660" s="35" t="n"/>
    </row>
    <row r="661">
      <c r="A661" s="41" t="n"/>
      <c r="B661" s="34" t="n"/>
      <c r="C661" s="34" t="n"/>
      <c r="D661" s="35" t="n"/>
      <c r="E661" s="22">
        <f>IF(D661="","",IFERROR(VLOOKUP(D661,Config!$F$6:$H$25,3,0),"Categoria inválida"))</f>
        <v/>
      </c>
      <c r="F661" s="35" t="n"/>
      <c r="G661" s="39" t="n"/>
      <c r="H661" s="37" t="n"/>
      <c r="I661" s="36" t="n"/>
      <c r="J661" s="23">
        <f>IF(OR(G661="",I661=""),"",G661*I661)</f>
        <v/>
      </c>
      <c r="K661" s="35" t="n"/>
    </row>
    <row r="662">
      <c r="A662" s="41" t="n"/>
      <c r="B662" s="34" t="n"/>
      <c r="C662" s="34" t="n"/>
      <c r="D662" s="35" t="n"/>
      <c r="E662" s="22">
        <f>IF(D662="","",IFERROR(VLOOKUP(D662,Config!$F$6:$H$25,3,0),"Categoria inválida"))</f>
        <v/>
      </c>
      <c r="F662" s="35" t="n"/>
      <c r="G662" s="39" t="n"/>
      <c r="H662" s="37" t="n"/>
      <c r="I662" s="36" t="n"/>
      <c r="J662" s="23">
        <f>IF(OR(G662="",I662=""),"",G662*I662)</f>
        <v/>
      </c>
      <c r="K662" s="35" t="n"/>
    </row>
    <row r="663">
      <c r="A663" s="41" t="n"/>
      <c r="B663" s="34" t="n"/>
      <c r="C663" s="34" t="n"/>
      <c r="D663" s="35" t="n"/>
      <c r="E663" s="22">
        <f>IF(D663="","",IFERROR(VLOOKUP(D663,Config!$F$6:$H$25,3,0),"Categoria inválida"))</f>
        <v/>
      </c>
      <c r="F663" s="35" t="n"/>
      <c r="G663" s="39" t="n"/>
      <c r="H663" s="37" t="n"/>
      <c r="I663" s="36" t="n"/>
      <c r="J663" s="23">
        <f>IF(OR(G663="",I663=""),"",G663*I663)</f>
        <v/>
      </c>
      <c r="K663" s="35" t="n"/>
    </row>
    <row r="664">
      <c r="A664" s="41" t="n"/>
      <c r="B664" s="34" t="n"/>
      <c r="C664" s="34" t="n"/>
      <c r="D664" s="35" t="n"/>
      <c r="E664" s="22">
        <f>IF(D664="","",IFERROR(VLOOKUP(D664,Config!$F$6:$H$25,3,0),"Categoria inválida"))</f>
        <v/>
      </c>
      <c r="F664" s="35" t="n"/>
      <c r="G664" s="39" t="n"/>
      <c r="H664" s="37" t="n"/>
      <c r="I664" s="36" t="n"/>
      <c r="J664" s="23">
        <f>IF(OR(G664="",I664=""),"",G664*I664)</f>
        <v/>
      </c>
      <c r="K664" s="35" t="n"/>
    </row>
    <row r="665">
      <c r="A665" s="41" t="n"/>
      <c r="B665" s="34" t="n"/>
      <c r="C665" s="34" t="n"/>
      <c r="D665" s="35" t="n"/>
      <c r="E665" s="22">
        <f>IF(D665="","",IFERROR(VLOOKUP(D665,Config!$F$6:$H$25,3,0),"Categoria inválida"))</f>
        <v/>
      </c>
      <c r="F665" s="35" t="n"/>
      <c r="G665" s="39" t="n"/>
      <c r="H665" s="37" t="n"/>
      <c r="I665" s="36" t="n"/>
      <c r="J665" s="23">
        <f>IF(OR(G665="",I665=""),"",G665*I665)</f>
        <v/>
      </c>
      <c r="K665" s="35" t="n"/>
    </row>
    <row r="666">
      <c r="A666" s="41" t="n"/>
      <c r="B666" s="34" t="n"/>
      <c r="C666" s="34" t="n"/>
      <c r="D666" s="35" t="n"/>
      <c r="E666" s="22">
        <f>IF(D666="","",IFERROR(VLOOKUP(D666,Config!$F$6:$H$25,3,0),"Categoria inválida"))</f>
        <v/>
      </c>
      <c r="F666" s="35" t="n"/>
      <c r="G666" s="39" t="n"/>
      <c r="H666" s="37" t="n"/>
      <c r="I666" s="36" t="n"/>
      <c r="J666" s="23">
        <f>IF(OR(G666="",I666=""),"",G666*I666)</f>
        <v/>
      </c>
      <c r="K666" s="35" t="n"/>
    </row>
    <row r="667">
      <c r="A667" s="41" t="n"/>
      <c r="B667" s="34" t="n"/>
      <c r="C667" s="34" t="n"/>
      <c r="D667" s="35" t="n"/>
      <c r="E667" s="22">
        <f>IF(D667="","",IFERROR(VLOOKUP(D667,Config!$F$6:$H$25,3,0),"Categoria inválida"))</f>
        <v/>
      </c>
      <c r="F667" s="35" t="n"/>
      <c r="G667" s="39" t="n"/>
      <c r="H667" s="37" t="n"/>
      <c r="I667" s="36" t="n"/>
      <c r="J667" s="23">
        <f>IF(OR(G667="",I667=""),"",G667*I667)</f>
        <v/>
      </c>
      <c r="K667" s="35" t="n"/>
    </row>
    <row r="668">
      <c r="A668" s="41" t="n"/>
      <c r="B668" s="34" t="n"/>
      <c r="C668" s="34" t="n"/>
      <c r="D668" s="35" t="n"/>
      <c r="E668" s="22">
        <f>IF(D668="","",IFERROR(VLOOKUP(D668,Config!$F$6:$H$25,3,0),"Categoria inválida"))</f>
        <v/>
      </c>
      <c r="F668" s="35" t="n"/>
      <c r="G668" s="39" t="n"/>
      <c r="H668" s="37" t="n"/>
      <c r="I668" s="36" t="n"/>
      <c r="J668" s="23">
        <f>IF(OR(G668="",I668=""),"",G668*I668)</f>
        <v/>
      </c>
      <c r="K668" s="35" t="n"/>
    </row>
    <row r="669">
      <c r="A669" s="41" t="n"/>
      <c r="B669" s="34" t="n"/>
      <c r="C669" s="34" t="n"/>
      <c r="D669" s="35" t="n"/>
      <c r="E669" s="22">
        <f>IF(D669="","",IFERROR(VLOOKUP(D669,Config!$F$6:$H$25,3,0),"Categoria inválida"))</f>
        <v/>
      </c>
      <c r="F669" s="35" t="n"/>
      <c r="G669" s="39" t="n"/>
      <c r="H669" s="37" t="n"/>
      <c r="I669" s="36" t="n"/>
      <c r="J669" s="23">
        <f>IF(OR(G669="",I669=""),"",G669*I669)</f>
        <v/>
      </c>
      <c r="K669" s="35" t="n"/>
    </row>
    <row r="670">
      <c r="A670" s="41" t="n"/>
      <c r="B670" s="34" t="n"/>
      <c r="C670" s="34" t="n"/>
      <c r="D670" s="35" t="n"/>
      <c r="E670" s="22">
        <f>IF(D670="","",IFERROR(VLOOKUP(D670,Config!$F$6:$H$25,3,0),"Categoria inválida"))</f>
        <v/>
      </c>
      <c r="F670" s="35" t="n"/>
      <c r="G670" s="39" t="n"/>
      <c r="H670" s="37" t="n"/>
      <c r="I670" s="36" t="n"/>
      <c r="J670" s="23">
        <f>IF(OR(G670="",I670=""),"",G670*I670)</f>
        <v/>
      </c>
      <c r="K670" s="35" t="n"/>
    </row>
    <row r="671">
      <c r="A671" s="41" t="n"/>
      <c r="B671" s="34" t="n"/>
      <c r="C671" s="34" t="n"/>
      <c r="D671" s="35" t="n"/>
      <c r="E671" s="22">
        <f>IF(D671="","",IFERROR(VLOOKUP(D671,Config!$F$6:$H$25,3,0),"Categoria inválida"))</f>
        <v/>
      </c>
      <c r="F671" s="35" t="n"/>
      <c r="G671" s="39" t="n"/>
      <c r="H671" s="37" t="n"/>
      <c r="I671" s="36" t="n"/>
      <c r="J671" s="23">
        <f>IF(OR(G671="",I671=""),"",G671*I671)</f>
        <v/>
      </c>
      <c r="K671" s="35" t="n"/>
    </row>
    <row r="672">
      <c r="A672" s="41" t="n"/>
      <c r="B672" s="34" t="n"/>
      <c r="C672" s="34" t="n"/>
      <c r="D672" s="35" t="n"/>
      <c r="E672" s="22">
        <f>IF(D672="","",IFERROR(VLOOKUP(D672,Config!$F$6:$H$25,3,0),"Categoria inválida"))</f>
        <v/>
      </c>
      <c r="F672" s="35" t="n"/>
      <c r="G672" s="39" t="n"/>
      <c r="H672" s="37" t="n"/>
      <c r="I672" s="36" t="n"/>
      <c r="J672" s="23">
        <f>IF(OR(G672="",I672=""),"",G672*I672)</f>
        <v/>
      </c>
      <c r="K672" s="35" t="n"/>
    </row>
    <row r="673">
      <c r="A673" s="41" t="n"/>
      <c r="B673" s="34" t="n"/>
      <c r="C673" s="34" t="n"/>
      <c r="D673" s="35" t="n"/>
      <c r="E673" s="22">
        <f>IF(D673="","",IFERROR(VLOOKUP(D673,Config!$F$6:$H$25,3,0),"Categoria inválida"))</f>
        <v/>
      </c>
      <c r="F673" s="35" t="n"/>
      <c r="G673" s="39" t="n"/>
      <c r="H673" s="37" t="n"/>
      <c r="I673" s="36" t="n"/>
      <c r="J673" s="23">
        <f>IF(OR(G673="",I673=""),"",G673*I673)</f>
        <v/>
      </c>
      <c r="K673" s="35" t="n"/>
    </row>
    <row r="674">
      <c r="A674" s="41" t="n"/>
      <c r="B674" s="34" t="n"/>
      <c r="C674" s="34" t="n"/>
      <c r="D674" s="35" t="n"/>
      <c r="E674" s="22">
        <f>IF(D674="","",IFERROR(VLOOKUP(D674,Config!$F$6:$H$25,3,0),"Categoria inválida"))</f>
        <v/>
      </c>
      <c r="F674" s="35" t="n"/>
      <c r="G674" s="39" t="n"/>
      <c r="H674" s="37" t="n"/>
      <c r="I674" s="36" t="n"/>
      <c r="J674" s="23">
        <f>IF(OR(G674="",I674=""),"",G674*I674)</f>
        <v/>
      </c>
      <c r="K674" s="35" t="n"/>
    </row>
    <row r="675">
      <c r="A675" s="41" t="n"/>
      <c r="B675" s="34" t="n"/>
      <c r="C675" s="34" t="n"/>
      <c r="D675" s="35" t="n"/>
      <c r="E675" s="22">
        <f>IF(D675="","",IFERROR(VLOOKUP(D675,Config!$F$6:$H$25,3,0),"Categoria inválida"))</f>
        <v/>
      </c>
      <c r="F675" s="35" t="n"/>
      <c r="G675" s="39" t="n"/>
      <c r="H675" s="37" t="n"/>
      <c r="I675" s="36" t="n"/>
      <c r="J675" s="23">
        <f>IF(OR(G675="",I675=""),"",G675*I675)</f>
        <v/>
      </c>
      <c r="K675" s="35" t="n"/>
    </row>
    <row r="676">
      <c r="A676" s="41" t="n"/>
      <c r="B676" s="34" t="n"/>
      <c r="C676" s="34" t="n"/>
      <c r="D676" s="35" t="n"/>
      <c r="E676" s="22">
        <f>IF(D676="","",IFERROR(VLOOKUP(D676,Config!$F$6:$H$25,3,0),"Categoria inválida"))</f>
        <v/>
      </c>
      <c r="F676" s="35" t="n"/>
      <c r="G676" s="39" t="n"/>
      <c r="H676" s="37" t="n"/>
      <c r="I676" s="36" t="n"/>
      <c r="J676" s="23">
        <f>IF(OR(G676="",I676=""),"",G676*I676)</f>
        <v/>
      </c>
      <c r="K676" s="35" t="n"/>
    </row>
    <row r="677">
      <c r="A677" s="41" t="n"/>
      <c r="B677" s="34" t="n"/>
      <c r="C677" s="34" t="n"/>
      <c r="D677" s="35" t="n"/>
      <c r="E677" s="22">
        <f>IF(D677="","",IFERROR(VLOOKUP(D677,Config!$F$6:$H$25,3,0),"Categoria inválida"))</f>
        <v/>
      </c>
      <c r="F677" s="35" t="n"/>
      <c r="G677" s="39" t="n"/>
      <c r="H677" s="37" t="n"/>
      <c r="I677" s="36" t="n"/>
      <c r="J677" s="23">
        <f>IF(OR(G677="",I677=""),"",G677*I677)</f>
        <v/>
      </c>
      <c r="K677" s="35" t="n"/>
    </row>
    <row r="678">
      <c r="A678" s="41" t="n"/>
      <c r="B678" s="34" t="n"/>
      <c r="C678" s="34" t="n"/>
      <c r="D678" s="35" t="n"/>
      <c r="E678" s="22">
        <f>IF(D678="","",IFERROR(VLOOKUP(D678,Config!$F$6:$H$25,3,0),"Categoria inválida"))</f>
        <v/>
      </c>
      <c r="F678" s="35" t="n"/>
      <c r="G678" s="39" t="n"/>
      <c r="H678" s="37" t="n"/>
      <c r="I678" s="36" t="n"/>
      <c r="J678" s="23">
        <f>IF(OR(G678="",I678=""),"",G678*I678)</f>
        <v/>
      </c>
      <c r="K678" s="35" t="n"/>
    </row>
    <row r="679">
      <c r="A679" s="41" t="n"/>
      <c r="B679" s="34" t="n"/>
      <c r="C679" s="34" t="n"/>
      <c r="D679" s="35" t="n"/>
      <c r="E679" s="22">
        <f>IF(D679="","",IFERROR(VLOOKUP(D679,Config!$F$6:$H$25,3,0),"Categoria inválida"))</f>
        <v/>
      </c>
      <c r="F679" s="35" t="n"/>
      <c r="G679" s="39" t="n"/>
      <c r="H679" s="37" t="n"/>
      <c r="I679" s="36" t="n"/>
      <c r="J679" s="23">
        <f>IF(OR(G679="",I679=""),"",G679*I679)</f>
        <v/>
      </c>
      <c r="K679" s="35" t="n"/>
    </row>
    <row r="680">
      <c r="A680" s="41" t="n"/>
      <c r="B680" s="34" t="n"/>
      <c r="C680" s="34" t="n"/>
      <c r="D680" s="35" t="n"/>
      <c r="E680" s="22">
        <f>IF(D680="","",IFERROR(VLOOKUP(D680,Config!$F$6:$H$25,3,0),"Categoria inválida"))</f>
        <v/>
      </c>
      <c r="F680" s="35" t="n"/>
      <c r="G680" s="39" t="n"/>
      <c r="H680" s="37" t="n"/>
      <c r="I680" s="36" t="n"/>
      <c r="J680" s="23">
        <f>IF(OR(G680="",I680=""),"",G680*I680)</f>
        <v/>
      </c>
      <c r="K680" s="35" t="n"/>
    </row>
    <row r="681">
      <c r="A681" s="41" t="n"/>
      <c r="B681" s="34" t="n"/>
      <c r="C681" s="34" t="n"/>
      <c r="D681" s="35" t="n"/>
      <c r="E681" s="22">
        <f>IF(D681="","",IFERROR(VLOOKUP(D681,Config!$F$6:$H$25,3,0),"Categoria inválida"))</f>
        <v/>
      </c>
      <c r="F681" s="35" t="n"/>
      <c r="G681" s="39" t="n"/>
      <c r="H681" s="37" t="n"/>
      <c r="I681" s="36" t="n"/>
      <c r="J681" s="23">
        <f>IF(OR(G681="",I681=""),"",G681*I681)</f>
        <v/>
      </c>
      <c r="K681" s="35" t="n"/>
    </row>
    <row r="682">
      <c r="A682" s="41" t="n"/>
      <c r="B682" s="34" t="n"/>
      <c r="C682" s="34" t="n"/>
      <c r="D682" s="35" t="n"/>
      <c r="E682" s="22">
        <f>IF(D682="","",IFERROR(VLOOKUP(D682,Config!$F$6:$H$25,3,0),"Categoria inválida"))</f>
        <v/>
      </c>
      <c r="F682" s="35" t="n"/>
      <c r="G682" s="39" t="n"/>
      <c r="H682" s="37" t="n"/>
      <c r="I682" s="36" t="n"/>
      <c r="J682" s="23">
        <f>IF(OR(G682="",I682=""),"",G682*I682)</f>
        <v/>
      </c>
      <c r="K682" s="35" t="n"/>
    </row>
    <row r="683">
      <c r="A683" s="41" t="n"/>
      <c r="B683" s="34" t="n"/>
      <c r="C683" s="34" t="n"/>
      <c r="D683" s="35" t="n"/>
      <c r="E683" s="22">
        <f>IF(D683="","",IFERROR(VLOOKUP(D683,Config!$F$6:$H$25,3,0),"Categoria inválida"))</f>
        <v/>
      </c>
      <c r="F683" s="35" t="n"/>
      <c r="G683" s="39" t="n"/>
      <c r="H683" s="37" t="n"/>
      <c r="I683" s="36" t="n"/>
      <c r="J683" s="23">
        <f>IF(OR(G683="",I683=""),"",G683*I683)</f>
        <v/>
      </c>
      <c r="K683" s="35" t="n"/>
    </row>
    <row r="684">
      <c r="A684" s="41" t="n"/>
      <c r="B684" s="34" t="n"/>
      <c r="C684" s="34" t="n"/>
      <c r="D684" s="35" t="n"/>
      <c r="E684" s="22">
        <f>IF(D684="","",IFERROR(VLOOKUP(D684,Config!$F$6:$H$25,3,0),"Categoria inválida"))</f>
        <v/>
      </c>
      <c r="F684" s="35" t="n"/>
      <c r="G684" s="39" t="n"/>
      <c r="H684" s="37" t="n"/>
      <c r="I684" s="36" t="n"/>
      <c r="J684" s="23">
        <f>IF(OR(G684="",I684=""),"",G684*I684)</f>
        <v/>
      </c>
      <c r="K684" s="35" t="n"/>
    </row>
    <row r="685">
      <c r="A685" s="41" t="n"/>
      <c r="B685" s="34" t="n"/>
      <c r="C685" s="34" t="n"/>
      <c r="D685" s="35" t="n"/>
      <c r="E685" s="22">
        <f>IF(D685="","",IFERROR(VLOOKUP(D685,Config!$F$6:$H$25,3,0),"Categoria inválida"))</f>
        <v/>
      </c>
      <c r="F685" s="35" t="n"/>
      <c r="G685" s="39" t="n"/>
      <c r="H685" s="37" t="n"/>
      <c r="I685" s="36" t="n"/>
      <c r="J685" s="23">
        <f>IF(OR(G685="",I685=""),"",G685*I685)</f>
        <v/>
      </c>
      <c r="K685" s="35" t="n"/>
    </row>
    <row r="686">
      <c r="A686" s="41" t="n"/>
      <c r="B686" s="34" t="n"/>
      <c r="C686" s="34" t="n"/>
      <c r="D686" s="35" t="n"/>
      <c r="E686" s="22">
        <f>IF(D686="","",IFERROR(VLOOKUP(D686,Config!$F$6:$H$25,3,0),"Categoria inválida"))</f>
        <v/>
      </c>
      <c r="F686" s="35" t="n"/>
      <c r="G686" s="39" t="n"/>
      <c r="H686" s="37" t="n"/>
      <c r="I686" s="36" t="n"/>
      <c r="J686" s="23">
        <f>IF(OR(G686="",I686=""),"",G686*I686)</f>
        <v/>
      </c>
      <c r="K686" s="35" t="n"/>
    </row>
    <row r="687">
      <c r="A687" s="41" t="n"/>
      <c r="B687" s="34" t="n"/>
      <c r="C687" s="34" t="n"/>
      <c r="D687" s="35" t="n"/>
      <c r="E687" s="22">
        <f>IF(D687="","",IFERROR(VLOOKUP(D687,Config!$F$6:$H$25,3,0),"Categoria inválida"))</f>
        <v/>
      </c>
      <c r="F687" s="35" t="n"/>
      <c r="G687" s="39" t="n"/>
      <c r="H687" s="37" t="n"/>
      <c r="I687" s="36" t="n"/>
      <c r="J687" s="23">
        <f>IF(OR(G687="",I687=""),"",G687*I687)</f>
        <v/>
      </c>
      <c r="K687" s="35" t="n"/>
    </row>
    <row r="688">
      <c r="A688" s="41" t="n"/>
      <c r="B688" s="34" t="n"/>
      <c r="C688" s="34" t="n"/>
      <c r="D688" s="35" t="n"/>
      <c r="E688" s="22">
        <f>IF(D688="","",IFERROR(VLOOKUP(D688,Config!$F$6:$H$25,3,0),"Categoria inválida"))</f>
        <v/>
      </c>
      <c r="F688" s="35" t="n"/>
      <c r="G688" s="39" t="n"/>
      <c r="H688" s="37" t="n"/>
      <c r="I688" s="36" t="n"/>
      <c r="J688" s="23">
        <f>IF(OR(G688="",I688=""),"",G688*I688)</f>
        <v/>
      </c>
      <c r="K688" s="35" t="n"/>
    </row>
    <row r="689">
      <c r="A689" s="41" t="n"/>
      <c r="B689" s="34" t="n"/>
      <c r="C689" s="34" t="n"/>
      <c r="D689" s="35" t="n"/>
      <c r="E689" s="22">
        <f>IF(D689="","",IFERROR(VLOOKUP(D689,Config!$F$6:$H$25,3,0),"Categoria inválida"))</f>
        <v/>
      </c>
      <c r="F689" s="35" t="n"/>
      <c r="G689" s="39" t="n"/>
      <c r="H689" s="37" t="n"/>
      <c r="I689" s="36" t="n"/>
      <c r="J689" s="23">
        <f>IF(OR(G689="",I689=""),"",G689*I689)</f>
        <v/>
      </c>
      <c r="K689" s="35" t="n"/>
    </row>
    <row r="690">
      <c r="A690" s="41" t="n"/>
      <c r="B690" s="34" t="n"/>
      <c r="C690" s="34" t="n"/>
      <c r="D690" s="35" t="n"/>
      <c r="E690" s="22">
        <f>IF(D690="","",IFERROR(VLOOKUP(D690,Config!$F$6:$H$25,3,0),"Categoria inválida"))</f>
        <v/>
      </c>
      <c r="F690" s="35" t="n"/>
      <c r="G690" s="39" t="n"/>
      <c r="H690" s="37" t="n"/>
      <c r="I690" s="36" t="n"/>
      <c r="J690" s="23">
        <f>IF(OR(G690="",I690=""),"",G690*I690)</f>
        <v/>
      </c>
      <c r="K690" s="35" t="n"/>
    </row>
    <row r="691">
      <c r="A691" s="41" t="n"/>
      <c r="B691" s="34" t="n"/>
      <c r="C691" s="34" t="n"/>
      <c r="D691" s="35" t="n"/>
      <c r="E691" s="22">
        <f>IF(D691="","",IFERROR(VLOOKUP(D691,Config!$F$6:$H$25,3,0),"Categoria inválida"))</f>
        <v/>
      </c>
      <c r="F691" s="35" t="n"/>
      <c r="G691" s="39" t="n"/>
      <c r="H691" s="37" t="n"/>
      <c r="I691" s="36" t="n"/>
      <c r="J691" s="23">
        <f>IF(OR(G691="",I691=""),"",G691*I691)</f>
        <v/>
      </c>
      <c r="K691" s="35" t="n"/>
    </row>
    <row r="692">
      <c r="A692" s="41" t="n"/>
      <c r="B692" s="34" t="n"/>
      <c r="C692" s="34" t="n"/>
      <c r="D692" s="35" t="n"/>
      <c r="E692" s="22">
        <f>IF(D692="","",IFERROR(VLOOKUP(D692,Config!$F$6:$H$25,3,0),"Categoria inválida"))</f>
        <v/>
      </c>
      <c r="F692" s="35" t="n"/>
      <c r="G692" s="39" t="n"/>
      <c r="H692" s="37" t="n"/>
      <c r="I692" s="36" t="n"/>
      <c r="J692" s="23">
        <f>IF(OR(G692="",I692=""),"",G692*I692)</f>
        <v/>
      </c>
      <c r="K692" s="35" t="n"/>
    </row>
    <row r="693">
      <c r="A693" s="41" t="n"/>
      <c r="B693" s="34" t="n"/>
      <c r="C693" s="34" t="n"/>
      <c r="D693" s="35" t="n"/>
      <c r="E693" s="22">
        <f>IF(D693="","",IFERROR(VLOOKUP(D693,Config!$F$6:$H$25,3,0),"Categoria inválida"))</f>
        <v/>
      </c>
      <c r="F693" s="35" t="n"/>
      <c r="G693" s="39" t="n"/>
      <c r="H693" s="37" t="n"/>
      <c r="I693" s="36" t="n"/>
      <c r="J693" s="23">
        <f>IF(OR(G693="",I693=""),"",G693*I693)</f>
        <v/>
      </c>
      <c r="K693" s="35" t="n"/>
    </row>
    <row r="694">
      <c r="A694" s="41" t="n"/>
      <c r="B694" s="34" t="n"/>
      <c r="C694" s="34" t="n"/>
      <c r="D694" s="35" t="n"/>
      <c r="E694" s="22">
        <f>IF(D694="","",IFERROR(VLOOKUP(D694,Config!$F$6:$H$25,3,0),"Categoria inválida"))</f>
        <v/>
      </c>
      <c r="F694" s="35" t="n"/>
      <c r="G694" s="39" t="n"/>
      <c r="H694" s="37" t="n"/>
      <c r="I694" s="36" t="n"/>
      <c r="J694" s="23">
        <f>IF(OR(G694="",I694=""),"",G694*I694)</f>
        <v/>
      </c>
      <c r="K694" s="35" t="n"/>
    </row>
    <row r="695">
      <c r="A695" s="41" t="n"/>
      <c r="B695" s="34" t="n"/>
      <c r="C695" s="34" t="n"/>
      <c r="D695" s="35" t="n"/>
      <c r="E695" s="22">
        <f>IF(D695="","",IFERROR(VLOOKUP(D695,Config!$F$6:$H$25,3,0),"Categoria inválida"))</f>
        <v/>
      </c>
      <c r="F695" s="35" t="n"/>
      <c r="G695" s="39" t="n"/>
      <c r="H695" s="37" t="n"/>
      <c r="I695" s="36" t="n"/>
      <c r="J695" s="23">
        <f>IF(OR(G695="",I695=""),"",G695*I695)</f>
        <v/>
      </c>
      <c r="K695" s="35" t="n"/>
    </row>
    <row r="696">
      <c r="A696" s="41" t="n"/>
      <c r="B696" s="34" t="n"/>
      <c r="C696" s="34" t="n"/>
      <c r="D696" s="35" t="n"/>
      <c r="E696" s="22">
        <f>IF(D696="","",IFERROR(VLOOKUP(D696,Config!$F$6:$H$25,3,0),"Categoria inválida"))</f>
        <v/>
      </c>
      <c r="F696" s="35" t="n"/>
      <c r="G696" s="39" t="n"/>
      <c r="H696" s="37" t="n"/>
      <c r="I696" s="36" t="n"/>
      <c r="J696" s="23">
        <f>IF(OR(G696="",I696=""),"",G696*I696)</f>
        <v/>
      </c>
      <c r="K696" s="35" t="n"/>
    </row>
    <row r="697">
      <c r="A697" s="41" t="n"/>
      <c r="B697" s="34" t="n"/>
      <c r="C697" s="34" t="n"/>
      <c r="D697" s="35" t="n"/>
      <c r="E697" s="22">
        <f>IF(D697="","",IFERROR(VLOOKUP(D697,Config!$F$6:$H$25,3,0),"Categoria inválida"))</f>
        <v/>
      </c>
      <c r="F697" s="35" t="n"/>
      <c r="G697" s="39" t="n"/>
      <c r="H697" s="37" t="n"/>
      <c r="I697" s="36" t="n"/>
      <c r="J697" s="23">
        <f>IF(OR(G697="",I697=""),"",G697*I697)</f>
        <v/>
      </c>
      <c r="K697" s="35" t="n"/>
    </row>
    <row r="698">
      <c r="A698" s="41" t="n"/>
      <c r="B698" s="34" t="n"/>
      <c r="C698" s="34" t="n"/>
      <c r="D698" s="35" t="n"/>
      <c r="E698" s="22">
        <f>IF(D698="","",IFERROR(VLOOKUP(D698,Config!$F$6:$H$25,3,0),"Categoria inválida"))</f>
        <v/>
      </c>
      <c r="F698" s="35" t="n"/>
      <c r="G698" s="39" t="n"/>
      <c r="H698" s="37" t="n"/>
      <c r="I698" s="36" t="n"/>
      <c r="J698" s="23">
        <f>IF(OR(G698="",I698=""),"",G698*I698)</f>
        <v/>
      </c>
      <c r="K698" s="35" t="n"/>
    </row>
    <row r="699">
      <c r="A699" s="41" t="n"/>
      <c r="B699" s="34" t="n"/>
      <c r="C699" s="34" t="n"/>
      <c r="D699" s="35" t="n"/>
      <c r="E699" s="22">
        <f>IF(D699="","",IFERROR(VLOOKUP(D699,Config!$F$6:$H$25,3,0),"Categoria inválida"))</f>
        <v/>
      </c>
      <c r="F699" s="35" t="n"/>
      <c r="G699" s="39" t="n"/>
      <c r="H699" s="37" t="n"/>
      <c r="I699" s="36" t="n"/>
      <c r="J699" s="23">
        <f>IF(OR(G699="",I699=""),"",G699*I699)</f>
        <v/>
      </c>
      <c r="K699" s="35" t="n"/>
    </row>
    <row r="700">
      <c r="A700" s="41" t="n"/>
      <c r="B700" s="34" t="n"/>
      <c r="C700" s="34" t="n"/>
      <c r="D700" s="35" t="n"/>
      <c r="E700" s="22">
        <f>IF(D700="","",IFERROR(VLOOKUP(D700,Config!$F$6:$H$25,3,0),"Categoria inválida"))</f>
        <v/>
      </c>
      <c r="F700" s="35" t="n"/>
      <c r="G700" s="39" t="n"/>
      <c r="H700" s="37" t="n"/>
      <c r="I700" s="36" t="n"/>
      <c r="J700" s="23">
        <f>IF(OR(G700="",I700=""),"",G700*I700)</f>
        <v/>
      </c>
      <c r="K700" s="35" t="n"/>
    </row>
    <row r="701">
      <c r="A701" s="41" t="n"/>
      <c r="B701" s="34" t="n"/>
      <c r="C701" s="34" t="n"/>
      <c r="D701" s="35" t="n"/>
      <c r="E701" s="22">
        <f>IF(D701="","",IFERROR(VLOOKUP(D701,Config!$F$6:$H$25,3,0),"Categoria inválida"))</f>
        <v/>
      </c>
      <c r="F701" s="35" t="n"/>
      <c r="G701" s="39" t="n"/>
      <c r="H701" s="37" t="n"/>
      <c r="I701" s="36" t="n"/>
      <c r="J701" s="23">
        <f>IF(OR(G701="",I701=""),"",G701*I701)</f>
        <v/>
      </c>
      <c r="K701" s="35" t="n"/>
    </row>
    <row r="702">
      <c r="A702" s="41" t="n"/>
      <c r="B702" s="34" t="n"/>
      <c r="C702" s="34" t="n"/>
      <c r="D702" s="35" t="n"/>
      <c r="E702" s="22">
        <f>IF(D702="","",IFERROR(VLOOKUP(D702,Config!$F$6:$H$25,3,0),"Categoria inválida"))</f>
        <v/>
      </c>
      <c r="F702" s="35" t="n"/>
      <c r="G702" s="39" t="n"/>
      <c r="H702" s="37" t="n"/>
      <c r="I702" s="36" t="n"/>
      <c r="J702" s="23">
        <f>IF(OR(G702="",I702=""),"",G702*I702)</f>
        <v/>
      </c>
      <c r="K702" s="35" t="n"/>
    </row>
    <row r="703">
      <c r="A703" s="41" t="n"/>
      <c r="B703" s="34" t="n"/>
      <c r="C703" s="34" t="n"/>
      <c r="D703" s="35" t="n"/>
      <c r="E703" s="22">
        <f>IF(D703="","",IFERROR(VLOOKUP(D703,Config!$F$6:$H$25,3,0),"Categoria inválida"))</f>
        <v/>
      </c>
      <c r="F703" s="35" t="n"/>
      <c r="G703" s="39" t="n"/>
      <c r="H703" s="37" t="n"/>
      <c r="I703" s="36" t="n"/>
      <c r="J703" s="23">
        <f>IF(OR(G703="",I703=""),"",G703*I703)</f>
        <v/>
      </c>
      <c r="K703" s="35" t="n"/>
    </row>
    <row r="704">
      <c r="A704" s="41" t="n"/>
      <c r="B704" s="34" t="n"/>
      <c r="C704" s="34" t="n"/>
      <c r="D704" s="35" t="n"/>
      <c r="E704" s="22">
        <f>IF(D704="","",IFERROR(VLOOKUP(D704,Config!$F$6:$H$25,3,0),"Categoria inválida"))</f>
        <v/>
      </c>
      <c r="F704" s="35" t="n"/>
      <c r="G704" s="39" t="n"/>
      <c r="H704" s="37" t="n"/>
      <c r="I704" s="36" t="n"/>
      <c r="J704" s="23">
        <f>IF(OR(G704="",I704=""),"",G704*I704)</f>
        <v/>
      </c>
      <c r="K704" s="35" t="n"/>
    </row>
    <row r="705">
      <c r="A705" s="41" t="n"/>
      <c r="B705" s="34" t="n"/>
      <c r="C705" s="34" t="n"/>
      <c r="D705" s="35" t="n"/>
      <c r="E705" s="22">
        <f>IF(D705="","",IFERROR(VLOOKUP(D705,Config!$F$6:$H$25,3,0),"Categoria inválida"))</f>
        <v/>
      </c>
      <c r="F705" s="35" t="n"/>
      <c r="G705" s="39" t="n"/>
      <c r="H705" s="37" t="n"/>
      <c r="I705" s="36" t="n"/>
      <c r="J705" s="23">
        <f>IF(OR(G705="",I705=""),"",G705*I705)</f>
        <v/>
      </c>
      <c r="K705" s="35" t="n"/>
    </row>
    <row r="706">
      <c r="A706" s="41" t="n"/>
      <c r="B706" s="34" t="n"/>
      <c r="C706" s="34" t="n"/>
      <c r="D706" s="35" t="n"/>
      <c r="E706" s="22">
        <f>IF(D706="","",IFERROR(VLOOKUP(D706,Config!$F$6:$H$25,3,0),"Categoria inválida"))</f>
        <v/>
      </c>
      <c r="F706" s="35" t="n"/>
      <c r="G706" s="39" t="n"/>
      <c r="H706" s="37" t="n"/>
      <c r="I706" s="36" t="n"/>
      <c r="J706" s="23">
        <f>IF(OR(G706="",I706=""),"",G706*I706)</f>
        <v/>
      </c>
      <c r="K706" s="35" t="n"/>
    </row>
    <row r="707">
      <c r="A707" s="41" t="n"/>
      <c r="B707" s="34" t="n"/>
      <c r="C707" s="34" t="n"/>
      <c r="D707" s="35" t="n"/>
      <c r="E707" s="22">
        <f>IF(D707="","",IFERROR(VLOOKUP(D707,Config!$F$6:$H$25,3,0),"Categoria inválida"))</f>
        <v/>
      </c>
      <c r="F707" s="35" t="n"/>
      <c r="G707" s="39" t="n"/>
      <c r="H707" s="37" t="n"/>
      <c r="I707" s="36" t="n"/>
      <c r="J707" s="23">
        <f>IF(OR(G707="",I707=""),"",G707*I707)</f>
        <v/>
      </c>
      <c r="K707" s="35" t="n"/>
    </row>
    <row r="708">
      <c r="A708" s="41" t="n"/>
      <c r="B708" s="34" t="n"/>
      <c r="C708" s="34" t="n"/>
      <c r="D708" s="35" t="n"/>
      <c r="E708" s="22">
        <f>IF(D708="","",IFERROR(VLOOKUP(D708,Config!$F$6:$H$25,3,0),"Categoria inválida"))</f>
        <v/>
      </c>
      <c r="F708" s="35" t="n"/>
      <c r="G708" s="39" t="n"/>
      <c r="H708" s="37" t="n"/>
      <c r="I708" s="36" t="n"/>
      <c r="J708" s="23">
        <f>IF(OR(G708="",I708=""),"",G708*I708)</f>
        <v/>
      </c>
      <c r="K708" s="35" t="n"/>
    </row>
    <row r="709">
      <c r="A709" s="41" t="n"/>
      <c r="B709" s="34" t="n"/>
      <c r="C709" s="34" t="n"/>
      <c r="D709" s="35" t="n"/>
      <c r="E709" s="22">
        <f>IF(D709="","",IFERROR(VLOOKUP(D709,Config!$F$6:$H$25,3,0),"Categoria inválida"))</f>
        <v/>
      </c>
      <c r="F709" s="35" t="n"/>
      <c r="G709" s="39" t="n"/>
      <c r="H709" s="37" t="n"/>
      <c r="I709" s="36" t="n"/>
      <c r="J709" s="23">
        <f>IF(OR(G709="",I709=""),"",G709*I709)</f>
        <v/>
      </c>
      <c r="K709" s="35" t="n"/>
    </row>
    <row r="710">
      <c r="A710" s="41" t="n"/>
      <c r="B710" s="34" t="n"/>
      <c r="C710" s="34" t="n"/>
      <c r="D710" s="35" t="n"/>
      <c r="E710" s="22">
        <f>IF(D710="","",IFERROR(VLOOKUP(D710,Config!$F$6:$H$25,3,0),"Categoria inválida"))</f>
        <v/>
      </c>
      <c r="F710" s="35" t="n"/>
      <c r="G710" s="39" t="n"/>
      <c r="H710" s="37" t="n"/>
      <c r="I710" s="36" t="n"/>
      <c r="J710" s="23">
        <f>IF(OR(G710="",I710=""),"",G710*I710)</f>
        <v/>
      </c>
      <c r="K710" s="35" t="n"/>
    </row>
    <row r="711">
      <c r="A711" s="41" t="n"/>
      <c r="B711" s="34" t="n"/>
      <c r="C711" s="34" t="n"/>
      <c r="D711" s="35" t="n"/>
      <c r="E711" s="22">
        <f>IF(D711="","",IFERROR(VLOOKUP(D711,Config!$F$6:$H$25,3,0),"Categoria inválida"))</f>
        <v/>
      </c>
      <c r="F711" s="35" t="n"/>
      <c r="G711" s="39" t="n"/>
      <c r="H711" s="37" t="n"/>
      <c r="I711" s="36" t="n"/>
      <c r="J711" s="23">
        <f>IF(OR(G711="",I711=""),"",G711*I711)</f>
        <v/>
      </c>
      <c r="K711" s="35" t="n"/>
    </row>
    <row r="712">
      <c r="A712" s="41" t="n"/>
      <c r="B712" s="34" t="n"/>
      <c r="C712" s="34" t="n"/>
      <c r="D712" s="35" t="n"/>
      <c r="E712" s="22">
        <f>IF(D712="","",IFERROR(VLOOKUP(D712,Config!$F$6:$H$25,3,0),"Categoria inválida"))</f>
        <v/>
      </c>
      <c r="F712" s="35" t="n"/>
      <c r="G712" s="39" t="n"/>
      <c r="H712" s="37" t="n"/>
      <c r="I712" s="36" t="n"/>
      <c r="J712" s="23">
        <f>IF(OR(G712="",I712=""),"",G712*I712)</f>
        <v/>
      </c>
      <c r="K712" s="35" t="n"/>
    </row>
    <row r="713">
      <c r="A713" s="41" t="n"/>
      <c r="B713" s="34" t="n"/>
      <c r="C713" s="34" t="n"/>
      <c r="D713" s="35" t="n"/>
      <c r="E713" s="22">
        <f>IF(D713="","",IFERROR(VLOOKUP(D713,Config!$F$6:$H$25,3,0),"Categoria inválida"))</f>
        <v/>
      </c>
      <c r="F713" s="35" t="n"/>
      <c r="G713" s="39" t="n"/>
      <c r="H713" s="37" t="n"/>
      <c r="I713" s="36" t="n"/>
      <c r="J713" s="23">
        <f>IF(OR(G713="",I713=""),"",G713*I713)</f>
        <v/>
      </c>
      <c r="K713" s="35" t="n"/>
    </row>
    <row r="714">
      <c r="A714" s="41" t="n"/>
      <c r="B714" s="34" t="n"/>
      <c r="C714" s="34" t="n"/>
      <c r="D714" s="35" t="n"/>
      <c r="E714" s="22">
        <f>IF(D714="","",IFERROR(VLOOKUP(D714,Config!$F$6:$H$25,3,0),"Categoria inválida"))</f>
        <v/>
      </c>
      <c r="F714" s="35" t="n"/>
      <c r="G714" s="39" t="n"/>
      <c r="H714" s="37" t="n"/>
      <c r="I714" s="36" t="n"/>
      <c r="J714" s="23">
        <f>IF(OR(G714="",I714=""),"",G714*I714)</f>
        <v/>
      </c>
      <c r="K714" s="35" t="n"/>
    </row>
    <row r="715">
      <c r="A715" s="41" t="n"/>
      <c r="B715" s="34" t="n"/>
      <c r="C715" s="34" t="n"/>
      <c r="D715" s="35" t="n"/>
      <c r="E715" s="22">
        <f>IF(D715="","",IFERROR(VLOOKUP(D715,Config!$F$6:$H$25,3,0),"Categoria inválida"))</f>
        <v/>
      </c>
      <c r="F715" s="35" t="n"/>
      <c r="G715" s="39" t="n"/>
      <c r="H715" s="37" t="n"/>
      <c r="I715" s="36" t="n"/>
      <c r="J715" s="23">
        <f>IF(OR(G715="",I715=""),"",G715*I715)</f>
        <v/>
      </c>
      <c r="K715" s="35" t="n"/>
    </row>
    <row r="716">
      <c r="A716" s="41" t="n"/>
      <c r="B716" s="34" t="n"/>
      <c r="C716" s="34" t="n"/>
      <c r="D716" s="35" t="n"/>
      <c r="E716" s="22">
        <f>IF(D716="","",IFERROR(VLOOKUP(D716,Config!$F$6:$H$25,3,0),"Categoria inválida"))</f>
        <v/>
      </c>
      <c r="F716" s="35" t="n"/>
      <c r="G716" s="39" t="n"/>
      <c r="H716" s="37" t="n"/>
      <c r="I716" s="36" t="n"/>
      <c r="J716" s="23">
        <f>IF(OR(G716="",I716=""),"",G716*I716)</f>
        <v/>
      </c>
      <c r="K716" s="35" t="n"/>
    </row>
    <row r="717">
      <c r="A717" s="41" t="n"/>
      <c r="B717" s="34" t="n"/>
      <c r="C717" s="34" t="n"/>
      <c r="D717" s="35" t="n"/>
      <c r="E717" s="22">
        <f>IF(D717="","",IFERROR(VLOOKUP(D717,Config!$F$6:$H$25,3,0),"Categoria inválida"))</f>
        <v/>
      </c>
      <c r="F717" s="35" t="n"/>
      <c r="G717" s="39" t="n"/>
      <c r="H717" s="37" t="n"/>
      <c r="I717" s="36" t="n"/>
      <c r="J717" s="23">
        <f>IF(OR(G717="",I717=""),"",G717*I717)</f>
        <v/>
      </c>
      <c r="K717" s="35" t="n"/>
    </row>
    <row r="718">
      <c r="A718" s="41" t="n"/>
      <c r="B718" s="34" t="n"/>
      <c r="C718" s="34" t="n"/>
      <c r="D718" s="35" t="n"/>
      <c r="E718" s="22">
        <f>IF(D718="","",IFERROR(VLOOKUP(D718,Config!$F$6:$H$25,3,0),"Categoria inválida"))</f>
        <v/>
      </c>
      <c r="F718" s="35" t="n"/>
      <c r="G718" s="39" t="n"/>
      <c r="H718" s="37" t="n"/>
      <c r="I718" s="36" t="n"/>
      <c r="J718" s="23">
        <f>IF(OR(G718="",I718=""),"",G718*I718)</f>
        <v/>
      </c>
      <c r="K718" s="35" t="n"/>
    </row>
    <row r="719">
      <c r="A719" s="41" t="n"/>
      <c r="B719" s="34" t="n"/>
      <c r="C719" s="34" t="n"/>
      <c r="D719" s="35" t="n"/>
      <c r="E719" s="22">
        <f>IF(D719="","",IFERROR(VLOOKUP(D719,Config!$F$6:$H$25,3,0),"Categoria inválida"))</f>
        <v/>
      </c>
      <c r="F719" s="35" t="n"/>
      <c r="G719" s="39" t="n"/>
      <c r="H719" s="37" t="n"/>
      <c r="I719" s="36" t="n"/>
      <c r="J719" s="23">
        <f>IF(OR(G719="",I719=""),"",G719*I719)</f>
        <v/>
      </c>
      <c r="K719" s="35" t="n"/>
    </row>
    <row r="720">
      <c r="A720" s="41" t="n"/>
      <c r="B720" s="34" t="n"/>
      <c r="C720" s="34" t="n"/>
      <c r="D720" s="35" t="n"/>
      <c r="E720" s="22">
        <f>IF(D720="","",IFERROR(VLOOKUP(D720,Config!$F$6:$H$25,3,0),"Categoria inválida"))</f>
        <v/>
      </c>
      <c r="F720" s="35" t="n"/>
      <c r="G720" s="39" t="n"/>
      <c r="H720" s="37" t="n"/>
      <c r="I720" s="36" t="n"/>
      <c r="J720" s="23">
        <f>IF(OR(G720="",I720=""),"",G720*I720)</f>
        <v/>
      </c>
      <c r="K720" s="35" t="n"/>
    </row>
    <row r="721">
      <c r="A721" s="41" t="n"/>
      <c r="B721" s="34" t="n"/>
      <c r="C721" s="34" t="n"/>
      <c r="D721" s="35" t="n"/>
      <c r="E721" s="22">
        <f>IF(D721="","",IFERROR(VLOOKUP(D721,Config!$F$6:$H$25,3,0),"Categoria inválida"))</f>
        <v/>
      </c>
      <c r="F721" s="35" t="n"/>
      <c r="G721" s="39" t="n"/>
      <c r="H721" s="37" t="n"/>
      <c r="I721" s="36" t="n"/>
      <c r="J721" s="23">
        <f>IF(OR(G721="",I721=""),"",G721*I721)</f>
        <v/>
      </c>
      <c r="K721" s="35" t="n"/>
    </row>
    <row r="722">
      <c r="A722" s="41" t="n"/>
      <c r="B722" s="34" t="n"/>
      <c r="C722" s="34" t="n"/>
      <c r="D722" s="35" t="n"/>
      <c r="E722" s="22">
        <f>IF(D722="","",IFERROR(VLOOKUP(D722,Config!$F$6:$H$25,3,0),"Categoria inválida"))</f>
        <v/>
      </c>
      <c r="F722" s="35" t="n"/>
      <c r="G722" s="39" t="n"/>
      <c r="H722" s="37" t="n"/>
      <c r="I722" s="36" t="n"/>
      <c r="J722" s="23">
        <f>IF(OR(G722="",I722=""),"",G722*I722)</f>
        <v/>
      </c>
      <c r="K722" s="35" t="n"/>
    </row>
    <row r="723">
      <c r="A723" s="41" t="n"/>
      <c r="B723" s="34" t="n"/>
      <c r="C723" s="34" t="n"/>
      <c r="D723" s="35" t="n"/>
      <c r="E723" s="22">
        <f>IF(D723="","",IFERROR(VLOOKUP(D723,Config!$F$6:$H$25,3,0),"Categoria inválida"))</f>
        <v/>
      </c>
      <c r="F723" s="35" t="n"/>
      <c r="G723" s="39" t="n"/>
      <c r="H723" s="37" t="n"/>
      <c r="I723" s="36" t="n"/>
      <c r="J723" s="23">
        <f>IF(OR(G723="",I723=""),"",G723*I723)</f>
        <v/>
      </c>
      <c r="K723" s="35" t="n"/>
    </row>
    <row r="724">
      <c r="A724" s="41" t="n"/>
      <c r="B724" s="34" t="n"/>
      <c r="C724" s="34" t="n"/>
      <c r="D724" s="35" t="n"/>
      <c r="E724" s="22">
        <f>IF(D724="","",IFERROR(VLOOKUP(D724,Config!$F$6:$H$25,3,0),"Categoria inválida"))</f>
        <v/>
      </c>
      <c r="F724" s="35" t="n"/>
      <c r="G724" s="39" t="n"/>
      <c r="H724" s="37" t="n"/>
      <c r="I724" s="36" t="n"/>
      <c r="J724" s="23">
        <f>IF(OR(G724="",I724=""),"",G724*I724)</f>
        <v/>
      </c>
      <c r="K724" s="35" t="n"/>
    </row>
    <row r="725">
      <c r="A725" s="41" t="n"/>
      <c r="B725" s="34" t="n"/>
      <c r="C725" s="34" t="n"/>
      <c r="D725" s="35" t="n"/>
      <c r="E725" s="22">
        <f>IF(D725="","",IFERROR(VLOOKUP(D725,Config!$F$6:$H$25,3,0),"Categoria inválida"))</f>
        <v/>
      </c>
      <c r="F725" s="35" t="n"/>
      <c r="G725" s="39" t="n"/>
      <c r="H725" s="37" t="n"/>
      <c r="I725" s="36" t="n"/>
      <c r="J725" s="23">
        <f>IF(OR(G725="",I725=""),"",G725*I725)</f>
        <v/>
      </c>
      <c r="K725" s="35" t="n"/>
    </row>
    <row r="726">
      <c r="A726" s="41" t="n"/>
      <c r="B726" s="34" t="n"/>
      <c r="C726" s="34" t="n"/>
      <c r="D726" s="35" t="n"/>
      <c r="E726" s="22">
        <f>IF(D726="","",IFERROR(VLOOKUP(D726,Config!$F$6:$H$25,3,0),"Categoria inválida"))</f>
        <v/>
      </c>
      <c r="F726" s="35" t="n"/>
      <c r="G726" s="39" t="n"/>
      <c r="H726" s="37" t="n"/>
      <c r="I726" s="36" t="n"/>
      <c r="J726" s="23">
        <f>IF(OR(G726="",I726=""),"",G726*I726)</f>
        <v/>
      </c>
      <c r="K726" s="35" t="n"/>
    </row>
    <row r="727">
      <c r="A727" s="41" t="n"/>
      <c r="B727" s="34" t="n"/>
      <c r="C727" s="34" t="n"/>
      <c r="D727" s="35" t="n"/>
      <c r="E727" s="22">
        <f>IF(D727="","",IFERROR(VLOOKUP(D727,Config!$F$6:$H$25,3,0),"Categoria inválida"))</f>
        <v/>
      </c>
      <c r="F727" s="35" t="n"/>
      <c r="G727" s="39" t="n"/>
      <c r="H727" s="37" t="n"/>
      <c r="I727" s="36" t="n"/>
      <c r="J727" s="23">
        <f>IF(OR(G727="",I727=""),"",G727*I727)</f>
        <v/>
      </c>
      <c r="K727" s="35" t="n"/>
    </row>
    <row r="728">
      <c r="A728" s="41" t="n"/>
      <c r="B728" s="34" t="n"/>
      <c r="C728" s="34" t="n"/>
      <c r="D728" s="35" t="n"/>
      <c r="E728" s="22">
        <f>IF(D728="","",IFERROR(VLOOKUP(D728,Config!$F$6:$H$25,3,0),"Categoria inválida"))</f>
        <v/>
      </c>
      <c r="F728" s="35" t="n"/>
      <c r="G728" s="39" t="n"/>
      <c r="H728" s="37" t="n"/>
      <c r="I728" s="36" t="n"/>
      <c r="J728" s="23">
        <f>IF(OR(G728="",I728=""),"",G728*I728)</f>
        <v/>
      </c>
      <c r="K728" s="35" t="n"/>
    </row>
    <row r="729">
      <c r="A729" s="41" t="n"/>
      <c r="B729" s="34" t="n"/>
      <c r="C729" s="34" t="n"/>
      <c r="D729" s="35" t="n"/>
      <c r="E729" s="22">
        <f>IF(D729="","",IFERROR(VLOOKUP(D729,Config!$F$6:$H$25,3,0),"Categoria inválida"))</f>
        <v/>
      </c>
      <c r="F729" s="35" t="n"/>
      <c r="G729" s="39" t="n"/>
      <c r="H729" s="37" t="n"/>
      <c r="I729" s="36" t="n"/>
      <c r="J729" s="23">
        <f>IF(OR(G729="",I729=""),"",G729*I729)</f>
        <v/>
      </c>
      <c r="K729" s="35" t="n"/>
    </row>
    <row r="730">
      <c r="A730" s="41" t="n"/>
      <c r="B730" s="34" t="n"/>
      <c r="C730" s="34" t="n"/>
      <c r="D730" s="35" t="n"/>
      <c r="E730" s="22">
        <f>IF(D730="","",IFERROR(VLOOKUP(D730,Config!$F$6:$H$25,3,0),"Categoria inválida"))</f>
        <v/>
      </c>
      <c r="F730" s="35" t="n"/>
      <c r="G730" s="39" t="n"/>
      <c r="H730" s="37" t="n"/>
      <c r="I730" s="36" t="n"/>
      <c r="J730" s="23">
        <f>IF(OR(G730="",I730=""),"",G730*I730)</f>
        <v/>
      </c>
      <c r="K730" s="35" t="n"/>
    </row>
    <row r="731">
      <c r="A731" s="41" t="n"/>
      <c r="B731" s="34" t="n"/>
      <c r="C731" s="34" t="n"/>
      <c r="D731" s="35" t="n"/>
      <c r="E731" s="22">
        <f>IF(D731="","",IFERROR(VLOOKUP(D731,Config!$F$6:$H$25,3,0),"Categoria inválida"))</f>
        <v/>
      </c>
      <c r="F731" s="35" t="n"/>
      <c r="G731" s="39" t="n"/>
      <c r="H731" s="37" t="n"/>
      <c r="I731" s="36" t="n"/>
      <c r="J731" s="23">
        <f>IF(OR(G731="",I731=""),"",G731*I731)</f>
        <v/>
      </c>
      <c r="K731" s="35" t="n"/>
    </row>
    <row r="732">
      <c r="A732" s="41" t="n"/>
      <c r="B732" s="34" t="n"/>
      <c r="C732" s="34" t="n"/>
      <c r="D732" s="35" t="n"/>
      <c r="E732" s="22">
        <f>IF(D732="","",IFERROR(VLOOKUP(D732,Config!$F$6:$H$25,3,0),"Categoria inválida"))</f>
        <v/>
      </c>
      <c r="F732" s="35" t="n"/>
      <c r="G732" s="39" t="n"/>
      <c r="H732" s="37" t="n"/>
      <c r="I732" s="36" t="n"/>
      <c r="J732" s="23">
        <f>IF(OR(G732="",I732=""),"",G732*I732)</f>
        <v/>
      </c>
      <c r="K732" s="35" t="n"/>
    </row>
    <row r="733">
      <c r="A733" s="41" t="n"/>
      <c r="B733" s="34" t="n"/>
      <c r="C733" s="34" t="n"/>
      <c r="D733" s="35" t="n"/>
      <c r="E733" s="22">
        <f>IF(D733="","",IFERROR(VLOOKUP(D733,Config!$F$6:$H$25,3,0),"Categoria inválida"))</f>
        <v/>
      </c>
      <c r="F733" s="35" t="n"/>
      <c r="G733" s="39" t="n"/>
      <c r="H733" s="37" t="n"/>
      <c r="I733" s="36" t="n"/>
      <c r="J733" s="23">
        <f>IF(OR(G733="",I733=""),"",G733*I733)</f>
        <v/>
      </c>
      <c r="K733" s="35" t="n"/>
    </row>
    <row r="734">
      <c r="A734" s="41" t="n"/>
      <c r="B734" s="34" t="n"/>
      <c r="C734" s="34" t="n"/>
      <c r="D734" s="35" t="n"/>
      <c r="E734" s="22">
        <f>IF(D734="","",IFERROR(VLOOKUP(D734,Config!$F$6:$H$25,3,0),"Categoria inválida"))</f>
        <v/>
      </c>
      <c r="F734" s="35" t="n"/>
      <c r="G734" s="39" t="n"/>
      <c r="H734" s="37" t="n"/>
      <c r="I734" s="36" t="n"/>
      <c r="J734" s="23">
        <f>IF(OR(G734="",I734=""),"",G734*I734)</f>
        <v/>
      </c>
      <c r="K734" s="35" t="n"/>
    </row>
    <row r="735">
      <c r="A735" s="41" t="n"/>
      <c r="B735" s="34" t="n"/>
      <c r="C735" s="34" t="n"/>
      <c r="D735" s="35" t="n"/>
      <c r="E735" s="22">
        <f>IF(D735="","",IFERROR(VLOOKUP(D735,Config!$F$6:$H$25,3,0),"Categoria inválida"))</f>
        <v/>
      </c>
      <c r="F735" s="35" t="n"/>
      <c r="G735" s="39" t="n"/>
      <c r="H735" s="37" t="n"/>
      <c r="I735" s="36" t="n"/>
      <c r="J735" s="23">
        <f>IF(OR(G735="",I735=""),"",G735*I735)</f>
        <v/>
      </c>
      <c r="K735" s="35" t="n"/>
    </row>
    <row r="736">
      <c r="A736" s="41" t="n"/>
      <c r="B736" s="34" t="n"/>
      <c r="C736" s="34" t="n"/>
      <c r="D736" s="35" t="n"/>
      <c r="E736" s="22">
        <f>IF(D736="","",IFERROR(VLOOKUP(D736,Config!$F$6:$H$25,3,0),"Categoria inválida"))</f>
        <v/>
      </c>
      <c r="F736" s="35" t="n"/>
      <c r="G736" s="39" t="n"/>
      <c r="H736" s="37" t="n"/>
      <c r="I736" s="36" t="n"/>
      <c r="J736" s="23">
        <f>IF(OR(G736="",I736=""),"",G736*I736)</f>
        <v/>
      </c>
      <c r="K736" s="35" t="n"/>
    </row>
    <row r="737">
      <c r="A737" s="41" t="n"/>
      <c r="B737" s="34" t="n"/>
      <c r="C737" s="34" t="n"/>
      <c r="D737" s="35" t="n"/>
      <c r="E737" s="22">
        <f>IF(D737="","",IFERROR(VLOOKUP(D737,Config!$F$6:$H$25,3,0),"Categoria inválida"))</f>
        <v/>
      </c>
      <c r="F737" s="35" t="n"/>
      <c r="G737" s="39" t="n"/>
      <c r="H737" s="37" t="n"/>
      <c r="I737" s="36" t="n"/>
      <c r="J737" s="23">
        <f>IF(OR(G737="",I737=""),"",G737*I737)</f>
        <v/>
      </c>
      <c r="K737" s="35" t="n"/>
    </row>
    <row r="738">
      <c r="A738" s="41" t="n"/>
      <c r="B738" s="34" t="n"/>
      <c r="C738" s="34" t="n"/>
      <c r="D738" s="35" t="n"/>
      <c r="E738" s="22">
        <f>IF(D738="","",IFERROR(VLOOKUP(D738,Config!$F$6:$H$25,3,0),"Categoria inválida"))</f>
        <v/>
      </c>
      <c r="F738" s="35" t="n"/>
      <c r="G738" s="39" t="n"/>
      <c r="H738" s="37" t="n"/>
      <c r="I738" s="36" t="n"/>
      <c r="J738" s="23">
        <f>IF(OR(G738="",I738=""),"",G738*I738)</f>
        <v/>
      </c>
      <c r="K738" s="35" t="n"/>
    </row>
    <row r="739">
      <c r="A739" s="41" t="n"/>
      <c r="B739" s="34" t="n"/>
      <c r="C739" s="34" t="n"/>
      <c r="D739" s="35" t="n"/>
      <c r="E739" s="22">
        <f>IF(D739="","",IFERROR(VLOOKUP(D739,Config!$F$6:$H$25,3,0),"Categoria inválida"))</f>
        <v/>
      </c>
      <c r="F739" s="35" t="n"/>
      <c r="G739" s="39" t="n"/>
      <c r="H739" s="37" t="n"/>
      <c r="I739" s="36" t="n"/>
      <c r="J739" s="23">
        <f>IF(OR(G739="",I739=""),"",G739*I739)</f>
        <v/>
      </c>
      <c r="K739" s="35" t="n"/>
    </row>
    <row r="740">
      <c r="A740" s="41" t="n"/>
      <c r="B740" s="34" t="n"/>
      <c r="C740" s="34" t="n"/>
      <c r="D740" s="35" t="n"/>
      <c r="E740" s="22">
        <f>IF(D740="","",IFERROR(VLOOKUP(D740,Config!$F$6:$H$25,3,0),"Categoria inválida"))</f>
        <v/>
      </c>
      <c r="F740" s="35" t="n"/>
      <c r="G740" s="39" t="n"/>
      <c r="H740" s="37" t="n"/>
      <c r="I740" s="36" t="n"/>
      <c r="J740" s="23">
        <f>IF(OR(G740="",I740=""),"",G740*I740)</f>
        <v/>
      </c>
      <c r="K740" s="35" t="n"/>
    </row>
    <row r="741">
      <c r="A741" s="41" t="n"/>
      <c r="B741" s="34" t="n"/>
      <c r="C741" s="34" t="n"/>
      <c r="D741" s="35" t="n"/>
      <c r="E741" s="22">
        <f>IF(D741="","",IFERROR(VLOOKUP(D741,Config!$F$6:$H$25,3,0),"Categoria inválida"))</f>
        <v/>
      </c>
      <c r="F741" s="35" t="n"/>
      <c r="G741" s="39" t="n"/>
      <c r="H741" s="37" t="n"/>
      <c r="I741" s="36" t="n"/>
      <c r="J741" s="23">
        <f>IF(OR(G741="",I741=""),"",G741*I741)</f>
        <v/>
      </c>
      <c r="K741" s="35" t="n"/>
    </row>
    <row r="742">
      <c r="A742" s="41" t="n"/>
      <c r="B742" s="34" t="n"/>
      <c r="C742" s="34" t="n"/>
      <c r="D742" s="35" t="n"/>
      <c r="E742" s="22">
        <f>IF(D742="","",IFERROR(VLOOKUP(D742,Config!$F$6:$H$25,3,0),"Categoria inválida"))</f>
        <v/>
      </c>
      <c r="F742" s="35" t="n"/>
      <c r="G742" s="39" t="n"/>
      <c r="H742" s="37" t="n"/>
      <c r="I742" s="36" t="n"/>
      <c r="J742" s="23">
        <f>IF(OR(G742="",I742=""),"",G742*I742)</f>
        <v/>
      </c>
      <c r="K742" s="35" t="n"/>
    </row>
    <row r="743">
      <c r="A743" s="41" t="n"/>
      <c r="B743" s="34" t="n"/>
      <c r="C743" s="34" t="n"/>
      <c r="D743" s="35" t="n"/>
      <c r="E743" s="22">
        <f>IF(D743="","",IFERROR(VLOOKUP(D743,Config!$F$6:$H$25,3,0),"Categoria inválida"))</f>
        <v/>
      </c>
      <c r="F743" s="35" t="n"/>
      <c r="G743" s="39" t="n"/>
      <c r="H743" s="37" t="n"/>
      <c r="I743" s="36" t="n"/>
      <c r="J743" s="23">
        <f>IF(OR(G743="",I743=""),"",G743*I743)</f>
        <v/>
      </c>
      <c r="K743" s="35" t="n"/>
    </row>
    <row r="744">
      <c r="A744" s="41" t="n"/>
      <c r="B744" s="34" t="n"/>
      <c r="C744" s="34" t="n"/>
      <c r="D744" s="35" t="n"/>
      <c r="E744" s="22">
        <f>IF(D744="","",IFERROR(VLOOKUP(D744,Config!$F$6:$H$25,3,0),"Categoria inválida"))</f>
        <v/>
      </c>
      <c r="F744" s="35" t="n"/>
      <c r="G744" s="39" t="n"/>
      <c r="H744" s="37" t="n"/>
      <c r="I744" s="36" t="n"/>
      <c r="J744" s="23">
        <f>IF(OR(G744="",I744=""),"",G744*I744)</f>
        <v/>
      </c>
      <c r="K744" s="35" t="n"/>
    </row>
    <row r="745">
      <c r="A745" s="41" t="n"/>
      <c r="B745" s="34" t="n"/>
      <c r="C745" s="34" t="n"/>
      <c r="D745" s="35" t="n"/>
      <c r="E745" s="22">
        <f>IF(D745="","",IFERROR(VLOOKUP(D745,Config!$F$6:$H$25,3,0),"Categoria inválida"))</f>
        <v/>
      </c>
      <c r="F745" s="35" t="n"/>
      <c r="G745" s="39" t="n"/>
      <c r="H745" s="37" t="n"/>
      <c r="I745" s="36" t="n"/>
      <c r="J745" s="23">
        <f>IF(OR(G745="",I745=""),"",G745*I745)</f>
        <v/>
      </c>
      <c r="K745" s="35" t="n"/>
    </row>
    <row r="746">
      <c r="A746" s="41" t="n"/>
      <c r="B746" s="34" t="n"/>
      <c r="C746" s="34" t="n"/>
      <c r="D746" s="35" t="n"/>
      <c r="E746" s="22">
        <f>IF(D746="","",IFERROR(VLOOKUP(D746,Config!$F$6:$H$25,3,0),"Categoria inválida"))</f>
        <v/>
      </c>
      <c r="F746" s="35" t="n"/>
      <c r="G746" s="39" t="n"/>
      <c r="H746" s="37" t="n"/>
      <c r="I746" s="36" t="n"/>
      <c r="J746" s="23">
        <f>IF(OR(G746="",I746=""),"",G746*I746)</f>
        <v/>
      </c>
      <c r="K746" s="35" t="n"/>
    </row>
    <row r="747">
      <c r="A747" s="41" t="n"/>
      <c r="B747" s="34" t="n"/>
      <c r="C747" s="34" t="n"/>
      <c r="D747" s="35" t="n"/>
      <c r="E747" s="22">
        <f>IF(D747="","",IFERROR(VLOOKUP(D747,Config!$F$6:$H$25,3,0),"Categoria inválida"))</f>
        <v/>
      </c>
      <c r="F747" s="35" t="n"/>
      <c r="G747" s="39" t="n"/>
      <c r="H747" s="37" t="n"/>
      <c r="I747" s="36" t="n"/>
      <c r="J747" s="23">
        <f>IF(OR(G747="",I747=""),"",G747*I747)</f>
        <v/>
      </c>
      <c r="K747" s="35" t="n"/>
    </row>
    <row r="748">
      <c r="A748" s="41" t="n"/>
      <c r="B748" s="34" t="n"/>
      <c r="C748" s="34" t="n"/>
      <c r="D748" s="35" t="n"/>
      <c r="E748" s="22">
        <f>IF(D748="","",IFERROR(VLOOKUP(D748,Config!$F$6:$H$25,3,0),"Categoria inválida"))</f>
        <v/>
      </c>
      <c r="F748" s="35" t="n"/>
      <c r="G748" s="39" t="n"/>
      <c r="H748" s="37" t="n"/>
      <c r="I748" s="36" t="n"/>
      <c r="J748" s="23">
        <f>IF(OR(G748="",I748=""),"",G748*I748)</f>
        <v/>
      </c>
      <c r="K748" s="35" t="n"/>
    </row>
    <row r="749">
      <c r="A749" s="41" t="n"/>
      <c r="B749" s="34" t="n"/>
      <c r="C749" s="34" t="n"/>
      <c r="D749" s="35" t="n"/>
      <c r="E749" s="22">
        <f>IF(D749="","",IFERROR(VLOOKUP(D749,Config!$F$6:$H$25,3,0),"Categoria inválida"))</f>
        <v/>
      </c>
      <c r="F749" s="35" t="n"/>
      <c r="G749" s="39" t="n"/>
      <c r="H749" s="37" t="n"/>
      <c r="I749" s="36" t="n"/>
      <c r="J749" s="23">
        <f>IF(OR(G749="",I749=""),"",G749*I749)</f>
        <v/>
      </c>
      <c r="K749" s="35" t="n"/>
    </row>
    <row r="750">
      <c r="A750" s="41" t="n"/>
      <c r="B750" s="34" t="n"/>
      <c r="C750" s="34" t="n"/>
      <c r="D750" s="35" t="n"/>
      <c r="E750" s="22">
        <f>IF(D750="","",IFERROR(VLOOKUP(D750,Config!$F$6:$H$25,3,0),"Categoria inválida"))</f>
        <v/>
      </c>
      <c r="F750" s="35" t="n"/>
      <c r="G750" s="39" t="n"/>
      <c r="H750" s="37" t="n"/>
      <c r="I750" s="36" t="n"/>
      <c r="J750" s="23">
        <f>IF(OR(G750="",I750=""),"",G750*I750)</f>
        <v/>
      </c>
      <c r="K750" s="35" t="n"/>
    </row>
    <row r="751">
      <c r="A751" s="41" t="n"/>
      <c r="B751" s="34" t="n"/>
      <c r="C751" s="34" t="n"/>
      <c r="D751" s="35" t="n"/>
      <c r="E751" s="22">
        <f>IF(D751="","",IFERROR(VLOOKUP(D751,Config!$F$6:$H$25,3,0),"Categoria inválida"))</f>
        <v/>
      </c>
      <c r="F751" s="35" t="n"/>
      <c r="G751" s="39" t="n"/>
      <c r="H751" s="37" t="n"/>
      <c r="I751" s="36" t="n"/>
      <c r="J751" s="23">
        <f>IF(OR(G751="",I751=""),"",G751*I751)</f>
        <v/>
      </c>
      <c r="K751" s="35" t="n"/>
    </row>
    <row r="752">
      <c r="A752" s="41" t="n"/>
      <c r="B752" s="34" t="n"/>
      <c r="C752" s="34" t="n"/>
      <c r="D752" s="35" t="n"/>
      <c r="E752" s="22">
        <f>IF(D752="","",IFERROR(VLOOKUP(D752,Config!$F$6:$H$25,3,0),"Categoria inválida"))</f>
        <v/>
      </c>
      <c r="F752" s="35" t="n"/>
      <c r="G752" s="39" t="n"/>
      <c r="H752" s="37" t="n"/>
      <c r="I752" s="36" t="n"/>
      <c r="J752" s="23">
        <f>IF(OR(G752="",I752=""),"",G752*I752)</f>
        <v/>
      </c>
      <c r="K752" s="35" t="n"/>
    </row>
    <row r="753">
      <c r="A753" s="41" t="n"/>
      <c r="B753" s="34" t="n"/>
      <c r="C753" s="34" t="n"/>
      <c r="D753" s="35" t="n"/>
      <c r="E753" s="22">
        <f>IF(D753="","",IFERROR(VLOOKUP(D753,Config!$F$6:$H$25,3,0),"Categoria inválida"))</f>
        <v/>
      </c>
      <c r="F753" s="35" t="n"/>
      <c r="G753" s="39" t="n"/>
      <c r="H753" s="37" t="n"/>
      <c r="I753" s="36" t="n"/>
      <c r="J753" s="23">
        <f>IF(OR(G753="",I753=""),"",G753*I753)</f>
        <v/>
      </c>
      <c r="K753" s="35" t="n"/>
    </row>
    <row r="754">
      <c r="A754" s="41" t="n"/>
      <c r="B754" s="34" t="n"/>
      <c r="C754" s="34" t="n"/>
      <c r="D754" s="35" t="n"/>
      <c r="E754" s="22">
        <f>IF(D754="","",IFERROR(VLOOKUP(D754,Config!$F$6:$H$25,3,0),"Categoria inválida"))</f>
        <v/>
      </c>
      <c r="F754" s="35" t="n"/>
      <c r="G754" s="39" t="n"/>
      <c r="H754" s="37" t="n"/>
      <c r="I754" s="36" t="n"/>
      <c r="J754" s="23">
        <f>IF(OR(G754="",I754=""),"",G754*I754)</f>
        <v/>
      </c>
      <c r="K754" s="35" t="n"/>
    </row>
    <row r="755">
      <c r="A755" s="41" t="n"/>
      <c r="B755" s="34" t="n"/>
      <c r="C755" s="34" t="n"/>
      <c r="D755" s="35" t="n"/>
      <c r="E755" s="22">
        <f>IF(D755="","",IFERROR(VLOOKUP(D755,Config!$F$6:$H$25,3,0),"Categoria inválida"))</f>
        <v/>
      </c>
      <c r="F755" s="35" t="n"/>
      <c r="G755" s="39" t="n"/>
      <c r="H755" s="37" t="n"/>
      <c r="I755" s="36" t="n"/>
      <c r="J755" s="23">
        <f>IF(OR(G755="",I755=""),"",G755*I755)</f>
        <v/>
      </c>
      <c r="K755" s="35" t="n"/>
    </row>
    <row r="756">
      <c r="A756" s="41" t="n"/>
      <c r="B756" s="34" t="n"/>
      <c r="C756" s="34" t="n"/>
      <c r="D756" s="35" t="n"/>
      <c r="E756" s="22">
        <f>IF(D756="","",IFERROR(VLOOKUP(D756,Config!$F$6:$H$25,3,0),"Categoria inválida"))</f>
        <v/>
      </c>
      <c r="F756" s="35" t="n"/>
      <c r="G756" s="39" t="n"/>
      <c r="H756" s="37" t="n"/>
      <c r="I756" s="36" t="n"/>
      <c r="J756" s="23">
        <f>IF(OR(G756="",I756=""),"",G756*I756)</f>
        <v/>
      </c>
      <c r="K756" s="35" t="n"/>
    </row>
    <row r="757">
      <c r="A757" s="41" t="n"/>
      <c r="B757" s="34" t="n"/>
      <c r="C757" s="34" t="n"/>
      <c r="D757" s="35" t="n"/>
      <c r="E757" s="22">
        <f>IF(D757="","",IFERROR(VLOOKUP(D757,Config!$F$6:$H$25,3,0),"Categoria inválida"))</f>
        <v/>
      </c>
      <c r="F757" s="35" t="n"/>
      <c r="G757" s="39" t="n"/>
      <c r="H757" s="37" t="n"/>
      <c r="I757" s="36" t="n"/>
      <c r="J757" s="23">
        <f>IF(OR(G757="",I757=""),"",G757*I757)</f>
        <v/>
      </c>
      <c r="K757" s="35" t="n"/>
    </row>
    <row r="758">
      <c r="A758" s="41" t="n"/>
      <c r="B758" s="34" t="n"/>
      <c r="C758" s="34" t="n"/>
      <c r="D758" s="35" t="n"/>
      <c r="E758" s="22">
        <f>IF(D758="","",IFERROR(VLOOKUP(D758,Config!$F$6:$H$25,3,0),"Categoria inválida"))</f>
        <v/>
      </c>
      <c r="F758" s="35" t="n"/>
      <c r="G758" s="39" t="n"/>
      <c r="H758" s="37" t="n"/>
      <c r="I758" s="36" t="n"/>
      <c r="J758" s="23">
        <f>IF(OR(G758="",I758=""),"",G758*I758)</f>
        <v/>
      </c>
      <c r="K758" s="35" t="n"/>
    </row>
    <row r="759">
      <c r="A759" s="41" t="n"/>
      <c r="B759" s="34" t="n"/>
      <c r="C759" s="34" t="n"/>
      <c r="D759" s="35" t="n"/>
      <c r="E759" s="22">
        <f>IF(D759="","",IFERROR(VLOOKUP(D759,Config!$F$6:$H$25,3,0),"Categoria inválida"))</f>
        <v/>
      </c>
      <c r="F759" s="35" t="n"/>
      <c r="G759" s="39" t="n"/>
      <c r="H759" s="37" t="n"/>
      <c r="I759" s="36" t="n"/>
      <c r="J759" s="23">
        <f>IF(OR(G759="",I759=""),"",G759*I759)</f>
        <v/>
      </c>
      <c r="K759" s="35" t="n"/>
    </row>
    <row r="760">
      <c r="A760" s="41" t="n"/>
      <c r="B760" s="34" t="n"/>
      <c r="C760" s="34" t="n"/>
      <c r="D760" s="35" t="n"/>
      <c r="E760" s="22">
        <f>IF(D760="","",IFERROR(VLOOKUP(D760,Config!$F$6:$H$25,3,0),"Categoria inválida"))</f>
        <v/>
      </c>
      <c r="F760" s="35" t="n"/>
      <c r="G760" s="39" t="n"/>
      <c r="H760" s="37" t="n"/>
      <c r="I760" s="36" t="n"/>
      <c r="J760" s="23">
        <f>IF(OR(G760="",I760=""),"",G760*I760)</f>
        <v/>
      </c>
      <c r="K760" s="35" t="n"/>
    </row>
    <row r="761">
      <c r="A761" s="41" t="n"/>
      <c r="B761" s="34" t="n"/>
      <c r="C761" s="34" t="n"/>
      <c r="D761" s="35" t="n"/>
      <c r="E761" s="22">
        <f>IF(D761="","",IFERROR(VLOOKUP(D761,Config!$F$6:$H$25,3,0),"Categoria inválida"))</f>
        <v/>
      </c>
      <c r="F761" s="35" t="n"/>
      <c r="G761" s="39" t="n"/>
      <c r="H761" s="37" t="n"/>
      <c r="I761" s="36" t="n"/>
      <c r="J761" s="23">
        <f>IF(OR(G761="",I761=""),"",G761*I761)</f>
        <v/>
      </c>
      <c r="K761" s="35" t="n"/>
    </row>
    <row r="762">
      <c r="A762" s="41" t="n"/>
      <c r="B762" s="34" t="n"/>
      <c r="C762" s="34" t="n"/>
      <c r="D762" s="35" t="n"/>
      <c r="E762" s="22">
        <f>IF(D762="","",IFERROR(VLOOKUP(D762,Config!$F$6:$H$25,3,0),"Categoria inválida"))</f>
        <v/>
      </c>
      <c r="F762" s="35" t="n"/>
      <c r="G762" s="39" t="n"/>
      <c r="H762" s="37" t="n"/>
      <c r="I762" s="36" t="n"/>
      <c r="J762" s="23">
        <f>IF(OR(G762="",I762=""),"",G762*I762)</f>
        <v/>
      </c>
      <c r="K762" s="35" t="n"/>
    </row>
    <row r="763">
      <c r="A763" s="41" t="n"/>
      <c r="B763" s="34" t="n"/>
      <c r="C763" s="34" t="n"/>
      <c r="D763" s="35" t="n"/>
      <c r="E763" s="22">
        <f>IF(D763="","",IFERROR(VLOOKUP(D763,Config!$F$6:$H$25,3,0),"Categoria inválida"))</f>
        <v/>
      </c>
      <c r="F763" s="35" t="n"/>
      <c r="G763" s="39" t="n"/>
      <c r="H763" s="37" t="n"/>
      <c r="I763" s="36" t="n"/>
      <c r="J763" s="23">
        <f>IF(OR(G763="",I763=""),"",G763*I763)</f>
        <v/>
      </c>
      <c r="K763" s="35" t="n"/>
    </row>
    <row r="764">
      <c r="A764" s="41" t="n"/>
      <c r="B764" s="34" t="n"/>
      <c r="C764" s="34" t="n"/>
      <c r="D764" s="35" t="n"/>
      <c r="E764" s="22">
        <f>IF(D764="","",IFERROR(VLOOKUP(D764,Config!$F$6:$H$25,3,0),"Categoria inválida"))</f>
        <v/>
      </c>
      <c r="F764" s="35" t="n"/>
      <c r="G764" s="39" t="n"/>
      <c r="H764" s="37" t="n"/>
      <c r="I764" s="36" t="n"/>
      <c r="J764" s="23">
        <f>IF(OR(G764="",I764=""),"",G764*I764)</f>
        <v/>
      </c>
      <c r="K764" s="35" t="n"/>
    </row>
    <row r="765">
      <c r="A765" s="41" t="n"/>
      <c r="B765" s="34" t="n"/>
      <c r="C765" s="34" t="n"/>
      <c r="D765" s="35" t="n"/>
      <c r="E765" s="22">
        <f>IF(D765="","",IFERROR(VLOOKUP(D765,Config!$F$6:$H$25,3,0),"Categoria inválida"))</f>
        <v/>
      </c>
      <c r="F765" s="35" t="n"/>
      <c r="G765" s="39" t="n"/>
      <c r="H765" s="37" t="n"/>
      <c r="I765" s="36" t="n"/>
      <c r="J765" s="23">
        <f>IF(OR(G765="",I765=""),"",G765*I765)</f>
        <v/>
      </c>
      <c r="K765" s="35" t="n"/>
    </row>
    <row r="766">
      <c r="A766" s="41" t="n"/>
      <c r="B766" s="34" t="n"/>
      <c r="C766" s="34" t="n"/>
      <c r="D766" s="35" t="n"/>
      <c r="E766" s="22">
        <f>IF(D766="","",IFERROR(VLOOKUP(D766,Config!$F$6:$H$25,3,0),"Categoria inválida"))</f>
        <v/>
      </c>
      <c r="F766" s="35" t="n"/>
      <c r="G766" s="39" t="n"/>
      <c r="H766" s="37" t="n"/>
      <c r="I766" s="36" t="n"/>
      <c r="J766" s="23">
        <f>IF(OR(G766="",I766=""),"",G766*I766)</f>
        <v/>
      </c>
      <c r="K766" s="35" t="n"/>
    </row>
    <row r="767">
      <c r="A767" s="41" t="n"/>
      <c r="B767" s="34" t="n"/>
      <c r="C767" s="34" t="n"/>
      <c r="D767" s="35" t="n"/>
      <c r="E767" s="22">
        <f>IF(D767="","",IFERROR(VLOOKUP(D767,Config!$F$6:$H$25,3,0),"Categoria inválida"))</f>
        <v/>
      </c>
      <c r="F767" s="35" t="n"/>
      <c r="G767" s="39" t="n"/>
      <c r="H767" s="37" t="n"/>
      <c r="I767" s="36" t="n"/>
      <c r="J767" s="23">
        <f>IF(OR(G767="",I767=""),"",G767*I767)</f>
        <v/>
      </c>
      <c r="K767" s="35" t="n"/>
    </row>
    <row r="768">
      <c r="A768" s="41" t="n"/>
      <c r="B768" s="34" t="n"/>
      <c r="C768" s="34" t="n"/>
      <c r="D768" s="35" t="n"/>
      <c r="E768" s="22">
        <f>IF(D768="","",IFERROR(VLOOKUP(D768,Config!$F$6:$H$25,3,0),"Categoria inválida"))</f>
        <v/>
      </c>
      <c r="F768" s="35" t="n"/>
      <c r="G768" s="39" t="n"/>
      <c r="H768" s="37" t="n"/>
      <c r="I768" s="36" t="n"/>
      <c r="J768" s="23">
        <f>IF(OR(G768="",I768=""),"",G768*I768)</f>
        <v/>
      </c>
      <c r="K768" s="35" t="n"/>
    </row>
    <row r="769">
      <c r="A769" s="41" t="n"/>
      <c r="B769" s="34" t="n"/>
      <c r="C769" s="34" t="n"/>
      <c r="D769" s="35" t="n"/>
      <c r="E769" s="22">
        <f>IF(D769="","",IFERROR(VLOOKUP(D769,Config!$F$6:$H$25,3,0),"Categoria inválida"))</f>
        <v/>
      </c>
      <c r="F769" s="35" t="n"/>
      <c r="G769" s="39" t="n"/>
      <c r="H769" s="37" t="n"/>
      <c r="I769" s="36" t="n"/>
      <c r="J769" s="23">
        <f>IF(OR(G769="",I769=""),"",G769*I769)</f>
        <v/>
      </c>
      <c r="K769" s="35" t="n"/>
    </row>
    <row r="770">
      <c r="A770" s="41" t="n"/>
      <c r="B770" s="34" t="n"/>
      <c r="C770" s="34" t="n"/>
      <c r="D770" s="35" t="n"/>
      <c r="E770" s="22">
        <f>IF(D770="","",IFERROR(VLOOKUP(D770,Config!$F$6:$H$25,3,0),"Categoria inválida"))</f>
        <v/>
      </c>
      <c r="F770" s="35" t="n"/>
      <c r="G770" s="39" t="n"/>
      <c r="H770" s="37" t="n"/>
      <c r="I770" s="36" t="n"/>
      <c r="J770" s="23">
        <f>IF(OR(G770="",I770=""),"",G770*I770)</f>
        <v/>
      </c>
      <c r="K770" s="35" t="n"/>
    </row>
    <row r="771">
      <c r="A771" s="41" t="n"/>
      <c r="B771" s="34" t="n"/>
      <c r="C771" s="34" t="n"/>
      <c r="D771" s="35" t="n"/>
      <c r="E771" s="22">
        <f>IF(D771="","",IFERROR(VLOOKUP(D771,Config!$F$6:$H$25,3,0),"Categoria inválida"))</f>
        <v/>
      </c>
      <c r="F771" s="35" t="n"/>
      <c r="G771" s="39" t="n"/>
      <c r="H771" s="37" t="n"/>
      <c r="I771" s="36" t="n"/>
      <c r="J771" s="23">
        <f>IF(OR(G771="",I771=""),"",G771*I771)</f>
        <v/>
      </c>
      <c r="K771" s="35" t="n"/>
    </row>
    <row r="772">
      <c r="A772" s="41" t="n"/>
      <c r="B772" s="34" t="n"/>
      <c r="C772" s="34" t="n"/>
      <c r="D772" s="35" t="n"/>
      <c r="E772" s="22">
        <f>IF(D772="","",IFERROR(VLOOKUP(D772,Config!$F$6:$H$25,3,0),"Categoria inválida"))</f>
        <v/>
      </c>
      <c r="F772" s="35" t="n"/>
      <c r="G772" s="39" t="n"/>
      <c r="H772" s="37" t="n"/>
      <c r="I772" s="36" t="n"/>
      <c r="J772" s="23">
        <f>IF(OR(G772="",I772=""),"",G772*I772)</f>
        <v/>
      </c>
      <c r="K772" s="35" t="n"/>
    </row>
    <row r="773">
      <c r="A773" s="41" t="n"/>
      <c r="B773" s="34" t="n"/>
      <c r="C773" s="34" t="n"/>
      <c r="D773" s="35" t="n"/>
      <c r="E773" s="22">
        <f>IF(D773="","",IFERROR(VLOOKUP(D773,Config!$F$6:$H$25,3,0),"Categoria inválida"))</f>
        <v/>
      </c>
      <c r="F773" s="35" t="n"/>
      <c r="G773" s="39" t="n"/>
      <c r="H773" s="37" t="n"/>
      <c r="I773" s="36" t="n"/>
      <c r="J773" s="23">
        <f>IF(OR(G773="",I773=""),"",G773*I773)</f>
        <v/>
      </c>
      <c r="K773" s="35" t="n"/>
    </row>
    <row r="774">
      <c r="A774" s="41" t="n"/>
      <c r="B774" s="34" t="n"/>
      <c r="C774" s="34" t="n"/>
      <c r="D774" s="35" t="n"/>
      <c r="E774" s="22">
        <f>IF(D774="","",IFERROR(VLOOKUP(D774,Config!$F$6:$H$25,3,0),"Categoria inválida"))</f>
        <v/>
      </c>
      <c r="F774" s="35" t="n"/>
      <c r="G774" s="39" t="n"/>
      <c r="H774" s="37" t="n"/>
      <c r="I774" s="36" t="n"/>
      <c r="J774" s="23">
        <f>IF(OR(G774="",I774=""),"",G774*I774)</f>
        <v/>
      </c>
      <c r="K774" s="35" t="n"/>
    </row>
    <row r="775">
      <c r="A775" s="41" t="n"/>
      <c r="B775" s="34" t="n"/>
      <c r="C775" s="34" t="n"/>
      <c r="D775" s="35" t="n"/>
      <c r="E775" s="22">
        <f>IF(D775="","",IFERROR(VLOOKUP(D775,Config!$F$6:$H$25,3,0),"Categoria inválida"))</f>
        <v/>
      </c>
      <c r="F775" s="35" t="n"/>
      <c r="G775" s="39" t="n"/>
      <c r="H775" s="37" t="n"/>
      <c r="I775" s="36" t="n"/>
      <c r="J775" s="23">
        <f>IF(OR(G775="",I775=""),"",G775*I775)</f>
        <v/>
      </c>
      <c r="K775" s="35" t="n"/>
    </row>
    <row r="776">
      <c r="A776" s="41" t="n"/>
      <c r="B776" s="34" t="n"/>
      <c r="C776" s="34" t="n"/>
      <c r="D776" s="35" t="n"/>
      <c r="E776" s="22">
        <f>IF(D776="","",IFERROR(VLOOKUP(D776,Config!$F$6:$H$25,3,0),"Categoria inválida"))</f>
        <v/>
      </c>
      <c r="F776" s="35" t="n"/>
      <c r="G776" s="39" t="n"/>
      <c r="H776" s="37" t="n"/>
      <c r="I776" s="36" t="n"/>
      <c r="J776" s="23">
        <f>IF(OR(G776="",I776=""),"",G776*I776)</f>
        <v/>
      </c>
      <c r="K776" s="35" t="n"/>
    </row>
    <row r="777">
      <c r="A777" s="41" t="n"/>
      <c r="B777" s="34" t="n"/>
      <c r="C777" s="34" t="n"/>
      <c r="D777" s="35" t="n"/>
      <c r="E777" s="22">
        <f>IF(D777="","",IFERROR(VLOOKUP(D777,Config!$F$6:$H$25,3,0),"Categoria inválida"))</f>
        <v/>
      </c>
      <c r="F777" s="35" t="n"/>
      <c r="G777" s="39" t="n"/>
      <c r="H777" s="37" t="n"/>
      <c r="I777" s="36" t="n"/>
      <c r="J777" s="23">
        <f>IF(OR(G777="",I777=""),"",G777*I777)</f>
        <v/>
      </c>
      <c r="K777" s="35" t="n"/>
    </row>
    <row r="778">
      <c r="A778" s="41" t="n"/>
      <c r="B778" s="34" t="n"/>
      <c r="C778" s="34" t="n"/>
      <c r="D778" s="35" t="n"/>
      <c r="E778" s="22">
        <f>IF(D778="","",IFERROR(VLOOKUP(D778,Config!$F$6:$H$25,3,0),"Categoria inválida"))</f>
        <v/>
      </c>
      <c r="F778" s="35" t="n"/>
      <c r="G778" s="39" t="n"/>
      <c r="H778" s="37" t="n"/>
      <c r="I778" s="36" t="n"/>
      <c r="J778" s="23">
        <f>IF(OR(G778="",I778=""),"",G778*I778)</f>
        <v/>
      </c>
      <c r="K778" s="35" t="n"/>
    </row>
    <row r="779">
      <c r="A779" s="41" t="n"/>
      <c r="B779" s="34" t="n"/>
      <c r="C779" s="34" t="n"/>
      <c r="D779" s="35" t="n"/>
      <c r="E779" s="22">
        <f>IF(D779="","",IFERROR(VLOOKUP(D779,Config!$F$6:$H$25,3,0),"Categoria inválida"))</f>
        <v/>
      </c>
      <c r="F779" s="35" t="n"/>
      <c r="G779" s="39" t="n"/>
      <c r="H779" s="37" t="n"/>
      <c r="I779" s="36" t="n"/>
      <c r="J779" s="23">
        <f>IF(OR(G779="",I779=""),"",G779*I779)</f>
        <v/>
      </c>
      <c r="K779" s="35" t="n"/>
    </row>
    <row r="780">
      <c r="A780" s="41" t="n"/>
      <c r="B780" s="34" t="n"/>
      <c r="C780" s="34" t="n"/>
      <c r="D780" s="35" t="n"/>
      <c r="E780" s="22">
        <f>IF(D780="","",IFERROR(VLOOKUP(D780,Config!$F$6:$H$25,3,0),"Categoria inválida"))</f>
        <v/>
      </c>
      <c r="F780" s="35" t="n"/>
      <c r="G780" s="39" t="n"/>
      <c r="H780" s="37" t="n"/>
      <c r="I780" s="36" t="n"/>
      <c r="J780" s="23">
        <f>IF(OR(G780="",I780=""),"",G780*I780)</f>
        <v/>
      </c>
      <c r="K780" s="35" t="n"/>
    </row>
    <row r="781">
      <c r="A781" s="41" t="n"/>
      <c r="B781" s="34" t="n"/>
      <c r="C781" s="34" t="n"/>
      <c r="D781" s="35" t="n"/>
      <c r="E781" s="22">
        <f>IF(D781="","",IFERROR(VLOOKUP(D781,Config!$F$6:$H$25,3,0),"Categoria inválida"))</f>
        <v/>
      </c>
      <c r="F781" s="35" t="n"/>
      <c r="G781" s="39" t="n"/>
      <c r="H781" s="37" t="n"/>
      <c r="I781" s="36" t="n"/>
      <c r="J781" s="23">
        <f>IF(OR(G781="",I781=""),"",G781*I781)</f>
        <v/>
      </c>
      <c r="K781" s="35" t="n"/>
    </row>
    <row r="782">
      <c r="A782" s="41" t="n"/>
      <c r="B782" s="34" t="n"/>
      <c r="C782" s="34" t="n"/>
      <c r="D782" s="35" t="n"/>
      <c r="E782" s="22">
        <f>IF(D782="","",IFERROR(VLOOKUP(D782,Config!$F$6:$H$25,3,0),"Categoria inválida"))</f>
        <v/>
      </c>
      <c r="F782" s="35" t="n"/>
      <c r="G782" s="39" t="n"/>
      <c r="H782" s="37" t="n"/>
      <c r="I782" s="36" t="n"/>
      <c r="J782" s="23">
        <f>IF(OR(G782="",I782=""),"",G782*I782)</f>
        <v/>
      </c>
      <c r="K782" s="35" t="n"/>
    </row>
    <row r="783">
      <c r="A783" s="41" t="n"/>
      <c r="B783" s="34" t="n"/>
      <c r="C783" s="34" t="n"/>
      <c r="D783" s="35" t="n"/>
      <c r="E783" s="22">
        <f>IF(D783="","",IFERROR(VLOOKUP(D783,Config!$F$6:$H$25,3,0),"Categoria inválida"))</f>
        <v/>
      </c>
      <c r="F783" s="35" t="n"/>
      <c r="G783" s="39" t="n"/>
      <c r="H783" s="37" t="n"/>
      <c r="I783" s="36" t="n"/>
      <c r="J783" s="23">
        <f>IF(OR(G783="",I783=""),"",G783*I783)</f>
        <v/>
      </c>
      <c r="K783" s="35" t="n"/>
    </row>
    <row r="784">
      <c r="A784" s="41" t="n"/>
      <c r="B784" s="34" t="n"/>
      <c r="C784" s="34" t="n"/>
      <c r="D784" s="35" t="n"/>
      <c r="E784" s="22">
        <f>IF(D784="","",IFERROR(VLOOKUP(D784,Config!$F$6:$H$25,3,0),"Categoria inválida"))</f>
        <v/>
      </c>
      <c r="F784" s="35" t="n"/>
      <c r="G784" s="39" t="n"/>
      <c r="H784" s="37" t="n"/>
      <c r="I784" s="36" t="n"/>
      <c r="J784" s="23">
        <f>IF(OR(G784="",I784=""),"",G784*I784)</f>
        <v/>
      </c>
      <c r="K784" s="35" t="n"/>
    </row>
    <row r="785">
      <c r="A785" s="41" t="n"/>
      <c r="B785" s="34" t="n"/>
      <c r="C785" s="34" t="n"/>
      <c r="D785" s="35" t="n"/>
      <c r="E785" s="22">
        <f>IF(D785="","",IFERROR(VLOOKUP(D785,Config!$F$6:$H$25,3,0),"Categoria inválida"))</f>
        <v/>
      </c>
      <c r="F785" s="35" t="n"/>
      <c r="G785" s="39" t="n"/>
      <c r="H785" s="37" t="n"/>
      <c r="I785" s="36" t="n"/>
      <c r="J785" s="23">
        <f>IF(OR(G785="",I785=""),"",G785*I785)</f>
        <v/>
      </c>
      <c r="K785" s="35" t="n"/>
    </row>
    <row r="786">
      <c r="A786" s="41" t="n"/>
      <c r="B786" s="34" t="n"/>
      <c r="C786" s="34" t="n"/>
      <c r="D786" s="35" t="n"/>
      <c r="E786" s="22">
        <f>IF(D786="","",IFERROR(VLOOKUP(D786,Config!$F$6:$H$25,3,0),"Categoria inválida"))</f>
        <v/>
      </c>
      <c r="F786" s="35" t="n"/>
      <c r="G786" s="39" t="n"/>
      <c r="H786" s="37" t="n"/>
      <c r="I786" s="36" t="n"/>
      <c r="J786" s="23">
        <f>IF(OR(G786="",I786=""),"",G786*I786)</f>
        <v/>
      </c>
      <c r="K786" s="35" t="n"/>
    </row>
    <row r="787">
      <c r="A787" s="41" t="n"/>
      <c r="B787" s="34" t="n"/>
      <c r="C787" s="34" t="n"/>
      <c r="D787" s="35" t="n"/>
      <c r="E787" s="22">
        <f>IF(D787="","",IFERROR(VLOOKUP(D787,Config!$F$6:$H$25,3,0),"Categoria inválida"))</f>
        <v/>
      </c>
      <c r="F787" s="35" t="n"/>
      <c r="G787" s="39" t="n"/>
      <c r="H787" s="37" t="n"/>
      <c r="I787" s="36" t="n"/>
      <c r="J787" s="23">
        <f>IF(OR(G787="",I787=""),"",G787*I787)</f>
        <v/>
      </c>
      <c r="K787" s="35" t="n"/>
    </row>
    <row r="788">
      <c r="A788" s="41" t="n"/>
      <c r="B788" s="34" t="n"/>
      <c r="C788" s="34" t="n"/>
      <c r="D788" s="35" t="n"/>
      <c r="E788" s="22">
        <f>IF(D788="","",IFERROR(VLOOKUP(D788,Config!$F$6:$H$25,3,0),"Categoria inválida"))</f>
        <v/>
      </c>
      <c r="F788" s="35" t="n"/>
      <c r="G788" s="39" t="n"/>
      <c r="H788" s="37" t="n"/>
      <c r="I788" s="36" t="n"/>
      <c r="J788" s="23">
        <f>IF(OR(G788="",I788=""),"",G788*I788)</f>
        <v/>
      </c>
      <c r="K788" s="35" t="n"/>
    </row>
    <row r="789">
      <c r="A789" s="41" t="n"/>
      <c r="B789" s="34" t="n"/>
      <c r="C789" s="34" t="n"/>
      <c r="D789" s="35" t="n"/>
      <c r="E789" s="22">
        <f>IF(D789="","",IFERROR(VLOOKUP(D789,Config!$F$6:$H$25,3,0),"Categoria inválida"))</f>
        <v/>
      </c>
      <c r="F789" s="35" t="n"/>
      <c r="G789" s="39" t="n"/>
      <c r="H789" s="37" t="n"/>
      <c r="I789" s="36" t="n"/>
      <c r="J789" s="23">
        <f>IF(OR(G789="",I789=""),"",G789*I789)</f>
        <v/>
      </c>
      <c r="K789" s="35" t="n"/>
    </row>
    <row r="790">
      <c r="A790" s="41" t="n"/>
      <c r="B790" s="34" t="n"/>
      <c r="C790" s="34" t="n"/>
      <c r="D790" s="35" t="n"/>
      <c r="E790" s="22">
        <f>IF(D790="","",IFERROR(VLOOKUP(D790,Config!$F$6:$H$25,3,0),"Categoria inválida"))</f>
        <v/>
      </c>
      <c r="F790" s="35" t="n"/>
      <c r="G790" s="39" t="n"/>
      <c r="H790" s="37" t="n"/>
      <c r="I790" s="36" t="n"/>
      <c r="J790" s="23">
        <f>IF(OR(G790="",I790=""),"",G790*I790)</f>
        <v/>
      </c>
      <c r="K790" s="35" t="n"/>
    </row>
    <row r="791">
      <c r="A791" s="41" t="n"/>
      <c r="B791" s="34" t="n"/>
      <c r="C791" s="34" t="n"/>
      <c r="D791" s="35" t="n"/>
      <c r="E791" s="22">
        <f>IF(D791="","",IFERROR(VLOOKUP(D791,Config!$F$6:$H$25,3,0),"Categoria inválida"))</f>
        <v/>
      </c>
      <c r="F791" s="35" t="n"/>
      <c r="G791" s="39" t="n"/>
      <c r="H791" s="37" t="n"/>
      <c r="I791" s="36" t="n"/>
      <c r="J791" s="23">
        <f>IF(OR(G791="",I791=""),"",G791*I791)</f>
        <v/>
      </c>
      <c r="K791" s="35" t="n"/>
    </row>
    <row r="792">
      <c r="A792" s="41" t="n"/>
      <c r="B792" s="34" t="n"/>
      <c r="C792" s="34" t="n"/>
      <c r="D792" s="35" t="n"/>
      <c r="E792" s="22">
        <f>IF(D792="","",IFERROR(VLOOKUP(D792,Config!$F$6:$H$25,3,0),"Categoria inválida"))</f>
        <v/>
      </c>
      <c r="F792" s="35" t="n"/>
      <c r="G792" s="39" t="n"/>
      <c r="H792" s="37" t="n"/>
      <c r="I792" s="36" t="n"/>
      <c r="J792" s="23">
        <f>IF(OR(G792="",I792=""),"",G792*I792)</f>
        <v/>
      </c>
      <c r="K792" s="35" t="n"/>
    </row>
    <row r="793">
      <c r="A793" s="41" t="n"/>
      <c r="B793" s="34" t="n"/>
      <c r="C793" s="34" t="n"/>
      <c r="D793" s="35" t="n"/>
      <c r="E793" s="22">
        <f>IF(D793="","",IFERROR(VLOOKUP(D793,Config!$F$6:$H$25,3,0),"Categoria inválida"))</f>
        <v/>
      </c>
      <c r="F793" s="35" t="n"/>
      <c r="G793" s="39" t="n"/>
      <c r="H793" s="37" t="n"/>
      <c r="I793" s="36" t="n"/>
      <c r="J793" s="23">
        <f>IF(OR(G793="",I793=""),"",G793*I793)</f>
        <v/>
      </c>
      <c r="K793" s="35" t="n"/>
    </row>
    <row r="794">
      <c r="A794" s="41" t="n"/>
      <c r="B794" s="34" t="n"/>
      <c r="C794" s="34" t="n"/>
      <c r="D794" s="35" t="n"/>
      <c r="E794" s="22">
        <f>IF(D794="","",IFERROR(VLOOKUP(D794,Config!$F$6:$H$25,3,0),"Categoria inválida"))</f>
        <v/>
      </c>
      <c r="F794" s="35" t="n"/>
      <c r="G794" s="39" t="n"/>
      <c r="H794" s="37" t="n"/>
      <c r="I794" s="36" t="n"/>
      <c r="J794" s="23">
        <f>IF(OR(G794="",I794=""),"",G794*I794)</f>
        <v/>
      </c>
      <c r="K794" s="35" t="n"/>
    </row>
    <row r="795">
      <c r="A795" s="41" t="n"/>
      <c r="B795" s="34" t="n"/>
      <c r="C795" s="34" t="n"/>
      <c r="D795" s="35" t="n"/>
      <c r="E795" s="22">
        <f>IF(D795="","",IFERROR(VLOOKUP(D795,Config!$F$6:$H$25,3,0),"Categoria inválida"))</f>
        <v/>
      </c>
      <c r="F795" s="35" t="n"/>
      <c r="G795" s="39" t="n"/>
      <c r="H795" s="37" t="n"/>
      <c r="I795" s="36" t="n"/>
      <c r="J795" s="23">
        <f>IF(OR(G795="",I795=""),"",G795*I795)</f>
        <v/>
      </c>
      <c r="K795" s="35" t="n"/>
    </row>
    <row r="796">
      <c r="A796" s="41" t="n"/>
      <c r="B796" s="34" t="n"/>
      <c r="C796" s="34" t="n"/>
      <c r="D796" s="35" t="n"/>
      <c r="E796" s="22">
        <f>IF(D796="","",IFERROR(VLOOKUP(D796,Config!$F$6:$H$25,3,0),"Categoria inválida"))</f>
        <v/>
      </c>
      <c r="F796" s="35" t="n"/>
      <c r="G796" s="39" t="n"/>
      <c r="H796" s="37" t="n"/>
      <c r="I796" s="36" t="n"/>
      <c r="J796" s="23">
        <f>IF(OR(G796="",I796=""),"",G796*I796)</f>
        <v/>
      </c>
      <c r="K796" s="35" t="n"/>
    </row>
    <row r="797">
      <c r="A797" s="41" t="n"/>
      <c r="B797" s="34" t="n"/>
      <c r="C797" s="34" t="n"/>
      <c r="D797" s="35" t="n"/>
      <c r="E797" s="22">
        <f>IF(D797="","",IFERROR(VLOOKUP(D797,Config!$F$6:$H$25,3,0),"Categoria inválida"))</f>
        <v/>
      </c>
      <c r="F797" s="35" t="n"/>
      <c r="G797" s="39" t="n"/>
      <c r="H797" s="37" t="n"/>
      <c r="I797" s="36" t="n"/>
      <c r="J797" s="23">
        <f>IF(OR(G797="",I797=""),"",G797*I797)</f>
        <v/>
      </c>
      <c r="K797" s="35" t="n"/>
    </row>
    <row r="798">
      <c r="A798" s="41" t="n"/>
      <c r="B798" s="34" t="n"/>
      <c r="C798" s="34" t="n"/>
      <c r="D798" s="35" t="n"/>
      <c r="E798" s="22">
        <f>IF(D798="","",IFERROR(VLOOKUP(D798,Config!$F$6:$H$25,3,0),"Categoria inválida"))</f>
        <v/>
      </c>
      <c r="F798" s="35" t="n"/>
      <c r="G798" s="39" t="n"/>
      <c r="H798" s="37" t="n"/>
      <c r="I798" s="36" t="n"/>
      <c r="J798" s="23">
        <f>IF(OR(G798="",I798=""),"",G798*I798)</f>
        <v/>
      </c>
      <c r="K798" s="35" t="n"/>
    </row>
    <row r="799">
      <c r="A799" s="41" t="n"/>
      <c r="B799" s="34" t="n"/>
      <c r="C799" s="34" t="n"/>
      <c r="D799" s="35" t="n"/>
      <c r="E799" s="22">
        <f>IF(D799="","",IFERROR(VLOOKUP(D799,Config!$F$6:$H$25,3,0),"Categoria inválida"))</f>
        <v/>
      </c>
      <c r="F799" s="35" t="n"/>
      <c r="G799" s="39" t="n"/>
      <c r="H799" s="37" t="n"/>
      <c r="I799" s="36" t="n"/>
      <c r="J799" s="23">
        <f>IF(OR(G799="",I799=""),"",G799*I799)</f>
        <v/>
      </c>
      <c r="K799" s="35" t="n"/>
    </row>
    <row r="800">
      <c r="A800" s="41" t="n"/>
      <c r="B800" s="34" t="n"/>
      <c r="C800" s="34" t="n"/>
      <c r="D800" s="35" t="n"/>
      <c r="E800" s="22">
        <f>IF(D800="","",IFERROR(VLOOKUP(D800,Config!$F$6:$H$25,3,0),"Categoria inválida"))</f>
        <v/>
      </c>
      <c r="F800" s="35" t="n"/>
      <c r="G800" s="39" t="n"/>
      <c r="H800" s="37" t="n"/>
      <c r="I800" s="36" t="n"/>
      <c r="J800" s="23">
        <f>IF(OR(G800="",I800=""),"",G800*I800)</f>
        <v/>
      </c>
      <c r="K800" s="35" t="n"/>
    </row>
    <row r="801">
      <c r="A801" s="41" t="n"/>
      <c r="B801" s="34" t="n"/>
      <c r="C801" s="34" t="n"/>
      <c r="D801" s="35" t="n"/>
      <c r="E801" s="22">
        <f>IF(D801="","",IFERROR(VLOOKUP(D801,Config!$F$6:$H$25,3,0),"Categoria inválida"))</f>
        <v/>
      </c>
      <c r="F801" s="35" t="n"/>
      <c r="G801" s="39" t="n"/>
      <c r="H801" s="37" t="n"/>
      <c r="I801" s="36" t="n"/>
      <c r="J801" s="23">
        <f>IF(OR(G801="",I801=""),"",G801*I801)</f>
        <v/>
      </c>
      <c r="K801" s="35" t="n"/>
    </row>
    <row r="802">
      <c r="A802" s="41" t="n"/>
      <c r="B802" s="34" t="n"/>
      <c r="C802" s="34" t="n"/>
      <c r="D802" s="35" t="n"/>
      <c r="E802" s="22">
        <f>IF(D802="","",IFERROR(VLOOKUP(D802,Config!$F$6:$H$25,3,0),"Categoria inválida"))</f>
        <v/>
      </c>
      <c r="F802" s="35" t="n"/>
      <c r="G802" s="39" t="n"/>
      <c r="H802" s="37" t="n"/>
      <c r="I802" s="36" t="n"/>
      <c r="J802" s="23">
        <f>IF(OR(G802="",I802=""),"",G802*I802)</f>
        <v/>
      </c>
      <c r="K802" s="35" t="n"/>
    </row>
    <row r="803">
      <c r="A803" s="41" t="n"/>
      <c r="B803" s="34" t="n"/>
      <c r="C803" s="34" t="n"/>
      <c r="D803" s="35" t="n"/>
      <c r="E803" s="22">
        <f>IF(D803="","",IFERROR(VLOOKUP(D803,Config!$F$6:$H$25,3,0),"Categoria inválida"))</f>
        <v/>
      </c>
      <c r="F803" s="35" t="n"/>
      <c r="G803" s="39" t="n"/>
      <c r="H803" s="37" t="n"/>
      <c r="I803" s="36" t="n"/>
      <c r="J803" s="23">
        <f>IF(OR(G803="",I803=""),"",G803*I803)</f>
        <v/>
      </c>
      <c r="K803" s="35" t="n"/>
    </row>
    <row r="804">
      <c r="A804" s="41" t="n"/>
      <c r="B804" s="34" t="n"/>
      <c r="C804" s="34" t="n"/>
      <c r="D804" s="35" t="n"/>
      <c r="E804" s="22">
        <f>IF(D804="","",IFERROR(VLOOKUP(D804,Config!$F$6:$H$25,3,0),"Categoria inválida"))</f>
        <v/>
      </c>
      <c r="F804" s="35" t="n"/>
      <c r="G804" s="39" t="n"/>
      <c r="H804" s="37" t="n"/>
      <c r="I804" s="36" t="n"/>
      <c r="J804" s="23">
        <f>IF(OR(G804="",I804=""),"",G804*I804)</f>
        <v/>
      </c>
      <c r="K804" s="35" t="n"/>
    </row>
    <row r="805">
      <c r="A805" s="41" t="n"/>
      <c r="B805" s="34" t="n"/>
      <c r="C805" s="34" t="n"/>
      <c r="D805" s="35" t="n"/>
      <c r="E805" s="22">
        <f>IF(D805="","",IFERROR(VLOOKUP(D805,Config!$F$6:$H$25,3,0),"Categoria inválida"))</f>
        <v/>
      </c>
      <c r="F805" s="35" t="n"/>
      <c r="G805" s="39" t="n"/>
      <c r="H805" s="37" t="n"/>
      <c r="I805" s="36" t="n"/>
      <c r="J805" s="23">
        <f>IF(OR(G805="",I805=""),"",G805*I805)</f>
        <v/>
      </c>
      <c r="K805" s="35" t="n"/>
    </row>
    <row r="806">
      <c r="A806" s="41" t="n"/>
      <c r="B806" s="34" t="n"/>
      <c r="C806" s="34" t="n"/>
      <c r="D806" s="35" t="n"/>
      <c r="E806" s="22">
        <f>IF(D806="","",IFERROR(VLOOKUP(D806,Config!$F$6:$H$25,3,0),"Categoria inválida"))</f>
        <v/>
      </c>
      <c r="F806" s="35" t="n"/>
      <c r="G806" s="39" t="n"/>
      <c r="H806" s="37" t="n"/>
      <c r="I806" s="36" t="n"/>
      <c r="J806" s="23">
        <f>IF(OR(G806="",I806=""),"",G806*I806)</f>
        <v/>
      </c>
      <c r="K806" s="35" t="n"/>
    </row>
    <row r="807">
      <c r="A807" s="41" t="n"/>
      <c r="B807" s="34" t="n"/>
      <c r="C807" s="34" t="n"/>
      <c r="D807" s="35" t="n"/>
      <c r="E807" s="22">
        <f>IF(D807="","",IFERROR(VLOOKUP(D807,Config!$F$6:$H$25,3,0),"Categoria inválida"))</f>
        <v/>
      </c>
      <c r="F807" s="35" t="n"/>
      <c r="G807" s="39" t="n"/>
      <c r="H807" s="37" t="n"/>
      <c r="I807" s="36" t="n"/>
      <c r="J807" s="23">
        <f>IF(OR(G807="",I807=""),"",G807*I807)</f>
        <v/>
      </c>
      <c r="K807" s="35" t="n"/>
    </row>
    <row r="808">
      <c r="A808" s="41" t="n"/>
      <c r="B808" s="34" t="n"/>
      <c r="C808" s="34" t="n"/>
      <c r="D808" s="35" t="n"/>
      <c r="E808" s="22">
        <f>IF(D808="","",IFERROR(VLOOKUP(D808,Config!$F$6:$H$25,3,0),"Categoria inválida"))</f>
        <v/>
      </c>
      <c r="F808" s="35" t="n"/>
      <c r="G808" s="39" t="n"/>
      <c r="H808" s="37" t="n"/>
      <c r="I808" s="36" t="n"/>
      <c r="J808" s="23">
        <f>IF(OR(G808="",I808=""),"",G808*I808)</f>
        <v/>
      </c>
      <c r="K808" s="35" t="n"/>
    </row>
    <row r="809">
      <c r="A809" s="41" t="n"/>
      <c r="B809" s="34" t="n"/>
      <c r="C809" s="34" t="n"/>
      <c r="D809" s="35" t="n"/>
      <c r="E809" s="22">
        <f>IF(D809="","",IFERROR(VLOOKUP(D809,Config!$F$6:$H$25,3,0),"Categoria inválida"))</f>
        <v/>
      </c>
      <c r="F809" s="35" t="n"/>
      <c r="G809" s="39" t="n"/>
      <c r="H809" s="37" t="n"/>
      <c r="I809" s="36" t="n"/>
      <c r="J809" s="23">
        <f>IF(OR(G809="",I809=""),"",G809*I809)</f>
        <v/>
      </c>
      <c r="K809" s="35" t="n"/>
    </row>
    <row r="810">
      <c r="A810" s="41" t="n"/>
      <c r="B810" s="34" t="n"/>
      <c r="C810" s="34" t="n"/>
      <c r="D810" s="35" t="n"/>
      <c r="E810" s="22">
        <f>IF(D810="","",IFERROR(VLOOKUP(D810,Config!$F$6:$H$25,3,0),"Categoria inválida"))</f>
        <v/>
      </c>
      <c r="F810" s="35" t="n"/>
      <c r="G810" s="39" t="n"/>
      <c r="H810" s="37" t="n"/>
      <c r="I810" s="36" t="n"/>
      <c r="J810" s="23">
        <f>IF(OR(G810="",I810=""),"",G810*I810)</f>
        <v/>
      </c>
      <c r="K810" s="35" t="n"/>
    </row>
    <row r="811">
      <c r="A811" s="41" t="n"/>
      <c r="B811" s="34" t="n"/>
      <c r="C811" s="34" t="n"/>
      <c r="D811" s="35" t="n"/>
      <c r="E811" s="22">
        <f>IF(D811="","",IFERROR(VLOOKUP(D811,Config!$F$6:$H$25,3,0),"Categoria inválida"))</f>
        <v/>
      </c>
      <c r="F811" s="35" t="n"/>
      <c r="G811" s="39" t="n"/>
      <c r="H811" s="37" t="n"/>
      <c r="I811" s="36" t="n"/>
      <c r="J811" s="23">
        <f>IF(OR(G811="",I811=""),"",G811*I811)</f>
        <v/>
      </c>
      <c r="K811" s="35" t="n"/>
    </row>
    <row r="812">
      <c r="A812" s="41" t="n"/>
      <c r="B812" s="34" t="n"/>
      <c r="C812" s="34" t="n"/>
      <c r="D812" s="35" t="n"/>
      <c r="E812" s="22">
        <f>IF(D812="","",IFERROR(VLOOKUP(D812,Config!$F$6:$H$25,3,0),"Categoria inválida"))</f>
        <v/>
      </c>
      <c r="F812" s="35" t="n"/>
      <c r="G812" s="39" t="n"/>
      <c r="H812" s="37" t="n"/>
      <c r="I812" s="36" t="n"/>
      <c r="J812" s="23">
        <f>IF(OR(G812="",I812=""),"",G812*I812)</f>
        <v/>
      </c>
      <c r="K812" s="35" t="n"/>
    </row>
    <row r="813">
      <c r="A813" s="41" t="n"/>
      <c r="B813" s="34" t="n"/>
      <c r="C813" s="34" t="n"/>
      <c r="D813" s="35" t="n"/>
      <c r="E813" s="22">
        <f>IF(D813="","",IFERROR(VLOOKUP(D813,Config!$F$6:$H$25,3,0),"Categoria inválida"))</f>
        <v/>
      </c>
      <c r="F813" s="35" t="n"/>
      <c r="G813" s="39" t="n"/>
      <c r="H813" s="37" t="n"/>
      <c r="I813" s="36" t="n"/>
      <c r="J813" s="23">
        <f>IF(OR(G813="",I813=""),"",G813*I813)</f>
        <v/>
      </c>
      <c r="K813" s="35" t="n"/>
    </row>
    <row r="814">
      <c r="A814" s="41" t="n"/>
      <c r="B814" s="34" t="n"/>
      <c r="C814" s="34" t="n"/>
      <c r="D814" s="35" t="n"/>
      <c r="E814" s="22">
        <f>IF(D814="","",IFERROR(VLOOKUP(D814,Config!$F$6:$H$25,3,0),"Categoria inválida"))</f>
        <v/>
      </c>
      <c r="F814" s="35" t="n"/>
      <c r="G814" s="39" t="n"/>
      <c r="H814" s="37" t="n"/>
      <c r="I814" s="36" t="n"/>
      <c r="J814" s="23">
        <f>IF(OR(G814="",I814=""),"",G814*I814)</f>
        <v/>
      </c>
      <c r="K814" s="35" t="n"/>
    </row>
    <row r="815">
      <c r="A815" s="41" t="n"/>
      <c r="B815" s="34" t="n"/>
      <c r="C815" s="34" t="n"/>
      <c r="D815" s="35" t="n"/>
      <c r="E815" s="22">
        <f>IF(D815="","",IFERROR(VLOOKUP(D815,Config!$F$6:$H$25,3,0),"Categoria inválida"))</f>
        <v/>
      </c>
      <c r="F815" s="35" t="n"/>
      <c r="G815" s="39" t="n"/>
      <c r="H815" s="37" t="n"/>
      <c r="I815" s="36" t="n"/>
      <c r="J815" s="23">
        <f>IF(OR(G815="",I815=""),"",G815*I815)</f>
        <v/>
      </c>
      <c r="K815" s="35" t="n"/>
    </row>
    <row r="816">
      <c r="A816" s="41" t="n"/>
      <c r="B816" s="34" t="n"/>
      <c r="C816" s="34" t="n"/>
      <c r="D816" s="35" t="n"/>
      <c r="E816" s="22">
        <f>IF(D816="","",IFERROR(VLOOKUP(D816,Config!$F$6:$H$25,3,0),"Categoria inválida"))</f>
        <v/>
      </c>
      <c r="F816" s="35" t="n"/>
      <c r="G816" s="39" t="n"/>
      <c r="H816" s="37" t="n"/>
      <c r="I816" s="36" t="n"/>
      <c r="J816" s="23">
        <f>IF(OR(G816="",I816=""),"",G816*I816)</f>
        <v/>
      </c>
      <c r="K816" s="35" t="n"/>
    </row>
    <row r="817">
      <c r="A817" s="41" t="n"/>
      <c r="B817" s="34" t="n"/>
      <c r="C817" s="34" t="n"/>
      <c r="D817" s="35" t="n"/>
      <c r="E817" s="22">
        <f>IF(D817="","",IFERROR(VLOOKUP(D817,Config!$F$6:$H$25,3,0),"Categoria inválida"))</f>
        <v/>
      </c>
      <c r="F817" s="35" t="n"/>
      <c r="G817" s="39" t="n"/>
      <c r="H817" s="37" t="n"/>
      <c r="I817" s="36" t="n"/>
      <c r="J817" s="23">
        <f>IF(OR(G817="",I817=""),"",G817*I817)</f>
        <v/>
      </c>
      <c r="K817" s="35" t="n"/>
    </row>
    <row r="818">
      <c r="A818" s="41" t="n"/>
      <c r="B818" s="34" t="n"/>
      <c r="C818" s="34" t="n"/>
      <c r="D818" s="35" t="n"/>
      <c r="E818" s="22">
        <f>IF(D818="","",IFERROR(VLOOKUP(D818,Config!$F$6:$H$25,3,0),"Categoria inválida"))</f>
        <v/>
      </c>
      <c r="F818" s="35" t="n"/>
      <c r="G818" s="39" t="n"/>
      <c r="H818" s="37" t="n"/>
      <c r="I818" s="36" t="n"/>
      <c r="J818" s="23">
        <f>IF(OR(G818="",I818=""),"",G818*I818)</f>
        <v/>
      </c>
      <c r="K818" s="35" t="n"/>
    </row>
    <row r="819">
      <c r="A819" s="41" t="n"/>
      <c r="B819" s="34" t="n"/>
      <c r="C819" s="34" t="n"/>
      <c r="D819" s="35" t="n"/>
      <c r="E819" s="22">
        <f>IF(D819="","",IFERROR(VLOOKUP(D819,Config!$F$6:$H$25,3,0),"Categoria inválida"))</f>
        <v/>
      </c>
      <c r="F819" s="35" t="n"/>
      <c r="G819" s="39" t="n"/>
      <c r="H819" s="37" t="n"/>
      <c r="I819" s="36" t="n"/>
      <c r="J819" s="23">
        <f>IF(OR(G819="",I819=""),"",G819*I819)</f>
        <v/>
      </c>
      <c r="K819" s="35" t="n"/>
    </row>
    <row r="820">
      <c r="A820" s="41" t="n"/>
      <c r="B820" s="34" t="n"/>
      <c r="C820" s="34" t="n"/>
      <c r="D820" s="35" t="n"/>
      <c r="E820" s="22">
        <f>IF(D820="","",IFERROR(VLOOKUP(D820,Config!$F$6:$H$25,3,0),"Categoria inválida"))</f>
        <v/>
      </c>
      <c r="F820" s="35" t="n"/>
      <c r="G820" s="39" t="n"/>
      <c r="H820" s="37" t="n"/>
      <c r="I820" s="36" t="n"/>
      <c r="J820" s="23">
        <f>IF(OR(G820="",I820=""),"",G820*I820)</f>
        <v/>
      </c>
      <c r="K820" s="35" t="n"/>
    </row>
    <row r="821">
      <c r="A821" s="41" t="n"/>
      <c r="B821" s="34" t="n"/>
      <c r="C821" s="34" t="n"/>
      <c r="D821" s="35" t="n"/>
      <c r="E821" s="22">
        <f>IF(D821="","",IFERROR(VLOOKUP(D821,Config!$F$6:$H$25,3,0),"Categoria inválida"))</f>
        <v/>
      </c>
      <c r="F821" s="35" t="n"/>
      <c r="G821" s="39" t="n"/>
      <c r="H821" s="37" t="n"/>
      <c r="I821" s="36" t="n"/>
      <c r="J821" s="23">
        <f>IF(OR(G821="",I821=""),"",G821*I821)</f>
        <v/>
      </c>
      <c r="K821" s="35" t="n"/>
    </row>
    <row r="822">
      <c r="A822" s="41" t="n"/>
      <c r="B822" s="34" t="n"/>
      <c r="C822" s="34" t="n"/>
      <c r="D822" s="35" t="n"/>
      <c r="E822" s="22">
        <f>IF(D822="","",IFERROR(VLOOKUP(D822,Config!$F$6:$H$25,3,0),"Categoria inválida"))</f>
        <v/>
      </c>
      <c r="F822" s="35" t="n"/>
      <c r="G822" s="39" t="n"/>
      <c r="H822" s="37" t="n"/>
      <c r="I822" s="36" t="n"/>
      <c r="J822" s="23">
        <f>IF(OR(G822="",I822=""),"",G822*I822)</f>
        <v/>
      </c>
      <c r="K822" s="35" t="n"/>
    </row>
    <row r="823">
      <c r="A823" s="41" t="n"/>
      <c r="B823" s="34" t="n"/>
      <c r="C823" s="34" t="n"/>
      <c r="D823" s="35" t="n"/>
      <c r="E823" s="22">
        <f>IF(D823="","",IFERROR(VLOOKUP(D823,Config!$F$6:$H$25,3,0),"Categoria inválida"))</f>
        <v/>
      </c>
      <c r="F823" s="35" t="n"/>
      <c r="G823" s="39" t="n"/>
      <c r="H823" s="37" t="n"/>
      <c r="I823" s="36" t="n"/>
      <c r="J823" s="23">
        <f>IF(OR(G823="",I823=""),"",G823*I823)</f>
        <v/>
      </c>
      <c r="K823" s="35" t="n"/>
    </row>
    <row r="824">
      <c r="A824" s="41" t="n"/>
      <c r="B824" s="34" t="n"/>
      <c r="C824" s="34" t="n"/>
      <c r="D824" s="35" t="n"/>
      <c r="E824" s="22">
        <f>IF(D824="","",IFERROR(VLOOKUP(D824,Config!$F$6:$H$25,3,0),"Categoria inválida"))</f>
        <v/>
      </c>
      <c r="F824" s="35" t="n"/>
      <c r="G824" s="39" t="n"/>
      <c r="H824" s="37" t="n"/>
      <c r="I824" s="36" t="n"/>
      <c r="J824" s="23">
        <f>IF(OR(G824="",I824=""),"",G824*I824)</f>
        <v/>
      </c>
      <c r="K824" s="35" t="n"/>
    </row>
    <row r="825">
      <c r="A825" s="41" t="n"/>
      <c r="B825" s="34" t="n"/>
      <c r="C825" s="34" t="n"/>
      <c r="D825" s="35" t="n"/>
      <c r="E825" s="22">
        <f>IF(D825="","",IFERROR(VLOOKUP(D825,Config!$F$6:$H$25,3,0),"Categoria inválida"))</f>
        <v/>
      </c>
      <c r="F825" s="35" t="n"/>
      <c r="G825" s="39" t="n"/>
      <c r="H825" s="37" t="n"/>
      <c r="I825" s="36" t="n"/>
      <c r="J825" s="23">
        <f>IF(OR(G825="",I825=""),"",G825*I825)</f>
        <v/>
      </c>
      <c r="K825" s="35" t="n"/>
    </row>
    <row r="826">
      <c r="A826" s="41" t="n"/>
      <c r="B826" s="34" t="n"/>
      <c r="C826" s="34" t="n"/>
      <c r="D826" s="35" t="n"/>
      <c r="E826" s="22">
        <f>IF(D826="","",IFERROR(VLOOKUP(D826,Config!$F$6:$H$25,3,0),"Categoria inválida"))</f>
        <v/>
      </c>
      <c r="F826" s="35" t="n"/>
      <c r="G826" s="39" t="n"/>
      <c r="H826" s="37" t="n"/>
      <c r="I826" s="36" t="n"/>
      <c r="J826" s="23">
        <f>IF(OR(G826="",I826=""),"",G826*I826)</f>
        <v/>
      </c>
      <c r="K826" s="35" t="n"/>
    </row>
    <row r="827">
      <c r="A827" s="41" t="n"/>
      <c r="B827" s="34" t="n"/>
      <c r="C827" s="34" t="n"/>
      <c r="D827" s="35" t="n"/>
      <c r="E827" s="22">
        <f>IF(D827="","",IFERROR(VLOOKUP(D827,Config!$F$6:$H$25,3,0),"Categoria inválida"))</f>
        <v/>
      </c>
      <c r="F827" s="35" t="n"/>
      <c r="G827" s="39" t="n"/>
      <c r="H827" s="37" t="n"/>
      <c r="I827" s="36" t="n"/>
      <c r="J827" s="23">
        <f>IF(OR(G827="",I827=""),"",G827*I827)</f>
        <v/>
      </c>
      <c r="K827" s="35" t="n"/>
    </row>
    <row r="828">
      <c r="A828" s="41" t="n"/>
      <c r="B828" s="34" t="n"/>
      <c r="C828" s="34" t="n"/>
      <c r="D828" s="35" t="n"/>
      <c r="E828" s="22">
        <f>IF(D828="","",IFERROR(VLOOKUP(D828,Config!$F$6:$H$25,3,0),"Categoria inválida"))</f>
        <v/>
      </c>
      <c r="F828" s="35" t="n"/>
      <c r="G828" s="39" t="n"/>
      <c r="H828" s="37" t="n"/>
      <c r="I828" s="36" t="n"/>
      <c r="J828" s="23">
        <f>IF(OR(G828="",I828=""),"",G828*I828)</f>
        <v/>
      </c>
      <c r="K828" s="35" t="n"/>
    </row>
    <row r="829">
      <c r="A829" s="41" t="n"/>
      <c r="B829" s="34" t="n"/>
      <c r="C829" s="34" t="n"/>
      <c r="D829" s="35" t="n"/>
      <c r="E829" s="22">
        <f>IF(D829="","",IFERROR(VLOOKUP(D829,Config!$F$6:$H$25,3,0),"Categoria inválida"))</f>
        <v/>
      </c>
      <c r="F829" s="35" t="n"/>
      <c r="G829" s="39" t="n"/>
      <c r="H829" s="37" t="n"/>
      <c r="I829" s="36" t="n"/>
      <c r="J829" s="23">
        <f>IF(OR(G829="",I829=""),"",G829*I829)</f>
        <v/>
      </c>
      <c r="K829" s="35" t="n"/>
    </row>
    <row r="830">
      <c r="A830" s="41" t="n"/>
      <c r="B830" s="34" t="n"/>
      <c r="C830" s="34" t="n"/>
      <c r="D830" s="35" t="n"/>
      <c r="E830" s="22">
        <f>IF(D830="","",IFERROR(VLOOKUP(D830,Config!$F$6:$H$25,3,0),"Categoria inválida"))</f>
        <v/>
      </c>
      <c r="F830" s="35" t="n"/>
      <c r="G830" s="39" t="n"/>
      <c r="H830" s="37" t="n"/>
      <c r="I830" s="36" t="n"/>
      <c r="J830" s="23">
        <f>IF(OR(G830="",I830=""),"",G830*I830)</f>
        <v/>
      </c>
      <c r="K830" s="35" t="n"/>
    </row>
    <row r="831">
      <c r="A831" s="41" t="n"/>
      <c r="B831" s="34" t="n"/>
      <c r="C831" s="34" t="n"/>
      <c r="D831" s="35" t="n"/>
      <c r="E831" s="22">
        <f>IF(D831="","",IFERROR(VLOOKUP(D831,Config!$F$6:$H$25,3,0),"Categoria inválida"))</f>
        <v/>
      </c>
      <c r="F831" s="35" t="n"/>
      <c r="G831" s="39" t="n"/>
      <c r="H831" s="37" t="n"/>
      <c r="I831" s="36" t="n"/>
      <c r="J831" s="23">
        <f>IF(OR(G831="",I831=""),"",G831*I831)</f>
        <v/>
      </c>
      <c r="K831" s="35" t="n"/>
    </row>
    <row r="832">
      <c r="A832" s="41" t="n"/>
      <c r="B832" s="34" t="n"/>
      <c r="C832" s="34" t="n"/>
      <c r="D832" s="35" t="n"/>
      <c r="E832" s="22">
        <f>IF(D832="","",IFERROR(VLOOKUP(D832,Config!$F$6:$H$25,3,0),"Categoria inválida"))</f>
        <v/>
      </c>
      <c r="F832" s="35" t="n"/>
      <c r="G832" s="39" t="n"/>
      <c r="H832" s="37" t="n"/>
      <c r="I832" s="36" t="n"/>
      <c r="J832" s="23">
        <f>IF(OR(G832="",I832=""),"",G832*I832)</f>
        <v/>
      </c>
      <c r="K832" s="35" t="n"/>
    </row>
    <row r="833">
      <c r="A833" s="41" t="n"/>
      <c r="B833" s="34" t="n"/>
      <c r="C833" s="34" t="n"/>
      <c r="D833" s="35" t="n"/>
      <c r="E833" s="22">
        <f>IF(D833="","",IFERROR(VLOOKUP(D833,Config!$F$6:$H$25,3,0),"Categoria inválida"))</f>
        <v/>
      </c>
      <c r="F833" s="35" t="n"/>
      <c r="G833" s="39" t="n"/>
      <c r="H833" s="37" t="n"/>
      <c r="I833" s="36" t="n"/>
      <c r="J833" s="23">
        <f>IF(OR(G833="",I833=""),"",G833*I833)</f>
        <v/>
      </c>
      <c r="K833" s="35" t="n"/>
    </row>
    <row r="834">
      <c r="A834" s="41" t="n"/>
      <c r="B834" s="34" t="n"/>
      <c r="C834" s="34" t="n"/>
      <c r="D834" s="35" t="n"/>
      <c r="E834" s="22">
        <f>IF(D834="","",IFERROR(VLOOKUP(D834,Config!$F$6:$H$25,3,0),"Categoria inválida"))</f>
        <v/>
      </c>
      <c r="F834" s="35" t="n"/>
      <c r="G834" s="39" t="n"/>
      <c r="H834" s="37" t="n"/>
      <c r="I834" s="36" t="n"/>
      <c r="J834" s="23">
        <f>IF(OR(G834="",I834=""),"",G834*I834)</f>
        <v/>
      </c>
      <c r="K834" s="35" t="n"/>
    </row>
    <row r="835">
      <c r="A835" s="41" t="n"/>
      <c r="B835" s="34" t="n"/>
      <c r="C835" s="34" t="n"/>
      <c r="D835" s="35" t="n"/>
      <c r="E835" s="22">
        <f>IF(D835="","",IFERROR(VLOOKUP(D835,Config!$F$6:$H$25,3,0),"Categoria inválida"))</f>
        <v/>
      </c>
      <c r="F835" s="35" t="n"/>
      <c r="G835" s="39" t="n"/>
      <c r="H835" s="37" t="n"/>
      <c r="I835" s="36" t="n"/>
      <c r="J835" s="23">
        <f>IF(OR(G835="",I835=""),"",G835*I835)</f>
        <v/>
      </c>
      <c r="K835" s="35" t="n"/>
    </row>
    <row r="836">
      <c r="A836" s="41" t="n"/>
      <c r="B836" s="34" t="n"/>
      <c r="C836" s="34" t="n"/>
      <c r="D836" s="35" t="n"/>
      <c r="E836" s="22">
        <f>IF(D836="","",IFERROR(VLOOKUP(D836,Config!$F$6:$H$25,3,0),"Categoria inválida"))</f>
        <v/>
      </c>
      <c r="F836" s="35" t="n"/>
      <c r="G836" s="39" t="n"/>
      <c r="H836" s="37" t="n"/>
      <c r="I836" s="36" t="n"/>
      <c r="J836" s="23">
        <f>IF(OR(G836="",I836=""),"",G836*I836)</f>
        <v/>
      </c>
      <c r="K836" s="35" t="n"/>
    </row>
    <row r="837">
      <c r="A837" s="41" t="n"/>
      <c r="B837" s="34" t="n"/>
      <c r="C837" s="34" t="n"/>
      <c r="D837" s="35" t="n"/>
      <c r="E837" s="22">
        <f>IF(D837="","",IFERROR(VLOOKUP(D837,Config!$F$6:$H$25,3,0),"Categoria inválida"))</f>
        <v/>
      </c>
      <c r="F837" s="35" t="n"/>
      <c r="G837" s="39" t="n"/>
      <c r="H837" s="37" t="n"/>
      <c r="I837" s="36" t="n"/>
      <c r="J837" s="23">
        <f>IF(OR(G837="",I837=""),"",G837*I837)</f>
        <v/>
      </c>
      <c r="K837" s="35" t="n"/>
    </row>
    <row r="838">
      <c r="A838" s="41" t="n"/>
      <c r="B838" s="34" t="n"/>
      <c r="C838" s="34" t="n"/>
      <c r="D838" s="35" t="n"/>
      <c r="E838" s="22">
        <f>IF(D838="","",IFERROR(VLOOKUP(D838,Config!$F$6:$H$25,3,0),"Categoria inválida"))</f>
        <v/>
      </c>
      <c r="F838" s="35" t="n"/>
      <c r="G838" s="39" t="n"/>
      <c r="H838" s="37" t="n"/>
      <c r="I838" s="36" t="n"/>
      <c r="J838" s="23">
        <f>IF(OR(G838="",I838=""),"",G838*I838)</f>
        <v/>
      </c>
      <c r="K838" s="35" t="n"/>
    </row>
    <row r="839">
      <c r="A839" s="41" t="n"/>
      <c r="B839" s="34" t="n"/>
      <c r="C839" s="34" t="n"/>
      <c r="D839" s="35" t="n"/>
      <c r="E839" s="22">
        <f>IF(D839="","",IFERROR(VLOOKUP(D839,Config!$F$6:$H$25,3,0),"Categoria inválida"))</f>
        <v/>
      </c>
      <c r="F839" s="35" t="n"/>
      <c r="G839" s="39" t="n"/>
      <c r="H839" s="37" t="n"/>
      <c r="I839" s="36" t="n"/>
      <c r="J839" s="23">
        <f>IF(OR(G839="",I839=""),"",G839*I839)</f>
        <v/>
      </c>
      <c r="K839" s="35" t="n"/>
    </row>
    <row r="840">
      <c r="A840" s="41" t="n"/>
      <c r="B840" s="34" t="n"/>
      <c r="C840" s="34" t="n"/>
      <c r="D840" s="35" t="n"/>
      <c r="E840" s="22">
        <f>IF(D840="","",IFERROR(VLOOKUP(D840,Config!$F$6:$H$25,3,0),"Categoria inválida"))</f>
        <v/>
      </c>
      <c r="F840" s="35" t="n"/>
      <c r="G840" s="39" t="n"/>
      <c r="H840" s="37" t="n"/>
      <c r="I840" s="36" t="n"/>
      <c r="J840" s="23">
        <f>IF(OR(G840="",I840=""),"",G840*I840)</f>
        <v/>
      </c>
      <c r="K840" s="35" t="n"/>
    </row>
    <row r="841">
      <c r="A841" s="41" t="n"/>
      <c r="B841" s="34" t="n"/>
      <c r="C841" s="34" t="n"/>
      <c r="D841" s="35" t="n"/>
      <c r="E841" s="22">
        <f>IF(D841="","",IFERROR(VLOOKUP(D841,Config!$F$6:$H$25,3,0),"Categoria inválida"))</f>
        <v/>
      </c>
      <c r="F841" s="35" t="n"/>
      <c r="G841" s="39" t="n"/>
      <c r="H841" s="37" t="n"/>
      <c r="I841" s="36" t="n"/>
      <c r="J841" s="23">
        <f>IF(OR(G841="",I841=""),"",G841*I841)</f>
        <v/>
      </c>
      <c r="K841" s="35" t="n"/>
    </row>
    <row r="842">
      <c r="A842" s="41" t="n"/>
      <c r="B842" s="34" t="n"/>
      <c r="C842" s="34" t="n"/>
      <c r="D842" s="35" t="n"/>
      <c r="E842" s="22">
        <f>IF(D842="","",IFERROR(VLOOKUP(D842,Config!$F$6:$H$25,3,0),"Categoria inválida"))</f>
        <v/>
      </c>
      <c r="F842" s="35" t="n"/>
      <c r="G842" s="39" t="n"/>
      <c r="H842" s="37" t="n"/>
      <c r="I842" s="36" t="n"/>
      <c r="J842" s="23">
        <f>IF(OR(G842="",I842=""),"",G842*I842)</f>
        <v/>
      </c>
      <c r="K842" s="35" t="n"/>
    </row>
    <row r="843">
      <c r="A843" s="41" t="n"/>
      <c r="B843" s="34" t="n"/>
      <c r="C843" s="34" t="n"/>
      <c r="D843" s="35" t="n"/>
      <c r="E843" s="22">
        <f>IF(D843="","",IFERROR(VLOOKUP(D843,Config!$F$6:$H$25,3,0),"Categoria inválida"))</f>
        <v/>
      </c>
      <c r="F843" s="35" t="n"/>
      <c r="G843" s="39" t="n"/>
      <c r="H843" s="37" t="n"/>
      <c r="I843" s="36" t="n"/>
      <c r="J843" s="23">
        <f>IF(OR(G843="",I843=""),"",G843*I843)</f>
        <v/>
      </c>
      <c r="K843" s="35" t="n"/>
    </row>
    <row r="844">
      <c r="A844" s="41" t="n"/>
      <c r="B844" s="34" t="n"/>
      <c r="C844" s="34" t="n"/>
      <c r="D844" s="35" t="n"/>
      <c r="E844" s="22">
        <f>IF(D844="","",IFERROR(VLOOKUP(D844,Config!$F$6:$H$25,3,0),"Categoria inválida"))</f>
        <v/>
      </c>
      <c r="F844" s="35" t="n"/>
      <c r="G844" s="39" t="n"/>
      <c r="H844" s="37" t="n"/>
      <c r="I844" s="36" t="n"/>
      <c r="J844" s="23">
        <f>IF(OR(G844="",I844=""),"",G844*I844)</f>
        <v/>
      </c>
      <c r="K844" s="35" t="n"/>
    </row>
    <row r="845">
      <c r="A845" s="41" t="n"/>
      <c r="B845" s="34" t="n"/>
      <c r="C845" s="34" t="n"/>
      <c r="D845" s="35" t="n"/>
      <c r="E845" s="22">
        <f>IF(D845="","",IFERROR(VLOOKUP(D845,Config!$F$6:$H$25,3,0),"Categoria inválida"))</f>
        <v/>
      </c>
      <c r="F845" s="35" t="n"/>
      <c r="G845" s="39" t="n"/>
      <c r="H845" s="37" t="n"/>
      <c r="I845" s="36" t="n"/>
      <c r="J845" s="23">
        <f>IF(OR(G845="",I845=""),"",G845*I845)</f>
        <v/>
      </c>
      <c r="K845" s="35" t="n"/>
    </row>
    <row r="846">
      <c r="A846" s="41" t="n"/>
      <c r="B846" s="34" t="n"/>
      <c r="C846" s="34" t="n"/>
      <c r="D846" s="35" t="n"/>
      <c r="E846" s="22">
        <f>IF(D846="","",IFERROR(VLOOKUP(D846,Config!$F$6:$H$25,3,0),"Categoria inválida"))</f>
        <v/>
      </c>
      <c r="F846" s="35" t="n"/>
      <c r="G846" s="39" t="n"/>
      <c r="H846" s="37" t="n"/>
      <c r="I846" s="36" t="n"/>
      <c r="J846" s="23">
        <f>IF(OR(G846="",I846=""),"",G846*I846)</f>
        <v/>
      </c>
      <c r="K846" s="35" t="n"/>
    </row>
    <row r="847">
      <c r="A847" s="41" t="n"/>
      <c r="B847" s="34" t="n"/>
      <c r="C847" s="34" t="n"/>
      <c r="D847" s="35" t="n"/>
      <c r="E847" s="22">
        <f>IF(D847="","",IFERROR(VLOOKUP(D847,Config!$F$6:$H$25,3,0),"Categoria inválida"))</f>
        <v/>
      </c>
      <c r="F847" s="35" t="n"/>
      <c r="G847" s="39" t="n"/>
      <c r="H847" s="37" t="n"/>
      <c r="I847" s="36" t="n"/>
      <c r="J847" s="23">
        <f>IF(OR(G847="",I847=""),"",G847*I847)</f>
        <v/>
      </c>
      <c r="K847" s="35" t="n"/>
    </row>
    <row r="848">
      <c r="A848" s="41" t="n"/>
      <c r="B848" s="34" t="n"/>
      <c r="C848" s="34" t="n"/>
      <c r="D848" s="35" t="n"/>
      <c r="E848" s="22">
        <f>IF(D848="","",IFERROR(VLOOKUP(D848,Config!$F$6:$H$25,3,0),"Categoria inválida"))</f>
        <v/>
      </c>
      <c r="F848" s="35" t="n"/>
      <c r="G848" s="39" t="n"/>
      <c r="H848" s="37" t="n"/>
      <c r="I848" s="36" t="n"/>
      <c r="J848" s="23">
        <f>IF(OR(G848="",I848=""),"",G848*I848)</f>
        <v/>
      </c>
      <c r="K848" s="35" t="n"/>
    </row>
    <row r="849">
      <c r="A849" s="41" t="n"/>
      <c r="B849" s="34" t="n"/>
      <c r="C849" s="34" t="n"/>
      <c r="D849" s="35" t="n"/>
      <c r="E849" s="22">
        <f>IF(D849="","",IFERROR(VLOOKUP(D849,Config!$F$6:$H$25,3,0),"Categoria inválida"))</f>
        <v/>
      </c>
      <c r="F849" s="35" t="n"/>
      <c r="G849" s="39" t="n"/>
      <c r="H849" s="37" t="n"/>
      <c r="I849" s="36" t="n"/>
      <c r="J849" s="23">
        <f>IF(OR(G849="",I849=""),"",G849*I849)</f>
        <v/>
      </c>
      <c r="K849" s="35" t="n"/>
    </row>
    <row r="850">
      <c r="A850" s="41" t="n"/>
      <c r="B850" s="34" t="n"/>
      <c r="C850" s="34" t="n"/>
      <c r="D850" s="35" t="n"/>
      <c r="E850" s="22">
        <f>IF(D850="","",IFERROR(VLOOKUP(D850,Config!$F$6:$H$25,3,0),"Categoria inválida"))</f>
        <v/>
      </c>
      <c r="F850" s="35" t="n"/>
      <c r="G850" s="39" t="n"/>
      <c r="H850" s="37" t="n"/>
      <c r="I850" s="36" t="n"/>
      <c r="J850" s="23">
        <f>IF(OR(G850="",I850=""),"",G850*I850)</f>
        <v/>
      </c>
      <c r="K850" s="35" t="n"/>
    </row>
    <row r="851">
      <c r="A851" s="41" t="n"/>
      <c r="B851" s="34" t="n"/>
      <c r="C851" s="34" t="n"/>
      <c r="D851" s="35" t="n"/>
      <c r="E851" s="22">
        <f>IF(D851="","",IFERROR(VLOOKUP(D851,Config!$F$6:$H$25,3,0),"Categoria inválida"))</f>
        <v/>
      </c>
      <c r="F851" s="35" t="n"/>
      <c r="G851" s="39" t="n"/>
      <c r="H851" s="37" t="n"/>
      <c r="I851" s="36" t="n"/>
      <c r="J851" s="23">
        <f>IF(OR(G851="",I851=""),"",G851*I851)</f>
        <v/>
      </c>
      <c r="K851" s="35" t="n"/>
    </row>
    <row r="852">
      <c r="A852" s="41" t="n"/>
      <c r="B852" s="34" t="n"/>
      <c r="C852" s="34" t="n"/>
      <c r="D852" s="35" t="n"/>
      <c r="E852" s="22">
        <f>IF(D852="","",IFERROR(VLOOKUP(D852,Config!$F$6:$H$25,3,0),"Categoria inválida"))</f>
        <v/>
      </c>
      <c r="F852" s="35" t="n"/>
      <c r="G852" s="39" t="n"/>
      <c r="H852" s="37" t="n"/>
      <c r="I852" s="36" t="n"/>
      <c r="J852" s="23">
        <f>IF(OR(G852="",I852=""),"",G852*I852)</f>
        <v/>
      </c>
      <c r="K852" s="35" t="n"/>
    </row>
    <row r="853">
      <c r="A853" s="41" t="n"/>
      <c r="B853" s="34" t="n"/>
      <c r="C853" s="34" t="n"/>
      <c r="D853" s="35" t="n"/>
      <c r="E853" s="22">
        <f>IF(D853="","",IFERROR(VLOOKUP(D853,Config!$F$6:$H$25,3,0),"Categoria inválida"))</f>
        <v/>
      </c>
      <c r="F853" s="35" t="n"/>
      <c r="G853" s="39" t="n"/>
      <c r="H853" s="37" t="n"/>
      <c r="I853" s="36" t="n"/>
      <c r="J853" s="23">
        <f>IF(OR(G853="",I853=""),"",G853*I853)</f>
        <v/>
      </c>
      <c r="K853" s="35" t="n"/>
    </row>
    <row r="854">
      <c r="A854" s="41" t="n"/>
      <c r="B854" s="34" t="n"/>
      <c r="C854" s="34" t="n"/>
      <c r="D854" s="35" t="n"/>
      <c r="E854" s="22">
        <f>IF(D854="","",IFERROR(VLOOKUP(D854,Config!$F$6:$H$25,3,0),"Categoria inválida"))</f>
        <v/>
      </c>
      <c r="F854" s="35" t="n"/>
      <c r="G854" s="39" t="n"/>
      <c r="H854" s="37" t="n"/>
      <c r="I854" s="36" t="n"/>
      <c r="J854" s="23">
        <f>IF(OR(G854="",I854=""),"",G854*I854)</f>
        <v/>
      </c>
      <c r="K854" s="35" t="n"/>
    </row>
    <row r="855">
      <c r="A855" s="41" t="n"/>
      <c r="B855" s="34" t="n"/>
      <c r="C855" s="34" t="n"/>
      <c r="D855" s="35" t="n"/>
      <c r="E855" s="22">
        <f>IF(D855="","",IFERROR(VLOOKUP(D855,Config!$F$6:$H$25,3,0),"Categoria inválida"))</f>
        <v/>
      </c>
      <c r="F855" s="35" t="n"/>
      <c r="G855" s="39" t="n"/>
      <c r="H855" s="37" t="n"/>
      <c r="I855" s="36" t="n"/>
      <c r="J855" s="23">
        <f>IF(OR(G855="",I855=""),"",G855*I855)</f>
        <v/>
      </c>
      <c r="K855" s="35" t="n"/>
    </row>
    <row r="856">
      <c r="A856" s="41" t="n"/>
      <c r="B856" s="34" t="n"/>
      <c r="C856" s="34" t="n"/>
      <c r="D856" s="35" t="n"/>
      <c r="E856" s="22">
        <f>IF(D856="","",IFERROR(VLOOKUP(D856,Config!$F$6:$H$25,3,0),"Categoria inválida"))</f>
        <v/>
      </c>
      <c r="F856" s="35" t="n"/>
      <c r="G856" s="39" t="n"/>
      <c r="H856" s="37" t="n"/>
      <c r="I856" s="36" t="n"/>
      <c r="J856" s="23">
        <f>IF(OR(G856="",I856=""),"",G856*I856)</f>
        <v/>
      </c>
      <c r="K856" s="35" t="n"/>
    </row>
    <row r="857">
      <c r="A857" s="41" t="n"/>
      <c r="B857" s="34" t="n"/>
      <c r="C857" s="34" t="n"/>
      <c r="D857" s="35" t="n"/>
      <c r="E857" s="22">
        <f>IF(D857="","",IFERROR(VLOOKUP(D857,Config!$F$6:$H$25,3,0),"Categoria inválida"))</f>
        <v/>
      </c>
      <c r="F857" s="35" t="n"/>
      <c r="G857" s="39" t="n"/>
      <c r="H857" s="37" t="n"/>
      <c r="I857" s="36" t="n"/>
      <c r="J857" s="23">
        <f>IF(OR(G857="",I857=""),"",G857*I857)</f>
        <v/>
      </c>
      <c r="K857" s="35" t="n"/>
    </row>
    <row r="858">
      <c r="A858" s="41" t="n"/>
      <c r="B858" s="34" t="n"/>
      <c r="C858" s="34" t="n"/>
      <c r="D858" s="35" t="n"/>
      <c r="E858" s="22">
        <f>IF(D858="","",IFERROR(VLOOKUP(D858,Config!$F$6:$H$25,3,0),"Categoria inválida"))</f>
        <v/>
      </c>
      <c r="F858" s="35" t="n"/>
      <c r="G858" s="39" t="n"/>
      <c r="H858" s="37" t="n"/>
      <c r="I858" s="36" t="n"/>
      <c r="J858" s="23">
        <f>IF(OR(G858="",I858=""),"",G858*I858)</f>
        <v/>
      </c>
      <c r="K858" s="35" t="n"/>
    </row>
    <row r="859">
      <c r="A859" s="41" t="n"/>
      <c r="B859" s="34" t="n"/>
      <c r="C859" s="34" t="n"/>
      <c r="D859" s="35" t="n"/>
      <c r="E859" s="22">
        <f>IF(D859="","",IFERROR(VLOOKUP(D859,Config!$F$6:$H$25,3,0),"Categoria inválida"))</f>
        <v/>
      </c>
      <c r="F859" s="35" t="n"/>
      <c r="G859" s="39" t="n"/>
      <c r="H859" s="37" t="n"/>
      <c r="I859" s="36" t="n"/>
      <c r="J859" s="23">
        <f>IF(OR(G859="",I859=""),"",G859*I859)</f>
        <v/>
      </c>
      <c r="K859" s="35" t="n"/>
    </row>
    <row r="860">
      <c r="A860" s="41" t="n"/>
      <c r="B860" s="34" t="n"/>
      <c r="C860" s="34" t="n"/>
      <c r="D860" s="35" t="n"/>
      <c r="E860" s="22">
        <f>IF(D860="","",IFERROR(VLOOKUP(D860,Config!$F$6:$H$25,3,0),"Categoria inválida"))</f>
        <v/>
      </c>
      <c r="F860" s="35" t="n"/>
      <c r="G860" s="39" t="n"/>
      <c r="H860" s="37" t="n"/>
      <c r="I860" s="36" t="n"/>
      <c r="J860" s="23">
        <f>IF(OR(G860="",I860=""),"",G860*I860)</f>
        <v/>
      </c>
      <c r="K860" s="35" t="n"/>
    </row>
    <row r="861">
      <c r="A861" s="41" t="n"/>
      <c r="B861" s="34" t="n"/>
      <c r="C861" s="34" t="n"/>
      <c r="D861" s="35" t="n"/>
      <c r="E861" s="22">
        <f>IF(D861="","",IFERROR(VLOOKUP(D861,Config!$F$6:$H$25,3,0),"Categoria inválida"))</f>
        <v/>
      </c>
      <c r="F861" s="35" t="n"/>
      <c r="G861" s="39" t="n"/>
      <c r="H861" s="37" t="n"/>
      <c r="I861" s="36" t="n"/>
      <c r="J861" s="23">
        <f>IF(OR(G861="",I861=""),"",G861*I861)</f>
        <v/>
      </c>
      <c r="K861" s="35" t="n"/>
    </row>
    <row r="862">
      <c r="A862" s="41" t="n"/>
      <c r="B862" s="34" t="n"/>
      <c r="C862" s="34" t="n"/>
      <c r="D862" s="35" t="n"/>
      <c r="E862" s="22">
        <f>IF(D862="","",IFERROR(VLOOKUP(D862,Config!$F$6:$H$25,3,0),"Categoria inválida"))</f>
        <v/>
      </c>
      <c r="F862" s="35" t="n"/>
      <c r="G862" s="39" t="n"/>
      <c r="H862" s="37" t="n"/>
      <c r="I862" s="36" t="n"/>
      <c r="J862" s="23">
        <f>IF(OR(G862="",I862=""),"",G862*I862)</f>
        <v/>
      </c>
      <c r="K862" s="35" t="n"/>
    </row>
    <row r="863">
      <c r="A863" s="41" t="n"/>
      <c r="B863" s="34" t="n"/>
      <c r="C863" s="34" t="n"/>
      <c r="D863" s="35" t="n"/>
      <c r="E863" s="22">
        <f>IF(D863="","",IFERROR(VLOOKUP(D863,Config!$F$6:$H$25,3,0),"Categoria inválida"))</f>
        <v/>
      </c>
      <c r="F863" s="35" t="n"/>
      <c r="G863" s="39" t="n"/>
      <c r="H863" s="37" t="n"/>
      <c r="I863" s="36" t="n"/>
      <c r="J863" s="23">
        <f>IF(OR(G863="",I863=""),"",G863*I863)</f>
        <v/>
      </c>
      <c r="K863" s="35" t="n"/>
    </row>
    <row r="864">
      <c r="A864" s="41" t="n"/>
      <c r="B864" s="34" t="n"/>
      <c r="C864" s="34" t="n"/>
      <c r="D864" s="35" t="n"/>
      <c r="E864" s="22">
        <f>IF(D864="","",IFERROR(VLOOKUP(D864,Config!$F$6:$H$25,3,0),"Categoria inválida"))</f>
        <v/>
      </c>
      <c r="F864" s="35" t="n"/>
      <c r="G864" s="39" t="n"/>
      <c r="H864" s="37" t="n"/>
      <c r="I864" s="36" t="n"/>
      <c r="J864" s="23">
        <f>IF(OR(G864="",I864=""),"",G864*I864)</f>
        <v/>
      </c>
      <c r="K864" s="35" t="n"/>
    </row>
    <row r="865">
      <c r="A865" s="41" t="n"/>
      <c r="B865" s="34" t="n"/>
      <c r="C865" s="34" t="n"/>
      <c r="D865" s="35" t="n"/>
      <c r="E865" s="22">
        <f>IF(D865="","",IFERROR(VLOOKUP(D865,Config!$F$6:$H$25,3,0),"Categoria inválida"))</f>
        <v/>
      </c>
      <c r="F865" s="35" t="n"/>
      <c r="G865" s="39" t="n"/>
      <c r="H865" s="37" t="n"/>
      <c r="I865" s="36" t="n"/>
      <c r="J865" s="23">
        <f>IF(OR(G865="",I865=""),"",G865*I865)</f>
        <v/>
      </c>
      <c r="K865" s="35" t="n"/>
    </row>
    <row r="866">
      <c r="A866" s="41" t="n"/>
      <c r="B866" s="34" t="n"/>
      <c r="C866" s="34" t="n"/>
      <c r="D866" s="35" t="n"/>
      <c r="E866" s="22">
        <f>IF(D866="","",IFERROR(VLOOKUP(D866,Config!$F$6:$H$25,3,0),"Categoria inválida"))</f>
        <v/>
      </c>
      <c r="F866" s="35" t="n"/>
      <c r="G866" s="39" t="n"/>
      <c r="H866" s="37" t="n"/>
      <c r="I866" s="36" t="n"/>
      <c r="J866" s="23">
        <f>IF(OR(G866="",I866=""),"",G866*I866)</f>
        <v/>
      </c>
      <c r="K866" s="35" t="n"/>
    </row>
    <row r="867">
      <c r="A867" s="41" t="n"/>
      <c r="B867" s="34" t="n"/>
      <c r="C867" s="34" t="n"/>
      <c r="D867" s="35" t="n"/>
      <c r="E867" s="22">
        <f>IF(D867="","",IFERROR(VLOOKUP(D867,Config!$F$6:$H$25,3,0),"Categoria inválida"))</f>
        <v/>
      </c>
      <c r="F867" s="35" t="n"/>
      <c r="G867" s="39" t="n"/>
      <c r="H867" s="37" t="n"/>
      <c r="I867" s="36" t="n"/>
      <c r="J867" s="23">
        <f>IF(OR(G867="",I867=""),"",G867*I867)</f>
        <v/>
      </c>
      <c r="K867" s="35" t="n"/>
    </row>
    <row r="868">
      <c r="A868" s="41" t="n"/>
      <c r="B868" s="34" t="n"/>
      <c r="C868" s="34" t="n"/>
      <c r="D868" s="35" t="n"/>
      <c r="E868" s="22">
        <f>IF(D868="","",IFERROR(VLOOKUP(D868,Config!$F$6:$H$25,3,0),"Categoria inválida"))</f>
        <v/>
      </c>
      <c r="F868" s="35" t="n"/>
      <c r="G868" s="39" t="n"/>
      <c r="H868" s="37" t="n"/>
      <c r="I868" s="36" t="n"/>
      <c r="J868" s="23">
        <f>IF(OR(G868="",I868=""),"",G868*I868)</f>
        <v/>
      </c>
      <c r="K868" s="35" t="n"/>
    </row>
    <row r="869">
      <c r="A869" s="41" t="n"/>
      <c r="B869" s="34" t="n"/>
      <c r="C869" s="34" t="n"/>
      <c r="D869" s="35" t="n"/>
      <c r="E869" s="22">
        <f>IF(D869="","",IFERROR(VLOOKUP(D869,Config!$F$6:$H$25,3,0),"Categoria inválida"))</f>
        <v/>
      </c>
      <c r="F869" s="35" t="n"/>
      <c r="G869" s="39" t="n"/>
      <c r="H869" s="37" t="n"/>
      <c r="I869" s="36" t="n"/>
      <c r="J869" s="23">
        <f>IF(OR(G869="",I869=""),"",G869*I869)</f>
        <v/>
      </c>
      <c r="K869" s="35" t="n"/>
    </row>
    <row r="870">
      <c r="A870" s="41" t="n"/>
      <c r="B870" s="34" t="n"/>
      <c r="C870" s="34" t="n"/>
      <c r="D870" s="35" t="n"/>
      <c r="E870" s="22">
        <f>IF(D870="","",IFERROR(VLOOKUP(D870,Config!$F$6:$H$25,3,0),"Categoria inválida"))</f>
        <v/>
      </c>
      <c r="F870" s="35" t="n"/>
      <c r="G870" s="39" t="n"/>
      <c r="H870" s="37" t="n"/>
      <c r="I870" s="36" t="n"/>
      <c r="J870" s="23">
        <f>IF(OR(G870="",I870=""),"",G870*I870)</f>
        <v/>
      </c>
      <c r="K870" s="35" t="n"/>
    </row>
    <row r="871">
      <c r="A871" s="41" t="n"/>
      <c r="B871" s="34" t="n"/>
      <c r="C871" s="34" t="n"/>
      <c r="D871" s="35" t="n"/>
      <c r="E871" s="22">
        <f>IF(D871="","",IFERROR(VLOOKUP(D871,Config!$F$6:$H$25,3,0),"Categoria inválida"))</f>
        <v/>
      </c>
      <c r="F871" s="35" t="n"/>
      <c r="G871" s="39" t="n"/>
      <c r="H871" s="37" t="n"/>
      <c r="I871" s="36" t="n"/>
      <c r="J871" s="23">
        <f>IF(OR(G871="",I871=""),"",G871*I871)</f>
        <v/>
      </c>
      <c r="K871" s="35" t="n"/>
    </row>
    <row r="872">
      <c r="A872" s="41" t="n"/>
      <c r="B872" s="34" t="n"/>
      <c r="C872" s="34" t="n"/>
      <c r="D872" s="35" t="n"/>
      <c r="E872" s="22">
        <f>IF(D872="","",IFERROR(VLOOKUP(D872,Config!$F$6:$H$25,3,0),"Categoria inválida"))</f>
        <v/>
      </c>
      <c r="F872" s="35" t="n"/>
      <c r="G872" s="39" t="n"/>
      <c r="H872" s="37" t="n"/>
      <c r="I872" s="36" t="n"/>
      <c r="J872" s="23">
        <f>IF(OR(G872="",I872=""),"",G872*I872)</f>
        <v/>
      </c>
      <c r="K872" s="35" t="n"/>
    </row>
    <row r="873">
      <c r="A873" s="41" t="n"/>
      <c r="B873" s="34" t="n"/>
      <c r="C873" s="34" t="n"/>
      <c r="D873" s="35" t="n"/>
      <c r="E873" s="22">
        <f>IF(D873="","",IFERROR(VLOOKUP(D873,Config!$F$6:$H$25,3,0),"Categoria inválida"))</f>
        <v/>
      </c>
      <c r="F873" s="35" t="n"/>
      <c r="G873" s="39" t="n"/>
      <c r="H873" s="37" t="n"/>
      <c r="I873" s="36" t="n"/>
      <c r="J873" s="23">
        <f>IF(OR(G873="",I873=""),"",G873*I873)</f>
        <v/>
      </c>
      <c r="K873" s="35" t="n"/>
    </row>
    <row r="874">
      <c r="A874" s="41" t="n"/>
      <c r="B874" s="34" t="n"/>
      <c r="C874" s="34" t="n"/>
      <c r="D874" s="35" t="n"/>
      <c r="E874" s="22">
        <f>IF(D874="","",IFERROR(VLOOKUP(D874,Config!$F$6:$H$25,3,0),"Categoria inválida"))</f>
        <v/>
      </c>
      <c r="F874" s="35" t="n"/>
      <c r="G874" s="39" t="n"/>
      <c r="H874" s="37" t="n"/>
      <c r="I874" s="36" t="n"/>
      <c r="J874" s="23">
        <f>IF(OR(G874="",I874=""),"",G874*I874)</f>
        <v/>
      </c>
      <c r="K874" s="35" t="n"/>
    </row>
    <row r="875">
      <c r="A875" s="41" t="n"/>
      <c r="B875" s="34" t="n"/>
      <c r="C875" s="34" t="n"/>
      <c r="D875" s="35" t="n"/>
      <c r="E875" s="22">
        <f>IF(D875="","",IFERROR(VLOOKUP(D875,Config!$F$6:$H$25,3,0),"Categoria inválida"))</f>
        <v/>
      </c>
      <c r="F875" s="35" t="n"/>
      <c r="G875" s="39" t="n"/>
      <c r="H875" s="37" t="n"/>
      <c r="I875" s="36" t="n"/>
      <c r="J875" s="23">
        <f>IF(OR(G875="",I875=""),"",G875*I875)</f>
        <v/>
      </c>
      <c r="K875" s="35" t="n"/>
    </row>
    <row r="876">
      <c r="A876" s="41" t="n"/>
      <c r="B876" s="34" t="n"/>
      <c r="C876" s="34" t="n"/>
      <c r="D876" s="35" t="n"/>
      <c r="E876" s="22">
        <f>IF(D876="","",IFERROR(VLOOKUP(D876,Config!$F$6:$H$25,3,0),"Categoria inválida"))</f>
        <v/>
      </c>
      <c r="F876" s="35" t="n"/>
      <c r="G876" s="39" t="n"/>
      <c r="H876" s="37" t="n"/>
      <c r="I876" s="36" t="n"/>
      <c r="J876" s="23">
        <f>IF(OR(G876="",I876=""),"",G876*I876)</f>
        <v/>
      </c>
      <c r="K876" s="35" t="n"/>
    </row>
    <row r="877">
      <c r="A877" s="41" t="n"/>
      <c r="B877" s="34" t="n"/>
      <c r="C877" s="34" t="n"/>
      <c r="D877" s="35" t="n"/>
      <c r="E877" s="22">
        <f>IF(D877="","",IFERROR(VLOOKUP(D877,Config!$F$6:$H$25,3,0),"Categoria inválida"))</f>
        <v/>
      </c>
      <c r="F877" s="35" t="n"/>
      <c r="G877" s="39" t="n"/>
      <c r="H877" s="37" t="n"/>
      <c r="I877" s="36" t="n"/>
      <c r="J877" s="23">
        <f>IF(OR(G877="",I877=""),"",G877*I877)</f>
        <v/>
      </c>
      <c r="K877" s="35" t="n"/>
    </row>
    <row r="878">
      <c r="A878" s="41" t="n"/>
      <c r="B878" s="34" t="n"/>
      <c r="C878" s="34" t="n"/>
      <c r="D878" s="35" t="n"/>
      <c r="E878" s="22">
        <f>IF(D878="","",IFERROR(VLOOKUP(D878,Config!$F$6:$H$25,3,0),"Categoria inválida"))</f>
        <v/>
      </c>
      <c r="F878" s="35" t="n"/>
      <c r="G878" s="39" t="n"/>
      <c r="H878" s="37" t="n"/>
      <c r="I878" s="36" t="n"/>
      <c r="J878" s="23">
        <f>IF(OR(G878="",I878=""),"",G878*I878)</f>
        <v/>
      </c>
      <c r="K878" s="35" t="n"/>
    </row>
    <row r="879">
      <c r="A879" s="41" t="n"/>
      <c r="B879" s="34" t="n"/>
      <c r="C879" s="34" t="n"/>
      <c r="D879" s="35" t="n"/>
      <c r="E879" s="22">
        <f>IF(D879="","",IFERROR(VLOOKUP(D879,Config!$F$6:$H$25,3,0),"Categoria inválida"))</f>
        <v/>
      </c>
      <c r="F879" s="35" t="n"/>
      <c r="G879" s="39" t="n"/>
      <c r="H879" s="37" t="n"/>
      <c r="I879" s="36" t="n"/>
      <c r="J879" s="23">
        <f>IF(OR(G879="",I879=""),"",G879*I879)</f>
        <v/>
      </c>
      <c r="K879" s="35" t="n"/>
    </row>
    <row r="880">
      <c r="A880" s="41" t="n"/>
      <c r="B880" s="34" t="n"/>
      <c r="C880" s="34" t="n"/>
      <c r="D880" s="35" t="n"/>
      <c r="E880" s="22">
        <f>IF(D880="","",IFERROR(VLOOKUP(D880,Config!$F$6:$H$25,3,0),"Categoria inválida"))</f>
        <v/>
      </c>
      <c r="F880" s="35" t="n"/>
      <c r="G880" s="39" t="n"/>
      <c r="H880" s="37" t="n"/>
      <c r="I880" s="36" t="n"/>
      <c r="J880" s="23">
        <f>IF(OR(G880="",I880=""),"",G880*I880)</f>
        <v/>
      </c>
      <c r="K880" s="35" t="n"/>
    </row>
    <row r="881">
      <c r="A881" s="41" t="n"/>
      <c r="B881" s="34" t="n"/>
      <c r="C881" s="34" t="n"/>
      <c r="D881" s="35" t="n"/>
      <c r="E881" s="22">
        <f>IF(D881="","",IFERROR(VLOOKUP(D881,Config!$F$6:$H$25,3,0),"Categoria inválida"))</f>
        <v/>
      </c>
      <c r="F881" s="35" t="n"/>
      <c r="G881" s="39" t="n"/>
      <c r="H881" s="37" t="n"/>
      <c r="I881" s="36" t="n"/>
      <c r="J881" s="23">
        <f>IF(OR(G881="",I881=""),"",G881*I881)</f>
        <v/>
      </c>
      <c r="K881" s="35" t="n"/>
    </row>
    <row r="882">
      <c r="A882" s="41" t="n"/>
      <c r="B882" s="34" t="n"/>
      <c r="C882" s="34" t="n"/>
      <c r="D882" s="35" t="n"/>
      <c r="E882" s="22">
        <f>IF(D882="","",IFERROR(VLOOKUP(D882,Config!$F$6:$H$25,3,0),"Categoria inválida"))</f>
        <v/>
      </c>
      <c r="F882" s="35" t="n"/>
      <c r="G882" s="39" t="n"/>
      <c r="H882" s="37" t="n"/>
      <c r="I882" s="36" t="n"/>
      <c r="J882" s="23">
        <f>IF(OR(G882="",I882=""),"",G882*I882)</f>
        <v/>
      </c>
      <c r="K882" s="35" t="n"/>
    </row>
    <row r="883">
      <c r="A883" s="41" t="n"/>
      <c r="B883" s="34" t="n"/>
      <c r="C883" s="34" t="n"/>
      <c r="D883" s="35" t="n"/>
      <c r="E883" s="22">
        <f>IF(D883="","",IFERROR(VLOOKUP(D883,Config!$F$6:$H$25,3,0),"Categoria inválida"))</f>
        <v/>
      </c>
      <c r="F883" s="35" t="n"/>
      <c r="G883" s="39" t="n"/>
      <c r="H883" s="37" t="n"/>
      <c r="I883" s="36" t="n"/>
      <c r="J883" s="23">
        <f>IF(OR(G883="",I883=""),"",G883*I883)</f>
        <v/>
      </c>
      <c r="K883" s="35" t="n"/>
    </row>
    <row r="884">
      <c r="A884" s="41" t="n"/>
      <c r="B884" s="34" t="n"/>
      <c r="C884" s="34" t="n"/>
      <c r="D884" s="35" t="n"/>
      <c r="E884" s="22">
        <f>IF(D884="","",IFERROR(VLOOKUP(D884,Config!$F$6:$H$25,3,0),"Categoria inválida"))</f>
        <v/>
      </c>
      <c r="F884" s="35" t="n"/>
      <c r="G884" s="39" t="n"/>
      <c r="H884" s="37" t="n"/>
      <c r="I884" s="36" t="n"/>
      <c r="J884" s="23">
        <f>IF(OR(G884="",I884=""),"",G884*I884)</f>
        <v/>
      </c>
      <c r="K884" s="35" t="n"/>
    </row>
    <row r="885">
      <c r="A885" s="41" t="n"/>
      <c r="B885" s="34" t="n"/>
      <c r="C885" s="34" t="n"/>
      <c r="D885" s="35" t="n"/>
      <c r="E885" s="22">
        <f>IF(D885="","",IFERROR(VLOOKUP(D885,Config!$F$6:$H$25,3,0),"Categoria inválida"))</f>
        <v/>
      </c>
      <c r="F885" s="35" t="n"/>
      <c r="G885" s="39" t="n"/>
      <c r="H885" s="37" t="n"/>
      <c r="I885" s="36" t="n"/>
      <c r="J885" s="23">
        <f>IF(OR(G885="",I885=""),"",G885*I885)</f>
        <v/>
      </c>
      <c r="K885" s="35" t="n"/>
    </row>
    <row r="886">
      <c r="A886" s="41" t="n"/>
      <c r="B886" s="34" t="n"/>
      <c r="C886" s="34" t="n"/>
      <c r="D886" s="35" t="n"/>
      <c r="E886" s="22">
        <f>IF(D886="","",IFERROR(VLOOKUP(D886,Config!$F$6:$H$25,3,0),"Categoria inválida"))</f>
        <v/>
      </c>
      <c r="F886" s="35" t="n"/>
      <c r="G886" s="39" t="n"/>
      <c r="H886" s="37" t="n"/>
      <c r="I886" s="36" t="n"/>
      <c r="J886" s="23">
        <f>IF(OR(G886="",I886=""),"",G886*I886)</f>
        <v/>
      </c>
      <c r="K886" s="35" t="n"/>
    </row>
    <row r="887">
      <c r="A887" s="41" t="n"/>
      <c r="B887" s="34" t="n"/>
      <c r="C887" s="34" t="n"/>
      <c r="D887" s="35" t="n"/>
      <c r="E887" s="22">
        <f>IF(D887="","",IFERROR(VLOOKUP(D887,Config!$F$6:$H$25,3,0),"Categoria inválida"))</f>
        <v/>
      </c>
      <c r="F887" s="35" t="n"/>
      <c r="G887" s="39" t="n"/>
      <c r="H887" s="37" t="n"/>
      <c r="I887" s="36" t="n"/>
      <c r="J887" s="23">
        <f>IF(OR(G887="",I887=""),"",G887*I887)</f>
        <v/>
      </c>
      <c r="K887" s="35" t="n"/>
    </row>
    <row r="888">
      <c r="A888" s="41" t="n"/>
      <c r="B888" s="34" t="n"/>
      <c r="C888" s="34" t="n"/>
      <c r="D888" s="35" t="n"/>
      <c r="E888" s="22">
        <f>IF(D888="","",IFERROR(VLOOKUP(D888,Config!$F$6:$H$25,3,0),"Categoria inválida"))</f>
        <v/>
      </c>
      <c r="F888" s="35" t="n"/>
      <c r="G888" s="39" t="n"/>
      <c r="H888" s="37" t="n"/>
      <c r="I888" s="36" t="n"/>
      <c r="J888" s="23">
        <f>IF(OR(G888="",I888=""),"",G888*I888)</f>
        <v/>
      </c>
      <c r="K888" s="35" t="n"/>
    </row>
    <row r="889">
      <c r="A889" s="41" t="n"/>
      <c r="B889" s="34" t="n"/>
      <c r="C889" s="34" t="n"/>
      <c r="D889" s="35" t="n"/>
      <c r="E889" s="22">
        <f>IF(D889="","",IFERROR(VLOOKUP(D889,Config!$F$6:$H$25,3,0),"Categoria inválida"))</f>
        <v/>
      </c>
      <c r="F889" s="35" t="n"/>
      <c r="G889" s="39" t="n"/>
      <c r="H889" s="37" t="n"/>
      <c r="I889" s="36" t="n"/>
      <c r="J889" s="23">
        <f>IF(OR(G889="",I889=""),"",G889*I889)</f>
        <v/>
      </c>
      <c r="K889" s="35" t="n"/>
    </row>
    <row r="890">
      <c r="A890" s="41" t="n"/>
      <c r="B890" s="34" t="n"/>
      <c r="C890" s="34" t="n"/>
      <c r="D890" s="35" t="n"/>
      <c r="E890" s="22">
        <f>IF(D890="","",IFERROR(VLOOKUP(D890,Config!$F$6:$H$25,3,0),"Categoria inválida"))</f>
        <v/>
      </c>
      <c r="F890" s="35" t="n"/>
      <c r="G890" s="39" t="n"/>
      <c r="H890" s="37" t="n"/>
      <c r="I890" s="36" t="n"/>
      <c r="J890" s="23">
        <f>IF(OR(G890="",I890=""),"",G890*I890)</f>
        <v/>
      </c>
      <c r="K890" s="35" t="n"/>
    </row>
    <row r="891">
      <c r="A891" s="41" t="n"/>
      <c r="B891" s="34" t="n"/>
      <c r="C891" s="34" t="n"/>
      <c r="D891" s="35" t="n"/>
      <c r="E891" s="22">
        <f>IF(D891="","",IFERROR(VLOOKUP(D891,Config!$F$6:$H$25,3,0),"Categoria inválida"))</f>
        <v/>
      </c>
      <c r="F891" s="35" t="n"/>
      <c r="G891" s="39" t="n"/>
      <c r="H891" s="37" t="n"/>
      <c r="I891" s="36" t="n"/>
      <c r="J891" s="23">
        <f>IF(OR(G891="",I891=""),"",G891*I891)</f>
        <v/>
      </c>
      <c r="K891" s="35" t="n"/>
    </row>
    <row r="892">
      <c r="A892" s="41" t="n"/>
      <c r="B892" s="34" t="n"/>
      <c r="C892" s="34" t="n"/>
      <c r="D892" s="35" t="n"/>
      <c r="E892" s="22">
        <f>IF(D892="","",IFERROR(VLOOKUP(D892,Config!$F$6:$H$25,3,0),"Categoria inválida"))</f>
        <v/>
      </c>
      <c r="F892" s="35" t="n"/>
      <c r="G892" s="39" t="n"/>
      <c r="H892" s="37" t="n"/>
      <c r="I892" s="36" t="n"/>
      <c r="J892" s="23">
        <f>IF(OR(G892="",I892=""),"",G892*I892)</f>
        <v/>
      </c>
      <c r="K892" s="35" t="n"/>
    </row>
    <row r="893">
      <c r="A893" s="41" t="n"/>
      <c r="B893" s="34" t="n"/>
      <c r="C893" s="34" t="n"/>
      <c r="D893" s="35" t="n"/>
      <c r="E893" s="22">
        <f>IF(D893="","",IFERROR(VLOOKUP(D893,Config!$F$6:$H$25,3,0),"Categoria inválida"))</f>
        <v/>
      </c>
      <c r="F893" s="35" t="n"/>
      <c r="G893" s="39" t="n"/>
      <c r="H893" s="37" t="n"/>
      <c r="I893" s="36" t="n"/>
      <c r="J893" s="23">
        <f>IF(OR(G893="",I893=""),"",G893*I893)</f>
        <v/>
      </c>
      <c r="K893" s="35" t="n"/>
    </row>
    <row r="894">
      <c r="A894" s="41" t="n"/>
      <c r="B894" s="34" t="n"/>
      <c r="C894" s="34" t="n"/>
      <c r="D894" s="35" t="n"/>
      <c r="E894" s="22">
        <f>IF(D894="","",IFERROR(VLOOKUP(D894,Config!$F$6:$H$25,3,0),"Categoria inválida"))</f>
        <v/>
      </c>
      <c r="F894" s="35" t="n"/>
      <c r="G894" s="39" t="n"/>
      <c r="H894" s="37" t="n"/>
      <c r="I894" s="36" t="n"/>
      <c r="J894" s="23">
        <f>IF(OR(G894="",I894=""),"",G894*I894)</f>
        <v/>
      </c>
      <c r="K894" s="35" t="n"/>
    </row>
    <row r="895">
      <c r="A895" s="41" t="n"/>
      <c r="B895" s="34" t="n"/>
      <c r="C895" s="34" t="n"/>
      <c r="D895" s="35" t="n"/>
      <c r="E895" s="22">
        <f>IF(D895="","",IFERROR(VLOOKUP(D895,Config!$F$6:$H$25,3,0),"Categoria inválida"))</f>
        <v/>
      </c>
      <c r="F895" s="35" t="n"/>
      <c r="G895" s="39" t="n"/>
      <c r="H895" s="37" t="n"/>
      <c r="I895" s="36" t="n"/>
      <c r="J895" s="23">
        <f>IF(OR(G895="",I895=""),"",G895*I895)</f>
        <v/>
      </c>
      <c r="K895" s="35" t="n"/>
    </row>
    <row r="896">
      <c r="A896" s="41" t="n"/>
      <c r="B896" s="34" t="n"/>
      <c r="C896" s="34" t="n"/>
      <c r="D896" s="35" t="n"/>
      <c r="E896" s="22">
        <f>IF(D896="","",IFERROR(VLOOKUP(D896,Config!$F$6:$H$25,3,0),"Categoria inválida"))</f>
        <v/>
      </c>
      <c r="F896" s="35" t="n"/>
      <c r="G896" s="39" t="n"/>
      <c r="H896" s="37" t="n"/>
      <c r="I896" s="36" t="n"/>
      <c r="J896" s="23">
        <f>IF(OR(G896="",I896=""),"",G896*I896)</f>
        <v/>
      </c>
      <c r="K896" s="35" t="n"/>
    </row>
    <row r="897">
      <c r="A897" s="41" t="n"/>
      <c r="B897" s="34" t="n"/>
      <c r="C897" s="34" t="n"/>
      <c r="D897" s="35" t="n"/>
      <c r="E897" s="22">
        <f>IF(D897="","",IFERROR(VLOOKUP(D897,Config!$F$6:$H$25,3,0),"Categoria inválida"))</f>
        <v/>
      </c>
      <c r="F897" s="35" t="n"/>
      <c r="G897" s="39" t="n"/>
      <c r="H897" s="37" t="n"/>
      <c r="I897" s="36" t="n"/>
      <c r="J897" s="23">
        <f>IF(OR(G897="",I897=""),"",G897*I897)</f>
        <v/>
      </c>
      <c r="K897" s="35" t="n"/>
    </row>
    <row r="898">
      <c r="A898" s="41" t="n"/>
      <c r="B898" s="34" t="n"/>
      <c r="C898" s="34" t="n"/>
      <c r="D898" s="35" t="n"/>
      <c r="E898" s="22">
        <f>IF(D898="","",IFERROR(VLOOKUP(D898,Config!$F$6:$H$25,3,0),"Categoria inválida"))</f>
        <v/>
      </c>
      <c r="F898" s="35" t="n"/>
      <c r="G898" s="39" t="n"/>
      <c r="H898" s="37" t="n"/>
      <c r="I898" s="36" t="n"/>
      <c r="J898" s="23">
        <f>IF(OR(G898="",I898=""),"",G898*I898)</f>
        <v/>
      </c>
      <c r="K898" s="35" t="n"/>
    </row>
    <row r="899">
      <c r="A899" s="41" t="n"/>
      <c r="B899" s="34" t="n"/>
      <c r="C899" s="34" t="n"/>
      <c r="D899" s="35" t="n"/>
      <c r="E899" s="22">
        <f>IF(D899="","",IFERROR(VLOOKUP(D899,Config!$F$6:$H$25,3,0),"Categoria inválida"))</f>
        <v/>
      </c>
      <c r="F899" s="35" t="n"/>
      <c r="G899" s="39" t="n"/>
      <c r="H899" s="37" t="n"/>
      <c r="I899" s="36" t="n"/>
      <c r="J899" s="23">
        <f>IF(OR(G899="",I899=""),"",G899*I899)</f>
        <v/>
      </c>
      <c r="K899" s="35" t="n"/>
    </row>
    <row r="900">
      <c r="A900" s="41" t="n"/>
      <c r="B900" s="34" t="n"/>
      <c r="C900" s="34" t="n"/>
      <c r="D900" s="35" t="n"/>
      <c r="E900" s="22">
        <f>IF(D900="","",IFERROR(VLOOKUP(D900,Config!$F$6:$H$25,3,0),"Categoria inválida"))</f>
        <v/>
      </c>
      <c r="F900" s="35" t="n"/>
      <c r="G900" s="39" t="n"/>
      <c r="H900" s="37" t="n"/>
      <c r="I900" s="36" t="n"/>
      <c r="J900" s="23">
        <f>IF(OR(G900="",I900=""),"",G900*I900)</f>
        <v/>
      </c>
      <c r="K900" s="35" t="n"/>
    </row>
    <row r="901">
      <c r="A901" s="41" t="n"/>
      <c r="B901" s="34" t="n"/>
      <c r="C901" s="34" t="n"/>
      <c r="D901" s="35" t="n"/>
      <c r="E901" s="22">
        <f>IF(D901="","",IFERROR(VLOOKUP(D901,Config!$F$6:$H$25,3,0),"Categoria inválida"))</f>
        <v/>
      </c>
      <c r="F901" s="35" t="n"/>
      <c r="G901" s="39" t="n"/>
      <c r="H901" s="37" t="n"/>
      <c r="I901" s="36" t="n"/>
      <c r="J901" s="23">
        <f>IF(OR(G901="",I901=""),"",G901*I901)</f>
        <v/>
      </c>
      <c r="K901" s="35" t="n"/>
    </row>
    <row r="902">
      <c r="A902" s="41" t="n"/>
      <c r="B902" s="34" t="n"/>
      <c r="C902" s="34" t="n"/>
      <c r="D902" s="35" t="n"/>
      <c r="E902" s="22">
        <f>IF(D902="","",IFERROR(VLOOKUP(D902,Config!$F$6:$H$25,3,0),"Categoria inválida"))</f>
        <v/>
      </c>
      <c r="F902" s="35" t="n"/>
      <c r="G902" s="39" t="n"/>
      <c r="H902" s="37" t="n"/>
      <c r="I902" s="36" t="n"/>
      <c r="J902" s="23">
        <f>IF(OR(G902="",I902=""),"",G902*I902)</f>
        <v/>
      </c>
      <c r="K902" s="35" t="n"/>
    </row>
    <row r="903">
      <c r="A903" s="41" t="n"/>
      <c r="B903" s="34" t="n"/>
      <c r="C903" s="34" t="n"/>
      <c r="D903" s="35" t="n"/>
      <c r="E903" s="22">
        <f>IF(D903="","",IFERROR(VLOOKUP(D903,Config!$F$6:$H$25,3,0),"Categoria inválida"))</f>
        <v/>
      </c>
      <c r="F903" s="35" t="n"/>
      <c r="G903" s="39" t="n"/>
      <c r="H903" s="37" t="n"/>
      <c r="I903" s="36" t="n"/>
      <c r="J903" s="23">
        <f>IF(OR(G903="",I903=""),"",G903*I903)</f>
        <v/>
      </c>
      <c r="K903" s="35" t="n"/>
    </row>
    <row r="904">
      <c r="A904" s="41" t="n"/>
      <c r="B904" s="34" t="n"/>
      <c r="C904" s="34" t="n"/>
      <c r="D904" s="35" t="n"/>
      <c r="E904" s="22">
        <f>IF(D904="","",IFERROR(VLOOKUP(D904,Config!$F$6:$H$25,3,0),"Categoria inválida"))</f>
        <v/>
      </c>
      <c r="F904" s="35" t="n"/>
      <c r="G904" s="39" t="n"/>
      <c r="H904" s="37" t="n"/>
      <c r="I904" s="36" t="n"/>
      <c r="J904" s="23">
        <f>IF(OR(G904="",I904=""),"",G904*I904)</f>
        <v/>
      </c>
      <c r="K904" s="35" t="n"/>
    </row>
    <row r="905">
      <c r="A905" s="41" t="n"/>
      <c r="B905" s="34" t="n"/>
      <c r="C905" s="34" t="n"/>
      <c r="D905" s="35" t="n"/>
      <c r="E905" s="22">
        <f>IF(D905="","",IFERROR(VLOOKUP(D905,Config!$F$6:$H$25,3,0),"Categoria inválida"))</f>
        <v/>
      </c>
      <c r="F905" s="35" t="n"/>
      <c r="G905" s="39" t="n"/>
      <c r="H905" s="37" t="n"/>
      <c r="I905" s="36" t="n"/>
      <c r="J905" s="23">
        <f>IF(OR(G905="",I905=""),"",G905*I905)</f>
        <v/>
      </c>
      <c r="K905" s="35" t="n"/>
    </row>
    <row r="906">
      <c r="A906" s="41" t="n"/>
      <c r="B906" s="34" t="n"/>
      <c r="C906" s="34" t="n"/>
      <c r="D906" s="35" t="n"/>
      <c r="E906" s="22">
        <f>IF(D906="","",IFERROR(VLOOKUP(D906,Config!$F$6:$H$25,3,0),"Categoria inválida"))</f>
        <v/>
      </c>
      <c r="F906" s="35" t="n"/>
      <c r="G906" s="39" t="n"/>
      <c r="H906" s="37" t="n"/>
      <c r="I906" s="36" t="n"/>
      <c r="J906" s="23">
        <f>IF(OR(G906="",I906=""),"",G906*I906)</f>
        <v/>
      </c>
      <c r="K906" s="35" t="n"/>
    </row>
    <row r="907">
      <c r="A907" s="41" t="n"/>
      <c r="B907" s="34" t="n"/>
      <c r="C907" s="34" t="n"/>
      <c r="D907" s="35" t="n"/>
      <c r="E907" s="22">
        <f>IF(D907="","",IFERROR(VLOOKUP(D907,Config!$F$6:$H$25,3,0),"Categoria inválida"))</f>
        <v/>
      </c>
      <c r="F907" s="35" t="n"/>
      <c r="G907" s="39" t="n"/>
      <c r="H907" s="37" t="n"/>
      <c r="I907" s="36" t="n"/>
      <c r="J907" s="23">
        <f>IF(OR(G907="",I907=""),"",G907*I907)</f>
        <v/>
      </c>
      <c r="K907" s="35" t="n"/>
    </row>
    <row r="908">
      <c r="A908" s="41" t="n"/>
      <c r="B908" s="34" t="n"/>
      <c r="C908" s="34" t="n"/>
      <c r="D908" s="35" t="n"/>
      <c r="E908" s="22">
        <f>IF(D908="","",IFERROR(VLOOKUP(D908,Config!$F$6:$H$25,3,0),"Categoria inválida"))</f>
        <v/>
      </c>
      <c r="F908" s="35" t="n"/>
      <c r="G908" s="39" t="n"/>
      <c r="H908" s="37" t="n"/>
      <c r="I908" s="36" t="n"/>
      <c r="J908" s="23">
        <f>IF(OR(G908="",I908=""),"",G908*I908)</f>
        <v/>
      </c>
      <c r="K908" s="35" t="n"/>
    </row>
    <row r="909">
      <c r="A909" s="41" t="n"/>
      <c r="B909" s="34" t="n"/>
      <c r="C909" s="34" t="n"/>
      <c r="D909" s="35" t="n"/>
      <c r="E909" s="22">
        <f>IF(D909="","",IFERROR(VLOOKUP(D909,Config!$F$6:$H$25,3,0),"Categoria inválida"))</f>
        <v/>
      </c>
      <c r="F909" s="35" t="n"/>
      <c r="G909" s="39" t="n"/>
      <c r="H909" s="37" t="n"/>
      <c r="I909" s="36" t="n"/>
      <c r="J909" s="23">
        <f>IF(OR(G909="",I909=""),"",G909*I909)</f>
        <v/>
      </c>
      <c r="K909" s="35" t="n"/>
    </row>
    <row r="910">
      <c r="A910" s="41" t="n"/>
      <c r="B910" s="34" t="n"/>
      <c r="C910" s="34" t="n"/>
      <c r="D910" s="35" t="n"/>
      <c r="E910" s="22">
        <f>IF(D910="","",IFERROR(VLOOKUP(D910,Config!$F$6:$H$25,3,0),"Categoria inválida"))</f>
        <v/>
      </c>
      <c r="F910" s="35" t="n"/>
      <c r="G910" s="39" t="n"/>
      <c r="H910" s="37" t="n"/>
      <c r="I910" s="36" t="n"/>
      <c r="J910" s="23">
        <f>IF(OR(G910="",I910=""),"",G910*I910)</f>
        <v/>
      </c>
      <c r="K910" s="35" t="n"/>
    </row>
    <row r="911">
      <c r="A911" s="41" t="n"/>
      <c r="B911" s="34" t="n"/>
      <c r="C911" s="34" t="n"/>
      <c r="D911" s="35" t="n"/>
      <c r="E911" s="22">
        <f>IF(D911="","",IFERROR(VLOOKUP(D911,Config!$F$6:$H$25,3,0),"Categoria inválida"))</f>
        <v/>
      </c>
      <c r="F911" s="35" t="n"/>
      <c r="G911" s="39" t="n"/>
      <c r="H911" s="37" t="n"/>
      <c r="I911" s="36" t="n"/>
      <c r="J911" s="23">
        <f>IF(OR(G911="",I911=""),"",G911*I911)</f>
        <v/>
      </c>
      <c r="K911" s="35" t="n"/>
    </row>
    <row r="912">
      <c r="A912" s="41" t="n"/>
      <c r="B912" s="34" t="n"/>
      <c r="C912" s="34" t="n"/>
      <c r="D912" s="35" t="n"/>
      <c r="E912" s="22">
        <f>IF(D912="","",IFERROR(VLOOKUP(D912,Config!$F$6:$H$25,3,0),"Categoria inválida"))</f>
        <v/>
      </c>
      <c r="F912" s="35" t="n"/>
      <c r="G912" s="39" t="n"/>
      <c r="H912" s="37" t="n"/>
      <c r="I912" s="36" t="n"/>
      <c r="J912" s="23">
        <f>IF(OR(G912="",I912=""),"",G912*I912)</f>
        <v/>
      </c>
      <c r="K912" s="35" t="n"/>
    </row>
    <row r="913">
      <c r="A913" s="41" t="n"/>
      <c r="B913" s="34" t="n"/>
      <c r="C913" s="34" t="n"/>
      <c r="D913" s="35" t="n"/>
      <c r="E913" s="22">
        <f>IF(D913="","",IFERROR(VLOOKUP(D913,Config!$F$6:$H$25,3,0),"Categoria inválida"))</f>
        <v/>
      </c>
      <c r="F913" s="35" t="n"/>
      <c r="G913" s="39" t="n"/>
      <c r="H913" s="37" t="n"/>
      <c r="I913" s="36" t="n"/>
      <c r="J913" s="23">
        <f>IF(OR(G913="",I913=""),"",G913*I913)</f>
        <v/>
      </c>
      <c r="K913" s="35" t="n"/>
    </row>
    <row r="914">
      <c r="A914" s="41" t="n"/>
      <c r="B914" s="34" t="n"/>
      <c r="C914" s="34" t="n"/>
      <c r="D914" s="35" t="n"/>
      <c r="E914" s="22">
        <f>IF(D914="","",IFERROR(VLOOKUP(D914,Config!$F$6:$H$25,3,0),"Categoria inválida"))</f>
        <v/>
      </c>
      <c r="F914" s="35" t="n"/>
      <c r="G914" s="39" t="n"/>
      <c r="H914" s="37" t="n"/>
      <c r="I914" s="36" t="n"/>
      <c r="J914" s="23">
        <f>IF(OR(G914="",I914=""),"",G914*I914)</f>
        <v/>
      </c>
      <c r="K914" s="35" t="n"/>
    </row>
    <row r="915">
      <c r="A915" s="41" t="n"/>
      <c r="B915" s="34" t="n"/>
      <c r="C915" s="34" t="n"/>
      <c r="D915" s="35" t="n"/>
      <c r="E915" s="22">
        <f>IF(D915="","",IFERROR(VLOOKUP(D915,Config!$F$6:$H$25,3,0),"Categoria inválida"))</f>
        <v/>
      </c>
      <c r="F915" s="35" t="n"/>
      <c r="G915" s="39" t="n"/>
      <c r="H915" s="37" t="n"/>
      <c r="I915" s="36" t="n"/>
      <c r="J915" s="23">
        <f>IF(OR(G915="",I915=""),"",G915*I915)</f>
        <v/>
      </c>
      <c r="K915" s="35" t="n"/>
    </row>
    <row r="916">
      <c r="A916" s="41" t="n"/>
      <c r="B916" s="34" t="n"/>
      <c r="C916" s="34" t="n"/>
      <c r="D916" s="35" t="n"/>
      <c r="E916" s="22">
        <f>IF(D916="","",IFERROR(VLOOKUP(D916,Config!$F$6:$H$25,3,0),"Categoria inválida"))</f>
        <v/>
      </c>
      <c r="F916" s="35" t="n"/>
      <c r="G916" s="39" t="n"/>
      <c r="H916" s="37" t="n"/>
      <c r="I916" s="36" t="n"/>
      <c r="J916" s="23">
        <f>IF(OR(G916="",I916=""),"",G916*I916)</f>
        <v/>
      </c>
      <c r="K916" s="35" t="n"/>
    </row>
    <row r="917">
      <c r="A917" s="41" t="n"/>
      <c r="B917" s="34" t="n"/>
      <c r="C917" s="34" t="n"/>
      <c r="D917" s="35" t="n"/>
      <c r="E917" s="22">
        <f>IF(D917="","",IFERROR(VLOOKUP(D917,Config!$F$6:$H$25,3,0),"Categoria inválida"))</f>
        <v/>
      </c>
      <c r="F917" s="35" t="n"/>
      <c r="G917" s="39" t="n"/>
      <c r="H917" s="37" t="n"/>
      <c r="I917" s="36" t="n"/>
      <c r="J917" s="23">
        <f>IF(OR(G917="",I917=""),"",G917*I917)</f>
        <v/>
      </c>
      <c r="K917" s="35" t="n"/>
    </row>
    <row r="918">
      <c r="A918" s="41" t="n"/>
      <c r="B918" s="34" t="n"/>
      <c r="C918" s="34" t="n"/>
      <c r="D918" s="35" t="n"/>
      <c r="E918" s="22">
        <f>IF(D918="","",IFERROR(VLOOKUP(D918,Config!$F$6:$H$25,3,0),"Categoria inválida"))</f>
        <v/>
      </c>
      <c r="F918" s="35" t="n"/>
      <c r="G918" s="39" t="n"/>
      <c r="H918" s="37" t="n"/>
      <c r="I918" s="36" t="n"/>
      <c r="J918" s="23">
        <f>IF(OR(G918="",I918=""),"",G918*I918)</f>
        <v/>
      </c>
      <c r="K918" s="35" t="n"/>
    </row>
    <row r="919">
      <c r="A919" s="41" t="n"/>
      <c r="B919" s="34" t="n"/>
      <c r="C919" s="34" t="n"/>
      <c r="D919" s="35" t="n"/>
      <c r="E919" s="22">
        <f>IF(D919="","",IFERROR(VLOOKUP(D919,Config!$F$6:$H$25,3,0),"Categoria inválida"))</f>
        <v/>
      </c>
      <c r="F919" s="35" t="n"/>
      <c r="G919" s="39" t="n"/>
      <c r="H919" s="37" t="n"/>
      <c r="I919" s="36" t="n"/>
      <c r="J919" s="23">
        <f>IF(OR(G919="",I919=""),"",G919*I919)</f>
        <v/>
      </c>
      <c r="K919" s="35" t="n"/>
    </row>
    <row r="920">
      <c r="A920" s="41" t="n"/>
      <c r="B920" s="34" t="n"/>
      <c r="C920" s="34" t="n"/>
      <c r="D920" s="35" t="n"/>
      <c r="E920" s="22">
        <f>IF(D920="","",IFERROR(VLOOKUP(D920,Config!$F$6:$H$25,3,0),"Categoria inválida"))</f>
        <v/>
      </c>
      <c r="F920" s="35" t="n"/>
      <c r="G920" s="39" t="n"/>
      <c r="H920" s="37" t="n"/>
      <c r="I920" s="36" t="n"/>
      <c r="J920" s="23">
        <f>IF(OR(G920="",I920=""),"",G920*I920)</f>
        <v/>
      </c>
      <c r="K920" s="35" t="n"/>
    </row>
    <row r="921">
      <c r="A921" s="41" t="n"/>
      <c r="B921" s="34" t="n"/>
      <c r="C921" s="34" t="n"/>
      <c r="D921" s="35" t="n"/>
      <c r="E921" s="22">
        <f>IF(D921="","",IFERROR(VLOOKUP(D921,Config!$F$6:$H$25,3,0),"Categoria inválida"))</f>
        <v/>
      </c>
      <c r="F921" s="35" t="n"/>
      <c r="G921" s="39" t="n"/>
      <c r="H921" s="37" t="n"/>
      <c r="I921" s="36" t="n"/>
      <c r="J921" s="23">
        <f>IF(OR(G921="",I921=""),"",G921*I921)</f>
        <v/>
      </c>
      <c r="K921" s="35" t="n"/>
    </row>
    <row r="922">
      <c r="A922" s="41" t="n"/>
      <c r="B922" s="34" t="n"/>
      <c r="C922" s="34" t="n"/>
      <c r="D922" s="35" t="n"/>
      <c r="E922" s="22">
        <f>IF(D922="","",IFERROR(VLOOKUP(D922,Config!$F$6:$H$25,3,0),"Categoria inválida"))</f>
        <v/>
      </c>
      <c r="F922" s="35" t="n"/>
      <c r="G922" s="39" t="n"/>
      <c r="H922" s="37" t="n"/>
      <c r="I922" s="36" t="n"/>
      <c r="J922" s="23">
        <f>IF(OR(G922="",I922=""),"",G922*I922)</f>
        <v/>
      </c>
      <c r="K922" s="35" t="n"/>
    </row>
    <row r="923">
      <c r="A923" s="41" t="n"/>
      <c r="B923" s="34" t="n"/>
      <c r="C923" s="34" t="n"/>
      <c r="D923" s="35" t="n"/>
      <c r="E923" s="22">
        <f>IF(D923="","",IFERROR(VLOOKUP(D923,Config!$F$6:$H$25,3,0),"Categoria inválida"))</f>
        <v/>
      </c>
      <c r="F923" s="35" t="n"/>
      <c r="G923" s="39" t="n"/>
      <c r="H923" s="37" t="n"/>
      <c r="I923" s="36" t="n"/>
      <c r="J923" s="23">
        <f>IF(OR(G923="",I923=""),"",G923*I923)</f>
        <v/>
      </c>
      <c r="K923" s="35" t="n"/>
    </row>
    <row r="924">
      <c r="A924" s="41" t="n"/>
      <c r="B924" s="34" t="n"/>
      <c r="C924" s="34" t="n"/>
      <c r="D924" s="35" t="n"/>
      <c r="E924" s="22">
        <f>IF(D924="","",IFERROR(VLOOKUP(D924,Config!$F$6:$H$25,3,0),"Categoria inválida"))</f>
        <v/>
      </c>
      <c r="F924" s="35" t="n"/>
      <c r="G924" s="39" t="n"/>
      <c r="H924" s="37" t="n"/>
      <c r="I924" s="36" t="n"/>
      <c r="J924" s="23">
        <f>IF(OR(G924="",I924=""),"",G924*I924)</f>
        <v/>
      </c>
      <c r="K924" s="35" t="n"/>
    </row>
    <row r="925">
      <c r="A925" s="41" t="n"/>
      <c r="B925" s="34" t="n"/>
      <c r="C925" s="34" t="n"/>
      <c r="D925" s="35" t="n"/>
      <c r="E925" s="22">
        <f>IF(D925="","",IFERROR(VLOOKUP(D925,Config!$F$6:$H$25,3,0),"Categoria inválida"))</f>
        <v/>
      </c>
      <c r="F925" s="35" t="n"/>
      <c r="G925" s="39" t="n"/>
      <c r="H925" s="37" t="n"/>
      <c r="I925" s="36" t="n"/>
      <c r="J925" s="23">
        <f>IF(OR(G925="",I925=""),"",G925*I925)</f>
        <v/>
      </c>
      <c r="K925" s="35" t="n"/>
    </row>
    <row r="926">
      <c r="A926" s="41" t="n"/>
      <c r="B926" s="34" t="n"/>
      <c r="C926" s="34" t="n"/>
      <c r="D926" s="35" t="n"/>
      <c r="E926" s="22">
        <f>IF(D926="","",IFERROR(VLOOKUP(D926,Config!$F$6:$H$25,3,0),"Categoria inválida"))</f>
        <v/>
      </c>
      <c r="F926" s="35" t="n"/>
      <c r="G926" s="39" t="n"/>
      <c r="H926" s="37" t="n"/>
      <c r="I926" s="36" t="n"/>
      <c r="J926" s="23">
        <f>IF(OR(G926="",I926=""),"",G926*I926)</f>
        <v/>
      </c>
      <c r="K926" s="35" t="n"/>
    </row>
    <row r="927">
      <c r="A927" s="41" t="n"/>
      <c r="B927" s="34" t="n"/>
      <c r="C927" s="34" t="n"/>
      <c r="D927" s="35" t="n"/>
      <c r="E927" s="22">
        <f>IF(D927="","",IFERROR(VLOOKUP(D927,Config!$F$6:$H$25,3,0),"Categoria inválida"))</f>
        <v/>
      </c>
      <c r="F927" s="35" t="n"/>
      <c r="G927" s="39" t="n"/>
      <c r="H927" s="37" t="n"/>
      <c r="I927" s="36" t="n"/>
      <c r="J927" s="23">
        <f>IF(OR(G927="",I927=""),"",G927*I927)</f>
        <v/>
      </c>
      <c r="K927" s="35" t="n"/>
    </row>
    <row r="928">
      <c r="A928" s="41" t="n"/>
      <c r="B928" s="34" t="n"/>
      <c r="C928" s="34" t="n"/>
      <c r="D928" s="35" t="n"/>
      <c r="E928" s="22">
        <f>IF(D928="","",IFERROR(VLOOKUP(D928,Config!$F$6:$H$25,3,0),"Categoria inválida"))</f>
        <v/>
      </c>
      <c r="F928" s="35" t="n"/>
      <c r="G928" s="39" t="n"/>
      <c r="H928" s="37" t="n"/>
      <c r="I928" s="36" t="n"/>
      <c r="J928" s="23">
        <f>IF(OR(G928="",I928=""),"",G928*I928)</f>
        <v/>
      </c>
      <c r="K928" s="35" t="n"/>
    </row>
    <row r="929">
      <c r="A929" s="41" t="n"/>
      <c r="B929" s="34" t="n"/>
      <c r="C929" s="34" t="n"/>
      <c r="D929" s="35" t="n"/>
      <c r="E929" s="22">
        <f>IF(D929="","",IFERROR(VLOOKUP(D929,Config!$F$6:$H$25,3,0),"Categoria inválida"))</f>
        <v/>
      </c>
      <c r="F929" s="35" t="n"/>
      <c r="G929" s="39" t="n"/>
      <c r="H929" s="37" t="n"/>
      <c r="I929" s="36" t="n"/>
      <c r="J929" s="23">
        <f>IF(OR(G929="",I929=""),"",G929*I929)</f>
        <v/>
      </c>
      <c r="K929" s="35" t="n"/>
    </row>
    <row r="930">
      <c r="A930" s="41" t="n"/>
      <c r="B930" s="34" t="n"/>
      <c r="C930" s="34" t="n"/>
      <c r="D930" s="35" t="n"/>
      <c r="E930" s="22">
        <f>IF(D930="","",IFERROR(VLOOKUP(D930,Config!$F$6:$H$25,3,0),"Categoria inválida"))</f>
        <v/>
      </c>
      <c r="F930" s="35" t="n"/>
      <c r="G930" s="39" t="n"/>
      <c r="H930" s="37" t="n"/>
      <c r="I930" s="36" t="n"/>
      <c r="J930" s="23">
        <f>IF(OR(G930="",I930=""),"",G930*I930)</f>
        <v/>
      </c>
      <c r="K930" s="35" t="n"/>
    </row>
    <row r="931">
      <c r="A931" s="41" t="n"/>
      <c r="B931" s="34" t="n"/>
      <c r="C931" s="34" t="n"/>
      <c r="D931" s="35" t="n"/>
      <c r="E931" s="22">
        <f>IF(D931="","",IFERROR(VLOOKUP(D931,Config!$F$6:$H$25,3,0),"Categoria inválida"))</f>
        <v/>
      </c>
      <c r="F931" s="35" t="n"/>
      <c r="G931" s="39" t="n"/>
      <c r="H931" s="37" t="n"/>
      <c r="I931" s="36" t="n"/>
      <c r="J931" s="23">
        <f>IF(OR(G931="",I931=""),"",G931*I931)</f>
        <v/>
      </c>
      <c r="K931" s="35" t="n"/>
    </row>
    <row r="932">
      <c r="A932" s="41" t="n"/>
      <c r="B932" s="34" t="n"/>
      <c r="C932" s="34" t="n"/>
      <c r="D932" s="35" t="n"/>
      <c r="E932" s="22">
        <f>IF(D932="","",IFERROR(VLOOKUP(D932,Config!$F$6:$H$25,3,0),"Categoria inválida"))</f>
        <v/>
      </c>
      <c r="F932" s="35" t="n"/>
      <c r="G932" s="39" t="n"/>
      <c r="H932" s="37" t="n"/>
      <c r="I932" s="36" t="n"/>
      <c r="J932" s="23">
        <f>IF(OR(G932="",I932=""),"",G932*I932)</f>
        <v/>
      </c>
      <c r="K932" s="35" t="n"/>
    </row>
    <row r="933">
      <c r="A933" s="41" t="n"/>
      <c r="B933" s="34" t="n"/>
      <c r="C933" s="34" t="n"/>
      <c r="D933" s="35" t="n"/>
      <c r="E933" s="22">
        <f>IF(D933="","",IFERROR(VLOOKUP(D933,Config!$F$6:$H$25,3,0),"Categoria inválida"))</f>
        <v/>
      </c>
      <c r="F933" s="35" t="n"/>
      <c r="G933" s="39" t="n"/>
      <c r="H933" s="37" t="n"/>
      <c r="I933" s="36" t="n"/>
      <c r="J933" s="23">
        <f>IF(OR(G933="",I933=""),"",G933*I933)</f>
        <v/>
      </c>
      <c r="K933" s="35" t="n"/>
    </row>
    <row r="934">
      <c r="A934" s="41" t="n"/>
      <c r="B934" s="34" t="n"/>
      <c r="C934" s="34" t="n"/>
      <c r="D934" s="35" t="n"/>
      <c r="E934" s="22">
        <f>IF(D934="","",IFERROR(VLOOKUP(D934,Config!$F$6:$H$25,3,0),"Categoria inválida"))</f>
        <v/>
      </c>
      <c r="F934" s="35" t="n"/>
      <c r="G934" s="39" t="n"/>
      <c r="H934" s="37" t="n"/>
      <c r="I934" s="36" t="n"/>
      <c r="J934" s="23">
        <f>IF(OR(G934="",I934=""),"",G934*I934)</f>
        <v/>
      </c>
      <c r="K934" s="35" t="n"/>
    </row>
    <row r="935">
      <c r="A935" s="41" t="n"/>
      <c r="B935" s="34" t="n"/>
      <c r="C935" s="34" t="n"/>
      <c r="D935" s="35" t="n"/>
      <c r="E935" s="22">
        <f>IF(D935="","",IFERROR(VLOOKUP(D935,Config!$F$6:$H$25,3,0),"Categoria inválida"))</f>
        <v/>
      </c>
      <c r="F935" s="35" t="n"/>
      <c r="G935" s="39" t="n"/>
      <c r="H935" s="37" t="n"/>
      <c r="I935" s="36" t="n"/>
      <c r="J935" s="23">
        <f>IF(OR(G935="",I935=""),"",G935*I935)</f>
        <v/>
      </c>
      <c r="K935" s="35" t="n"/>
    </row>
    <row r="936">
      <c r="A936" s="41" t="n"/>
      <c r="B936" s="34" t="n"/>
      <c r="C936" s="34" t="n"/>
      <c r="D936" s="35" t="n"/>
      <c r="E936" s="22">
        <f>IF(D936="","",IFERROR(VLOOKUP(D936,Config!$F$6:$H$25,3,0),"Categoria inválida"))</f>
        <v/>
      </c>
      <c r="F936" s="35" t="n"/>
      <c r="G936" s="39" t="n"/>
      <c r="H936" s="37" t="n"/>
      <c r="I936" s="36" t="n"/>
      <c r="J936" s="23">
        <f>IF(OR(G936="",I936=""),"",G936*I936)</f>
        <v/>
      </c>
      <c r="K936" s="35" t="n"/>
    </row>
    <row r="937">
      <c r="A937" s="41" t="n"/>
      <c r="B937" s="34" t="n"/>
      <c r="C937" s="34" t="n"/>
      <c r="D937" s="35" t="n"/>
      <c r="E937" s="22">
        <f>IF(D937="","",IFERROR(VLOOKUP(D937,Config!$F$6:$H$25,3,0),"Categoria inválida"))</f>
        <v/>
      </c>
      <c r="F937" s="35" t="n"/>
      <c r="G937" s="39" t="n"/>
      <c r="H937" s="37" t="n"/>
      <c r="I937" s="36" t="n"/>
      <c r="J937" s="23">
        <f>IF(OR(G937="",I937=""),"",G937*I937)</f>
        <v/>
      </c>
      <c r="K937" s="35" t="n"/>
    </row>
    <row r="938">
      <c r="A938" s="41" t="n"/>
      <c r="B938" s="34" t="n"/>
      <c r="C938" s="34" t="n"/>
      <c r="D938" s="35" t="n"/>
      <c r="E938" s="22">
        <f>IF(D938="","",IFERROR(VLOOKUP(D938,Config!$F$6:$H$25,3,0),"Categoria inválida"))</f>
        <v/>
      </c>
      <c r="F938" s="35" t="n"/>
      <c r="G938" s="39" t="n"/>
      <c r="H938" s="37" t="n"/>
      <c r="I938" s="36" t="n"/>
      <c r="J938" s="23">
        <f>IF(OR(G938="",I938=""),"",G938*I938)</f>
        <v/>
      </c>
      <c r="K938" s="35" t="n"/>
    </row>
    <row r="939">
      <c r="A939" s="41" t="n"/>
      <c r="B939" s="34" t="n"/>
      <c r="C939" s="34" t="n"/>
      <c r="D939" s="35" t="n"/>
      <c r="E939" s="22">
        <f>IF(D939="","",IFERROR(VLOOKUP(D939,Config!$F$6:$H$25,3,0),"Categoria inválida"))</f>
        <v/>
      </c>
      <c r="F939" s="35" t="n"/>
      <c r="G939" s="39" t="n"/>
      <c r="H939" s="37" t="n"/>
      <c r="I939" s="36" t="n"/>
      <c r="J939" s="23">
        <f>IF(OR(G939="",I939=""),"",G939*I939)</f>
        <v/>
      </c>
      <c r="K939" s="35" t="n"/>
    </row>
    <row r="940">
      <c r="A940" s="41" t="n"/>
      <c r="B940" s="34" t="n"/>
      <c r="C940" s="34" t="n"/>
      <c r="D940" s="35" t="n"/>
      <c r="E940" s="22">
        <f>IF(D940="","",IFERROR(VLOOKUP(D940,Config!$F$6:$H$25,3,0),"Categoria inválida"))</f>
        <v/>
      </c>
      <c r="F940" s="35" t="n"/>
      <c r="G940" s="39" t="n"/>
      <c r="H940" s="37" t="n"/>
      <c r="I940" s="36" t="n"/>
      <c r="J940" s="23">
        <f>IF(OR(G940="",I940=""),"",G940*I940)</f>
        <v/>
      </c>
      <c r="K940" s="35" t="n"/>
    </row>
    <row r="941">
      <c r="A941" s="41" t="n"/>
      <c r="B941" s="34" t="n"/>
      <c r="C941" s="34" t="n"/>
      <c r="D941" s="35" t="n"/>
      <c r="E941" s="22">
        <f>IF(D941="","",IFERROR(VLOOKUP(D941,Config!$F$6:$H$25,3,0),"Categoria inválida"))</f>
        <v/>
      </c>
      <c r="F941" s="35" t="n"/>
      <c r="G941" s="39" t="n"/>
      <c r="H941" s="37" t="n"/>
      <c r="I941" s="36" t="n"/>
      <c r="J941" s="23">
        <f>IF(OR(G941="",I941=""),"",G941*I941)</f>
        <v/>
      </c>
      <c r="K941" s="35" t="n"/>
    </row>
    <row r="942">
      <c r="A942" s="41" t="n"/>
      <c r="B942" s="34" t="n"/>
      <c r="C942" s="34" t="n"/>
      <c r="D942" s="35" t="n"/>
      <c r="E942" s="22">
        <f>IF(D942="","",IFERROR(VLOOKUP(D942,Config!$F$6:$H$25,3,0),"Categoria inválida"))</f>
        <v/>
      </c>
      <c r="F942" s="35" t="n"/>
      <c r="G942" s="39" t="n"/>
      <c r="H942" s="37" t="n"/>
      <c r="I942" s="36" t="n"/>
      <c r="J942" s="23">
        <f>IF(OR(G942="",I942=""),"",G942*I942)</f>
        <v/>
      </c>
      <c r="K942" s="35" t="n"/>
    </row>
    <row r="943">
      <c r="A943" s="41" t="n"/>
      <c r="B943" s="34" t="n"/>
      <c r="C943" s="34" t="n"/>
      <c r="D943" s="35" t="n"/>
      <c r="E943" s="22">
        <f>IF(D943="","",IFERROR(VLOOKUP(D943,Config!$F$6:$H$25,3,0),"Categoria inválida"))</f>
        <v/>
      </c>
      <c r="F943" s="35" t="n"/>
      <c r="G943" s="39" t="n"/>
      <c r="H943" s="37" t="n"/>
      <c r="I943" s="36" t="n"/>
      <c r="J943" s="23">
        <f>IF(OR(G943="",I943=""),"",G943*I943)</f>
        <v/>
      </c>
      <c r="K943" s="35" t="n"/>
    </row>
    <row r="944">
      <c r="A944" s="41" t="n"/>
      <c r="B944" s="34" t="n"/>
      <c r="C944" s="34" t="n"/>
      <c r="D944" s="35" t="n"/>
      <c r="E944" s="22">
        <f>IF(D944="","",IFERROR(VLOOKUP(D944,Config!$F$6:$H$25,3,0),"Categoria inválida"))</f>
        <v/>
      </c>
      <c r="F944" s="35" t="n"/>
      <c r="G944" s="39" t="n"/>
      <c r="H944" s="37" t="n"/>
      <c r="I944" s="36" t="n"/>
      <c r="J944" s="23">
        <f>IF(OR(G944="",I944=""),"",G944*I944)</f>
        <v/>
      </c>
      <c r="K944" s="35" t="n"/>
    </row>
    <row r="945">
      <c r="A945" s="41" t="n"/>
      <c r="B945" s="34" t="n"/>
      <c r="C945" s="34" t="n"/>
      <c r="D945" s="35" t="n"/>
      <c r="E945" s="22">
        <f>IF(D945="","",IFERROR(VLOOKUP(D945,Config!$F$6:$H$25,3,0),"Categoria inválida"))</f>
        <v/>
      </c>
      <c r="F945" s="35" t="n"/>
      <c r="G945" s="39" t="n"/>
      <c r="H945" s="37" t="n"/>
      <c r="I945" s="36" t="n"/>
      <c r="J945" s="23">
        <f>IF(OR(G945="",I945=""),"",G945*I945)</f>
        <v/>
      </c>
      <c r="K945" s="35" t="n"/>
    </row>
    <row r="946">
      <c r="A946" s="41" t="n"/>
      <c r="B946" s="34" t="n"/>
      <c r="C946" s="34" t="n"/>
      <c r="D946" s="35" t="n"/>
      <c r="E946" s="22">
        <f>IF(D946="","",IFERROR(VLOOKUP(D946,Config!$F$6:$H$25,3,0),"Categoria inválida"))</f>
        <v/>
      </c>
      <c r="F946" s="35" t="n"/>
      <c r="G946" s="39" t="n"/>
      <c r="H946" s="37" t="n"/>
      <c r="I946" s="36" t="n"/>
      <c r="J946" s="23">
        <f>IF(OR(G946="",I946=""),"",G946*I946)</f>
        <v/>
      </c>
      <c r="K946" s="35" t="n"/>
    </row>
    <row r="947">
      <c r="A947" s="41" t="n"/>
      <c r="B947" s="34" t="n"/>
      <c r="C947" s="34" t="n"/>
      <c r="D947" s="35" t="n"/>
      <c r="E947" s="22">
        <f>IF(D947="","",IFERROR(VLOOKUP(D947,Config!$F$6:$H$25,3,0),"Categoria inválida"))</f>
        <v/>
      </c>
      <c r="F947" s="35" t="n"/>
      <c r="G947" s="39" t="n"/>
      <c r="H947" s="37" t="n"/>
      <c r="I947" s="36" t="n"/>
      <c r="J947" s="23">
        <f>IF(OR(G947="",I947=""),"",G947*I947)</f>
        <v/>
      </c>
      <c r="K947" s="35" t="n"/>
    </row>
    <row r="948">
      <c r="A948" s="41" t="n"/>
      <c r="B948" s="34" t="n"/>
      <c r="C948" s="34" t="n"/>
      <c r="D948" s="35" t="n"/>
      <c r="E948" s="22">
        <f>IF(D948="","",IFERROR(VLOOKUP(D948,Config!$F$6:$H$25,3,0),"Categoria inválida"))</f>
        <v/>
      </c>
      <c r="F948" s="35" t="n"/>
      <c r="G948" s="39" t="n"/>
      <c r="H948" s="37" t="n"/>
      <c r="I948" s="36" t="n"/>
      <c r="J948" s="23">
        <f>IF(OR(G948="",I948=""),"",G948*I948)</f>
        <v/>
      </c>
      <c r="K948" s="35" t="n"/>
    </row>
    <row r="949">
      <c r="A949" s="41" t="n"/>
      <c r="B949" s="34" t="n"/>
      <c r="C949" s="34" t="n"/>
      <c r="D949" s="35" t="n"/>
      <c r="E949" s="22">
        <f>IF(D949="","",IFERROR(VLOOKUP(D949,Config!$F$6:$H$25,3,0),"Categoria inválida"))</f>
        <v/>
      </c>
      <c r="F949" s="35" t="n"/>
      <c r="G949" s="39" t="n"/>
      <c r="H949" s="37" t="n"/>
      <c r="I949" s="36" t="n"/>
      <c r="J949" s="23">
        <f>IF(OR(G949="",I949=""),"",G949*I949)</f>
        <v/>
      </c>
      <c r="K949" s="35" t="n"/>
    </row>
    <row r="950">
      <c r="A950" s="41" t="n"/>
      <c r="B950" s="34" t="n"/>
      <c r="C950" s="34" t="n"/>
      <c r="D950" s="35" t="n"/>
      <c r="E950" s="22">
        <f>IF(D950="","",IFERROR(VLOOKUP(D950,Config!$F$6:$H$25,3,0),"Categoria inválida"))</f>
        <v/>
      </c>
      <c r="F950" s="35" t="n"/>
      <c r="G950" s="39" t="n"/>
      <c r="H950" s="37" t="n"/>
      <c r="I950" s="36" t="n"/>
      <c r="J950" s="23">
        <f>IF(OR(G950="",I950=""),"",G950*I950)</f>
        <v/>
      </c>
      <c r="K950" s="35" t="n"/>
    </row>
    <row r="951">
      <c r="A951" s="41" t="n"/>
      <c r="B951" s="34" t="n"/>
      <c r="C951" s="34" t="n"/>
      <c r="D951" s="35" t="n"/>
      <c r="E951" s="22">
        <f>IF(D951="","",IFERROR(VLOOKUP(D951,Config!$F$6:$H$25,3,0),"Categoria inválida"))</f>
        <v/>
      </c>
      <c r="F951" s="35" t="n"/>
      <c r="G951" s="39" t="n"/>
      <c r="H951" s="37" t="n"/>
      <c r="I951" s="36" t="n"/>
      <c r="J951" s="23">
        <f>IF(OR(G951="",I951=""),"",G951*I951)</f>
        <v/>
      </c>
      <c r="K951" s="35" t="n"/>
    </row>
    <row r="952">
      <c r="A952" s="41" t="n"/>
      <c r="B952" s="34" t="n"/>
      <c r="C952" s="34" t="n"/>
      <c r="D952" s="35" t="n"/>
      <c r="E952" s="22">
        <f>IF(D952="","",IFERROR(VLOOKUP(D952,Config!$F$6:$H$25,3,0),"Categoria inválida"))</f>
        <v/>
      </c>
      <c r="F952" s="35" t="n"/>
      <c r="G952" s="39" t="n"/>
      <c r="H952" s="37" t="n"/>
      <c r="I952" s="36" t="n"/>
      <c r="J952" s="23">
        <f>IF(OR(G952="",I952=""),"",G952*I952)</f>
        <v/>
      </c>
      <c r="K952" s="35" t="n"/>
    </row>
    <row r="953">
      <c r="A953" s="41" t="n"/>
      <c r="B953" s="34" t="n"/>
      <c r="C953" s="34" t="n"/>
      <c r="D953" s="35" t="n"/>
      <c r="E953" s="22">
        <f>IF(D953="","",IFERROR(VLOOKUP(D953,Config!$F$6:$H$25,3,0),"Categoria inválida"))</f>
        <v/>
      </c>
      <c r="F953" s="35" t="n"/>
      <c r="G953" s="39" t="n"/>
      <c r="H953" s="37" t="n"/>
      <c r="I953" s="36" t="n"/>
      <c r="J953" s="23">
        <f>IF(OR(G953="",I953=""),"",G953*I953)</f>
        <v/>
      </c>
      <c r="K953" s="35" t="n"/>
    </row>
    <row r="954">
      <c r="A954" s="41" t="n"/>
      <c r="B954" s="34" t="n"/>
      <c r="C954" s="34" t="n"/>
      <c r="D954" s="35" t="n"/>
      <c r="E954" s="22">
        <f>IF(D954="","",IFERROR(VLOOKUP(D954,Config!$F$6:$H$25,3,0),"Categoria inválida"))</f>
        <v/>
      </c>
      <c r="F954" s="35" t="n"/>
      <c r="G954" s="39" t="n"/>
      <c r="H954" s="37" t="n"/>
      <c r="I954" s="36" t="n"/>
      <c r="J954" s="23">
        <f>IF(OR(G954="",I954=""),"",G954*I954)</f>
        <v/>
      </c>
      <c r="K954" s="35" t="n"/>
    </row>
    <row r="955">
      <c r="A955" s="41" t="n"/>
      <c r="B955" s="34" t="n"/>
      <c r="C955" s="34" t="n"/>
      <c r="D955" s="35" t="n"/>
      <c r="E955" s="22">
        <f>IF(D955="","",IFERROR(VLOOKUP(D955,Config!$F$6:$H$25,3,0),"Categoria inválida"))</f>
        <v/>
      </c>
      <c r="F955" s="35" t="n"/>
      <c r="G955" s="39" t="n"/>
      <c r="H955" s="37" t="n"/>
      <c r="I955" s="36" t="n"/>
      <c r="J955" s="23">
        <f>IF(OR(G955="",I955=""),"",G955*I955)</f>
        <v/>
      </c>
      <c r="K955" s="35" t="n"/>
    </row>
    <row r="956">
      <c r="A956" s="41" t="n"/>
      <c r="B956" s="34" t="n"/>
      <c r="C956" s="34" t="n"/>
      <c r="D956" s="35" t="n"/>
      <c r="E956" s="22">
        <f>IF(D956="","",IFERROR(VLOOKUP(D956,Config!$F$6:$H$25,3,0),"Categoria inválida"))</f>
        <v/>
      </c>
      <c r="F956" s="35" t="n"/>
      <c r="G956" s="39" t="n"/>
      <c r="H956" s="37" t="n"/>
      <c r="I956" s="36" t="n"/>
      <c r="J956" s="23">
        <f>IF(OR(G956="",I956=""),"",G956*I956)</f>
        <v/>
      </c>
      <c r="K956" s="35" t="n"/>
    </row>
    <row r="957">
      <c r="A957" s="41" t="n"/>
      <c r="B957" s="34" t="n"/>
      <c r="C957" s="34" t="n"/>
      <c r="D957" s="35" t="n"/>
      <c r="E957" s="22">
        <f>IF(D957="","",IFERROR(VLOOKUP(D957,Config!$F$6:$H$25,3,0),"Categoria inválida"))</f>
        <v/>
      </c>
      <c r="F957" s="35" t="n"/>
      <c r="G957" s="39" t="n"/>
      <c r="H957" s="37" t="n"/>
      <c r="I957" s="36" t="n"/>
      <c r="J957" s="23">
        <f>IF(OR(G957="",I957=""),"",G957*I957)</f>
        <v/>
      </c>
      <c r="K957" s="35" t="n"/>
    </row>
    <row r="958">
      <c r="A958" s="41" t="n"/>
      <c r="B958" s="34" t="n"/>
      <c r="C958" s="34" t="n"/>
      <c r="D958" s="35" t="n"/>
      <c r="E958" s="22">
        <f>IF(D958="","",IFERROR(VLOOKUP(D958,Config!$F$6:$H$25,3,0),"Categoria inválida"))</f>
        <v/>
      </c>
      <c r="F958" s="35" t="n"/>
      <c r="G958" s="39" t="n"/>
      <c r="H958" s="37" t="n"/>
      <c r="I958" s="36" t="n"/>
      <c r="J958" s="23">
        <f>IF(OR(G958="",I958=""),"",G958*I958)</f>
        <v/>
      </c>
      <c r="K958" s="35" t="n"/>
    </row>
    <row r="959">
      <c r="A959" s="41" t="n"/>
      <c r="B959" s="34" t="n"/>
      <c r="C959" s="34" t="n"/>
      <c r="D959" s="35" t="n"/>
      <c r="E959" s="22">
        <f>IF(D959="","",IFERROR(VLOOKUP(D959,Config!$F$6:$H$25,3,0),"Categoria inválida"))</f>
        <v/>
      </c>
      <c r="F959" s="35" t="n"/>
      <c r="G959" s="39" t="n"/>
      <c r="H959" s="37" t="n"/>
      <c r="I959" s="36" t="n"/>
      <c r="J959" s="23">
        <f>IF(OR(G959="",I959=""),"",G959*I959)</f>
        <v/>
      </c>
      <c r="K959" s="35" t="n"/>
    </row>
    <row r="960">
      <c r="A960" s="41" t="n"/>
      <c r="B960" s="34" t="n"/>
      <c r="C960" s="34" t="n"/>
      <c r="D960" s="35" t="n"/>
      <c r="E960" s="22">
        <f>IF(D960="","",IFERROR(VLOOKUP(D960,Config!$F$6:$H$25,3,0),"Categoria inválida"))</f>
        <v/>
      </c>
      <c r="F960" s="35" t="n"/>
      <c r="G960" s="39" t="n"/>
      <c r="H960" s="37" t="n"/>
      <c r="I960" s="36" t="n"/>
      <c r="J960" s="23">
        <f>IF(OR(G960="",I960=""),"",G960*I960)</f>
        <v/>
      </c>
      <c r="K960" s="35" t="n"/>
    </row>
    <row r="961">
      <c r="A961" s="41" t="n"/>
      <c r="B961" s="34" t="n"/>
      <c r="C961" s="34" t="n"/>
      <c r="D961" s="35" t="n"/>
      <c r="E961" s="22">
        <f>IF(D961="","",IFERROR(VLOOKUP(D961,Config!$F$6:$H$25,3,0),"Categoria inválida"))</f>
        <v/>
      </c>
      <c r="F961" s="35" t="n"/>
      <c r="G961" s="39" t="n"/>
      <c r="H961" s="37" t="n"/>
      <c r="I961" s="36" t="n"/>
      <c r="J961" s="23">
        <f>IF(OR(G961="",I961=""),"",G961*I961)</f>
        <v/>
      </c>
      <c r="K961" s="35" t="n"/>
    </row>
    <row r="962">
      <c r="A962" s="41" t="n"/>
      <c r="B962" s="34" t="n"/>
      <c r="C962" s="34" t="n"/>
      <c r="D962" s="35" t="n"/>
      <c r="E962" s="22">
        <f>IF(D962="","",IFERROR(VLOOKUP(D962,Config!$F$6:$H$25,3,0),"Categoria inválida"))</f>
        <v/>
      </c>
      <c r="F962" s="35" t="n"/>
      <c r="G962" s="39" t="n"/>
      <c r="H962" s="37" t="n"/>
      <c r="I962" s="36" t="n"/>
      <c r="J962" s="23">
        <f>IF(OR(G962="",I962=""),"",G962*I962)</f>
        <v/>
      </c>
      <c r="K962" s="35" t="n"/>
    </row>
    <row r="963">
      <c r="A963" s="41" t="n"/>
      <c r="B963" s="34" t="n"/>
      <c r="C963" s="34" t="n"/>
      <c r="D963" s="35" t="n"/>
      <c r="E963" s="22">
        <f>IF(D963="","",IFERROR(VLOOKUP(D963,Config!$F$6:$H$25,3,0),"Categoria inválida"))</f>
        <v/>
      </c>
      <c r="F963" s="35" t="n"/>
      <c r="G963" s="39" t="n"/>
      <c r="H963" s="37" t="n"/>
      <c r="I963" s="36" t="n"/>
      <c r="J963" s="23">
        <f>IF(OR(G963="",I963=""),"",G963*I963)</f>
        <v/>
      </c>
      <c r="K963" s="35" t="n"/>
    </row>
    <row r="964">
      <c r="A964" s="41" t="n"/>
      <c r="B964" s="34" t="n"/>
      <c r="C964" s="34" t="n"/>
      <c r="D964" s="35" t="n"/>
      <c r="E964" s="22">
        <f>IF(D964="","",IFERROR(VLOOKUP(D964,Config!$F$6:$H$25,3,0),"Categoria inválida"))</f>
        <v/>
      </c>
      <c r="F964" s="35" t="n"/>
      <c r="G964" s="39" t="n"/>
      <c r="H964" s="37" t="n"/>
      <c r="I964" s="36" t="n"/>
      <c r="J964" s="23">
        <f>IF(OR(G964="",I964=""),"",G964*I964)</f>
        <v/>
      </c>
      <c r="K964" s="35" t="n"/>
    </row>
    <row r="965">
      <c r="A965" s="41" t="n"/>
      <c r="B965" s="34" t="n"/>
      <c r="C965" s="34" t="n"/>
      <c r="D965" s="35" t="n"/>
      <c r="E965" s="22">
        <f>IF(D965="","",IFERROR(VLOOKUP(D965,Config!$F$6:$H$25,3,0),"Categoria inválida"))</f>
        <v/>
      </c>
      <c r="F965" s="35" t="n"/>
      <c r="G965" s="39" t="n"/>
      <c r="H965" s="37" t="n"/>
      <c r="I965" s="36" t="n"/>
      <c r="J965" s="23">
        <f>IF(OR(G965="",I965=""),"",G965*I965)</f>
        <v/>
      </c>
      <c r="K965" s="35" t="n"/>
    </row>
    <row r="966">
      <c r="A966" s="41" t="n"/>
      <c r="B966" s="34" t="n"/>
      <c r="C966" s="34" t="n"/>
      <c r="D966" s="35" t="n"/>
      <c r="E966" s="22">
        <f>IF(D966="","",IFERROR(VLOOKUP(D966,Config!$F$6:$H$25,3,0),"Categoria inválida"))</f>
        <v/>
      </c>
      <c r="F966" s="35" t="n"/>
      <c r="G966" s="39" t="n"/>
      <c r="H966" s="37" t="n"/>
      <c r="I966" s="36" t="n"/>
      <c r="J966" s="23">
        <f>IF(OR(G966="",I966=""),"",G966*I966)</f>
        <v/>
      </c>
      <c r="K966" s="35" t="n"/>
    </row>
    <row r="967">
      <c r="A967" s="41" t="n"/>
      <c r="B967" s="34" t="n"/>
      <c r="C967" s="34" t="n"/>
      <c r="D967" s="35" t="n"/>
      <c r="E967" s="22">
        <f>IF(D967="","",IFERROR(VLOOKUP(D967,Config!$F$6:$H$25,3,0),"Categoria inválida"))</f>
        <v/>
      </c>
      <c r="F967" s="35" t="n"/>
      <c r="G967" s="39" t="n"/>
      <c r="H967" s="37" t="n"/>
      <c r="I967" s="36" t="n"/>
      <c r="J967" s="23">
        <f>IF(OR(G967="",I967=""),"",G967*I967)</f>
        <v/>
      </c>
      <c r="K967" s="35" t="n"/>
    </row>
    <row r="968">
      <c r="A968" s="41" t="n"/>
      <c r="B968" s="34" t="n"/>
      <c r="C968" s="34" t="n"/>
      <c r="D968" s="35" t="n"/>
      <c r="E968" s="22">
        <f>IF(D968="","",IFERROR(VLOOKUP(D968,Config!$F$6:$H$25,3,0),"Categoria inválida"))</f>
        <v/>
      </c>
      <c r="F968" s="35" t="n"/>
      <c r="G968" s="39" t="n"/>
      <c r="H968" s="37" t="n"/>
      <c r="I968" s="36" t="n"/>
      <c r="J968" s="23">
        <f>IF(OR(G968="",I968=""),"",G968*I968)</f>
        <v/>
      </c>
      <c r="K968" s="35" t="n"/>
    </row>
    <row r="969">
      <c r="A969" s="41" t="n"/>
      <c r="B969" s="34" t="n"/>
      <c r="C969" s="34" t="n"/>
      <c r="D969" s="35" t="n"/>
      <c r="E969" s="22">
        <f>IF(D969="","",IFERROR(VLOOKUP(D969,Config!$F$6:$H$25,3,0),"Categoria inválida"))</f>
        <v/>
      </c>
      <c r="F969" s="35" t="n"/>
      <c r="G969" s="39" t="n"/>
      <c r="H969" s="37" t="n"/>
      <c r="I969" s="36" t="n"/>
      <c r="J969" s="23">
        <f>IF(OR(G969="",I969=""),"",G969*I969)</f>
        <v/>
      </c>
      <c r="K969" s="35" t="n"/>
    </row>
    <row r="970">
      <c r="A970" s="41" t="n"/>
      <c r="B970" s="34" t="n"/>
      <c r="C970" s="34" t="n"/>
      <c r="D970" s="35" t="n"/>
      <c r="E970" s="22">
        <f>IF(D970="","",IFERROR(VLOOKUP(D970,Config!$F$6:$H$25,3,0),"Categoria inválida"))</f>
        <v/>
      </c>
      <c r="F970" s="35" t="n"/>
      <c r="G970" s="39" t="n"/>
      <c r="H970" s="37" t="n"/>
      <c r="I970" s="36" t="n"/>
      <c r="J970" s="23">
        <f>IF(OR(G970="",I970=""),"",G970*I970)</f>
        <v/>
      </c>
      <c r="K970" s="35" t="n"/>
    </row>
    <row r="971">
      <c r="A971" s="41" t="n"/>
      <c r="B971" s="34" t="n"/>
      <c r="C971" s="34" t="n"/>
      <c r="D971" s="35" t="n"/>
      <c r="E971" s="22">
        <f>IF(D971="","",IFERROR(VLOOKUP(D971,Config!$F$6:$H$25,3,0),"Categoria inválida"))</f>
        <v/>
      </c>
      <c r="F971" s="35" t="n"/>
      <c r="G971" s="39" t="n"/>
      <c r="H971" s="37" t="n"/>
      <c r="I971" s="36" t="n"/>
      <c r="J971" s="23">
        <f>IF(OR(G971="",I971=""),"",G971*I971)</f>
        <v/>
      </c>
      <c r="K971" s="35" t="n"/>
    </row>
    <row r="972">
      <c r="A972" s="41" t="n"/>
      <c r="B972" s="34" t="n"/>
      <c r="C972" s="34" t="n"/>
      <c r="D972" s="35" t="n"/>
      <c r="E972" s="22">
        <f>IF(D972="","",IFERROR(VLOOKUP(D972,Config!$F$6:$H$25,3,0),"Categoria inválida"))</f>
        <v/>
      </c>
      <c r="F972" s="35" t="n"/>
      <c r="G972" s="39" t="n"/>
      <c r="H972" s="37" t="n"/>
      <c r="I972" s="36" t="n"/>
      <c r="J972" s="23">
        <f>IF(OR(G972="",I972=""),"",G972*I972)</f>
        <v/>
      </c>
      <c r="K972" s="35" t="n"/>
    </row>
    <row r="973">
      <c r="A973" s="41" t="n"/>
      <c r="B973" s="34" t="n"/>
      <c r="C973" s="34" t="n"/>
      <c r="D973" s="35" t="n"/>
      <c r="E973" s="22">
        <f>IF(D973="","",IFERROR(VLOOKUP(D973,Config!$F$6:$H$25,3,0),"Categoria inválida"))</f>
        <v/>
      </c>
      <c r="F973" s="35" t="n"/>
      <c r="G973" s="39" t="n"/>
      <c r="H973" s="37" t="n"/>
      <c r="I973" s="36" t="n"/>
      <c r="J973" s="23">
        <f>IF(OR(G973="",I973=""),"",G973*I973)</f>
        <v/>
      </c>
      <c r="K973" s="35" t="n"/>
    </row>
    <row r="974">
      <c r="A974" s="41" t="n"/>
      <c r="B974" s="34" t="n"/>
      <c r="C974" s="34" t="n"/>
      <c r="D974" s="35" t="n"/>
      <c r="E974" s="22">
        <f>IF(D974="","",IFERROR(VLOOKUP(D974,Config!$F$6:$H$25,3,0),"Categoria inválida"))</f>
        <v/>
      </c>
      <c r="F974" s="35" t="n"/>
      <c r="G974" s="39" t="n"/>
      <c r="H974" s="37" t="n"/>
      <c r="I974" s="36" t="n"/>
      <c r="J974" s="23">
        <f>IF(OR(G974="",I974=""),"",G974*I974)</f>
        <v/>
      </c>
      <c r="K974" s="35" t="n"/>
    </row>
    <row r="975">
      <c r="A975" s="41" t="n"/>
      <c r="B975" s="34" t="n"/>
      <c r="C975" s="34" t="n"/>
      <c r="D975" s="35" t="n"/>
      <c r="E975" s="22">
        <f>IF(D975="","",IFERROR(VLOOKUP(D975,Config!$F$6:$H$25,3,0),"Categoria inválida"))</f>
        <v/>
      </c>
      <c r="F975" s="35" t="n"/>
      <c r="G975" s="39" t="n"/>
      <c r="H975" s="37" t="n"/>
      <c r="I975" s="36" t="n"/>
      <c r="J975" s="23">
        <f>IF(OR(G975="",I975=""),"",G975*I975)</f>
        <v/>
      </c>
      <c r="K975" s="35" t="n"/>
    </row>
    <row r="976">
      <c r="A976" s="41" t="n"/>
      <c r="B976" s="34" t="n"/>
      <c r="C976" s="34" t="n"/>
      <c r="D976" s="35" t="n"/>
      <c r="E976" s="22">
        <f>IF(D976="","",IFERROR(VLOOKUP(D976,Config!$F$6:$H$25,3,0),"Categoria inválida"))</f>
        <v/>
      </c>
      <c r="F976" s="35" t="n"/>
      <c r="G976" s="39" t="n"/>
      <c r="H976" s="37" t="n"/>
      <c r="I976" s="36" t="n"/>
      <c r="J976" s="23">
        <f>IF(OR(G976="",I976=""),"",G976*I976)</f>
        <v/>
      </c>
      <c r="K976" s="35" t="n"/>
    </row>
    <row r="977">
      <c r="A977" s="41" t="n"/>
      <c r="B977" s="34" t="n"/>
      <c r="C977" s="34" t="n"/>
      <c r="D977" s="35" t="n"/>
      <c r="E977" s="22">
        <f>IF(D977="","",IFERROR(VLOOKUP(D977,Config!$F$6:$H$25,3,0),"Categoria inválida"))</f>
        <v/>
      </c>
      <c r="F977" s="35" t="n"/>
      <c r="G977" s="39" t="n"/>
      <c r="H977" s="37" t="n"/>
      <c r="I977" s="36" t="n"/>
      <c r="J977" s="23">
        <f>IF(OR(G977="",I977=""),"",G977*I977)</f>
        <v/>
      </c>
      <c r="K977" s="35" t="n"/>
    </row>
    <row r="978">
      <c r="A978" s="41" t="n"/>
      <c r="B978" s="34" t="n"/>
      <c r="C978" s="34" t="n"/>
      <c r="D978" s="35" t="n"/>
      <c r="E978" s="22">
        <f>IF(D978="","",IFERROR(VLOOKUP(D978,Config!$F$6:$H$25,3,0),"Categoria inválida"))</f>
        <v/>
      </c>
      <c r="F978" s="35" t="n"/>
      <c r="G978" s="39" t="n"/>
      <c r="H978" s="37" t="n"/>
      <c r="I978" s="36" t="n"/>
      <c r="J978" s="23">
        <f>IF(OR(G978="",I978=""),"",G978*I978)</f>
        <v/>
      </c>
      <c r="K978" s="35" t="n"/>
    </row>
    <row r="979">
      <c r="A979" s="41" t="n"/>
      <c r="B979" s="34" t="n"/>
      <c r="C979" s="34" t="n"/>
      <c r="D979" s="35" t="n"/>
      <c r="E979" s="22">
        <f>IF(D979="","",IFERROR(VLOOKUP(D979,Config!$F$6:$H$25,3,0),"Categoria inválida"))</f>
        <v/>
      </c>
      <c r="F979" s="35" t="n"/>
      <c r="G979" s="39" t="n"/>
      <c r="H979" s="37" t="n"/>
      <c r="I979" s="36" t="n"/>
      <c r="J979" s="23">
        <f>IF(OR(G979="",I979=""),"",G979*I979)</f>
        <v/>
      </c>
      <c r="K979" s="35" t="n"/>
    </row>
    <row r="980">
      <c r="A980" s="41" t="n"/>
      <c r="B980" s="34" t="n"/>
      <c r="C980" s="34" t="n"/>
      <c r="D980" s="35" t="n"/>
      <c r="E980" s="22">
        <f>IF(D980="","",IFERROR(VLOOKUP(D980,Config!$F$6:$H$25,3,0),"Categoria inválida"))</f>
        <v/>
      </c>
      <c r="F980" s="35" t="n"/>
      <c r="G980" s="39" t="n"/>
      <c r="H980" s="37" t="n"/>
      <c r="I980" s="36" t="n"/>
      <c r="J980" s="23">
        <f>IF(OR(G980="",I980=""),"",G980*I980)</f>
        <v/>
      </c>
      <c r="K980" s="35" t="n"/>
    </row>
    <row r="981">
      <c r="A981" s="41" t="n"/>
      <c r="B981" s="34" t="n"/>
      <c r="C981" s="34" t="n"/>
      <c r="D981" s="35" t="n"/>
      <c r="E981" s="22">
        <f>IF(D981="","",IFERROR(VLOOKUP(D981,Config!$F$6:$H$25,3,0),"Categoria inválida"))</f>
        <v/>
      </c>
      <c r="F981" s="35" t="n"/>
      <c r="G981" s="39" t="n"/>
      <c r="H981" s="37" t="n"/>
      <c r="I981" s="36" t="n"/>
      <c r="J981" s="23">
        <f>IF(OR(G981="",I981=""),"",G981*I981)</f>
        <v/>
      </c>
      <c r="K981" s="35" t="n"/>
    </row>
    <row r="982">
      <c r="A982" s="41" t="n"/>
      <c r="B982" s="34" t="n"/>
      <c r="C982" s="34" t="n"/>
      <c r="D982" s="35" t="n"/>
      <c r="E982" s="22">
        <f>IF(D982="","",IFERROR(VLOOKUP(D982,Config!$F$6:$H$25,3,0),"Categoria inválida"))</f>
        <v/>
      </c>
      <c r="F982" s="35" t="n"/>
      <c r="G982" s="39" t="n"/>
      <c r="H982" s="37" t="n"/>
      <c r="I982" s="36" t="n"/>
      <c r="J982" s="23">
        <f>IF(OR(G982="",I982=""),"",G982*I982)</f>
        <v/>
      </c>
      <c r="K982" s="35" t="n"/>
    </row>
    <row r="983">
      <c r="A983" s="41" t="n"/>
      <c r="B983" s="34" t="n"/>
      <c r="C983" s="34" t="n"/>
      <c r="D983" s="35" t="n"/>
      <c r="E983" s="22">
        <f>IF(D983="","",IFERROR(VLOOKUP(D983,Config!$F$6:$H$25,3,0),"Categoria inválida"))</f>
        <v/>
      </c>
      <c r="F983" s="35" t="n"/>
      <c r="G983" s="39" t="n"/>
      <c r="H983" s="37" t="n"/>
      <c r="I983" s="36" t="n"/>
      <c r="J983" s="23">
        <f>IF(OR(G983="",I983=""),"",G983*I983)</f>
        <v/>
      </c>
      <c r="K983" s="35" t="n"/>
    </row>
    <row r="984">
      <c r="A984" s="41" t="n"/>
      <c r="B984" s="34" t="n"/>
      <c r="C984" s="34" t="n"/>
      <c r="D984" s="35" t="n"/>
      <c r="E984" s="22">
        <f>IF(D984="","",IFERROR(VLOOKUP(D984,Config!$F$6:$H$25,3,0),"Categoria inválida"))</f>
        <v/>
      </c>
      <c r="F984" s="35" t="n"/>
      <c r="G984" s="39" t="n"/>
      <c r="H984" s="37" t="n"/>
      <c r="I984" s="36" t="n"/>
      <c r="J984" s="23">
        <f>IF(OR(G984="",I984=""),"",G984*I984)</f>
        <v/>
      </c>
      <c r="K984" s="35" t="n"/>
    </row>
    <row r="985">
      <c r="A985" s="41" t="n"/>
      <c r="B985" s="34" t="n"/>
      <c r="C985" s="34" t="n"/>
      <c r="D985" s="35" t="n"/>
      <c r="E985" s="22">
        <f>IF(D985="","",IFERROR(VLOOKUP(D985,Config!$F$6:$H$25,3,0),"Categoria inválida"))</f>
        <v/>
      </c>
      <c r="F985" s="35" t="n"/>
      <c r="G985" s="39" t="n"/>
      <c r="H985" s="37" t="n"/>
      <c r="I985" s="36" t="n"/>
      <c r="J985" s="23">
        <f>IF(OR(G985="",I985=""),"",G985*I985)</f>
        <v/>
      </c>
      <c r="K985" s="35" t="n"/>
    </row>
    <row r="986">
      <c r="A986" s="41" t="n"/>
      <c r="B986" s="34" t="n"/>
      <c r="C986" s="34" t="n"/>
      <c r="D986" s="35" t="n"/>
      <c r="E986" s="22">
        <f>IF(D986="","",IFERROR(VLOOKUP(D986,Config!$F$6:$H$25,3,0),"Categoria inválida"))</f>
        <v/>
      </c>
      <c r="F986" s="35" t="n"/>
      <c r="G986" s="39" t="n"/>
      <c r="H986" s="37" t="n"/>
      <c r="I986" s="36" t="n"/>
      <c r="J986" s="23">
        <f>IF(OR(G986="",I986=""),"",G986*I986)</f>
        <v/>
      </c>
      <c r="K986" s="35" t="n"/>
    </row>
    <row r="987">
      <c r="A987" s="41" t="n"/>
      <c r="B987" s="34" t="n"/>
      <c r="C987" s="34" t="n"/>
      <c r="D987" s="35" t="n"/>
      <c r="E987" s="22">
        <f>IF(D987="","",IFERROR(VLOOKUP(D987,Config!$F$6:$H$25,3,0),"Categoria inválida"))</f>
        <v/>
      </c>
      <c r="F987" s="35" t="n"/>
      <c r="G987" s="39" t="n"/>
      <c r="H987" s="37" t="n"/>
      <c r="I987" s="36" t="n"/>
      <c r="J987" s="23">
        <f>IF(OR(G987="",I987=""),"",G987*I987)</f>
        <v/>
      </c>
      <c r="K987" s="35" t="n"/>
    </row>
    <row r="988">
      <c r="A988" s="41" t="n"/>
      <c r="B988" s="34" t="n"/>
      <c r="C988" s="34" t="n"/>
      <c r="D988" s="35" t="n"/>
      <c r="E988" s="22">
        <f>IF(D988="","",IFERROR(VLOOKUP(D988,Config!$F$6:$H$25,3,0),"Categoria inválida"))</f>
        <v/>
      </c>
      <c r="F988" s="35" t="n"/>
      <c r="G988" s="39" t="n"/>
      <c r="H988" s="37" t="n"/>
      <c r="I988" s="36" t="n"/>
      <c r="J988" s="23">
        <f>IF(OR(G988="",I988=""),"",G988*I988)</f>
        <v/>
      </c>
      <c r="K988" s="35" t="n"/>
    </row>
    <row r="989">
      <c r="A989" s="41" t="n"/>
      <c r="B989" s="34" t="n"/>
      <c r="C989" s="34" t="n"/>
      <c r="D989" s="35" t="n"/>
      <c r="E989" s="22">
        <f>IF(D989="","",IFERROR(VLOOKUP(D989,Config!$F$6:$H$25,3,0),"Categoria inválida"))</f>
        <v/>
      </c>
      <c r="F989" s="35" t="n"/>
      <c r="G989" s="39" t="n"/>
      <c r="H989" s="37" t="n"/>
      <c r="I989" s="36" t="n"/>
      <c r="J989" s="23">
        <f>IF(OR(G989="",I989=""),"",G989*I989)</f>
        <v/>
      </c>
      <c r="K989" s="35" t="n"/>
    </row>
    <row r="990">
      <c r="A990" s="41" t="n"/>
      <c r="B990" s="34" t="n"/>
      <c r="C990" s="34" t="n"/>
      <c r="D990" s="35" t="n"/>
      <c r="E990" s="22">
        <f>IF(D990="","",IFERROR(VLOOKUP(D990,Config!$F$6:$H$25,3,0),"Categoria inválida"))</f>
        <v/>
      </c>
      <c r="F990" s="35" t="n"/>
      <c r="G990" s="39" t="n"/>
      <c r="H990" s="37" t="n"/>
      <c r="I990" s="36" t="n"/>
      <c r="J990" s="23">
        <f>IF(OR(G990="",I990=""),"",G990*I990)</f>
        <v/>
      </c>
      <c r="K990" s="35" t="n"/>
    </row>
    <row r="991">
      <c r="A991" s="41" t="n"/>
      <c r="B991" s="34" t="n"/>
      <c r="C991" s="34" t="n"/>
      <c r="D991" s="35" t="n"/>
      <c r="E991" s="22">
        <f>IF(D991="","",IFERROR(VLOOKUP(D991,Config!$F$6:$H$25,3,0),"Categoria inválida"))</f>
        <v/>
      </c>
      <c r="F991" s="35" t="n"/>
      <c r="G991" s="39" t="n"/>
      <c r="H991" s="37" t="n"/>
      <c r="I991" s="36" t="n"/>
      <c r="J991" s="23">
        <f>IF(OR(G991="",I991=""),"",G991*I991)</f>
        <v/>
      </c>
      <c r="K991" s="35" t="n"/>
    </row>
    <row r="992">
      <c r="A992" s="41" t="n"/>
      <c r="B992" s="34" t="n"/>
      <c r="C992" s="34" t="n"/>
      <c r="D992" s="35" t="n"/>
      <c r="E992" s="22">
        <f>IF(D992="","",IFERROR(VLOOKUP(D992,Config!$F$6:$H$25,3,0),"Categoria inválida"))</f>
        <v/>
      </c>
      <c r="F992" s="35" t="n"/>
      <c r="G992" s="39" t="n"/>
      <c r="H992" s="37" t="n"/>
      <c r="I992" s="36" t="n"/>
      <c r="J992" s="23">
        <f>IF(OR(G992="",I992=""),"",G992*I992)</f>
        <v/>
      </c>
      <c r="K992" s="35" t="n"/>
    </row>
    <row r="993">
      <c r="A993" s="41" t="n"/>
      <c r="B993" s="34" t="n"/>
      <c r="C993" s="34" t="n"/>
      <c r="D993" s="35" t="n"/>
      <c r="E993" s="22">
        <f>IF(D993="","",IFERROR(VLOOKUP(D993,Config!$F$6:$H$25,3,0),"Categoria inválida"))</f>
        <v/>
      </c>
      <c r="F993" s="35" t="n"/>
      <c r="G993" s="39" t="n"/>
      <c r="H993" s="37" t="n"/>
      <c r="I993" s="36" t="n"/>
      <c r="J993" s="23">
        <f>IF(OR(G993="",I993=""),"",G993*I993)</f>
        <v/>
      </c>
      <c r="K993" s="35" t="n"/>
    </row>
    <row r="994">
      <c r="A994" s="41" t="n"/>
      <c r="B994" s="34" t="n"/>
      <c r="C994" s="34" t="n"/>
      <c r="D994" s="35" t="n"/>
      <c r="E994" s="22">
        <f>IF(D994="","",IFERROR(VLOOKUP(D994,Config!$F$6:$H$25,3,0),"Categoria inválida"))</f>
        <v/>
      </c>
      <c r="F994" s="35" t="n"/>
      <c r="G994" s="39" t="n"/>
      <c r="H994" s="37" t="n"/>
      <c r="I994" s="36" t="n"/>
      <c r="J994" s="23">
        <f>IF(OR(G994="",I994=""),"",G994*I994)</f>
        <v/>
      </c>
      <c r="K994" s="35" t="n"/>
    </row>
    <row r="995">
      <c r="A995" s="41" t="n"/>
      <c r="B995" s="34" t="n"/>
      <c r="C995" s="34" t="n"/>
      <c r="D995" s="35" t="n"/>
      <c r="E995" s="22">
        <f>IF(D995="","",IFERROR(VLOOKUP(D995,Config!$F$6:$H$25,3,0),"Categoria inválida"))</f>
        <v/>
      </c>
      <c r="F995" s="35" t="n"/>
      <c r="G995" s="39" t="n"/>
      <c r="H995" s="37" t="n"/>
      <c r="I995" s="36" t="n"/>
      <c r="J995" s="23">
        <f>IF(OR(G995="",I995=""),"",G995*I995)</f>
        <v/>
      </c>
      <c r="K995" s="35" t="n"/>
    </row>
    <row r="996">
      <c r="A996" s="41" t="n"/>
      <c r="B996" s="34" t="n"/>
      <c r="C996" s="34" t="n"/>
      <c r="D996" s="35" t="n"/>
      <c r="E996" s="22">
        <f>IF(D996="","",IFERROR(VLOOKUP(D996,Config!$F$6:$H$25,3,0),"Categoria inválida"))</f>
        <v/>
      </c>
      <c r="F996" s="35" t="n"/>
      <c r="G996" s="39" t="n"/>
      <c r="H996" s="37" t="n"/>
      <c r="I996" s="36" t="n"/>
      <c r="J996" s="23">
        <f>IF(OR(G996="",I996=""),"",G996*I996)</f>
        <v/>
      </c>
      <c r="K996" s="35" t="n"/>
    </row>
    <row r="997">
      <c r="A997" s="41" t="n"/>
      <c r="B997" s="34" t="n"/>
      <c r="C997" s="34" t="n"/>
      <c r="D997" s="35" t="n"/>
      <c r="E997" s="22">
        <f>IF(D997="","",IFERROR(VLOOKUP(D997,Config!$F$6:$H$25,3,0),"Categoria inválida"))</f>
        <v/>
      </c>
      <c r="F997" s="35" t="n"/>
      <c r="G997" s="39" t="n"/>
      <c r="H997" s="37" t="n"/>
      <c r="I997" s="36" t="n"/>
      <c r="J997" s="23">
        <f>IF(OR(G997="",I997=""),"",G997*I997)</f>
        <v/>
      </c>
      <c r="K997" s="35" t="n"/>
    </row>
    <row r="998">
      <c r="A998" s="41" t="n"/>
      <c r="B998" s="34" t="n"/>
      <c r="C998" s="34" t="n"/>
      <c r="D998" s="35" t="n"/>
      <c r="E998" s="22">
        <f>IF(D998="","",IFERROR(VLOOKUP(D998,Config!$F$6:$H$25,3,0),"Categoria inválida"))</f>
        <v/>
      </c>
      <c r="F998" s="35" t="n"/>
      <c r="G998" s="39" t="n"/>
      <c r="H998" s="37" t="n"/>
      <c r="I998" s="36" t="n"/>
      <c r="J998" s="23">
        <f>IF(OR(G998="",I998=""),"",G998*I998)</f>
        <v/>
      </c>
      <c r="K998" s="35" t="n"/>
    </row>
    <row r="999">
      <c r="A999" s="41" t="n"/>
      <c r="B999" s="34" t="n"/>
      <c r="C999" s="34" t="n"/>
      <c r="D999" s="35" t="n"/>
      <c r="E999" s="22">
        <f>IF(D999="","",IFERROR(VLOOKUP(D999,Config!$F$6:$H$25,3,0),"Categoria inválida"))</f>
        <v/>
      </c>
      <c r="F999" s="35" t="n"/>
      <c r="G999" s="39" t="n"/>
      <c r="H999" s="37" t="n"/>
      <c r="I999" s="36" t="n"/>
      <c r="J999" s="23">
        <f>IF(OR(G999="",I999=""),"",G999*I999)</f>
        <v/>
      </c>
      <c r="K999" s="35" t="n"/>
    </row>
    <row r="1000">
      <c r="A1000" s="41" t="n"/>
      <c r="B1000" s="34" t="n"/>
      <c r="C1000" s="34" t="n"/>
      <c r="D1000" s="35" t="n"/>
      <c r="E1000" s="22">
        <f>IF(D1000="","",IFERROR(VLOOKUP(D1000,Config!$F$6:$H$25,3,0),"Categoria inválida"))</f>
        <v/>
      </c>
      <c r="F1000" s="35" t="n"/>
      <c r="G1000" s="39" t="n"/>
      <c r="H1000" s="37" t="n"/>
      <c r="I1000" s="36" t="n"/>
      <c r="J1000" s="23">
        <f>IF(OR(G1000="",I1000=""),"",G1000*I1000)</f>
        <v/>
      </c>
      <c r="K1000" s="35" t="n"/>
    </row>
    <row r="1001">
      <c r="A1001" s="41" t="n"/>
      <c r="B1001" s="34" t="n"/>
      <c r="C1001" s="34" t="n"/>
      <c r="D1001" s="35" t="n"/>
      <c r="E1001" s="22">
        <f>IF(D1001="","",IFERROR(VLOOKUP(D1001,Config!$F$6:$H$25,3,0),"Categoria inválida"))</f>
        <v/>
      </c>
      <c r="F1001" s="35" t="n"/>
      <c r="G1001" s="39" t="n"/>
      <c r="H1001" s="37" t="n"/>
      <c r="I1001" s="36" t="n"/>
      <c r="J1001" s="23">
        <f>IF(OR(G1001="",I1001=""),"",G1001*I1001)</f>
        <v/>
      </c>
      <c r="K1001" s="35" t="n"/>
    </row>
    <row r="1002">
      <c r="A1002" s="41" t="n"/>
      <c r="B1002" s="34" t="n"/>
      <c r="C1002" s="34" t="n"/>
      <c r="D1002" s="35" t="n"/>
      <c r="E1002" s="22">
        <f>IF(D1002="","",IFERROR(VLOOKUP(D1002,Config!$F$6:$H$25,3,0),"Categoria inválida"))</f>
        <v/>
      </c>
      <c r="F1002" s="35" t="n"/>
      <c r="G1002" s="39" t="n"/>
      <c r="H1002" s="37" t="n"/>
      <c r="I1002" s="36" t="n"/>
      <c r="J1002" s="23">
        <f>IF(OR(G1002="",I1002=""),"",G1002*I1002)</f>
        <v/>
      </c>
      <c r="K1002" s="35" t="n"/>
    </row>
    <row r="1003">
      <c r="A1003" s="41" t="n"/>
      <c r="B1003" s="34" t="n"/>
      <c r="C1003" s="34" t="n"/>
      <c r="D1003" s="35" t="n"/>
      <c r="E1003" s="22">
        <f>IF(D1003="","",IFERROR(VLOOKUP(D1003,Config!$F$6:$H$25,3,0),"Categoria inválida"))</f>
        <v/>
      </c>
      <c r="F1003" s="35" t="n"/>
      <c r="G1003" s="39" t="n"/>
      <c r="H1003" s="37" t="n"/>
      <c r="I1003" s="36" t="n"/>
      <c r="J1003" s="23">
        <f>IF(OR(G1003="",I1003=""),"",G1003*I1003)</f>
        <v/>
      </c>
      <c r="K1003" s="35" t="n"/>
    </row>
    <row r="1004">
      <c r="A1004" s="41" t="n"/>
      <c r="B1004" s="34" t="n"/>
      <c r="C1004" s="34" t="n"/>
      <c r="D1004" s="35" t="n"/>
      <c r="E1004" s="22">
        <f>IF(D1004="","",IFERROR(VLOOKUP(D1004,Config!$F$6:$H$25,3,0),"Categoria inválida"))</f>
        <v/>
      </c>
      <c r="F1004" s="35" t="n"/>
      <c r="G1004" s="39" t="n"/>
      <c r="H1004" s="37" t="n"/>
      <c r="I1004" s="36" t="n"/>
      <c r="J1004" s="23">
        <f>IF(OR(G1004="",I1004=""),"",G1004*I1004)</f>
        <v/>
      </c>
      <c r="K1004" s="35" t="n"/>
    </row>
    <row r="1005">
      <c r="A1005" s="41" t="n"/>
      <c r="B1005" s="34" t="n"/>
      <c r="C1005" s="34" t="n"/>
      <c r="D1005" s="35" t="n"/>
      <c r="E1005" s="22">
        <f>IF(D1005="","",IFERROR(VLOOKUP(D1005,Config!$F$6:$H$25,3,0),"Categoria inválida"))</f>
        <v/>
      </c>
      <c r="F1005" s="35" t="n"/>
      <c r="G1005" s="39" t="n"/>
      <c r="H1005" s="37" t="n"/>
      <c r="I1005" s="36" t="n"/>
      <c r="J1005" s="23">
        <f>IF(OR(G1005="",I1005=""),"",G1005*I1005)</f>
        <v/>
      </c>
      <c r="K1005" s="3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K1005"/>
  <conditionalFormatting sqref="E6:E1005">
    <cfRule type="cellIs" priority="1" operator="equal" dxfId="1">
      <formula>"Categoria inválida"</formula>
    </cfRule>
  </conditionalFormatting>
  <dataValidations count="7">
    <dataValidation sqref="A6:A100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B6:B1005" showDropDown="0" showInputMessage="1" showErrorMessage="1" allowBlank="1" errorTitle="Valor inválido" error="Escolha um valor da lista." prompt="Safra" type="list" errorStyle="stop">
      <formula1>Config!$A$6:$A$15</formula1>
    </dataValidation>
    <dataValidation sqref="C6:C1005" showDropDown="0" showInputMessage="1" showErrorMessage="1" allowBlank="1" errorTitle="Valor inválido" error="Escolha um valor da lista." prompt="Talhão (ou GERAL para ratear por área)" type="list" errorStyle="stop">
      <formula1>Listas!$A$2:$A$62</formula1>
    </dataValidation>
    <dataValidation sqref="D6:D1005" showDropDown="0" showInputMessage="1" showErrorMessage="1" allowBlank="1" errorTitle="Valor inválido" error="Escolha um valor da lista." prompt="Categoria de custo" type="list" errorStyle="stop">
      <formula1>Config!$F$6:$F$25</formula1>
    </dataValidation>
    <dataValidation sqref="H6:H1005" showDropDown="0" showInputMessage="1" showErrorMessage="0" allowBlank="1" errorTitle="Valor inválido" error="Escolha um valor da lista." prompt="Unidade" type="list" errorStyle="warning">
      <formula1>Listas!$C$2:$C$12</formula1>
    </dataValidation>
    <dataValidation sqref="G6:G1005" showDropDown="0" showInputMessage="0" showErrorMessage="1" allowBlank="1" errorTitle="Valor inválido" error="Digite um número maior ou igual a zero." type="decimal" operator="greaterThanOrEqual">
      <formula1>0</formula1>
    </dataValidation>
    <dataValidation sqref="I6:I1005" showDropDown="0" showInputMessage="0" showErrorMessage="1" allowBlank="1" errorTitle="Valor inválido" error="Digite um número maior ou igual a zero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2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Talhões</t>
        </is>
      </c>
      <c r="B1" t="inlineStr">
        <is>
          <t>Grupos</t>
        </is>
      </c>
      <c r="C1" t="inlineStr">
        <is>
          <t>Unidades</t>
        </is>
      </c>
    </row>
    <row r="2">
      <c r="A2" t="inlineStr">
        <is>
          <t>GERAL</t>
        </is>
      </c>
      <c r="B2" t="inlineStr">
        <is>
          <t>Insumos</t>
        </is>
      </c>
      <c r="C2" t="inlineStr">
        <is>
          <t>kg</t>
        </is>
      </c>
    </row>
    <row r="3">
      <c r="A3">
        <f>IF('Talhões'!B6="","",'Talhões'!B6)</f>
        <v/>
      </c>
      <c r="B3" t="inlineStr">
        <is>
          <t>Operações</t>
        </is>
      </c>
      <c r="C3" t="inlineStr">
        <is>
          <t>t</t>
        </is>
      </c>
    </row>
    <row r="4">
      <c r="A4">
        <f>IF('Talhões'!B7="","",'Talhões'!B7)</f>
        <v/>
      </c>
      <c r="B4" t="inlineStr">
        <is>
          <t>Mão de obra</t>
        </is>
      </c>
      <c r="C4" t="inlineStr">
        <is>
          <t>L</t>
        </is>
      </c>
    </row>
    <row r="5">
      <c r="A5">
        <f>IF('Talhões'!B8="","",'Talhões'!B8)</f>
        <v/>
      </c>
      <c r="B5" t="inlineStr">
        <is>
          <t>Outros</t>
        </is>
      </c>
      <c r="C5" t="inlineStr">
        <is>
          <t>sc</t>
        </is>
      </c>
    </row>
    <row r="6">
      <c r="A6">
        <f>IF('Talhões'!B9="","",'Talhões'!B9)</f>
        <v/>
      </c>
      <c r="C6" t="inlineStr">
        <is>
          <t>ha</t>
        </is>
      </c>
    </row>
    <row r="7">
      <c r="A7">
        <f>IF('Talhões'!B10="","",'Talhões'!B10)</f>
        <v/>
      </c>
      <c r="C7" t="inlineStr">
        <is>
          <t>h</t>
        </is>
      </c>
    </row>
    <row r="8">
      <c r="A8">
        <f>IF('Talhões'!B11="","",'Talhões'!B11)</f>
        <v/>
      </c>
      <c r="C8" t="inlineStr">
        <is>
          <t>diária</t>
        </is>
      </c>
    </row>
    <row r="9">
      <c r="A9">
        <f>IF('Talhões'!B12="","",'Talhões'!B12)</f>
        <v/>
      </c>
      <c r="C9" t="inlineStr">
        <is>
          <t>mês</t>
        </is>
      </c>
    </row>
    <row r="10">
      <c r="A10">
        <f>IF('Talhões'!B13="","",'Talhões'!B13)</f>
        <v/>
      </c>
      <c r="C10" t="inlineStr">
        <is>
          <t>un</t>
        </is>
      </c>
    </row>
    <row r="11">
      <c r="A11">
        <f>IF('Talhões'!B14="","",'Talhões'!B14)</f>
        <v/>
      </c>
      <c r="C11" t="inlineStr">
        <is>
          <t>serviço</t>
        </is>
      </c>
    </row>
    <row r="12">
      <c r="A12">
        <f>IF('Talhões'!B15="","",'Talhões'!B15)</f>
        <v/>
      </c>
      <c r="C12" t="inlineStr">
        <is>
          <t>km</t>
        </is>
      </c>
    </row>
    <row r="13">
      <c r="A13">
        <f>IF('Talhões'!B16="","",'Talhões'!B16)</f>
        <v/>
      </c>
    </row>
    <row r="14">
      <c r="A14">
        <f>IF('Talhões'!B17="","",'Talhões'!B17)</f>
        <v/>
      </c>
    </row>
    <row r="15">
      <c r="A15">
        <f>IF('Talhões'!B18="","",'Talhões'!B18)</f>
        <v/>
      </c>
    </row>
    <row r="16">
      <c r="A16">
        <f>IF('Talhões'!B19="","",'Talhões'!B19)</f>
        <v/>
      </c>
    </row>
    <row r="17">
      <c r="A17">
        <f>IF('Talhões'!B20="","",'Talhões'!B20)</f>
        <v/>
      </c>
    </row>
    <row r="18">
      <c r="A18">
        <f>IF('Talhões'!B21="","",'Talhões'!B21)</f>
        <v/>
      </c>
    </row>
    <row r="19">
      <c r="A19">
        <f>IF('Talhões'!B22="","",'Talhões'!B22)</f>
        <v/>
      </c>
    </row>
    <row r="20">
      <c r="A20">
        <f>IF('Talhões'!B23="","",'Talhões'!B23)</f>
        <v/>
      </c>
    </row>
    <row r="21">
      <c r="A21">
        <f>IF('Talhões'!B24="","",'Talhões'!B24)</f>
        <v/>
      </c>
    </row>
    <row r="22">
      <c r="A22">
        <f>IF('Talhões'!B25="","",'Talhões'!B25)</f>
        <v/>
      </c>
    </row>
    <row r="23">
      <c r="A23">
        <f>IF('Talhões'!B26="","",'Talhões'!B26)</f>
        <v/>
      </c>
    </row>
    <row r="24">
      <c r="A24">
        <f>IF('Talhões'!B27="","",'Talhões'!B27)</f>
        <v/>
      </c>
    </row>
    <row r="25">
      <c r="A25">
        <f>IF('Talhões'!B28="","",'Talhões'!B28)</f>
        <v/>
      </c>
    </row>
    <row r="26">
      <c r="A26">
        <f>IF('Talhões'!B29="","",'Talhões'!B29)</f>
        <v/>
      </c>
    </row>
    <row r="27">
      <c r="A27">
        <f>IF('Talhões'!B30="","",'Talhões'!B30)</f>
        <v/>
      </c>
    </row>
    <row r="28">
      <c r="A28">
        <f>IF('Talhões'!B31="","",'Talhões'!B31)</f>
        <v/>
      </c>
    </row>
    <row r="29">
      <c r="A29">
        <f>IF('Talhões'!B32="","",'Talhões'!B32)</f>
        <v/>
      </c>
    </row>
    <row r="30">
      <c r="A30">
        <f>IF('Talhões'!B33="","",'Talhões'!B33)</f>
        <v/>
      </c>
    </row>
    <row r="31">
      <c r="A31">
        <f>IF('Talhões'!B34="","",'Talhões'!B34)</f>
        <v/>
      </c>
    </row>
    <row r="32">
      <c r="A32">
        <f>IF('Talhões'!B35="","",'Talhões'!B35)</f>
        <v/>
      </c>
    </row>
    <row r="33">
      <c r="A33">
        <f>IF('Talhões'!B36="","",'Talhões'!B36)</f>
        <v/>
      </c>
    </row>
    <row r="34">
      <c r="A34">
        <f>IF('Talhões'!B37="","",'Talhões'!B37)</f>
        <v/>
      </c>
    </row>
    <row r="35">
      <c r="A35">
        <f>IF('Talhões'!B38="","",'Talhões'!B38)</f>
        <v/>
      </c>
    </row>
    <row r="36">
      <c r="A36">
        <f>IF('Talhões'!B39="","",'Talhões'!B39)</f>
        <v/>
      </c>
    </row>
    <row r="37">
      <c r="A37">
        <f>IF('Talhões'!B40="","",'Talhões'!B40)</f>
        <v/>
      </c>
    </row>
    <row r="38">
      <c r="A38">
        <f>IF('Talhões'!B41="","",'Talhões'!B41)</f>
        <v/>
      </c>
    </row>
    <row r="39">
      <c r="A39">
        <f>IF('Talhões'!B42="","",'Talhões'!B42)</f>
        <v/>
      </c>
    </row>
    <row r="40">
      <c r="A40">
        <f>IF('Talhões'!B43="","",'Talhões'!B43)</f>
        <v/>
      </c>
    </row>
    <row r="41">
      <c r="A41">
        <f>IF('Talhões'!B44="","",'Talhões'!B44)</f>
        <v/>
      </c>
    </row>
    <row r="42">
      <c r="A42">
        <f>IF('Talhões'!B45="","",'Talhões'!B45)</f>
        <v/>
      </c>
    </row>
    <row r="43">
      <c r="A43">
        <f>IF('Talhões'!B46="","",'Talhões'!B46)</f>
        <v/>
      </c>
    </row>
    <row r="44">
      <c r="A44">
        <f>IF('Talhões'!B47="","",'Talhões'!B47)</f>
        <v/>
      </c>
    </row>
    <row r="45">
      <c r="A45">
        <f>IF('Talhões'!B48="","",'Talhões'!B48)</f>
        <v/>
      </c>
    </row>
    <row r="46">
      <c r="A46">
        <f>IF('Talhões'!B49="","",'Talhões'!B49)</f>
        <v/>
      </c>
    </row>
    <row r="47">
      <c r="A47">
        <f>IF('Talhões'!B50="","",'Talhões'!B50)</f>
        <v/>
      </c>
    </row>
    <row r="48">
      <c r="A48">
        <f>IF('Talhões'!B51="","",'Talhões'!B51)</f>
        <v/>
      </c>
    </row>
    <row r="49">
      <c r="A49">
        <f>IF('Talhões'!B52="","",'Talhões'!B52)</f>
        <v/>
      </c>
    </row>
    <row r="50">
      <c r="A50">
        <f>IF('Talhões'!B53="","",'Talhões'!B53)</f>
        <v/>
      </c>
    </row>
    <row r="51">
      <c r="A51">
        <f>IF('Talhões'!B54="","",'Talhões'!B54)</f>
        <v/>
      </c>
    </row>
    <row r="52">
      <c r="A52">
        <f>IF('Talhões'!B55="","",'Talhões'!B55)</f>
        <v/>
      </c>
    </row>
    <row r="53">
      <c r="A53">
        <f>IF('Talhões'!B56="","",'Talhões'!B56)</f>
        <v/>
      </c>
    </row>
    <row r="54">
      <c r="A54">
        <f>IF('Talhões'!B57="","",'Talhões'!B57)</f>
        <v/>
      </c>
    </row>
    <row r="55">
      <c r="A55">
        <f>IF('Talhões'!B58="","",'Talhões'!B58)</f>
        <v/>
      </c>
    </row>
    <row r="56">
      <c r="A56">
        <f>IF('Talhões'!B59="","",'Talhões'!B59)</f>
        <v/>
      </c>
    </row>
    <row r="57">
      <c r="A57">
        <f>IF('Talhões'!B60="","",'Talhões'!B60)</f>
        <v/>
      </c>
    </row>
    <row r="58">
      <c r="A58">
        <f>IF('Talhões'!B61="","",'Talhões'!B61)</f>
        <v/>
      </c>
    </row>
    <row r="59">
      <c r="A59">
        <f>IF('Talhões'!B62="","",'Talhões'!B62)</f>
        <v/>
      </c>
    </row>
    <row r="60">
      <c r="A60">
        <f>IF('Talhões'!B63="","",'Talhões'!B63)</f>
        <v/>
      </c>
    </row>
    <row r="61">
      <c r="A61">
        <f>IF('Talhões'!B64="","",'Talhões'!B64)</f>
        <v/>
      </c>
    </row>
    <row r="62">
      <c r="A62">
        <f>IF('Talhões'!B65="","",'Talhões'!B65)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45"/>
  <sheetViews>
    <sheetView showGridLines="0" tabSelected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4" customWidth="1" min="12" max="12"/>
    <col width="14" customWidth="1" min="13" max="13"/>
    <col width="13" customWidth="1" min="14" max="14"/>
  </cols>
  <sheetData>
    <row r="1" ht="36" customHeight="1">
      <c r="A1" s="1" t="inlineStr">
        <is>
          <t>Exemplo preenchido (dados fictícios)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Veja como a planilha funciona antes de lançar seus dados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32" customHeight="1">
      <c r="A3" s="42" t="inlineStr">
        <is>
          <t>EXEMPLO — TODOS OS DADOS DESTA ABA SÃO FICTÍCIOS, criados apenas para demonstrar o funcionamento. Não use como referência de preços, custos ou produtividade.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</row>
    <row r="5">
      <c r="A5" s="44" t="inlineStr">
        <is>
          <t>Safra:</t>
        </is>
      </c>
      <c r="B5" s="45" t="inlineStr">
        <is>
          <t>2025/26 (exemplo)</t>
        </is>
      </c>
    </row>
    <row r="6">
      <c r="A6" s="44" t="inlineStr">
        <is>
          <t>Preço R$/sc:</t>
        </is>
      </c>
      <c r="B6" s="36" t="n">
        <v>120</v>
      </c>
    </row>
    <row r="8" ht="20" customHeight="1">
      <c r="A8" s="10" t="inlineStr">
        <is>
          <t>Talhões (exemplo)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</row>
    <row r="9" ht="44" customHeight="1">
      <c r="A9" s="19" t="inlineStr">
        <is>
          <t>Código</t>
        </is>
      </c>
      <c r="B9" s="19" t="inlineStr">
        <is>
          <t>Nome</t>
        </is>
      </c>
      <c r="C9" s="19" t="inlineStr">
        <is>
          <t>Área (ha)</t>
        </is>
      </c>
      <c r="D9" s="19" t="inlineStr">
        <is>
          <t>Prod. esperada (sc/ha)</t>
        </is>
      </c>
      <c r="E9" s="19" t="inlineStr">
        <is>
          <t>Produção realizada (sc)</t>
        </is>
      </c>
      <c r="F9" s="19" t="inlineStr">
        <is>
          <t>Custo direto (R$)</t>
        </is>
      </c>
      <c r="G9" s="19" t="inlineStr">
        <is>
          <t>Rateio GERAL (R$)</t>
        </is>
      </c>
      <c r="H9" s="19" t="inlineStr">
        <is>
          <t>Custo total (R$)</t>
        </is>
      </c>
      <c r="I9" s="19" t="inlineStr">
        <is>
          <t>Custo/ha (R$)</t>
        </is>
      </c>
      <c r="J9" s="19" t="inlineStr">
        <is>
          <t>Produção considerada (sc)</t>
        </is>
      </c>
      <c r="K9" s="19" t="inlineStr">
        <is>
          <t>Custo/saca (R$)</t>
        </is>
      </c>
      <c r="L9" s="19" t="inlineStr">
        <is>
          <t>Receita estimada (R$)</t>
        </is>
      </c>
      <c r="M9" s="19" t="inlineStr">
        <is>
          <t>Resultado (R$)</t>
        </is>
      </c>
      <c r="N9" s="19" t="inlineStr">
        <is>
          <t>Ponto equilíbrio (sc/ha)</t>
        </is>
      </c>
    </row>
    <row r="10">
      <c r="A10" s="34" t="inlineStr">
        <is>
          <t>T01</t>
        </is>
      </c>
      <c r="B10" s="35" t="inlineStr">
        <is>
          <t>Talhão Sede</t>
        </is>
      </c>
      <c r="C10" s="39" t="n">
        <v>50</v>
      </c>
      <c r="D10" s="39" t="n">
        <v>62</v>
      </c>
      <c r="E10" s="39" t="n">
        <v>3050</v>
      </c>
      <c r="F10" s="23">
        <f>SUMIF($B$17:$B$33,A10,$I$17:$I$33)</f>
        <v/>
      </c>
      <c r="G10" s="23">
        <f>IFERROR(SUMIF($B$17:$B$33,"GERAL",$I$17:$I$33)*C10/SUM($C$10:$C$12),0)</f>
        <v/>
      </c>
      <c r="H10" s="23">
        <f>F10+G10</f>
        <v/>
      </c>
      <c r="I10" s="23">
        <f>IFERROR(H10/C10,0)</f>
        <v/>
      </c>
      <c r="J10" s="40">
        <f>IF(N(E10)&gt;0,E10,D10*C10)</f>
        <v/>
      </c>
      <c r="K10" s="23">
        <f>IFERROR(H10/J10,0)</f>
        <v/>
      </c>
      <c r="L10" s="23">
        <f>J10*$B$6</f>
        <v/>
      </c>
      <c r="M10" s="23">
        <f>L10-H10</f>
        <v/>
      </c>
      <c r="N10" s="40">
        <f>IFERROR(I10/$B$6,0)</f>
        <v/>
      </c>
    </row>
    <row r="11">
      <c r="A11" s="34" t="inlineStr">
        <is>
          <t>T02</t>
        </is>
      </c>
      <c r="B11" s="35" t="inlineStr">
        <is>
          <t>Talhão Baixada</t>
        </is>
      </c>
      <c r="C11" s="39" t="n">
        <v>35</v>
      </c>
      <c r="D11" s="39" t="n">
        <v>58</v>
      </c>
      <c r="E11" s="39" t="n"/>
      <c r="F11" s="23">
        <f>SUMIF($B$17:$B$33,A11,$I$17:$I$33)</f>
        <v/>
      </c>
      <c r="G11" s="23">
        <f>IFERROR(SUMIF($B$17:$B$33,"GERAL",$I$17:$I$33)*C11/SUM($C$10:$C$12),0)</f>
        <v/>
      </c>
      <c r="H11" s="23">
        <f>F11+G11</f>
        <v/>
      </c>
      <c r="I11" s="23">
        <f>IFERROR(H11/C11,0)</f>
        <v/>
      </c>
      <c r="J11" s="40">
        <f>IF(N(E11)&gt;0,E11,D11*C11)</f>
        <v/>
      </c>
      <c r="K11" s="23">
        <f>IFERROR(H11/J11,0)</f>
        <v/>
      </c>
      <c r="L11" s="23">
        <f>J11*$B$6</f>
        <v/>
      </c>
      <c r="M11" s="23">
        <f>L11-H11</f>
        <v/>
      </c>
      <c r="N11" s="40">
        <f>IFERROR(I11/$B$6,0)</f>
        <v/>
      </c>
    </row>
    <row r="12">
      <c r="A12" s="34" t="inlineStr">
        <is>
          <t>T03</t>
        </is>
      </c>
      <c r="B12" s="35" t="inlineStr">
        <is>
          <t>Talhão Divisa</t>
        </is>
      </c>
      <c r="C12" s="39" t="n">
        <v>15</v>
      </c>
      <c r="D12" s="39" t="n">
        <v>55</v>
      </c>
      <c r="E12" s="39" t="n">
        <v>800</v>
      </c>
      <c r="F12" s="23">
        <f>SUMIF($B$17:$B$33,A12,$I$17:$I$33)</f>
        <v/>
      </c>
      <c r="G12" s="23">
        <f>IFERROR(SUMIF($B$17:$B$33,"GERAL",$I$17:$I$33)*C12/SUM($C$10:$C$12),0)</f>
        <v/>
      </c>
      <c r="H12" s="23">
        <f>F12+G12</f>
        <v/>
      </c>
      <c r="I12" s="23">
        <f>IFERROR(H12/C12,0)</f>
        <v/>
      </c>
      <c r="J12" s="40">
        <f>IF(N(E12)&gt;0,E12,D12*C12)</f>
        <v/>
      </c>
      <c r="K12" s="23">
        <f>IFERROR(H12/J12,0)</f>
        <v/>
      </c>
      <c r="L12" s="23">
        <f>J12*$B$6</f>
        <v/>
      </c>
      <c r="M12" s="23">
        <f>L12-H12</f>
        <v/>
      </c>
      <c r="N12" s="40">
        <f>IFERROR(I12/$B$6,0)</f>
        <v/>
      </c>
    </row>
    <row r="13">
      <c r="A13" s="28" t="inlineStr">
        <is>
          <t>TOTAL</t>
        </is>
      </c>
      <c r="B13" s="28" t="n"/>
      <c r="C13" s="46">
        <f>SUM(C10:C12)</f>
        <v/>
      </c>
      <c r="D13" s="28" t="n"/>
      <c r="E13" s="28" t="n"/>
      <c r="F13" s="29">
        <f>SUM(F10:F12)</f>
        <v/>
      </c>
      <c r="G13" s="29">
        <f>SUM(G10:G12)</f>
        <v/>
      </c>
      <c r="H13" s="29">
        <f>SUM(H10:H12)</f>
        <v/>
      </c>
      <c r="I13" s="29">
        <f>IFERROR(H13/C13,0)</f>
        <v/>
      </c>
      <c r="J13" s="46">
        <f>SUM(J10:J12)</f>
        <v/>
      </c>
      <c r="K13" s="29">
        <f>IFERROR(H13/J13,0)</f>
        <v/>
      </c>
      <c r="L13" s="29">
        <f>SUM(L10:L12)</f>
        <v/>
      </c>
      <c r="M13" s="29">
        <f>SUM(M10:M12)</f>
        <v/>
      </c>
      <c r="N13" s="46">
        <f>IFERROR(I13/$B$6,0)</f>
        <v/>
      </c>
    </row>
    <row r="15" ht="20" customHeight="1">
      <c r="A15" s="10" t="inlineStr">
        <is>
          <t>Lançamentos (exemplo)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30" customHeight="1">
      <c r="A16" s="19" t="inlineStr">
        <is>
          <t>Data</t>
        </is>
      </c>
      <c r="B16" s="19" t="inlineStr">
        <is>
          <t>Talhão</t>
        </is>
      </c>
      <c r="C16" s="19" t="inlineStr">
        <is>
          <t>Categoria</t>
        </is>
      </c>
      <c r="D16" s="19" t="inlineStr">
        <is>
          <t>Grupo</t>
        </is>
      </c>
      <c r="E16" s="19" t="inlineStr">
        <is>
          <t>Descrição</t>
        </is>
      </c>
      <c r="F16" s="19" t="inlineStr">
        <is>
          <t>Quantidade</t>
        </is>
      </c>
      <c r="G16" s="19" t="inlineStr">
        <is>
          <t>Unidade</t>
        </is>
      </c>
      <c r="H16" s="19" t="inlineStr">
        <is>
          <t>Valor unitário (R$)</t>
        </is>
      </c>
      <c r="I16" s="19" t="inlineStr">
        <is>
          <t>Valor total (R$)</t>
        </is>
      </c>
    </row>
    <row r="17">
      <c r="A17" s="41" t="n">
        <v>45920</v>
      </c>
      <c r="B17" s="34" t="inlineStr">
        <is>
          <t>T01</t>
        </is>
      </c>
      <c r="C17" s="35" t="inlineStr">
        <is>
          <t>Sementes</t>
        </is>
      </c>
      <c r="D17" s="35" t="inlineStr">
        <is>
          <t>Insumos</t>
        </is>
      </c>
      <c r="E17" s="35" t="inlineStr">
        <is>
          <t>Semente de soja</t>
        </is>
      </c>
      <c r="F17" s="39" t="n">
        <v>50</v>
      </c>
      <c r="G17" s="37" t="inlineStr">
        <is>
          <t>sc</t>
        </is>
      </c>
      <c r="H17" s="36" t="n">
        <v>600</v>
      </c>
      <c r="I17" s="23">
        <f>F17*H17</f>
        <v/>
      </c>
    </row>
    <row r="18">
      <c r="A18" s="41" t="n">
        <v>45920</v>
      </c>
      <c r="B18" s="34" t="inlineStr">
        <is>
          <t>T02</t>
        </is>
      </c>
      <c r="C18" s="35" t="inlineStr">
        <is>
          <t>Sementes</t>
        </is>
      </c>
      <c r="D18" s="35" t="inlineStr">
        <is>
          <t>Insumos</t>
        </is>
      </c>
      <c r="E18" s="35" t="inlineStr">
        <is>
          <t>Semente de soja</t>
        </is>
      </c>
      <c r="F18" s="39" t="n">
        <v>35</v>
      </c>
      <c r="G18" s="37" t="inlineStr">
        <is>
          <t>sc</t>
        </is>
      </c>
      <c r="H18" s="36" t="n">
        <v>600</v>
      </c>
      <c r="I18" s="23">
        <f>F18*H18</f>
        <v/>
      </c>
    </row>
    <row r="19">
      <c r="A19" s="41" t="n">
        <v>45921</v>
      </c>
      <c r="B19" s="34" t="inlineStr">
        <is>
          <t>T03</t>
        </is>
      </c>
      <c r="C19" s="35" t="inlineStr">
        <is>
          <t>Sementes</t>
        </is>
      </c>
      <c r="D19" s="35" t="inlineStr">
        <is>
          <t>Insumos</t>
        </is>
      </c>
      <c r="E19" s="35" t="inlineStr">
        <is>
          <t>Semente de soja</t>
        </is>
      </c>
      <c r="F19" s="39" t="n">
        <v>15</v>
      </c>
      <c r="G19" s="37" t="inlineStr">
        <is>
          <t>sc</t>
        </is>
      </c>
      <c r="H19" s="36" t="n">
        <v>600</v>
      </c>
      <c r="I19" s="23">
        <f>F19*H19</f>
        <v/>
      </c>
    </row>
    <row r="20">
      <c r="A20" s="41" t="n">
        <v>45925</v>
      </c>
      <c r="B20" s="34" t="inlineStr">
        <is>
          <t>T01</t>
        </is>
      </c>
      <c r="C20" s="35" t="inlineStr">
        <is>
          <t>Fertilizantes e corretivos</t>
        </is>
      </c>
      <c r="D20" s="35" t="inlineStr">
        <is>
          <t>Insumos</t>
        </is>
      </c>
      <c r="E20" s="35" t="inlineStr">
        <is>
          <t>Adubo formulado</t>
        </is>
      </c>
      <c r="F20" s="39" t="n">
        <v>25</v>
      </c>
      <c r="G20" s="37" t="inlineStr">
        <is>
          <t>t</t>
        </is>
      </c>
      <c r="H20" s="36" t="n">
        <v>3200</v>
      </c>
      <c r="I20" s="23">
        <f>F20*H20</f>
        <v/>
      </c>
    </row>
    <row r="21">
      <c r="A21" s="41" t="n">
        <v>45925</v>
      </c>
      <c r="B21" s="34" t="inlineStr">
        <is>
          <t>T02</t>
        </is>
      </c>
      <c r="C21" s="35" t="inlineStr">
        <is>
          <t>Fertilizantes e corretivos</t>
        </is>
      </c>
      <c r="D21" s="35" t="inlineStr">
        <is>
          <t>Insumos</t>
        </is>
      </c>
      <c r="E21" s="35" t="inlineStr">
        <is>
          <t>Adubo formulado</t>
        </is>
      </c>
      <c r="F21" s="39" t="n">
        <v>17.5</v>
      </c>
      <c r="G21" s="37" t="inlineStr">
        <is>
          <t>t</t>
        </is>
      </c>
      <c r="H21" s="36" t="n">
        <v>3200</v>
      </c>
      <c r="I21" s="23">
        <f>F21*H21</f>
        <v/>
      </c>
    </row>
    <row r="22">
      <c r="A22" s="41" t="n">
        <v>45926</v>
      </c>
      <c r="B22" s="34" t="inlineStr">
        <is>
          <t>T03</t>
        </is>
      </c>
      <c r="C22" s="35" t="inlineStr">
        <is>
          <t>Fertilizantes e corretivos</t>
        </is>
      </c>
      <c r="D22" s="35" t="inlineStr">
        <is>
          <t>Insumos</t>
        </is>
      </c>
      <c r="E22" s="35" t="inlineStr">
        <is>
          <t>Adubo formulado</t>
        </is>
      </c>
      <c r="F22" s="39" t="n">
        <v>7.5</v>
      </c>
      <c r="G22" s="37" t="inlineStr">
        <is>
          <t>t</t>
        </is>
      </c>
      <c r="H22" s="36" t="n">
        <v>3200</v>
      </c>
      <c r="I22" s="23">
        <f>F22*H22</f>
        <v/>
      </c>
    </row>
    <row r="23">
      <c r="A23" s="41" t="n">
        <v>45971</v>
      </c>
      <c r="B23" s="34" t="inlineStr">
        <is>
          <t>T01</t>
        </is>
      </c>
      <c r="C23" s="35" t="inlineStr">
        <is>
          <t>Defensivos</t>
        </is>
      </c>
      <c r="D23" s="35" t="inlineStr">
        <is>
          <t>Insumos</t>
        </is>
      </c>
      <c r="E23" s="35" t="inlineStr">
        <is>
          <t>Herbicida/fungicida</t>
        </is>
      </c>
      <c r="F23" s="39" t="n">
        <v>500</v>
      </c>
      <c r="G23" s="37" t="inlineStr">
        <is>
          <t>L</t>
        </is>
      </c>
      <c r="H23" s="36" t="n">
        <v>160</v>
      </c>
      <c r="I23" s="23">
        <f>F23*H23</f>
        <v/>
      </c>
    </row>
    <row r="24">
      <c r="A24" s="41" t="n">
        <v>45971</v>
      </c>
      <c r="B24" s="34" t="inlineStr">
        <is>
          <t>T02</t>
        </is>
      </c>
      <c r="C24" s="35" t="inlineStr">
        <is>
          <t>Defensivos</t>
        </is>
      </c>
      <c r="D24" s="35" t="inlineStr">
        <is>
          <t>Insumos</t>
        </is>
      </c>
      <c r="E24" s="35" t="inlineStr">
        <is>
          <t>Herbicida/fungicida</t>
        </is>
      </c>
      <c r="F24" s="39" t="n">
        <v>350</v>
      </c>
      <c r="G24" s="37" t="inlineStr">
        <is>
          <t>L</t>
        </is>
      </c>
      <c r="H24" s="36" t="n">
        <v>160</v>
      </c>
      <c r="I24" s="23">
        <f>F24*H24</f>
        <v/>
      </c>
    </row>
    <row r="25">
      <c r="A25" s="41" t="n">
        <v>45972</v>
      </c>
      <c r="B25" s="34" t="inlineStr">
        <is>
          <t>T03</t>
        </is>
      </c>
      <c r="C25" s="35" t="inlineStr">
        <is>
          <t>Defensivos</t>
        </is>
      </c>
      <c r="D25" s="35" t="inlineStr">
        <is>
          <t>Insumos</t>
        </is>
      </c>
      <c r="E25" s="35" t="inlineStr">
        <is>
          <t>Herbicida/fungicida</t>
        </is>
      </c>
      <c r="F25" s="39" t="n">
        <v>150</v>
      </c>
      <c r="G25" s="37" t="inlineStr">
        <is>
          <t>L</t>
        </is>
      </c>
      <c r="H25" s="36" t="n">
        <v>160</v>
      </c>
      <c r="I25" s="23">
        <f>F25*H25</f>
        <v/>
      </c>
    </row>
    <row r="26">
      <c r="A26" s="41" t="n">
        <v>46006</v>
      </c>
      <c r="B26" s="34" t="inlineStr">
        <is>
          <t>GERAL</t>
        </is>
      </c>
      <c r="C26" s="35" t="inlineStr">
        <is>
          <t>Combustíveis e lubrificantes</t>
        </is>
      </c>
      <c r="D26" s="35" t="inlineStr">
        <is>
          <t>Operações</t>
        </is>
      </c>
      <c r="E26" s="35" t="inlineStr">
        <is>
          <t>Diesel</t>
        </is>
      </c>
      <c r="F26" s="39" t="n">
        <v>6000</v>
      </c>
      <c r="G26" s="37" t="inlineStr">
        <is>
          <t>L</t>
        </is>
      </c>
      <c r="H26" s="36" t="n">
        <v>6.1</v>
      </c>
      <c r="I26" s="23">
        <f>F26*H26</f>
        <v/>
      </c>
    </row>
    <row r="27">
      <c r="A27" s="41" t="n">
        <v>46073</v>
      </c>
      <c r="B27" s="34" t="inlineStr">
        <is>
          <t>T01</t>
        </is>
      </c>
      <c r="C27" s="35" t="inlineStr">
        <is>
          <t>Serviços terceirizados</t>
        </is>
      </c>
      <c r="D27" s="35" t="inlineStr">
        <is>
          <t>Operações</t>
        </is>
      </c>
      <c r="E27" s="35" t="inlineStr">
        <is>
          <t>Colheita terceirizada</t>
        </is>
      </c>
      <c r="F27" s="39" t="n">
        <v>50</v>
      </c>
      <c r="G27" s="37" t="inlineStr">
        <is>
          <t>ha</t>
        </is>
      </c>
      <c r="H27" s="36" t="n">
        <v>350</v>
      </c>
      <c r="I27" s="23">
        <f>F27*H27</f>
        <v/>
      </c>
    </row>
    <row r="28">
      <c r="A28" s="41" t="n">
        <v>46075</v>
      </c>
      <c r="B28" s="34" t="inlineStr">
        <is>
          <t>T02</t>
        </is>
      </c>
      <c r="C28" s="35" t="inlineStr">
        <is>
          <t>Serviços terceirizados</t>
        </is>
      </c>
      <c r="D28" s="35" t="inlineStr">
        <is>
          <t>Operações</t>
        </is>
      </c>
      <c r="E28" s="35" t="inlineStr">
        <is>
          <t>Colheita terceirizada</t>
        </is>
      </c>
      <c r="F28" s="39" t="n">
        <v>35</v>
      </c>
      <c r="G28" s="37" t="inlineStr">
        <is>
          <t>ha</t>
        </is>
      </c>
      <c r="H28" s="36" t="n">
        <v>350</v>
      </c>
      <c r="I28" s="23">
        <f>F28*H28</f>
        <v/>
      </c>
    </row>
    <row r="29">
      <c r="A29" s="41" t="n">
        <v>46076</v>
      </c>
      <c r="B29" s="34" t="inlineStr">
        <is>
          <t>T03</t>
        </is>
      </c>
      <c r="C29" s="35" t="inlineStr">
        <is>
          <t>Serviços terceirizados</t>
        </is>
      </c>
      <c r="D29" s="35" t="inlineStr">
        <is>
          <t>Operações</t>
        </is>
      </c>
      <c r="E29" s="35" t="inlineStr">
        <is>
          <t>Colheita terceirizada</t>
        </is>
      </c>
      <c r="F29" s="39" t="n">
        <v>15</v>
      </c>
      <c r="G29" s="37" t="inlineStr">
        <is>
          <t>ha</t>
        </is>
      </c>
      <c r="H29" s="36" t="n">
        <v>350</v>
      </c>
      <c r="I29" s="23">
        <f>F29*H29</f>
        <v/>
      </c>
    </row>
    <row r="30">
      <c r="A30" s="41" t="n">
        <v>46086</v>
      </c>
      <c r="B30" s="34" t="inlineStr">
        <is>
          <t>GERAL</t>
        </is>
      </c>
      <c r="C30" s="35" t="inlineStr">
        <is>
          <t>Mão de obra fixa</t>
        </is>
      </c>
      <c r="D30" s="35" t="inlineStr">
        <is>
          <t>Mão de obra</t>
        </is>
      </c>
      <c r="E30" s="35" t="inlineStr">
        <is>
          <t>Salários + encargos</t>
        </is>
      </c>
      <c r="F30" s="39" t="n">
        <v>12</v>
      </c>
      <c r="G30" s="37" t="inlineStr">
        <is>
          <t>mês</t>
        </is>
      </c>
      <c r="H30" s="36" t="n">
        <v>4200</v>
      </c>
      <c r="I30" s="23">
        <f>F30*H30</f>
        <v/>
      </c>
    </row>
    <row r="31">
      <c r="A31" s="41" t="n">
        <v>46086</v>
      </c>
      <c r="B31" s="34" t="inlineStr">
        <is>
          <t>GERAL</t>
        </is>
      </c>
      <c r="C31" s="35" t="inlineStr">
        <is>
          <t>Mão de obra temporária/diárias</t>
        </is>
      </c>
      <c r="D31" s="35" t="inlineStr">
        <is>
          <t>Mão de obra</t>
        </is>
      </c>
      <c r="E31" s="35" t="inlineStr">
        <is>
          <t>Diárias na colheita</t>
        </is>
      </c>
      <c r="F31" s="39" t="n">
        <v>60</v>
      </c>
      <c r="G31" s="37" t="inlineStr">
        <is>
          <t>diária</t>
        </is>
      </c>
      <c r="H31" s="36" t="n">
        <v>180</v>
      </c>
      <c r="I31" s="23">
        <f>F31*H31</f>
        <v/>
      </c>
    </row>
    <row r="32">
      <c r="A32" s="41" t="n">
        <v>46091</v>
      </c>
      <c r="B32" s="34" t="inlineStr">
        <is>
          <t>GERAL</t>
        </is>
      </c>
      <c r="C32" s="35" t="inlineStr">
        <is>
          <t>Arrendamento da terra</t>
        </is>
      </c>
      <c r="D32" s="35" t="inlineStr">
        <is>
          <t>Outros</t>
        </is>
      </c>
      <c r="E32" s="35" t="inlineStr">
        <is>
          <t>Arrendamento</t>
        </is>
      </c>
      <c r="F32" s="39" t="n">
        <v>100</v>
      </c>
      <c r="G32" s="37" t="inlineStr">
        <is>
          <t>ha</t>
        </is>
      </c>
      <c r="H32" s="36" t="n">
        <v>1200</v>
      </c>
      <c r="I32" s="23">
        <f>F32*H32</f>
        <v/>
      </c>
    </row>
    <row r="33">
      <c r="A33" s="41" t="n">
        <v>46096</v>
      </c>
      <c r="B33" s="34" t="inlineStr">
        <is>
          <t>GERAL</t>
        </is>
      </c>
      <c r="C33" s="35" t="inlineStr">
        <is>
          <t>Assistência técnica</t>
        </is>
      </c>
      <c r="D33" s="35" t="inlineStr">
        <is>
          <t>Outros</t>
        </is>
      </c>
      <c r="E33" s="35" t="inlineStr">
        <is>
          <t>Consultoria agronômica</t>
        </is>
      </c>
      <c r="F33" s="39" t="n">
        <v>1</v>
      </c>
      <c r="G33" s="37" t="inlineStr">
        <is>
          <t>serviço</t>
        </is>
      </c>
      <c r="H33" s="36" t="n">
        <v>9000</v>
      </c>
      <c r="I33" s="23">
        <f>F33*H33</f>
        <v/>
      </c>
    </row>
    <row r="34">
      <c r="A34" s="28" t="inlineStr">
        <is>
          <t>TOTAL</t>
        </is>
      </c>
      <c r="B34" s="28" t="n"/>
      <c r="C34" s="28" t="n"/>
      <c r="D34" s="28" t="n"/>
      <c r="E34" s="28" t="n"/>
      <c r="F34" s="28" t="n"/>
      <c r="G34" s="28" t="n"/>
      <c r="H34" s="28" t="n"/>
      <c r="I34" s="29">
        <f>SUM(I17:I33)</f>
        <v/>
      </c>
    </row>
    <row r="36" ht="20" customHeight="1">
      <c r="A36" s="10" t="inlineStr">
        <is>
          <t>Resumo da safra (exemplo)</t>
        </is>
      </c>
      <c r="B36" s="11" t="n"/>
      <c r="C36" s="11" t="n"/>
      <c r="E36" s="10" t="inlineStr">
        <is>
          <t>Custo por grupo (exemplo)</t>
        </is>
      </c>
      <c r="F36" s="11" t="n"/>
      <c r="G36" s="11" t="n"/>
    </row>
    <row r="37" ht="24" customHeight="1">
      <c r="A37" s="47" t="inlineStr">
        <is>
          <t>•</t>
        </is>
      </c>
      <c r="B37" s="17" t="inlineStr">
        <is>
          <t>Área total (ha)</t>
        </is>
      </c>
      <c r="C37" s="18">
        <f>C13</f>
        <v/>
      </c>
      <c r="E37" s="8" t="inlineStr">
        <is>
          <t>Insumos</t>
        </is>
      </c>
      <c r="F37" s="23">
        <f>SUMIF($D$17:$D$33,E37,$I$17:$I$33)</f>
        <v/>
      </c>
      <c r="G37" s="24">
        <f>IFERROR(F37/$I$34,0)</f>
        <v/>
      </c>
    </row>
    <row r="38" ht="24" customHeight="1">
      <c r="A38" s="47" t="inlineStr">
        <is>
          <t>•</t>
        </is>
      </c>
      <c r="B38" s="17" t="inlineStr">
        <is>
          <t>Custo total</t>
        </is>
      </c>
      <c r="C38" s="25">
        <f>I34</f>
        <v/>
      </c>
      <c r="E38" s="8" t="inlineStr">
        <is>
          <t>Operações</t>
        </is>
      </c>
      <c r="F38" s="23">
        <f>SUMIF($D$17:$D$33,E38,$I$17:$I$33)</f>
        <v/>
      </c>
      <c r="G38" s="24">
        <f>IFERROR(F38/$I$34,0)</f>
        <v/>
      </c>
    </row>
    <row r="39" ht="24" customHeight="1">
      <c r="A39" s="47" t="inlineStr">
        <is>
          <t>•</t>
        </is>
      </c>
      <c r="B39" s="17" t="inlineStr">
        <is>
          <t>Custo por hectare</t>
        </is>
      </c>
      <c r="C39" s="25">
        <f>IFERROR(H13/C13,0)</f>
        <v/>
      </c>
      <c r="E39" s="8" t="inlineStr">
        <is>
          <t>Mão de obra</t>
        </is>
      </c>
      <c r="F39" s="23">
        <f>SUMIF($D$17:$D$33,E39,$I$17:$I$33)</f>
        <v/>
      </c>
      <c r="G39" s="24">
        <f>IFERROR(F39/$I$34,0)</f>
        <v/>
      </c>
    </row>
    <row r="40" ht="24" customHeight="1">
      <c r="A40" s="47" t="inlineStr">
        <is>
          <t>•</t>
        </is>
      </c>
      <c r="B40" s="17" t="inlineStr">
        <is>
          <t>Produção considerada (sc)</t>
        </is>
      </c>
      <c r="C40" s="18">
        <f>J13</f>
        <v/>
      </c>
      <c r="E40" s="8" t="inlineStr">
        <is>
          <t>Outros</t>
        </is>
      </c>
      <c r="F40" s="23">
        <f>SUMIF($D$17:$D$33,E40,$I$17:$I$33)</f>
        <v/>
      </c>
      <c r="G40" s="24">
        <f>IFERROR(F40/$I$34,0)</f>
        <v/>
      </c>
    </row>
    <row r="41" ht="24" customHeight="1">
      <c r="A41" s="47" t="inlineStr">
        <is>
          <t>•</t>
        </is>
      </c>
      <c r="B41" s="17" t="inlineStr">
        <is>
          <t>Custo por saca</t>
        </is>
      </c>
      <c r="C41" s="25">
        <f>IFERROR(I34/J13,0)</f>
        <v/>
      </c>
      <c r="E41" s="28" t="inlineStr">
        <is>
          <t>TOTAL</t>
        </is>
      </c>
      <c r="F41" s="29">
        <f>SUM(F37:F40)</f>
        <v/>
      </c>
      <c r="G41" s="30">
        <f>IFERROR(F41/$I$34,0)</f>
        <v/>
      </c>
    </row>
    <row r="42" ht="24" customHeight="1">
      <c r="A42" s="47" t="inlineStr">
        <is>
          <t>•</t>
        </is>
      </c>
      <c r="B42" s="17" t="inlineStr">
        <is>
          <t>Receita estimada</t>
        </is>
      </c>
      <c r="C42" s="25">
        <f>L13</f>
        <v/>
      </c>
    </row>
    <row r="43" ht="24" customHeight="1">
      <c r="A43" s="47" t="inlineStr">
        <is>
          <t>•</t>
        </is>
      </c>
      <c r="B43" s="17" t="inlineStr">
        <is>
          <t>Resultado estimado</t>
        </is>
      </c>
      <c r="C43" s="25">
        <f>L13-I34</f>
        <v/>
      </c>
    </row>
    <row r="44" ht="24" customHeight="1">
      <c r="A44" s="47" t="inlineStr">
        <is>
          <t>•</t>
        </is>
      </c>
      <c r="B44" s="17" t="inlineStr">
        <is>
          <t>Ponto de equilíbrio (sc/ha)</t>
        </is>
      </c>
      <c r="C44" s="18">
        <f>IFERROR(C39/B6,0)</f>
        <v/>
      </c>
    </row>
    <row r="45" ht="24" customHeight="1">
      <c r="A45" s="47" t="inlineStr">
        <is>
          <t>•</t>
        </is>
      </c>
      <c r="B45" s="17" t="inlineStr">
        <is>
          <t>Conferência: total talhões − lançamentos</t>
        </is>
      </c>
      <c r="C45" s="25">
        <f>ROUND(H13-I34,2)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3:N3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2026-10-21T11:33:54Z</dcterms:created>
  <dcterms:modified xmlns:dcterms="http://purl.org/dc/terms/" xmlns:xsi="http://www.w3.org/2001/XMLSchema-instance" xsi:type="dcterms:W3CDTF">2026-10-21T11:33:54Z</dcterms:modified>
</cp:coreProperties>
</file>