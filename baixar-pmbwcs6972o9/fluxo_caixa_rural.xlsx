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Lançamentos" sheetId="4" state="visible" r:id="rId4"/>
    <sheet xmlns:r="http://schemas.openxmlformats.org/officeDocument/2006/relationships" name="Previsto" sheetId="5" state="visible" r:id="rId5"/>
    <sheet xmlns:r="http://schemas.openxmlformats.org/officeDocument/2006/relationships" name="Fluxo Realizado" sheetId="6" state="visible" r:id="rId6"/>
    <sheet xmlns:r="http://schemas.openxmlformats.org/officeDocument/2006/relationships" name="Previsto x Realizado" sheetId="7" state="visible" r:id="rId7"/>
    <sheet xmlns:r="http://schemas.openxmlformats.org/officeDocument/2006/relationships" name="Listas" sheetId="8" state="hidden" r:id="rId8"/>
    <sheet xmlns:r="http://schemas.openxmlformats.org/officeDocument/2006/relationships" name="Exemplo" sheetId="9" state="visible" r:id="rId9"/>
  </sheets>
  <definedNames>
    <definedName name="_xlnm._FilterDatabase" localSheetId="3" hidden="1">'Lançamentos'!$A$5:$I$1505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mmm/yyyy"/>
    <numFmt numFmtId="165" formatCode="&quot;R$&quot; #,##0.00;[Red]-&quot;R$&quot; #,##0.00"/>
    <numFmt numFmtId="166" formatCode="dd/mm/yyyy"/>
    <numFmt numFmtId="167" formatCode="mmm/yy"/>
    <numFmt numFmtId="168" formatCode="0.0%;[Red]-0.0%"/>
    <numFmt numFmtId="169" formatCode="yyyy-mm-dd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B5E20"/>
      <sz val="10"/>
    </font>
    <font>
      <name val="Calibri"/>
      <b val="1"/>
      <color rgb="001B5E20"/>
      <sz val="11"/>
    </font>
    <font>
      <name val="Calibri"/>
      <sz val="10"/>
    </font>
    <font>
      <name val="Calibri"/>
      <b val="1"/>
      <color rgb="001B5E20"/>
      <sz val="10"/>
    </font>
    <font>
      <name val="Calibri"/>
      <b val="1"/>
      <color rgb="00263238"/>
      <sz val="11"/>
    </font>
    <font>
      <name val="Calibri"/>
      <b val="1"/>
      <color rgb="002E7D32"/>
      <sz val="10"/>
    </font>
    <font>
      <name val="Calibri"/>
      <i val="1"/>
      <color rgb="00666666"/>
      <sz val="9"/>
    </font>
    <font>
      <name val="Calibri"/>
      <b val="1"/>
      <color rgb="00263238"/>
      <sz val="9"/>
    </font>
    <font>
      <name val="Calibri"/>
      <sz val="9"/>
    </font>
    <font>
      <name val="Calibri"/>
      <color rgb="00555555"/>
      <sz val="9"/>
    </font>
    <font>
      <name val="Calibri"/>
      <color rgb="00263238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263238"/>
      <sz val="10"/>
    </font>
    <font>
      <name val="Calibri"/>
      <b val="1"/>
      <color rgb="001B5E20"/>
      <sz val="13"/>
    </font>
    <font>
      <name val="Calibri"/>
      <b val="1"/>
      <color rgb="00B71C1C"/>
      <sz val="10"/>
    </font>
  </fonts>
  <fills count="10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FF4CC"/>
        <bgColor rgb="00FFF4CC"/>
      </patternFill>
    </fill>
    <fill>
      <patternFill patternType="solid">
        <fgColor rgb="00F1F3F4"/>
        <bgColor rgb="00F1F3F4"/>
      </patternFill>
    </fill>
    <fill>
      <patternFill patternType="solid">
        <fgColor rgb="00F9A825"/>
        <bgColor rgb="00F9A825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FDECEA"/>
        <bgColor rgb="00FDECEA"/>
      </patternFill>
    </fill>
  </fills>
  <borders count="3">
    <border>
      <left/>
      <right/>
      <top/>
      <bottom/>
      <diagonal/>
    </border>
    <border>
      <left style="thin">
        <color rgb="00C8D0C8"/>
      </left>
      <right style="thin">
        <color rgb="00C8D0C8"/>
      </right>
      <top style="thin">
        <color rgb="00C8D0C8"/>
      </top>
      <bottom style="thin">
        <color rgb="00C8D0C8"/>
      </bottom>
    </border>
    <border>
      <left style="thin">
        <color rgb="00C8D0C8"/>
      </left>
      <right style="thin">
        <color rgb="00C8D0C8"/>
      </right>
      <top style="medium">
        <color rgb="002E7D32"/>
      </top>
      <bottom style="thin">
        <color rgb="00C8D0C8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indent="1"/>
    </xf>
    <xf numFmtId="0" fontId="0" fillId="3" borderId="0" pivotButton="0" quotePrefix="0" xfId="0"/>
    <xf numFmtId="0" fontId="3" fillId="0" borderId="0" pivotButton="0" quotePrefix="0" xfId="0"/>
    <xf numFmtId="0" fontId="4" fillId="4" borderId="1" pivotButton="0" quotePrefix="0" xfId="0"/>
    <xf numFmtId="0" fontId="4" fillId="0" borderId="0" pivotButton="0" quotePrefix="0" xfId="0"/>
    <xf numFmtId="0" fontId="4" fillId="5" borderId="1" pivotButton="0" quotePrefix="0" xfId="0"/>
    <xf numFmtId="0" fontId="5" fillId="3" borderId="1" pivotButton="0" quotePrefix="0" xfId="0"/>
    <xf numFmtId="0" fontId="6" fillId="6" borderId="0" pivotButton="0" quotePrefix="0" xfId="0"/>
    <xf numFmtId="0" fontId="0" fillId="6" borderId="0" pivotButton="0" quotePrefix="0" xfId="0"/>
    <xf numFmtId="0" fontId="7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0" fontId="12" fillId="8" borderId="1" applyAlignment="1" pivotButton="0" quotePrefix="0" xfId="0">
      <alignment vertical="center" wrapText="1" indent="1"/>
    </xf>
    <xf numFmtId="165" fontId="3" fillId="3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165" fontId="4" fillId="5" borderId="1" pivotButton="0" quotePrefix="0" xfId="0"/>
    <xf numFmtId="0" fontId="15" fillId="8" borderId="1" applyAlignment="1" pivotButton="0" quotePrefix="0" xfId="0">
      <alignment vertical="center" wrapText="1" indent="1"/>
    </xf>
    <xf numFmtId="165" fontId="16" fillId="3" borderId="1" applyAlignment="1" pivotButton="0" quotePrefix="0" xfId="0">
      <alignment horizontal="right" vertical="center"/>
    </xf>
    <xf numFmtId="49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5" fillId="3" borderId="2" pivotButton="0" quotePrefix="0" xfId="0"/>
    <xf numFmtId="165" fontId="5" fillId="3" borderId="2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/>
    </xf>
    <xf numFmtId="0" fontId="11" fillId="5" borderId="1" pivotButton="0" quotePrefix="0" xfId="0"/>
    <xf numFmtId="0" fontId="12" fillId="0" borderId="0" applyAlignment="1" pivotButton="0" quotePrefix="0" xfId="0">
      <alignment vertical="center"/>
    </xf>
    <xf numFmtId="0" fontId="4" fillId="4" borderId="1" applyProtection="1" pivotButton="0" quotePrefix="0" xfId="0">
      <protection locked="0" hidden="0"/>
    </xf>
    <xf numFmtId="164" fontId="4" fillId="4" borderId="1" applyAlignment="1" applyProtection="1" pivotButton="0" quotePrefix="0" xfId="0">
      <alignment horizontal="center"/>
      <protection locked="0" hidden="0"/>
    </xf>
    <xf numFmtId="165" fontId="4" fillId="4" borderId="1" applyProtection="1" pivotButton="0" quotePrefix="0" xfId="0">
      <protection locked="0" hidden="0"/>
    </xf>
    <xf numFmtId="0" fontId="8" fillId="0" borderId="0" applyAlignment="1" pivotButton="0" quotePrefix="0" xfId="0">
      <alignment vertical="center"/>
    </xf>
    <xf numFmtId="166" fontId="4" fillId="4" borderId="1" applyAlignment="1" applyProtection="1" pivotButton="0" quotePrefix="0" xfId="0">
      <alignment horizontal="center"/>
      <protection locked="0" hidden="0"/>
    </xf>
    <xf numFmtId="0" fontId="4" fillId="4" borderId="1" applyAlignment="1" applyProtection="1" pivotButton="0" quotePrefix="0" xfId="0">
      <alignment horizontal="center"/>
      <protection locked="0" hidden="0"/>
    </xf>
    <xf numFmtId="1" fontId="4" fillId="5" borderId="1" applyAlignment="1" pivotButton="0" quotePrefix="0" xfId="0">
      <alignment horizontal="center"/>
    </xf>
    <xf numFmtId="167" fontId="13" fillId="7" borderId="1" applyAlignment="1" pivotButton="0" quotePrefix="0" xfId="0">
      <alignment horizontal="center" vertical="center" wrapText="1"/>
    </xf>
    <xf numFmtId="165" fontId="14" fillId="5" borderId="1" pivotButton="0" quotePrefix="0" xfId="0"/>
    <xf numFmtId="168" fontId="4" fillId="5" borderId="1" pivotButton="0" quotePrefix="0" xfId="0"/>
    <xf numFmtId="168" fontId="5" fillId="3" borderId="2" pivotButton="0" quotePrefix="0" xfId="0"/>
    <xf numFmtId="0" fontId="17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5" fillId="0" borderId="0" applyAlignment="1" pivotButton="0" quotePrefix="0" xfId="0">
      <alignment vertical="center"/>
    </xf>
    <xf numFmtId="164" fontId="4" fillId="4" borderId="1" applyAlignment="1" applyProtection="1" pivotButton="0" quotePrefix="0" xfId="0">
      <alignment horizontal="left"/>
      <protection locked="0" hidden="0"/>
    </xf>
    <xf numFmtId="165" fontId="4" fillId="4" borderId="1" applyAlignment="1" applyProtection="1" pivotButton="0" quotePrefix="0" xfId="0">
      <alignment horizontal="left"/>
      <protection locked="0" hidden="0"/>
    </xf>
  </cellXfs>
  <cellStyles count="1">
    <cellStyle name="Normal" xfId="0" builtinId="0" hidden="0"/>
  </cellStyles>
  <dxfs count="6">
    <dxf>
      <font>
        <name val="Calibri"/>
        <b val="1"/>
        <color rgb="00C62828"/>
      </font>
      <fill>
        <patternFill patternType="solid">
          <fgColor rgb="00FFEBEE"/>
          <bgColor rgb="00FFEBEE"/>
        </patternFill>
      </fill>
    </dxf>
    <dxf>
      <font>
        <name val="Calibri"/>
        <b val="1"/>
        <color rgb="00C62828"/>
      </font>
    </dxf>
    <dxf>
      <font>
        <name val="Calibri"/>
        <b val="1"/>
        <color rgb="002E7D32"/>
      </font>
    </dxf>
    <dxf>
      <font>
        <name val="Calibri"/>
        <color rgb="00C62828"/>
      </font>
    </dxf>
    <dxf>
      <fill>
        <patternFill patternType="solid">
          <fgColor rgb="00FFEBEE"/>
          <bgColor rgb="00FFEBEE"/>
        </patternFill>
      </fill>
    </dxf>
    <dxf>
      <font>
        <name val="Calibri"/>
        <b val="1"/>
        <color rgb="00E65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Entradas x Saídas realizadas e saldo acumulado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'Painel'!G6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'Painel'!$E$7:$E$18</f>
            </numRef>
          </cat>
          <val>
            <numRef>
              <f>'Painel'!$G$7:$G$18</f>
            </numRef>
          </val>
        </ser>
        <ser>
          <idx val="1"/>
          <order val="1"/>
          <tx>
            <strRef>
              <f>'Painel'!I6</f>
            </strRef>
          </tx>
          <spPr>
            <a:solidFill xmlns:a="http://schemas.openxmlformats.org/drawingml/2006/main">
              <a:srgbClr val="E57373"/>
            </a:solidFill>
            <a:ln xmlns:a="http://schemas.openxmlformats.org/drawingml/2006/main">
              <a:prstDash val="solid"/>
            </a:ln>
          </spPr>
          <cat>
            <numRef>
              <f>'Painel'!$E$7:$E$18</f>
            </numRef>
          </cat>
          <val>
            <numRef>
              <f>'Painel'!$I$7:$I$18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'Painel'!K6</f>
            </strRef>
          </tx>
          <spPr>
            <a:ln xmlns:a="http://schemas.openxmlformats.org/drawingml/2006/main" w="32000">
              <a:solidFill>
                <a:srgbClr val="F9A82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'Painel'!$K$7:$K$18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acumulado: previsto x realizado</a:t>
            </a:r>
          </a:p>
        </rich>
      </tx>
    </title>
    <plotArea>
      <lineChart>
        <grouping val="standard"/>
        <ser>
          <idx val="0"/>
          <order val="0"/>
          <tx>
            <strRef>
              <f>'Painel'!J6</f>
            </strRef>
          </tx>
          <spPr>
            <a:ln xmlns:a="http://schemas.openxmlformats.org/drawingml/2006/main">
              <a:solidFill>
                <a:srgbClr val="90A4A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'Painel'!$E$7:$E$18</f>
            </numRef>
          </cat>
          <val>
            <numRef>
              <f>'Painel'!$J$7:$J$18</f>
            </numRef>
          </val>
          <smooth val="0"/>
        </ser>
        <ser>
          <idx val="1"/>
          <order val="1"/>
          <tx>
            <strRef>
              <f>'Painel'!K6</f>
            </strRef>
          </tx>
          <spPr>
            <a:ln xmlns:a="http://schemas.openxmlformats.org/drawingml/2006/main" w="32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'Painel'!$E$7:$E$18</f>
            </numRef>
          </cat>
          <val>
            <numRef>
              <f>'Painel'!$K$7:$K$18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20</row>
      <rowOff>0</rowOff>
    </from>
    <ext cx="55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 ht="36" customHeight="1">
      <c r="A1" s="1" t="inlineStr">
        <is>
          <t>Fluxo de Caixa Rural — 12 meses</t>
        </is>
      </c>
      <c r="B1" s="2" t="n"/>
      <c r="C1" s="2" t="n"/>
    </row>
    <row r="2" ht="20" customHeight="1">
      <c r="A2" s="3" t="inlineStr">
        <is>
          <t>Coleção Gestão no Campo  •  Instruções de uso</t>
        </is>
      </c>
      <c r="B2" s="4" t="n"/>
      <c r="C2" s="4" t="n"/>
    </row>
    <row r="4">
      <c r="B4" s="5" t="inlineStr">
        <is>
          <t>Legenda de cores:</t>
        </is>
      </c>
    </row>
    <row r="5">
      <c r="B5" s="6" t="inlineStr">
        <is>
          <t>Amarelo claro</t>
        </is>
      </c>
      <c r="C5" s="7" t="inlineStr">
        <is>
          <t>Células para você preencher (digitação livre ou lista suspensa).</t>
        </is>
      </c>
    </row>
    <row r="6">
      <c r="B6" s="8" t="inlineStr">
        <is>
          <t>Cinza claro</t>
        </is>
      </c>
      <c r="C6" s="7" t="inlineStr">
        <is>
          <t>Fórmulas automáticas. Ficam protegidas para evitar que sejam apagadas por engano.</t>
        </is>
      </c>
    </row>
    <row r="7">
      <c r="B7" s="9" t="inlineStr">
        <is>
          <t>Verde claro</t>
        </is>
      </c>
      <c r="C7" s="7" t="inlineStr">
        <is>
          <t>Linhas de total e resultados principais.</t>
        </is>
      </c>
    </row>
    <row r="9" ht="20" customHeight="1">
      <c r="B9" s="10" t="inlineStr">
        <is>
          <t>Passo a passo</t>
        </is>
      </c>
      <c r="C9" s="11" t="n"/>
    </row>
    <row r="10" ht="30" customHeight="1">
      <c r="B10" s="12" t="inlineStr">
        <is>
          <t>Passo 1</t>
        </is>
      </c>
      <c r="C10" s="13" t="inlineStr">
        <is>
          <t>Aba Config: informe o nome da propriedade, o primeiro mês do controle (qualquer data do mês serve; ex.: 01/01/2026) e o saldo em caixa/banco no início desse mês.</t>
        </is>
      </c>
    </row>
    <row r="11" ht="30" customHeight="1">
      <c r="B11" s="12" t="inlineStr">
        <is>
          <t>Passo 2</t>
        </is>
      </c>
      <c r="C11" s="13" t="inlineStr">
        <is>
          <t>Ainda na Config: revise as categorias de ENTRADAS e SAÍDAS. Você pode renomear, excluir ou incluir categorias nas linhas livres — elas aparecem automaticamente nas demais abas.</t>
        </is>
      </c>
    </row>
    <row r="12" ht="16" customHeight="1">
      <c r="B12" s="12" t="inlineStr">
        <is>
          <t>Passo 3</t>
        </is>
      </c>
      <c r="C12" s="13" t="inlineStr">
        <is>
          <t>Aba Previsto: digite quanto você espera receber e gastar em cada categoria, mês a mês (o seu orçamento).</t>
        </is>
      </c>
    </row>
    <row r="13" ht="30" customHeight="1">
      <c r="B13" s="12" t="inlineStr">
        <is>
          <t>Passo 4</t>
        </is>
      </c>
      <c r="C13" s="13" t="inlineStr">
        <is>
          <t>Aba Lançamentos: registre cada entrada ou saída REALIZADA com data, categoria e valor (sempre positivo). O tipo (Entrada/Saída) é identificado pela categoria.</t>
        </is>
      </c>
    </row>
    <row r="14" ht="30" customHeight="1">
      <c r="B14" s="12" t="inlineStr">
        <is>
          <t>Passo 5</t>
        </is>
      </c>
      <c r="C14" s="13" t="inlineStr">
        <is>
          <t>Aba Fluxo Realizado: é montada sozinha a partir dos lançamentos, com totais por categoria, saldo do mês e saldo acumulado.</t>
        </is>
      </c>
    </row>
    <row r="15" ht="30" customHeight="1">
      <c r="B15" s="12" t="inlineStr">
        <is>
          <t>Passo 6</t>
        </is>
      </c>
      <c r="C15" s="13" t="inlineStr">
        <is>
          <t>Abas Previsto x Realizado e Painel: compare o planejado com o realizado, veja o menor saldo do ano e os meses em que o caixa fica negativo.</t>
        </is>
      </c>
    </row>
    <row r="17" ht="20" customHeight="1">
      <c r="B17" s="10" t="inlineStr">
        <is>
          <t>Dicas</t>
        </is>
      </c>
      <c r="C17" s="11" t="n"/>
    </row>
    <row r="18" ht="30" customHeight="1">
      <c r="B18" s="12" t="inlineStr">
        <is>
          <t>•</t>
        </is>
      </c>
      <c r="C18" s="13" t="inlineStr">
        <is>
          <t>A coluna 'Situação' dos lançamentos avisa quando falta data, categoria ou valor, ou quando a data está fora dos 12 meses do controle.</t>
        </is>
      </c>
    </row>
    <row r="19" ht="30" customHeight="1">
      <c r="B19" s="12" t="inlineStr">
        <is>
          <t>•</t>
        </is>
      </c>
      <c r="C19" s="13" t="inlineStr">
        <is>
          <t>Para controlar um novo ano, salve uma cópia do arquivo, altere o mês inicial na Config e use o saldo final como novo saldo inicial.</t>
        </is>
      </c>
    </row>
    <row r="20" ht="16" customHeight="1">
      <c r="B20" s="12" t="inlineStr">
        <is>
          <t>•</t>
        </is>
      </c>
      <c r="C20" s="13" t="inlineStr">
        <is>
          <t>Financiamentos: lance a liberação do crédito como entrada e cada parcela paga como saída.</t>
        </is>
      </c>
    </row>
    <row r="21" ht="16" customHeight="1">
      <c r="B21" s="12" t="inlineStr">
        <is>
          <t>•</t>
        </is>
      </c>
      <c r="C21" s="13" t="inlineStr">
        <is>
          <t>Capacidade: 10 categorias de entrada, 20 de saída e 1.500 lançamentos.</t>
        </is>
      </c>
    </row>
    <row r="23" ht="20" customHeight="1">
      <c r="B23" s="10" t="inlineStr">
        <is>
          <t>Proteção das planilhas</t>
        </is>
      </c>
      <c r="C23" s="11" t="n"/>
    </row>
    <row r="24" ht="46" customHeight="1">
      <c r="C24" s="13" t="inlineStr">
        <is>
          <t>As abas estão protegidas SEM SENHA apenas para evitar exclusão acidental de fórmulas. Para personalizar: Excel → guia Revisão → Desproteger Planilha (no LibreOffice: Ferramentas → Proteger planilha; no Google Planilhas a proteção não é importada). Lembre-se de proteger novamente depois.</t>
        </is>
      </c>
    </row>
    <row r="26" ht="30" customHeight="1">
      <c r="C26" s="14" t="inlineStr">
        <is>
          <t>Compatível com Microsoft Excel 2010 ou superior, LibreOffice Calc e Google Planilhas. A aba 'Exemplo' contém apenas dados FICTÍCIOS para demonstração e pode ser excluída.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9" customWidth="1" min="3" max="3"/>
    <col width="3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</cols>
  <sheetData>
    <row r="1" ht="36" customHeight="1">
      <c r="A1" s="1" t="inlineStr">
        <is>
          <t>Painel do Fluxo de Caixa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0" customHeight="1">
      <c r="A2" s="3" t="inlineStr">
        <is>
          <t>Visão geral dos 12 meses: realizado e previsto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4">
      <c r="B4" s="15">
        <f>"Propriedade: "&amp;IF(Config!B5="","(informe na aba Config)",Config!B5)&amp;"   •   Período: "&amp;CHOOSE(MONTH(Config!B6),"jan","fev","mar","abr","mai","jun","jul","ago","set","out","nov","dez")&amp;"/"&amp;RIGHT(YEAR(Config!B6),2)&amp;" a "&amp;CHOOSE(MONTH(EDATE(Config!B6,11)),"jan","fev","mar","abr","mai","jun","jul","ago","set","out","nov","dez")&amp;"/"&amp;RIGHT(YEAR(EDATE(Config!B6,11)),2)</f>
        <v/>
      </c>
    </row>
    <row r="5" ht="20" customHeight="1">
      <c r="B5" s="10" t="inlineStr">
        <is>
          <t>Indicadores</t>
        </is>
      </c>
      <c r="C5" s="11" t="n"/>
      <c r="E5" s="10" t="inlineStr">
        <is>
          <t>Mês a mês</t>
        </is>
      </c>
      <c r="F5" s="11" t="n"/>
      <c r="G5" s="11" t="n"/>
      <c r="H5" s="11" t="n"/>
      <c r="I5" s="11" t="n"/>
      <c r="J5" s="11" t="n"/>
      <c r="K5" s="11" t="n"/>
    </row>
    <row r="6" ht="32" customHeight="1">
      <c r="B6" s="16" t="inlineStr">
        <is>
          <t>Saldo inicial</t>
        </is>
      </c>
      <c r="C6" s="17">
        <f>Config!B7</f>
        <v/>
      </c>
      <c r="E6" s="18" t="inlineStr">
        <is>
          <t>Mês</t>
        </is>
      </c>
      <c r="F6" s="18" t="inlineStr">
        <is>
          <t>Entradas previstas</t>
        </is>
      </c>
      <c r="G6" s="18" t="inlineStr">
        <is>
          <t>Entradas realizadas</t>
        </is>
      </c>
      <c r="H6" s="18" t="inlineStr">
        <is>
          <t>Saídas previstas</t>
        </is>
      </c>
      <c r="I6" s="18" t="inlineStr">
        <is>
          <t>Saídas realizadas</t>
        </is>
      </c>
      <c r="J6" s="18" t="inlineStr">
        <is>
          <t>Saldo acum. previsto</t>
        </is>
      </c>
      <c r="K6" s="18" t="inlineStr">
        <is>
          <t>Saldo acum. realizado</t>
        </is>
      </c>
    </row>
    <row r="7" ht="24" customHeight="1">
      <c r="B7" s="16" t="inlineStr">
        <is>
          <t>Total de entradas (realizado)</t>
        </is>
      </c>
      <c r="C7" s="17">
        <f>'Fluxo Realizado'!N18</f>
        <v/>
      </c>
      <c r="E7" s="19">
        <f>CHOOSE(MONTH('Fluxo Realizado'!B5),"jan","fev","mar","abr","mai","jun","jul","ago","set","out","nov","dez")&amp;"/"&amp;RIGHT(YEAR('Fluxo Realizado'!B5),2)</f>
        <v/>
      </c>
      <c r="F7" s="20">
        <f>'Previsto'!B18</f>
        <v/>
      </c>
      <c r="G7" s="20">
        <f>'Fluxo Realizado'!B18</f>
        <v/>
      </c>
      <c r="H7" s="20">
        <f>'Previsto'!B41</f>
        <v/>
      </c>
      <c r="I7" s="20">
        <f>'Fluxo Realizado'!B41</f>
        <v/>
      </c>
      <c r="J7" s="20">
        <f>'Previsto'!B46</f>
        <v/>
      </c>
      <c r="K7" s="20">
        <f>'Fluxo Realizado'!B46</f>
        <v/>
      </c>
    </row>
    <row r="8" ht="24" customHeight="1">
      <c r="B8" s="16" t="inlineStr">
        <is>
          <t>Total de saídas (realizado)</t>
        </is>
      </c>
      <c r="C8" s="17">
        <f>'Fluxo Realizado'!N41</f>
        <v/>
      </c>
      <c r="E8" s="19">
        <f>CHOOSE(MONTH('Fluxo Realizado'!C5),"jan","fev","mar","abr","mai","jun","jul","ago","set","out","nov","dez")&amp;"/"&amp;RIGHT(YEAR('Fluxo Realizado'!C5),2)</f>
        <v/>
      </c>
      <c r="F8" s="20">
        <f>'Previsto'!C18</f>
        <v/>
      </c>
      <c r="G8" s="20">
        <f>'Fluxo Realizado'!C18</f>
        <v/>
      </c>
      <c r="H8" s="20">
        <f>'Previsto'!C41</f>
        <v/>
      </c>
      <c r="I8" s="20">
        <f>'Fluxo Realizado'!C41</f>
        <v/>
      </c>
      <c r="J8" s="20">
        <f>'Previsto'!C46</f>
        <v/>
      </c>
      <c r="K8" s="20">
        <f>'Fluxo Realizado'!C46</f>
        <v/>
      </c>
    </row>
    <row r="9" ht="24" customHeight="1">
      <c r="B9" s="21" t="inlineStr">
        <is>
          <t>Resultado do período</t>
        </is>
      </c>
      <c r="C9" s="22">
        <f>C7-C8</f>
        <v/>
      </c>
      <c r="E9" s="19">
        <f>CHOOSE(MONTH('Fluxo Realizado'!D5),"jan","fev","mar","abr","mai","jun","jul","ago","set","out","nov","dez")&amp;"/"&amp;RIGHT(YEAR('Fluxo Realizado'!D5),2)</f>
        <v/>
      </c>
      <c r="F9" s="20">
        <f>'Previsto'!D18</f>
        <v/>
      </c>
      <c r="G9" s="20">
        <f>'Fluxo Realizado'!D18</f>
        <v/>
      </c>
      <c r="H9" s="20">
        <f>'Previsto'!D41</f>
        <v/>
      </c>
      <c r="I9" s="20">
        <f>'Fluxo Realizado'!D41</f>
        <v/>
      </c>
      <c r="J9" s="20">
        <f>'Previsto'!D46</f>
        <v/>
      </c>
      <c r="K9" s="20">
        <f>'Fluxo Realizado'!D46</f>
        <v/>
      </c>
    </row>
    <row r="10" ht="24" customHeight="1">
      <c r="B10" s="21" t="inlineStr">
        <is>
          <t>Saldo final acumulado (realizado)</t>
        </is>
      </c>
      <c r="C10" s="22">
        <f>'Fluxo Realizado'!M46</f>
        <v/>
      </c>
      <c r="E10" s="19">
        <f>CHOOSE(MONTH('Fluxo Realizado'!E5),"jan","fev","mar","abr","mai","jun","jul","ago","set","out","nov","dez")&amp;"/"&amp;RIGHT(YEAR('Fluxo Realizado'!E5),2)</f>
        <v/>
      </c>
      <c r="F10" s="20">
        <f>'Previsto'!E18</f>
        <v/>
      </c>
      <c r="G10" s="20">
        <f>'Fluxo Realizado'!E18</f>
        <v/>
      </c>
      <c r="H10" s="20">
        <f>'Previsto'!E41</f>
        <v/>
      </c>
      <c r="I10" s="20">
        <f>'Fluxo Realizado'!E41</f>
        <v/>
      </c>
      <c r="J10" s="20">
        <f>'Previsto'!E46</f>
        <v/>
      </c>
      <c r="K10" s="20">
        <f>'Fluxo Realizado'!E46</f>
        <v/>
      </c>
    </row>
    <row r="11" ht="24" customHeight="1">
      <c r="B11" s="16" t="inlineStr">
        <is>
          <t>Menor saldo acumulado no período</t>
        </is>
      </c>
      <c r="C11" s="17">
        <f>MIN('Fluxo Realizado'!B46:M46)</f>
        <v/>
      </c>
      <c r="E11" s="19">
        <f>CHOOSE(MONTH('Fluxo Realizado'!F5),"jan","fev","mar","abr","mai","jun","jul","ago","set","out","nov","dez")&amp;"/"&amp;RIGHT(YEAR('Fluxo Realizado'!F5),2)</f>
        <v/>
      </c>
      <c r="F11" s="20">
        <f>'Previsto'!F18</f>
        <v/>
      </c>
      <c r="G11" s="20">
        <f>'Fluxo Realizado'!F18</f>
        <v/>
      </c>
      <c r="H11" s="20">
        <f>'Previsto'!F41</f>
        <v/>
      </c>
      <c r="I11" s="20">
        <f>'Fluxo Realizado'!F41</f>
        <v/>
      </c>
      <c r="J11" s="20">
        <f>'Previsto'!F46</f>
        <v/>
      </c>
      <c r="K11" s="20">
        <f>'Fluxo Realizado'!F46</f>
        <v/>
      </c>
    </row>
    <row r="12" ht="24" customHeight="1">
      <c r="B12" s="16" t="inlineStr">
        <is>
          <t>Mês do menor saldo</t>
        </is>
      </c>
      <c r="C12" s="23">
        <f>IFERROR(CHOOSE(MONTH(INDEX('Fluxo Realizado'!B5:M5,MATCH(C11,'Fluxo Realizado'!B46:M46,0))),"jan","fev","mar","abr","mai","jun","jul","ago","set","out","nov","dez")&amp;"/"&amp;RIGHT(YEAR(INDEX('Fluxo Realizado'!B5:M5,MATCH(C11,'Fluxo Realizado'!B46:M46,0))),2),"-")</f>
        <v/>
      </c>
      <c r="E12" s="19">
        <f>CHOOSE(MONTH('Fluxo Realizado'!G5),"jan","fev","mar","abr","mai","jun","jul","ago","set","out","nov","dez")&amp;"/"&amp;RIGHT(YEAR('Fluxo Realizado'!G5),2)</f>
        <v/>
      </c>
      <c r="F12" s="20">
        <f>'Previsto'!G18</f>
        <v/>
      </c>
      <c r="G12" s="20">
        <f>'Fluxo Realizado'!G18</f>
        <v/>
      </c>
      <c r="H12" s="20">
        <f>'Previsto'!G41</f>
        <v/>
      </c>
      <c r="I12" s="20">
        <f>'Fluxo Realizado'!G41</f>
        <v/>
      </c>
      <c r="J12" s="20">
        <f>'Previsto'!G46</f>
        <v/>
      </c>
      <c r="K12" s="20">
        <f>'Fluxo Realizado'!G46</f>
        <v/>
      </c>
    </row>
    <row r="13" ht="24" customHeight="1">
      <c r="B13" s="16" t="inlineStr">
        <is>
          <t>Meses com saldo negativo</t>
        </is>
      </c>
      <c r="C13" s="24">
        <f>COUNTIF('Fluxo Realizado'!B46:M46,"&lt;0")</f>
        <v/>
      </c>
      <c r="E13" s="19">
        <f>CHOOSE(MONTH('Fluxo Realizado'!H5),"jan","fev","mar","abr","mai","jun","jul","ago","set","out","nov","dez")&amp;"/"&amp;RIGHT(YEAR('Fluxo Realizado'!H5),2)</f>
        <v/>
      </c>
      <c r="F13" s="20">
        <f>'Previsto'!H18</f>
        <v/>
      </c>
      <c r="G13" s="20">
        <f>'Fluxo Realizado'!H18</f>
        <v/>
      </c>
      <c r="H13" s="20">
        <f>'Previsto'!H41</f>
        <v/>
      </c>
      <c r="I13" s="20">
        <f>'Fluxo Realizado'!H41</f>
        <v/>
      </c>
      <c r="J13" s="20">
        <f>'Previsto'!H46</f>
        <v/>
      </c>
      <c r="K13" s="20">
        <f>'Fluxo Realizado'!H46</f>
        <v/>
      </c>
    </row>
    <row r="14" ht="24" customHeight="1">
      <c r="B14" s="16" t="inlineStr">
        <is>
          <t>Entradas previstas</t>
        </is>
      </c>
      <c r="C14" s="17">
        <f>'Previsto'!N18</f>
        <v/>
      </c>
      <c r="E14" s="19">
        <f>CHOOSE(MONTH('Fluxo Realizado'!I5),"jan","fev","mar","abr","mai","jun","jul","ago","set","out","nov","dez")&amp;"/"&amp;RIGHT(YEAR('Fluxo Realizado'!I5),2)</f>
        <v/>
      </c>
      <c r="F14" s="20">
        <f>'Previsto'!I18</f>
        <v/>
      </c>
      <c r="G14" s="20">
        <f>'Fluxo Realizado'!I18</f>
        <v/>
      </c>
      <c r="H14" s="20">
        <f>'Previsto'!I41</f>
        <v/>
      </c>
      <c r="I14" s="20">
        <f>'Fluxo Realizado'!I41</f>
        <v/>
      </c>
      <c r="J14" s="20">
        <f>'Previsto'!I46</f>
        <v/>
      </c>
      <c r="K14" s="20">
        <f>'Fluxo Realizado'!I46</f>
        <v/>
      </c>
    </row>
    <row r="15" ht="24" customHeight="1">
      <c r="B15" s="16" t="inlineStr">
        <is>
          <t>Saídas previstas</t>
        </is>
      </c>
      <c r="C15" s="17">
        <f>'Previsto'!N41</f>
        <v/>
      </c>
      <c r="E15" s="19">
        <f>CHOOSE(MONTH('Fluxo Realizado'!J5),"jan","fev","mar","abr","mai","jun","jul","ago","set","out","nov","dez")&amp;"/"&amp;RIGHT(YEAR('Fluxo Realizado'!J5),2)</f>
        <v/>
      </c>
      <c r="F15" s="20">
        <f>'Previsto'!J18</f>
        <v/>
      </c>
      <c r="G15" s="20">
        <f>'Fluxo Realizado'!J18</f>
        <v/>
      </c>
      <c r="H15" s="20">
        <f>'Previsto'!J41</f>
        <v/>
      </c>
      <c r="I15" s="20">
        <f>'Fluxo Realizado'!J41</f>
        <v/>
      </c>
      <c r="J15" s="20">
        <f>'Previsto'!J46</f>
        <v/>
      </c>
      <c r="K15" s="20">
        <f>'Fluxo Realizado'!J46</f>
        <v/>
      </c>
    </row>
    <row r="16" ht="24" customHeight="1">
      <c r="B16" s="16" t="inlineStr">
        <is>
          <t>Saldo final previsto</t>
        </is>
      </c>
      <c r="C16" s="17">
        <f>'Previsto'!M46</f>
        <v/>
      </c>
      <c r="E16" s="19">
        <f>CHOOSE(MONTH('Fluxo Realizado'!K5),"jan","fev","mar","abr","mai","jun","jul","ago","set","out","nov","dez")&amp;"/"&amp;RIGHT(YEAR('Fluxo Realizado'!K5),2)</f>
        <v/>
      </c>
      <c r="F16" s="20">
        <f>'Previsto'!K18</f>
        <v/>
      </c>
      <c r="G16" s="20">
        <f>'Fluxo Realizado'!K18</f>
        <v/>
      </c>
      <c r="H16" s="20">
        <f>'Previsto'!K41</f>
        <v/>
      </c>
      <c r="I16" s="20">
        <f>'Fluxo Realizado'!K41</f>
        <v/>
      </c>
      <c r="J16" s="20">
        <f>'Previsto'!K46</f>
        <v/>
      </c>
      <c r="K16" s="20">
        <f>'Fluxo Realizado'!K46</f>
        <v/>
      </c>
    </row>
    <row r="17" ht="24" customHeight="1">
      <c r="B17" s="21" t="inlineStr">
        <is>
          <t>Diferença saldo final (realizado − previsto)</t>
        </is>
      </c>
      <c r="C17" s="22">
        <f>C10-C16</f>
        <v/>
      </c>
      <c r="E17" s="19">
        <f>CHOOSE(MONTH('Fluxo Realizado'!L5),"jan","fev","mar","abr","mai","jun","jul","ago","set","out","nov","dez")&amp;"/"&amp;RIGHT(YEAR('Fluxo Realizado'!L5),2)</f>
        <v/>
      </c>
      <c r="F17" s="20">
        <f>'Previsto'!L18</f>
        <v/>
      </c>
      <c r="G17" s="20">
        <f>'Fluxo Realizado'!L18</f>
        <v/>
      </c>
      <c r="H17" s="20">
        <f>'Previsto'!L41</f>
        <v/>
      </c>
      <c r="I17" s="20">
        <f>'Fluxo Realizado'!L41</f>
        <v/>
      </c>
      <c r="J17" s="20">
        <f>'Previsto'!L46</f>
        <v/>
      </c>
      <c r="K17" s="20">
        <f>'Fluxo Realizado'!L46</f>
        <v/>
      </c>
    </row>
    <row r="18" ht="24" customHeight="1">
      <c r="B18" s="16" t="inlineStr">
        <is>
          <t>Lançamentos com pendência</t>
        </is>
      </c>
      <c r="C18" s="24">
        <f>SUMPRODUCT(('Lançamentos'!$I$6:$I$1505&lt;&gt;"")*('Lançamentos'!$I$6:$I$1505&lt;&gt;"OK"))</f>
        <v/>
      </c>
      <c r="E18" s="19">
        <f>CHOOSE(MONTH('Fluxo Realizado'!M5),"jan","fev","mar","abr","mai","jun","jul","ago","set","out","nov","dez")&amp;"/"&amp;RIGHT(YEAR('Fluxo Realizado'!M5),2)</f>
        <v/>
      </c>
      <c r="F18" s="20">
        <f>'Previsto'!M18</f>
        <v/>
      </c>
      <c r="G18" s="20">
        <f>'Fluxo Realizado'!M18</f>
        <v/>
      </c>
      <c r="H18" s="20">
        <f>'Previsto'!M41</f>
        <v/>
      </c>
      <c r="I18" s="20">
        <f>'Fluxo Realizado'!M41</f>
        <v/>
      </c>
      <c r="J18" s="20">
        <f>'Previsto'!M46</f>
        <v/>
      </c>
      <c r="K18" s="20">
        <f>'Fluxo Realizado'!M46</f>
        <v/>
      </c>
    </row>
    <row r="19">
      <c r="E19" s="25" t="inlineStr">
        <is>
          <t>TOTAL</t>
        </is>
      </c>
      <c r="F19" s="26">
        <f>SUM(F7:F18)</f>
        <v/>
      </c>
      <c r="G19" s="26">
        <f>SUM(G7:G18)</f>
        <v/>
      </c>
      <c r="H19" s="26">
        <f>SUM(H7:H18)</f>
        <v/>
      </c>
      <c r="I19" s="26">
        <f>SUM(I7:I18)</f>
        <v/>
      </c>
      <c r="J19" s="26">
        <f>J18</f>
        <v/>
      </c>
      <c r="K19" s="26">
        <f>K18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conditionalFormatting sqref="C13">
    <cfRule type="cellIs" priority="1" operator="greaterThan" dxfId="0">
      <formula>0</formula>
    </cfRule>
  </conditionalFormatting>
  <conditionalFormatting sqref="C18">
    <cfRule type="cellIs" priority="2" operator="greaterThan" dxfId="0">
      <formula>0</formula>
    </cfRule>
  </conditionalFormatting>
  <conditionalFormatting sqref="J7:K18">
    <cfRule type="cellIs" priority="3" operator="lessThan" dxfId="1">
      <formula>0</formula>
    </cfRule>
  </conditionalFormatting>
  <printOptions horizontalCentered="1"/>
  <pageMargins left="0.4" right="0.4" top="0.5" bottom="0.5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tabSelected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" customWidth="1" min="3" max="3"/>
    <col width="36" customWidth="1" min="4" max="4"/>
    <col width="3" customWidth="1" min="5" max="5"/>
    <col width="40" customWidth="1" min="6" max="6"/>
  </cols>
  <sheetData>
    <row r="1" ht="36" customHeight="1">
      <c r="A1" s="1" t="inlineStr">
        <is>
          <t>Configurações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Período, saldo inicial e categorias</t>
        </is>
      </c>
      <c r="B2" s="4" t="n"/>
      <c r="C2" s="4" t="n"/>
      <c r="D2" s="4" t="n"/>
      <c r="E2" s="4" t="n"/>
      <c r="F2" s="4" t="n"/>
    </row>
    <row r="3">
      <c r="A3" s="27" t="inlineStr">
        <is>
          <t>Legenda:</t>
        </is>
      </c>
      <c r="B3" s="28" t="inlineStr">
        <is>
          <t>Preencher</t>
        </is>
      </c>
      <c r="C3" s="29" t="inlineStr">
        <is>
          <t>Cálculo automático (protegido)</t>
        </is>
      </c>
    </row>
    <row r="4" ht="20" customHeight="1">
      <c r="A4" s="10" t="inlineStr">
        <is>
          <t>Dados gerais</t>
        </is>
      </c>
      <c r="B4" s="11" t="n"/>
      <c r="D4" s="10" t="inlineStr">
        <is>
          <t>Categorias de ENTRADA</t>
        </is>
      </c>
      <c r="F4" s="10" t="inlineStr">
        <is>
          <t>Categorias de SAÍDA</t>
        </is>
      </c>
    </row>
    <row r="5" ht="32" customHeight="1">
      <c r="A5" s="30" t="inlineStr">
        <is>
          <t>Nome da propriedade</t>
        </is>
      </c>
      <c r="B5" s="31" t="n"/>
      <c r="D5" s="18" t="inlineStr">
        <is>
          <t>Entradas</t>
        </is>
      </c>
      <c r="F5" s="18" t="inlineStr">
        <is>
          <t>Saídas</t>
        </is>
      </c>
    </row>
    <row r="6">
      <c r="A6" s="30" t="inlineStr">
        <is>
          <t>Mês inicial do controle</t>
        </is>
      </c>
      <c r="B6" s="32">
        <f>DATE(YEAR(TODAY()),1,1)</f>
        <v/>
      </c>
      <c r="D6" s="31" t="inlineStr">
        <is>
          <t>Venda de grãos</t>
        </is>
      </c>
      <c r="F6" s="31" t="inlineStr">
        <is>
          <t>Sementes e mudas</t>
        </is>
      </c>
    </row>
    <row r="7">
      <c r="A7" s="30" t="inlineStr">
        <is>
          <t>Saldo inicial em caixa (R$)</t>
        </is>
      </c>
      <c r="B7" s="33" t="n">
        <v>0</v>
      </c>
      <c r="D7" s="31" t="inlineStr">
        <is>
          <t>Venda de animais</t>
        </is>
      </c>
      <c r="F7" s="31" t="inlineStr">
        <is>
          <t>Fertilizantes e corretivos</t>
        </is>
      </c>
    </row>
    <row r="8">
      <c r="D8" s="31" t="inlineStr">
        <is>
          <t>Venda de leite</t>
        </is>
      </c>
      <c r="F8" s="31" t="inlineStr">
        <is>
          <t>Defensivos</t>
        </is>
      </c>
    </row>
    <row r="9">
      <c r="A9" s="34" t="inlineStr">
        <is>
          <t>O controle cobre 12 meses a partir do mês inicial.</t>
        </is>
      </c>
      <c r="D9" s="31" t="inlineStr">
        <is>
          <t>Venda de hortifrúti</t>
        </is>
      </c>
      <c r="F9" s="31" t="inlineStr">
        <is>
          <t>Ração e sal mineral</t>
        </is>
      </c>
    </row>
    <row r="10">
      <c r="D10" s="31" t="inlineStr">
        <is>
          <t>Prestação de serviços</t>
        </is>
      </c>
      <c r="F10" s="31" t="inlineStr">
        <is>
          <t>Medicamentos veterinários</t>
        </is>
      </c>
    </row>
    <row r="11">
      <c r="D11" s="31" t="inlineStr">
        <is>
          <t>Crédito rural / financiamento</t>
        </is>
      </c>
      <c r="F11" s="31" t="inlineStr">
        <is>
          <t>Combustível</t>
        </is>
      </c>
    </row>
    <row r="12">
      <c r="D12" s="31" t="inlineStr">
        <is>
          <t>Outras receitas</t>
        </is>
      </c>
      <c r="F12" s="31" t="inlineStr">
        <is>
          <t>Manutenção de máquinas e benfeitorias</t>
        </is>
      </c>
    </row>
    <row r="13">
      <c r="D13" s="31" t="n"/>
      <c r="F13" s="31" t="inlineStr">
        <is>
          <t>Mão de obra e encargos</t>
        </is>
      </c>
    </row>
    <row r="14">
      <c r="D14" s="31" t="n"/>
      <c r="F14" s="31" t="inlineStr">
        <is>
          <t>Arrendamento</t>
        </is>
      </c>
    </row>
    <row r="15">
      <c r="D15" s="31" t="n"/>
      <c r="F15" s="31" t="inlineStr">
        <is>
          <t>Energia elétrica e água</t>
        </is>
      </c>
    </row>
    <row r="16">
      <c r="F16" s="31" t="inlineStr">
        <is>
          <t>Parcelas de financiamento</t>
        </is>
      </c>
    </row>
    <row r="17">
      <c r="F17" s="31" t="inlineStr">
        <is>
          <t>Impostos e taxas (ITR, Funrural etc.)</t>
        </is>
      </c>
    </row>
    <row r="18">
      <c r="F18" s="31" t="inlineStr">
        <is>
          <t>Fretes</t>
        </is>
      </c>
    </row>
    <row r="19">
      <c r="F19" s="31" t="inlineStr">
        <is>
          <t>Retiradas pessoais (pró-labore)</t>
        </is>
      </c>
    </row>
    <row r="20">
      <c r="F20" s="31" t="inlineStr">
        <is>
          <t>Investimentos (máquinas, benfeitorias)</t>
        </is>
      </c>
    </row>
    <row r="21">
      <c r="F21" s="31" t="inlineStr">
        <is>
          <t>Outras despesas</t>
        </is>
      </c>
    </row>
    <row r="22">
      <c r="F22" s="31" t="n"/>
    </row>
    <row r="23">
      <c r="F23" s="31" t="n"/>
    </row>
    <row r="24">
      <c r="F24" s="31" t="n"/>
    </row>
    <row r="25">
      <c r="F25" s="3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dataValidations count="1">
    <dataValidation sqref="B6" showDropDown="0" showInputMessage="0" showErrorMessage="1" allowBlank="1" errorTitle="Data inválida" error="Digite uma data válida (dd/mm/aaaa)." type="date" operator="between">
      <formula1>DATE(1990,1,1)</formula1>
      <formula2>DATE(2100,12,31)</formula2>
    </dataValidation>
  </dataValidations>
  <printOptions horizontalCentered="1"/>
  <pageMargins left="0.4" right="0.4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50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34" customWidth="1" min="4" max="4"/>
    <col width="15" customWidth="1" min="5" max="5"/>
    <col width="16" customWidth="1" min="6" max="6"/>
    <col width="26" customWidth="1" min="7" max="7"/>
    <col width="8" customWidth="1" min="8" max="8"/>
    <col width="18" customWidth="1" min="9" max="9"/>
  </cols>
  <sheetData>
    <row r="1" ht="36" customHeight="1">
      <c r="A1" s="1" t="inlineStr">
        <is>
          <t>Lançamentos Realizados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Registre aqui cada entrada e saída de dinheiro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27" t="inlineStr">
        <is>
          <t>Legenda:</t>
        </is>
      </c>
      <c r="B3" s="28" t="inlineStr">
        <is>
          <t>Preencher</t>
        </is>
      </c>
      <c r="C3" s="29" t="inlineStr">
        <is>
          <t>Cálculo automático (protegido)</t>
        </is>
      </c>
    </row>
    <row r="5" ht="32" customHeight="1">
      <c r="A5" s="18" t="inlineStr">
        <is>
          <t>Data</t>
        </is>
      </c>
      <c r="B5" s="18" t="inlineStr">
        <is>
          <t>Categoria</t>
        </is>
      </c>
      <c r="C5" s="18" t="inlineStr">
        <is>
          <t>Tipo</t>
        </is>
      </c>
      <c r="D5" s="18" t="inlineStr">
        <is>
          <t>Descrição</t>
        </is>
      </c>
      <c r="E5" s="18" t="inlineStr">
        <is>
          <t>Valor (R$)</t>
        </is>
      </c>
      <c r="F5" s="18" t="inlineStr">
        <is>
          <t>Forma de pagamento</t>
        </is>
      </c>
      <c r="G5" s="18" t="inlineStr">
        <is>
          <t>Conta / observação</t>
        </is>
      </c>
      <c r="H5" s="18" t="inlineStr">
        <is>
          <t>Mês nº</t>
        </is>
      </c>
      <c r="I5" s="18" t="inlineStr">
        <is>
          <t>Situação</t>
        </is>
      </c>
    </row>
    <row r="6">
      <c r="A6" s="35" t="n"/>
      <c r="B6" s="31" t="n"/>
      <c r="C6" s="19">
        <f>IF(B6="","",IF(COUNTIF(Config!$D$6:$D$15,B6)&gt;0,"Entrada",IF(COUNTIF(Config!$F$6:$F$25,B6)&gt;0,"Saída","Categoria inválida")))</f>
        <v/>
      </c>
      <c r="D6" s="31" t="n"/>
      <c r="E6" s="33" t="n"/>
      <c r="F6" s="36" t="n"/>
      <c r="G6" s="31" t="n"/>
      <c r="H6" s="37">
        <f>IF(A6="","",(YEAR(A6)-YEAR(Config!$B$6))*12+MONTH(A6)-MONTH(Config!$B$6)+1)</f>
        <v/>
      </c>
      <c r="I6" s="19">
        <f>IF(AND(A6="",B6="",E6=""),"",IF(A6="","Falta data",IF(B6="","Falta categoria",IF(E6="","Falta valor",IF(C6="Categoria inválida","Categoria inválida",IF(OR(H6&lt;1,H6&gt;12),"Fora dos 12 meses","OK"))))))</f>
        <v/>
      </c>
    </row>
    <row r="7">
      <c r="A7" s="35" t="n"/>
      <c r="B7" s="31" t="n"/>
      <c r="C7" s="19">
        <f>IF(B7="","",IF(COUNTIF(Config!$D$6:$D$15,B7)&gt;0,"Entrada",IF(COUNTIF(Config!$F$6:$F$25,B7)&gt;0,"Saída","Categoria inválida")))</f>
        <v/>
      </c>
      <c r="D7" s="31" t="n"/>
      <c r="E7" s="33" t="n"/>
      <c r="F7" s="36" t="n"/>
      <c r="G7" s="31" t="n"/>
      <c r="H7" s="37">
        <f>IF(A7="","",(YEAR(A7)-YEAR(Config!$B$6))*12+MONTH(A7)-MONTH(Config!$B$6)+1)</f>
        <v/>
      </c>
      <c r="I7" s="19">
        <f>IF(AND(A7="",B7="",E7=""),"",IF(A7="","Falta data",IF(B7="","Falta categoria",IF(E7="","Falta valor",IF(C7="Categoria inválida","Categoria inválida",IF(OR(H7&lt;1,H7&gt;12),"Fora dos 12 meses","OK"))))))</f>
        <v/>
      </c>
    </row>
    <row r="8">
      <c r="A8" s="35" t="n"/>
      <c r="B8" s="31" t="n"/>
      <c r="C8" s="19">
        <f>IF(B8="","",IF(COUNTIF(Config!$D$6:$D$15,B8)&gt;0,"Entrada",IF(COUNTIF(Config!$F$6:$F$25,B8)&gt;0,"Saída","Categoria inválida")))</f>
        <v/>
      </c>
      <c r="D8" s="31" t="n"/>
      <c r="E8" s="33" t="n"/>
      <c r="F8" s="36" t="n"/>
      <c r="G8" s="31" t="n"/>
      <c r="H8" s="37">
        <f>IF(A8="","",(YEAR(A8)-YEAR(Config!$B$6))*12+MONTH(A8)-MONTH(Config!$B$6)+1)</f>
        <v/>
      </c>
      <c r="I8" s="19">
        <f>IF(AND(A8="",B8="",E8=""),"",IF(A8="","Falta data",IF(B8="","Falta categoria",IF(E8="","Falta valor",IF(C8="Categoria inválida","Categoria inválida",IF(OR(H8&lt;1,H8&gt;12),"Fora dos 12 meses","OK"))))))</f>
        <v/>
      </c>
    </row>
    <row r="9">
      <c r="A9" s="35" t="n"/>
      <c r="B9" s="31" t="n"/>
      <c r="C9" s="19">
        <f>IF(B9="","",IF(COUNTIF(Config!$D$6:$D$15,B9)&gt;0,"Entrada",IF(COUNTIF(Config!$F$6:$F$25,B9)&gt;0,"Saída","Categoria inválida")))</f>
        <v/>
      </c>
      <c r="D9" s="31" t="n"/>
      <c r="E9" s="33" t="n"/>
      <c r="F9" s="36" t="n"/>
      <c r="G9" s="31" t="n"/>
      <c r="H9" s="37">
        <f>IF(A9="","",(YEAR(A9)-YEAR(Config!$B$6))*12+MONTH(A9)-MONTH(Config!$B$6)+1)</f>
        <v/>
      </c>
      <c r="I9" s="19">
        <f>IF(AND(A9="",B9="",E9=""),"",IF(A9="","Falta data",IF(B9="","Falta categoria",IF(E9="","Falta valor",IF(C9="Categoria inválida","Categoria inválida",IF(OR(H9&lt;1,H9&gt;12),"Fora dos 12 meses","OK"))))))</f>
        <v/>
      </c>
    </row>
    <row r="10">
      <c r="A10" s="35" t="n"/>
      <c r="B10" s="31" t="n"/>
      <c r="C10" s="19">
        <f>IF(B10="","",IF(COUNTIF(Config!$D$6:$D$15,B10)&gt;0,"Entrada",IF(COUNTIF(Config!$F$6:$F$25,B10)&gt;0,"Saída","Categoria inválida")))</f>
        <v/>
      </c>
      <c r="D10" s="31" t="n"/>
      <c r="E10" s="33" t="n"/>
      <c r="F10" s="36" t="n"/>
      <c r="G10" s="31" t="n"/>
      <c r="H10" s="37">
        <f>IF(A10="","",(YEAR(A10)-YEAR(Config!$B$6))*12+MONTH(A10)-MONTH(Config!$B$6)+1)</f>
        <v/>
      </c>
      <c r="I10" s="19">
        <f>IF(AND(A10="",B10="",E10=""),"",IF(A10="","Falta data",IF(B10="","Falta categoria",IF(E10="","Falta valor",IF(C10="Categoria inválida","Categoria inválida",IF(OR(H10&lt;1,H10&gt;12),"Fora dos 12 meses","OK"))))))</f>
        <v/>
      </c>
    </row>
    <row r="11">
      <c r="A11" s="35" t="n"/>
      <c r="B11" s="31" t="n"/>
      <c r="C11" s="19">
        <f>IF(B11="","",IF(COUNTIF(Config!$D$6:$D$15,B11)&gt;0,"Entrada",IF(COUNTIF(Config!$F$6:$F$25,B11)&gt;0,"Saída","Categoria inválida")))</f>
        <v/>
      </c>
      <c r="D11" s="31" t="n"/>
      <c r="E11" s="33" t="n"/>
      <c r="F11" s="36" t="n"/>
      <c r="G11" s="31" t="n"/>
      <c r="H11" s="37">
        <f>IF(A11="","",(YEAR(A11)-YEAR(Config!$B$6))*12+MONTH(A11)-MONTH(Config!$B$6)+1)</f>
        <v/>
      </c>
      <c r="I11" s="19">
        <f>IF(AND(A11="",B11="",E11=""),"",IF(A11="","Falta data",IF(B11="","Falta categoria",IF(E11="","Falta valor",IF(C11="Categoria inválida","Categoria inválida",IF(OR(H11&lt;1,H11&gt;12),"Fora dos 12 meses","OK"))))))</f>
        <v/>
      </c>
    </row>
    <row r="12">
      <c r="A12" s="35" t="n"/>
      <c r="B12" s="31" t="n"/>
      <c r="C12" s="19">
        <f>IF(B12="","",IF(COUNTIF(Config!$D$6:$D$15,B12)&gt;0,"Entrada",IF(COUNTIF(Config!$F$6:$F$25,B12)&gt;0,"Saída","Categoria inválida")))</f>
        <v/>
      </c>
      <c r="D12" s="31" t="n"/>
      <c r="E12" s="33" t="n"/>
      <c r="F12" s="36" t="n"/>
      <c r="G12" s="31" t="n"/>
      <c r="H12" s="37">
        <f>IF(A12="","",(YEAR(A12)-YEAR(Config!$B$6))*12+MONTH(A12)-MONTH(Config!$B$6)+1)</f>
        <v/>
      </c>
      <c r="I12" s="19">
        <f>IF(AND(A12="",B12="",E12=""),"",IF(A12="","Falta data",IF(B12="","Falta categoria",IF(E12="","Falta valor",IF(C12="Categoria inválida","Categoria inválida",IF(OR(H12&lt;1,H12&gt;12),"Fora dos 12 meses","OK"))))))</f>
        <v/>
      </c>
    </row>
    <row r="13">
      <c r="A13" s="35" t="n"/>
      <c r="B13" s="31" t="n"/>
      <c r="C13" s="19">
        <f>IF(B13="","",IF(COUNTIF(Config!$D$6:$D$15,B13)&gt;0,"Entrada",IF(COUNTIF(Config!$F$6:$F$25,B13)&gt;0,"Saída","Categoria inválida")))</f>
        <v/>
      </c>
      <c r="D13" s="31" t="n"/>
      <c r="E13" s="33" t="n"/>
      <c r="F13" s="36" t="n"/>
      <c r="G13" s="31" t="n"/>
      <c r="H13" s="37">
        <f>IF(A13="","",(YEAR(A13)-YEAR(Config!$B$6))*12+MONTH(A13)-MONTH(Config!$B$6)+1)</f>
        <v/>
      </c>
      <c r="I13" s="19">
        <f>IF(AND(A13="",B13="",E13=""),"",IF(A13="","Falta data",IF(B13="","Falta categoria",IF(E13="","Falta valor",IF(C13="Categoria inválida","Categoria inválida",IF(OR(H13&lt;1,H13&gt;12),"Fora dos 12 meses","OK"))))))</f>
        <v/>
      </c>
    </row>
    <row r="14">
      <c r="A14" s="35" t="n"/>
      <c r="B14" s="31" t="n"/>
      <c r="C14" s="19">
        <f>IF(B14="","",IF(COUNTIF(Config!$D$6:$D$15,B14)&gt;0,"Entrada",IF(COUNTIF(Config!$F$6:$F$25,B14)&gt;0,"Saída","Categoria inválida")))</f>
        <v/>
      </c>
      <c r="D14" s="31" t="n"/>
      <c r="E14" s="33" t="n"/>
      <c r="F14" s="36" t="n"/>
      <c r="G14" s="31" t="n"/>
      <c r="H14" s="37">
        <f>IF(A14="","",(YEAR(A14)-YEAR(Config!$B$6))*12+MONTH(A14)-MONTH(Config!$B$6)+1)</f>
        <v/>
      </c>
      <c r="I14" s="19">
        <f>IF(AND(A14="",B14="",E14=""),"",IF(A14="","Falta data",IF(B14="","Falta categoria",IF(E14="","Falta valor",IF(C14="Categoria inválida","Categoria inválida",IF(OR(H14&lt;1,H14&gt;12),"Fora dos 12 meses","OK"))))))</f>
        <v/>
      </c>
    </row>
    <row r="15">
      <c r="A15" s="35" t="n"/>
      <c r="B15" s="31" t="n"/>
      <c r="C15" s="19">
        <f>IF(B15="","",IF(COUNTIF(Config!$D$6:$D$15,B15)&gt;0,"Entrada",IF(COUNTIF(Config!$F$6:$F$25,B15)&gt;0,"Saída","Categoria inválida")))</f>
        <v/>
      </c>
      <c r="D15" s="31" t="n"/>
      <c r="E15" s="33" t="n"/>
      <c r="F15" s="36" t="n"/>
      <c r="G15" s="31" t="n"/>
      <c r="H15" s="37">
        <f>IF(A15="","",(YEAR(A15)-YEAR(Config!$B$6))*12+MONTH(A15)-MONTH(Config!$B$6)+1)</f>
        <v/>
      </c>
      <c r="I15" s="19">
        <f>IF(AND(A15="",B15="",E15=""),"",IF(A15="","Falta data",IF(B15="","Falta categoria",IF(E15="","Falta valor",IF(C15="Categoria inválida","Categoria inválida",IF(OR(H15&lt;1,H15&gt;12),"Fora dos 12 meses","OK"))))))</f>
        <v/>
      </c>
    </row>
    <row r="16">
      <c r="A16" s="35" t="n"/>
      <c r="B16" s="31" t="n"/>
      <c r="C16" s="19">
        <f>IF(B16="","",IF(COUNTIF(Config!$D$6:$D$15,B16)&gt;0,"Entrada",IF(COUNTIF(Config!$F$6:$F$25,B16)&gt;0,"Saída","Categoria inválida")))</f>
        <v/>
      </c>
      <c r="D16" s="31" t="n"/>
      <c r="E16" s="33" t="n"/>
      <c r="F16" s="36" t="n"/>
      <c r="G16" s="31" t="n"/>
      <c r="H16" s="37">
        <f>IF(A16="","",(YEAR(A16)-YEAR(Config!$B$6))*12+MONTH(A16)-MONTH(Config!$B$6)+1)</f>
        <v/>
      </c>
      <c r="I16" s="19">
        <f>IF(AND(A16="",B16="",E16=""),"",IF(A16="","Falta data",IF(B16="","Falta categoria",IF(E16="","Falta valor",IF(C16="Categoria inválida","Categoria inválida",IF(OR(H16&lt;1,H16&gt;12),"Fora dos 12 meses","OK"))))))</f>
        <v/>
      </c>
    </row>
    <row r="17">
      <c r="A17" s="35" t="n"/>
      <c r="B17" s="31" t="n"/>
      <c r="C17" s="19">
        <f>IF(B17="","",IF(COUNTIF(Config!$D$6:$D$15,B17)&gt;0,"Entrada",IF(COUNTIF(Config!$F$6:$F$25,B17)&gt;0,"Saída","Categoria inválida")))</f>
        <v/>
      </c>
      <c r="D17" s="31" t="n"/>
      <c r="E17" s="33" t="n"/>
      <c r="F17" s="36" t="n"/>
      <c r="G17" s="31" t="n"/>
      <c r="H17" s="37">
        <f>IF(A17="","",(YEAR(A17)-YEAR(Config!$B$6))*12+MONTH(A17)-MONTH(Config!$B$6)+1)</f>
        <v/>
      </c>
      <c r="I17" s="19">
        <f>IF(AND(A17="",B17="",E17=""),"",IF(A17="","Falta data",IF(B17="","Falta categoria",IF(E17="","Falta valor",IF(C17="Categoria inválida","Categoria inválida",IF(OR(H17&lt;1,H17&gt;12),"Fora dos 12 meses","OK"))))))</f>
        <v/>
      </c>
    </row>
    <row r="18">
      <c r="A18" s="35" t="n"/>
      <c r="B18" s="31" t="n"/>
      <c r="C18" s="19">
        <f>IF(B18="","",IF(COUNTIF(Config!$D$6:$D$15,B18)&gt;0,"Entrada",IF(COUNTIF(Config!$F$6:$F$25,B18)&gt;0,"Saída","Categoria inválida")))</f>
        <v/>
      </c>
      <c r="D18" s="31" t="n"/>
      <c r="E18" s="33" t="n"/>
      <c r="F18" s="36" t="n"/>
      <c r="G18" s="31" t="n"/>
      <c r="H18" s="37">
        <f>IF(A18="","",(YEAR(A18)-YEAR(Config!$B$6))*12+MONTH(A18)-MONTH(Config!$B$6)+1)</f>
        <v/>
      </c>
      <c r="I18" s="19">
        <f>IF(AND(A18="",B18="",E18=""),"",IF(A18="","Falta data",IF(B18="","Falta categoria",IF(E18="","Falta valor",IF(C18="Categoria inválida","Categoria inválida",IF(OR(H18&lt;1,H18&gt;12),"Fora dos 12 meses","OK"))))))</f>
        <v/>
      </c>
    </row>
    <row r="19">
      <c r="A19" s="35" t="n"/>
      <c r="B19" s="31" t="n"/>
      <c r="C19" s="19">
        <f>IF(B19="","",IF(COUNTIF(Config!$D$6:$D$15,B19)&gt;0,"Entrada",IF(COUNTIF(Config!$F$6:$F$25,B19)&gt;0,"Saída","Categoria inválida")))</f>
        <v/>
      </c>
      <c r="D19" s="31" t="n"/>
      <c r="E19" s="33" t="n"/>
      <c r="F19" s="36" t="n"/>
      <c r="G19" s="31" t="n"/>
      <c r="H19" s="37">
        <f>IF(A19="","",(YEAR(A19)-YEAR(Config!$B$6))*12+MONTH(A19)-MONTH(Config!$B$6)+1)</f>
        <v/>
      </c>
      <c r="I19" s="19">
        <f>IF(AND(A19="",B19="",E19=""),"",IF(A19="","Falta data",IF(B19="","Falta categoria",IF(E19="","Falta valor",IF(C19="Categoria inválida","Categoria inválida",IF(OR(H19&lt;1,H19&gt;12),"Fora dos 12 meses","OK"))))))</f>
        <v/>
      </c>
    </row>
    <row r="20">
      <c r="A20" s="35" t="n"/>
      <c r="B20" s="31" t="n"/>
      <c r="C20" s="19">
        <f>IF(B20="","",IF(COUNTIF(Config!$D$6:$D$15,B20)&gt;0,"Entrada",IF(COUNTIF(Config!$F$6:$F$25,B20)&gt;0,"Saída","Categoria inválida")))</f>
        <v/>
      </c>
      <c r="D20" s="31" t="n"/>
      <c r="E20" s="33" t="n"/>
      <c r="F20" s="36" t="n"/>
      <c r="G20" s="31" t="n"/>
      <c r="H20" s="37">
        <f>IF(A20="","",(YEAR(A20)-YEAR(Config!$B$6))*12+MONTH(A20)-MONTH(Config!$B$6)+1)</f>
        <v/>
      </c>
      <c r="I20" s="19">
        <f>IF(AND(A20="",B20="",E20=""),"",IF(A20="","Falta data",IF(B20="","Falta categoria",IF(E20="","Falta valor",IF(C20="Categoria inválida","Categoria inválida",IF(OR(H20&lt;1,H20&gt;12),"Fora dos 12 meses","OK"))))))</f>
        <v/>
      </c>
    </row>
    <row r="21">
      <c r="A21" s="35" t="n"/>
      <c r="B21" s="31" t="n"/>
      <c r="C21" s="19">
        <f>IF(B21="","",IF(COUNTIF(Config!$D$6:$D$15,B21)&gt;0,"Entrada",IF(COUNTIF(Config!$F$6:$F$25,B21)&gt;0,"Saída","Categoria inválida")))</f>
        <v/>
      </c>
      <c r="D21" s="31" t="n"/>
      <c r="E21" s="33" t="n"/>
      <c r="F21" s="36" t="n"/>
      <c r="G21" s="31" t="n"/>
      <c r="H21" s="37">
        <f>IF(A21="","",(YEAR(A21)-YEAR(Config!$B$6))*12+MONTH(A21)-MONTH(Config!$B$6)+1)</f>
        <v/>
      </c>
      <c r="I21" s="19">
        <f>IF(AND(A21="",B21="",E21=""),"",IF(A21="","Falta data",IF(B21="","Falta categoria",IF(E21="","Falta valor",IF(C21="Categoria inválida","Categoria inválida",IF(OR(H21&lt;1,H21&gt;12),"Fora dos 12 meses","OK"))))))</f>
        <v/>
      </c>
    </row>
    <row r="22">
      <c r="A22" s="35" t="n"/>
      <c r="B22" s="31" t="n"/>
      <c r="C22" s="19">
        <f>IF(B22="","",IF(COUNTIF(Config!$D$6:$D$15,B22)&gt;0,"Entrada",IF(COUNTIF(Config!$F$6:$F$25,B22)&gt;0,"Saída","Categoria inválida")))</f>
        <v/>
      </c>
      <c r="D22" s="31" t="n"/>
      <c r="E22" s="33" t="n"/>
      <c r="F22" s="36" t="n"/>
      <c r="G22" s="31" t="n"/>
      <c r="H22" s="37">
        <f>IF(A22="","",(YEAR(A22)-YEAR(Config!$B$6))*12+MONTH(A22)-MONTH(Config!$B$6)+1)</f>
        <v/>
      </c>
      <c r="I22" s="19">
        <f>IF(AND(A22="",B22="",E22=""),"",IF(A22="","Falta data",IF(B22="","Falta categoria",IF(E22="","Falta valor",IF(C22="Categoria inválida","Categoria inválida",IF(OR(H22&lt;1,H22&gt;12),"Fora dos 12 meses","OK"))))))</f>
        <v/>
      </c>
    </row>
    <row r="23">
      <c r="A23" s="35" t="n"/>
      <c r="B23" s="31" t="n"/>
      <c r="C23" s="19">
        <f>IF(B23="","",IF(COUNTIF(Config!$D$6:$D$15,B23)&gt;0,"Entrada",IF(COUNTIF(Config!$F$6:$F$25,B23)&gt;0,"Saída","Categoria inválida")))</f>
        <v/>
      </c>
      <c r="D23" s="31" t="n"/>
      <c r="E23" s="33" t="n"/>
      <c r="F23" s="36" t="n"/>
      <c r="G23" s="31" t="n"/>
      <c r="H23" s="37">
        <f>IF(A23="","",(YEAR(A23)-YEAR(Config!$B$6))*12+MONTH(A23)-MONTH(Config!$B$6)+1)</f>
        <v/>
      </c>
      <c r="I23" s="19">
        <f>IF(AND(A23="",B23="",E23=""),"",IF(A23="","Falta data",IF(B23="","Falta categoria",IF(E23="","Falta valor",IF(C23="Categoria inválida","Categoria inválida",IF(OR(H23&lt;1,H23&gt;12),"Fora dos 12 meses","OK"))))))</f>
        <v/>
      </c>
    </row>
    <row r="24">
      <c r="A24" s="35" t="n"/>
      <c r="B24" s="31" t="n"/>
      <c r="C24" s="19">
        <f>IF(B24="","",IF(COUNTIF(Config!$D$6:$D$15,B24)&gt;0,"Entrada",IF(COUNTIF(Config!$F$6:$F$25,B24)&gt;0,"Saída","Categoria inválida")))</f>
        <v/>
      </c>
      <c r="D24" s="31" t="n"/>
      <c r="E24" s="33" t="n"/>
      <c r="F24" s="36" t="n"/>
      <c r="G24" s="31" t="n"/>
      <c r="H24" s="37">
        <f>IF(A24="","",(YEAR(A24)-YEAR(Config!$B$6))*12+MONTH(A24)-MONTH(Config!$B$6)+1)</f>
        <v/>
      </c>
      <c r="I24" s="19">
        <f>IF(AND(A24="",B24="",E24=""),"",IF(A24="","Falta data",IF(B24="","Falta categoria",IF(E24="","Falta valor",IF(C24="Categoria inválida","Categoria inválida",IF(OR(H24&lt;1,H24&gt;12),"Fora dos 12 meses","OK"))))))</f>
        <v/>
      </c>
    </row>
    <row r="25">
      <c r="A25" s="35" t="n"/>
      <c r="B25" s="31" t="n"/>
      <c r="C25" s="19">
        <f>IF(B25="","",IF(COUNTIF(Config!$D$6:$D$15,B25)&gt;0,"Entrada",IF(COUNTIF(Config!$F$6:$F$25,B25)&gt;0,"Saída","Categoria inválida")))</f>
        <v/>
      </c>
      <c r="D25" s="31" t="n"/>
      <c r="E25" s="33" t="n"/>
      <c r="F25" s="36" t="n"/>
      <c r="G25" s="31" t="n"/>
      <c r="H25" s="37">
        <f>IF(A25="","",(YEAR(A25)-YEAR(Config!$B$6))*12+MONTH(A25)-MONTH(Config!$B$6)+1)</f>
        <v/>
      </c>
      <c r="I25" s="19">
        <f>IF(AND(A25="",B25="",E25=""),"",IF(A25="","Falta data",IF(B25="","Falta categoria",IF(E25="","Falta valor",IF(C25="Categoria inválida","Categoria inválida",IF(OR(H25&lt;1,H25&gt;12),"Fora dos 12 meses","OK"))))))</f>
        <v/>
      </c>
    </row>
    <row r="26">
      <c r="A26" s="35" t="n"/>
      <c r="B26" s="31" t="n"/>
      <c r="C26" s="19">
        <f>IF(B26="","",IF(COUNTIF(Config!$D$6:$D$15,B26)&gt;0,"Entrada",IF(COUNTIF(Config!$F$6:$F$25,B26)&gt;0,"Saída","Categoria inválida")))</f>
        <v/>
      </c>
      <c r="D26" s="31" t="n"/>
      <c r="E26" s="33" t="n"/>
      <c r="F26" s="36" t="n"/>
      <c r="G26" s="31" t="n"/>
      <c r="H26" s="37">
        <f>IF(A26="","",(YEAR(A26)-YEAR(Config!$B$6))*12+MONTH(A26)-MONTH(Config!$B$6)+1)</f>
        <v/>
      </c>
      <c r="I26" s="19">
        <f>IF(AND(A26="",B26="",E26=""),"",IF(A26="","Falta data",IF(B26="","Falta categoria",IF(E26="","Falta valor",IF(C26="Categoria inválida","Categoria inválida",IF(OR(H26&lt;1,H26&gt;12),"Fora dos 12 meses","OK"))))))</f>
        <v/>
      </c>
    </row>
    <row r="27">
      <c r="A27" s="35" t="n"/>
      <c r="B27" s="31" t="n"/>
      <c r="C27" s="19">
        <f>IF(B27="","",IF(COUNTIF(Config!$D$6:$D$15,B27)&gt;0,"Entrada",IF(COUNTIF(Config!$F$6:$F$25,B27)&gt;0,"Saída","Categoria inválida")))</f>
        <v/>
      </c>
      <c r="D27" s="31" t="n"/>
      <c r="E27" s="33" t="n"/>
      <c r="F27" s="36" t="n"/>
      <c r="G27" s="31" t="n"/>
      <c r="H27" s="37">
        <f>IF(A27="","",(YEAR(A27)-YEAR(Config!$B$6))*12+MONTH(A27)-MONTH(Config!$B$6)+1)</f>
        <v/>
      </c>
      <c r="I27" s="19">
        <f>IF(AND(A27="",B27="",E27=""),"",IF(A27="","Falta data",IF(B27="","Falta categoria",IF(E27="","Falta valor",IF(C27="Categoria inválida","Categoria inválida",IF(OR(H27&lt;1,H27&gt;12),"Fora dos 12 meses","OK"))))))</f>
        <v/>
      </c>
    </row>
    <row r="28">
      <c r="A28" s="35" t="n"/>
      <c r="B28" s="31" t="n"/>
      <c r="C28" s="19">
        <f>IF(B28="","",IF(COUNTIF(Config!$D$6:$D$15,B28)&gt;0,"Entrada",IF(COUNTIF(Config!$F$6:$F$25,B28)&gt;0,"Saída","Categoria inválida")))</f>
        <v/>
      </c>
      <c r="D28" s="31" t="n"/>
      <c r="E28" s="33" t="n"/>
      <c r="F28" s="36" t="n"/>
      <c r="G28" s="31" t="n"/>
      <c r="H28" s="37">
        <f>IF(A28="","",(YEAR(A28)-YEAR(Config!$B$6))*12+MONTH(A28)-MONTH(Config!$B$6)+1)</f>
        <v/>
      </c>
      <c r="I28" s="19">
        <f>IF(AND(A28="",B28="",E28=""),"",IF(A28="","Falta data",IF(B28="","Falta categoria",IF(E28="","Falta valor",IF(C28="Categoria inválida","Categoria inválida",IF(OR(H28&lt;1,H28&gt;12),"Fora dos 12 meses","OK"))))))</f>
        <v/>
      </c>
    </row>
    <row r="29">
      <c r="A29" s="35" t="n"/>
      <c r="B29" s="31" t="n"/>
      <c r="C29" s="19">
        <f>IF(B29="","",IF(COUNTIF(Config!$D$6:$D$15,B29)&gt;0,"Entrada",IF(COUNTIF(Config!$F$6:$F$25,B29)&gt;0,"Saída","Categoria inválida")))</f>
        <v/>
      </c>
      <c r="D29" s="31" t="n"/>
      <c r="E29" s="33" t="n"/>
      <c r="F29" s="36" t="n"/>
      <c r="G29" s="31" t="n"/>
      <c r="H29" s="37">
        <f>IF(A29="","",(YEAR(A29)-YEAR(Config!$B$6))*12+MONTH(A29)-MONTH(Config!$B$6)+1)</f>
        <v/>
      </c>
      <c r="I29" s="19">
        <f>IF(AND(A29="",B29="",E29=""),"",IF(A29="","Falta data",IF(B29="","Falta categoria",IF(E29="","Falta valor",IF(C29="Categoria inválida","Categoria inválida",IF(OR(H29&lt;1,H29&gt;12),"Fora dos 12 meses","OK"))))))</f>
        <v/>
      </c>
    </row>
    <row r="30">
      <c r="A30" s="35" t="n"/>
      <c r="B30" s="31" t="n"/>
      <c r="C30" s="19">
        <f>IF(B30="","",IF(COUNTIF(Config!$D$6:$D$15,B30)&gt;0,"Entrada",IF(COUNTIF(Config!$F$6:$F$25,B30)&gt;0,"Saída","Categoria inválida")))</f>
        <v/>
      </c>
      <c r="D30" s="31" t="n"/>
      <c r="E30" s="33" t="n"/>
      <c r="F30" s="36" t="n"/>
      <c r="G30" s="31" t="n"/>
      <c r="H30" s="37">
        <f>IF(A30="","",(YEAR(A30)-YEAR(Config!$B$6))*12+MONTH(A30)-MONTH(Config!$B$6)+1)</f>
        <v/>
      </c>
      <c r="I30" s="19">
        <f>IF(AND(A30="",B30="",E30=""),"",IF(A30="","Falta data",IF(B30="","Falta categoria",IF(E30="","Falta valor",IF(C30="Categoria inválida","Categoria inválida",IF(OR(H30&lt;1,H30&gt;12),"Fora dos 12 meses","OK"))))))</f>
        <v/>
      </c>
    </row>
    <row r="31">
      <c r="A31" s="35" t="n"/>
      <c r="B31" s="31" t="n"/>
      <c r="C31" s="19">
        <f>IF(B31="","",IF(COUNTIF(Config!$D$6:$D$15,B31)&gt;0,"Entrada",IF(COUNTIF(Config!$F$6:$F$25,B31)&gt;0,"Saída","Categoria inválida")))</f>
        <v/>
      </c>
      <c r="D31" s="31" t="n"/>
      <c r="E31" s="33" t="n"/>
      <c r="F31" s="36" t="n"/>
      <c r="G31" s="31" t="n"/>
      <c r="H31" s="37">
        <f>IF(A31="","",(YEAR(A31)-YEAR(Config!$B$6))*12+MONTH(A31)-MONTH(Config!$B$6)+1)</f>
        <v/>
      </c>
      <c r="I31" s="19">
        <f>IF(AND(A31="",B31="",E31=""),"",IF(A31="","Falta data",IF(B31="","Falta categoria",IF(E31="","Falta valor",IF(C31="Categoria inválida","Categoria inválida",IF(OR(H31&lt;1,H31&gt;12),"Fora dos 12 meses","OK"))))))</f>
        <v/>
      </c>
    </row>
    <row r="32">
      <c r="A32" s="35" t="n"/>
      <c r="B32" s="31" t="n"/>
      <c r="C32" s="19">
        <f>IF(B32="","",IF(COUNTIF(Config!$D$6:$D$15,B32)&gt;0,"Entrada",IF(COUNTIF(Config!$F$6:$F$25,B32)&gt;0,"Saída","Categoria inválida")))</f>
        <v/>
      </c>
      <c r="D32" s="31" t="n"/>
      <c r="E32" s="33" t="n"/>
      <c r="F32" s="36" t="n"/>
      <c r="G32" s="31" t="n"/>
      <c r="H32" s="37">
        <f>IF(A32="","",(YEAR(A32)-YEAR(Config!$B$6))*12+MONTH(A32)-MONTH(Config!$B$6)+1)</f>
        <v/>
      </c>
      <c r="I32" s="19">
        <f>IF(AND(A32="",B32="",E32=""),"",IF(A32="","Falta data",IF(B32="","Falta categoria",IF(E32="","Falta valor",IF(C32="Categoria inválida","Categoria inválida",IF(OR(H32&lt;1,H32&gt;12),"Fora dos 12 meses","OK"))))))</f>
        <v/>
      </c>
    </row>
    <row r="33">
      <c r="A33" s="35" t="n"/>
      <c r="B33" s="31" t="n"/>
      <c r="C33" s="19">
        <f>IF(B33="","",IF(COUNTIF(Config!$D$6:$D$15,B33)&gt;0,"Entrada",IF(COUNTIF(Config!$F$6:$F$25,B33)&gt;0,"Saída","Categoria inválida")))</f>
        <v/>
      </c>
      <c r="D33" s="31" t="n"/>
      <c r="E33" s="33" t="n"/>
      <c r="F33" s="36" t="n"/>
      <c r="G33" s="31" t="n"/>
      <c r="H33" s="37">
        <f>IF(A33="","",(YEAR(A33)-YEAR(Config!$B$6))*12+MONTH(A33)-MONTH(Config!$B$6)+1)</f>
        <v/>
      </c>
      <c r="I33" s="19">
        <f>IF(AND(A33="",B33="",E33=""),"",IF(A33="","Falta data",IF(B33="","Falta categoria",IF(E33="","Falta valor",IF(C33="Categoria inválida","Categoria inválida",IF(OR(H33&lt;1,H33&gt;12),"Fora dos 12 meses","OK"))))))</f>
        <v/>
      </c>
    </row>
    <row r="34">
      <c r="A34" s="35" t="n"/>
      <c r="B34" s="31" t="n"/>
      <c r="C34" s="19">
        <f>IF(B34="","",IF(COUNTIF(Config!$D$6:$D$15,B34)&gt;0,"Entrada",IF(COUNTIF(Config!$F$6:$F$25,B34)&gt;0,"Saída","Categoria inválida")))</f>
        <v/>
      </c>
      <c r="D34" s="31" t="n"/>
      <c r="E34" s="33" t="n"/>
      <c r="F34" s="36" t="n"/>
      <c r="G34" s="31" t="n"/>
      <c r="H34" s="37">
        <f>IF(A34="","",(YEAR(A34)-YEAR(Config!$B$6))*12+MONTH(A34)-MONTH(Config!$B$6)+1)</f>
        <v/>
      </c>
      <c r="I34" s="19">
        <f>IF(AND(A34="",B34="",E34=""),"",IF(A34="","Falta data",IF(B34="","Falta categoria",IF(E34="","Falta valor",IF(C34="Categoria inválida","Categoria inválida",IF(OR(H34&lt;1,H34&gt;12),"Fora dos 12 meses","OK"))))))</f>
        <v/>
      </c>
    </row>
    <row r="35">
      <c r="A35" s="35" t="n"/>
      <c r="B35" s="31" t="n"/>
      <c r="C35" s="19">
        <f>IF(B35="","",IF(COUNTIF(Config!$D$6:$D$15,B35)&gt;0,"Entrada",IF(COUNTIF(Config!$F$6:$F$25,B35)&gt;0,"Saída","Categoria inválida")))</f>
        <v/>
      </c>
      <c r="D35" s="31" t="n"/>
      <c r="E35" s="33" t="n"/>
      <c r="F35" s="36" t="n"/>
      <c r="G35" s="31" t="n"/>
      <c r="H35" s="37">
        <f>IF(A35="","",(YEAR(A35)-YEAR(Config!$B$6))*12+MONTH(A35)-MONTH(Config!$B$6)+1)</f>
        <v/>
      </c>
      <c r="I35" s="19">
        <f>IF(AND(A35="",B35="",E35=""),"",IF(A35="","Falta data",IF(B35="","Falta categoria",IF(E35="","Falta valor",IF(C35="Categoria inválida","Categoria inválida",IF(OR(H35&lt;1,H35&gt;12),"Fora dos 12 meses","OK"))))))</f>
        <v/>
      </c>
    </row>
    <row r="36">
      <c r="A36" s="35" t="n"/>
      <c r="B36" s="31" t="n"/>
      <c r="C36" s="19">
        <f>IF(B36="","",IF(COUNTIF(Config!$D$6:$D$15,B36)&gt;0,"Entrada",IF(COUNTIF(Config!$F$6:$F$25,B36)&gt;0,"Saída","Categoria inválida")))</f>
        <v/>
      </c>
      <c r="D36" s="31" t="n"/>
      <c r="E36" s="33" t="n"/>
      <c r="F36" s="36" t="n"/>
      <c r="G36" s="31" t="n"/>
      <c r="H36" s="37">
        <f>IF(A36="","",(YEAR(A36)-YEAR(Config!$B$6))*12+MONTH(A36)-MONTH(Config!$B$6)+1)</f>
        <v/>
      </c>
      <c r="I36" s="19">
        <f>IF(AND(A36="",B36="",E36=""),"",IF(A36="","Falta data",IF(B36="","Falta categoria",IF(E36="","Falta valor",IF(C36="Categoria inválida","Categoria inválida",IF(OR(H36&lt;1,H36&gt;12),"Fora dos 12 meses","OK"))))))</f>
        <v/>
      </c>
    </row>
    <row r="37">
      <c r="A37" s="35" t="n"/>
      <c r="B37" s="31" t="n"/>
      <c r="C37" s="19">
        <f>IF(B37="","",IF(COUNTIF(Config!$D$6:$D$15,B37)&gt;0,"Entrada",IF(COUNTIF(Config!$F$6:$F$25,B37)&gt;0,"Saída","Categoria inválida")))</f>
        <v/>
      </c>
      <c r="D37" s="31" t="n"/>
      <c r="E37" s="33" t="n"/>
      <c r="F37" s="36" t="n"/>
      <c r="G37" s="31" t="n"/>
      <c r="H37" s="37">
        <f>IF(A37="","",(YEAR(A37)-YEAR(Config!$B$6))*12+MONTH(A37)-MONTH(Config!$B$6)+1)</f>
        <v/>
      </c>
      <c r="I37" s="19">
        <f>IF(AND(A37="",B37="",E37=""),"",IF(A37="","Falta data",IF(B37="","Falta categoria",IF(E37="","Falta valor",IF(C37="Categoria inválida","Categoria inválida",IF(OR(H37&lt;1,H37&gt;12),"Fora dos 12 meses","OK"))))))</f>
        <v/>
      </c>
    </row>
    <row r="38">
      <c r="A38" s="35" t="n"/>
      <c r="B38" s="31" t="n"/>
      <c r="C38" s="19">
        <f>IF(B38="","",IF(COUNTIF(Config!$D$6:$D$15,B38)&gt;0,"Entrada",IF(COUNTIF(Config!$F$6:$F$25,B38)&gt;0,"Saída","Categoria inválida")))</f>
        <v/>
      </c>
      <c r="D38" s="31" t="n"/>
      <c r="E38" s="33" t="n"/>
      <c r="F38" s="36" t="n"/>
      <c r="G38" s="31" t="n"/>
      <c r="H38" s="37">
        <f>IF(A38="","",(YEAR(A38)-YEAR(Config!$B$6))*12+MONTH(A38)-MONTH(Config!$B$6)+1)</f>
        <v/>
      </c>
      <c r="I38" s="19">
        <f>IF(AND(A38="",B38="",E38=""),"",IF(A38="","Falta data",IF(B38="","Falta categoria",IF(E38="","Falta valor",IF(C38="Categoria inválida","Categoria inválida",IF(OR(H38&lt;1,H38&gt;12),"Fora dos 12 meses","OK"))))))</f>
        <v/>
      </c>
    </row>
    <row r="39">
      <c r="A39" s="35" t="n"/>
      <c r="B39" s="31" t="n"/>
      <c r="C39" s="19">
        <f>IF(B39="","",IF(COUNTIF(Config!$D$6:$D$15,B39)&gt;0,"Entrada",IF(COUNTIF(Config!$F$6:$F$25,B39)&gt;0,"Saída","Categoria inválida")))</f>
        <v/>
      </c>
      <c r="D39" s="31" t="n"/>
      <c r="E39" s="33" t="n"/>
      <c r="F39" s="36" t="n"/>
      <c r="G39" s="31" t="n"/>
      <c r="H39" s="37">
        <f>IF(A39="","",(YEAR(A39)-YEAR(Config!$B$6))*12+MONTH(A39)-MONTH(Config!$B$6)+1)</f>
        <v/>
      </c>
      <c r="I39" s="19">
        <f>IF(AND(A39="",B39="",E39=""),"",IF(A39="","Falta data",IF(B39="","Falta categoria",IF(E39="","Falta valor",IF(C39="Categoria inválida","Categoria inválida",IF(OR(H39&lt;1,H39&gt;12),"Fora dos 12 meses","OK"))))))</f>
        <v/>
      </c>
    </row>
    <row r="40">
      <c r="A40" s="35" t="n"/>
      <c r="B40" s="31" t="n"/>
      <c r="C40" s="19">
        <f>IF(B40="","",IF(COUNTIF(Config!$D$6:$D$15,B40)&gt;0,"Entrada",IF(COUNTIF(Config!$F$6:$F$25,B40)&gt;0,"Saída","Categoria inválida")))</f>
        <v/>
      </c>
      <c r="D40" s="31" t="n"/>
      <c r="E40" s="33" t="n"/>
      <c r="F40" s="36" t="n"/>
      <c r="G40" s="31" t="n"/>
      <c r="H40" s="37">
        <f>IF(A40="","",(YEAR(A40)-YEAR(Config!$B$6))*12+MONTH(A40)-MONTH(Config!$B$6)+1)</f>
        <v/>
      </c>
      <c r="I40" s="19">
        <f>IF(AND(A40="",B40="",E40=""),"",IF(A40="","Falta data",IF(B40="","Falta categoria",IF(E40="","Falta valor",IF(C40="Categoria inválida","Categoria inválida",IF(OR(H40&lt;1,H40&gt;12),"Fora dos 12 meses","OK"))))))</f>
        <v/>
      </c>
    </row>
    <row r="41">
      <c r="A41" s="35" t="n"/>
      <c r="B41" s="31" t="n"/>
      <c r="C41" s="19">
        <f>IF(B41="","",IF(COUNTIF(Config!$D$6:$D$15,B41)&gt;0,"Entrada",IF(COUNTIF(Config!$F$6:$F$25,B41)&gt;0,"Saída","Categoria inválida")))</f>
        <v/>
      </c>
      <c r="D41" s="31" t="n"/>
      <c r="E41" s="33" t="n"/>
      <c r="F41" s="36" t="n"/>
      <c r="G41" s="31" t="n"/>
      <c r="H41" s="37">
        <f>IF(A41="","",(YEAR(A41)-YEAR(Config!$B$6))*12+MONTH(A41)-MONTH(Config!$B$6)+1)</f>
        <v/>
      </c>
      <c r="I41" s="19">
        <f>IF(AND(A41="",B41="",E41=""),"",IF(A41="","Falta data",IF(B41="","Falta categoria",IF(E41="","Falta valor",IF(C41="Categoria inválida","Categoria inválida",IF(OR(H41&lt;1,H41&gt;12),"Fora dos 12 meses","OK"))))))</f>
        <v/>
      </c>
    </row>
    <row r="42">
      <c r="A42" s="35" t="n"/>
      <c r="B42" s="31" t="n"/>
      <c r="C42" s="19">
        <f>IF(B42="","",IF(COUNTIF(Config!$D$6:$D$15,B42)&gt;0,"Entrada",IF(COUNTIF(Config!$F$6:$F$25,B42)&gt;0,"Saída","Categoria inválida")))</f>
        <v/>
      </c>
      <c r="D42" s="31" t="n"/>
      <c r="E42" s="33" t="n"/>
      <c r="F42" s="36" t="n"/>
      <c r="G42" s="31" t="n"/>
      <c r="H42" s="37">
        <f>IF(A42="","",(YEAR(A42)-YEAR(Config!$B$6))*12+MONTH(A42)-MONTH(Config!$B$6)+1)</f>
        <v/>
      </c>
      <c r="I42" s="19">
        <f>IF(AND(A42="",B42="",E42=""),"",IF(A42="","Falta data",IF(B42="","Falta categoria",IF(E42="","Falta valor",IF(C42="Categoria inválida","Categoria inválida",IF(OR(H42&lt;1,H42&gt;12),"Fora dos 12 meses","OK"))))))</f>
        <v/>
      </c>
    </row>
    <row r="43">
      <c r="A43" s="35" t="n"/>
      <c r="B43" s="31" t="n"/>
      <c r="C43" s="19">
        <f>IF(B43="","",IF(COUNTIF(Config!$D$6:$D$15,B43)&gt;0,"Entrada",IF(COUNTIF(Config!$F$6:$F$25,B43)&gt;0,"Saída","Categoria inválida")))</f>
        <v/>
      </c>
      <c r="D43" s="31" t="n"/>
      <c r="E43" s="33" t="n"/>
      <c r="F43" s="36" t="n"/>
      <c r="G43" s="31" t="n"/>
      <c r="H43" s="37">
        <f>IF(A43="","",(YEAR(A43)-YEAR(Config!$B$6))*12+MONTH(A43)-MONTH(Config!$B$6)+1)</f>
        <v/>
      </c>
      <c r="I43" s="19">
        <f>IF(AND(A43="",B43="",E43=""),"",IF(A43="","Falta data",IF(B43="","Falta categoria",IF(E43="","Falta valor",IF(C43="Categoria inválida","Categoria inválida",IF(OR(H43&lt;1,H43&gt;12),"Fora dos 12 meses","OK"))))))</f>
        <v/>
      </c>
    </row>
    <row r="44">
      <c r="A44" s="35" t="n"/>
      <c r="B44" s="31" t="n"/>
      <c r="C44" s="19">
        <f>IF(B44="","",IF(COUNTIF(Config!$D$6:$D$15,B44)&gt;0,"Entrada",IF(COUNTIF(Config!$F$6:$F$25,B44)&gt;0,"Saída","Categoria inválida")))</f>
        <v/>
      </c>
      <c r="D44" s="31" t="n"/>
      <c r="E44" s="33" t="n"/>
      <c r="F44" s="36" t="n"/>
      <c r="G44" s="31" t="n"/>
      <c r="H44" s="37">
        <f>IF(A44="","",(YEAR(A44)-YEAR(Config!$B$6))*12+MONTH(A44)-MONTH(Config!$B$6)+1)</f>
        <v/>
      </c>
      <c r="I44" s="19">
        <f>IF(AND(A44="",B44="",E44=""),"",IF(A44="","Falta data",IF(B44="","Falta categoria",IF(E44="","Falta valor",IF(C44="Categoria inválida","Categoria inválida",IF(OR(H44&lt;1,H44&gt;12),"Fora dos 12 meses","OK"))))))</f>
        <v/>
      </c>
    </row>
    <row r="45">
      <c r="A45" s="35" t="n"/>
      <c r="B45" s="31" t="n"/>
      <c r="C45" s="19">
        <f>IF(B45="","",IF(COUNTIF(Config!$D$6:$D$15,B45)&gt;0,"Entrada",IF(COUNTIF(Config!$F$6:$F$25,B45)&gt;0,"Saída","Categoria inválida")))</f>
        <v/>
      </c>
      <c r="D45" s="31" t="n"/>
      <c r="E45" s="33" t="n"/>
      <c r="F45" s="36" t="n"/>
      <c r="G45" s="31" t="n"/>
      <c r="H45" s="37">
        <f>IF(A45="","",(YEAR(A45)-YEAR(Config!$B$6))*12+MONTH(A45)-MONTH(Config!$B$6)+1)</f>
        <v/>
      </c>
      <c r="I45" s="19">
        <f>IF(AND(A45="",B45="",E45=""),"",IF(A45="","Falta data",IF(B45="","Falta categoria",IF(E45="","Falta valor",IF(C45="Categoria inválida","Categoria inválida",IF(OR(H45&lt;1,H45&gt;12),"Fora dos 12 meses","OK"))))))</f>
        <v/>
      </c>
    </row>
    <row r="46">
      <c r="A46" s="35" t="n"/>
      <c r="B46" s="31" t="n"/>
      <c r="C46" s="19">
        <f>IF(B46="","",IF(COUNTIF(Config!$D$6:$D$15,B46)&gt;0,"Entrada",IF(COUNTIF(Config!$F$6:$F$25,B46)&gt;0,"Saída","Categoria inválida")))</f>
        <v/>
      </c>
      <c r="D46" s="31" t="n"/>
      <c r="E46" s="33" t="n"/>
      <c r="F46" s="36" t="n"/>
      <c r="G46" s="31" t="n"/>
      <c r="H46" s="37">
        <f>IF(A46="","",(YEAR(A46)-YEAR(Config!$B$6))*12+MONTH(A46)-MONTH(Config!$B$6)+1)</f>
        <v/>
      </c>
      <c r="I46" s="19">
        <f>IF(AND(A46="",B46="",E46=""),"",IF(A46="","Falta data",IF(B46="","Falta categoria",IF(E46="","Falta valor",IF(C46="Categoria inválida","Categoria inválida",IF(OR(H46&lt;1,H46&gt;12),"Fora dos 12 meses","OK"))))))</f>
        <v/>
      </c>
    </row>
    <row r="47">
      <c r="A47" s="35" t="n"/>
      <c r="B47" s="31" t="n"/>
      <c r="C47" s="19">
        <f>IF(B47="","",IF(COUNTIF(Config!$D$6:$D$15,B47)&gt;0,"Entrada",IF(COUNTIF(Config!$F$6:$F$25,B47)&gt;0,"Saída","Categoria inválida")))</f>
        <v/>
      </c>
      <c r="D47" s="31" t="n"/>
      <c r="E47" s="33" t="n"/>
      <c r="F47" s="36" t="n"/>
      <c r="G47" s="31" t="n"/>
      <c r="H47" s="37">
        <f>IF(A47="","",(YEAR(A47)-YEAR(Config!$B$6))*12+MONTH(A47)-MONTH(Config!$B$6)+1)</f>
        <v/>
      </c>
      <c r="I47" s="19">
        <f>IF(AND(A47="",B47="",E47=""),"",IF(A47="","Falta data",IF(B47="","Falta categoria",IF(E47="","Falta valor",IF(C47="Categoria inválida","Categoria inválida",IF(OR(H47&lt;1,H47&gt;12),"Fora dos 12 meses","OK"))))))</f>
        <v/>
      </c>
    </row>
    <row r="48">
      <c r="A48" s="35" t="n"/>
      <c r="B48" s="31" t="n"/>
      <c r="C48" s="19">
        <f>IF(B48="","",IF(COUNTIF(Config!$D$6:$D$15,B48)&gt;0,"Entrada",IF(COUNTIF(Config!$F$6:$F$25,B48)&gt;0,"Saída","Categoria inválida")))</f>
        <v/>
      </c>
      <c r="D48" s="31" t="n"/>
      <c r="E48" s="33" t="n"/>
      <c r="F48" s="36" t="n"/>
      <c r="G48" s="31" t="n"/>
      <c r="H48" s="37">
        <f>IF(A48="","",(YEAR(A48)-YEAR(Config!$B$6))*12+MONTH(A48)-MONTH(Config!$B$6)+1)</f>
        <v/>
      </c>
      <c r="I48" s="19">
        <f>IF(AND(A48="",B48="",E48=""),"",IF(A48="","Falta data",IF(B48="","Falta categoria",IF(E48="","Falta valor",IF(C48="Categoria inválida","Categoria inválida",IF(OR(H48&lt;1,H48&gt;12),"Fora dos 12 meses","OK"))))))</f>
        <v/>
      </c>
    </row>
    <row r="49">
      <c r="A49" s="35" t="n"/>
      <c r="B49" s="31" t="n"/>
      <c r="C49" s="19">
        <f>IF(B49="","",IF(COUNTIF(Config!$D$6:$D$15,B49)&gt;0,"Entrada",IF(COUNTIF(Config!$F$6:$F$25,B49)&gt;0,"Saída","Categoria inválida")))</f>
        <v/>
      </c>
      <c r="D49" s="31" t="n"/>
      <c r="E49" s="33" t="n"/>
      <c r="F49" s="36" t="n"/>
      <c r="G49" s="31" t="n"/>
      <c r="H49" s="37">
        <f>IF(A49="","",(YEAR(A49)-YEAR(Config!$B$6))*12+MONTH(A49)-MONTH(Config!$B$6)+1)</f>
        <v/>
      </c>
      <c r="I49" s="19">
        <f>IF(AND(A49="",B49="",E49=""),"",IF(A49="","Falta data",IF(B49="","Falta categoria",IF(E49="","Falta valor",IF(C49="Categoria inválida","Categoria inválida",IF(OR(H49&lt;1,H49&gt;12),"Fora dos 12 meses","OK"))))))</f>
        <v/>
      </c>
    </row>
    <row r="50">
      <c r="A50" s="35" t="n"/>
      <c r="B50" s="31" t="n"/>
      <c r="C50" s="19">
        <f>IF(B50="","",IF(COUNTIF(Config!$D$6:$D$15,B50)&gt;0,"Entrada",IF(COUNTIF(Config!$F$6:$F$25,B50)&gt;0,"Saída","Categoria inválida")))</f>
        <v/>
      </c>
      <c r="D50" s="31" t="n"/>
      <c r="E50" s="33" t="n"/>
      <c r="F50" s="36" t="n"/>
      <c r="G50" s="31" t="n"/>
      <c r="H50" s="37">
        <f>IF(A50="","",(YEAR(A50)-YEAR(Config!$B$6))*12+MONTH(A50)-MONTH(Config!$B$6)+1)</f>
        <v/>
      </c>
      <c r="I50" s="19">
        <f>IF(AND(A50="",B50="",E50=""),"",IF(A50="","Falta data",IF(B50="","Falta categoria",IF(E50="","Falta valor",IF(C50="Categoria inválida","Categoria inválida",IF(OR(H50&lt;1,H50&gt;12),"Fora dos 12 meses","OK"))))))</f>
        <v/>
      </c>
    </row>
    <row r="51">
      <c r="A51" s="35" t="n"/>
      <c r="B51" s="31" t="n"/>
      <c r="C51" s="19">
        <f>IF(B51="","",IF(COUNTIF(Config!$D$6:$D$15,B51)&gt;0,"Entrada",IF(COUNTIF(Config!$F$6:$F$25,B51)&gt;0,"Saída","Categoria inválida")))</f>
        <v/>
      </c>
      <c r="D51" s="31" t="n"/>
      <c r="E51" s="33" t="n"/>
      <c r="F51" s="36" t="n"/>
      <c r="G51" s="31" t="n"/>
      <c r="H51" s="37">
        <f>IF(A51="","",(YEAR(A51)-YEAR(Config!$B$6))*12+MONTH(A51)-MONTH(Config!$B$6)+1)</f>
        <v/>
      </c>
      <c r="I51" s="19">
        <f>IF(AND(A51="",B51="",E51=""),"",IF(A51="","Falta data",IF(B51="","Falta categoria",IF(E51="","Falta valor",IF(C51="Categoria inválida","Categoria inválida",IF(OR(H51&lt;1,H51&gt;12),"Fora dos 12 meses","OK"))))))</f>
        <v/>
      </c>
    </row>
    <row r="52">
      <c r="A52" s="35" t="n"/>
      <c r="B52" s="31" t="n"/>
      <c r="C52" s="19">
        <f>IF(B52="","",IF(COUNTIF(Config!$D$6:$D$15,B52)&gt;0,"Entrada",IF(COUNTIF(Config!$F$6:$F$25,B52)&gt;0,"Saída","Categoria inválida")))</f>
        <v/>
      </c>
      <c r="D52" s="31" t="n"/>
      <c r="E52" s="33" t="n"/>
      <c r="F52" s="36" t="n"/>
      <c r="G52" s="31" t="n"/>
      <c r="H52" s="37">
        <f>IF(A52="","",(YEAR(A52)-YEAR(Config!$B$6))*12+MONTH(A52)-MONTH(Config!$B$6)+1)</f>
        <v/>
      </c>
      <c r="I52" s="19">
        <f>IF(AND(A52="",B52="",E52=""),"",IF(A52="","Falta data",IF(B52="","Falta categoria",IF(E52="","Falta valor",IF(C52="Categoria inválida","Categoria inválida",IF(OR(H52&lt;1,H52&gt;12),"Fora dos 12 meses","OK"))))))</f>
        <v/>
      </c>
    </row>
    <row r="53">
      <c r="A53" s="35" t="n"/>
      <c r="B53" s="31" t="n"/>
      <c r="C53" s="19">
        <f>IF(B53="","",IF(COUNTIF(Config!$D$6:$D$15,B53)&gt;0,"Entrada",IF(COUNTIF(Config!$F$6:$F$25,B53)&gt;0,"Saída","Categoria inválida")))</f>
        <v/>
      </c>
      <c r="D53" s="31" t="n"/>
      <c r="E53" s="33" t="n"/>
      <c r="F53" s="36" t="n"/>
      <c r="G53" s="31" t="n"/>
      <c r="H53" s="37">
        <f>IF(A53="","",(YEAR(A53)-YEAR(Config!$B$6))*12+MONTH(A53)-MONTH(Config!$B$6)+1)</f>
        <v/>
      </c>
      <c r="I53" s="19">
        <f>IF(AND(A53="",B53="",E53=""),"",IF(A53="","Falta data",IF(B53="","Falta categoria",IF(E53="","Falta valor",IF(C53="Categoria inválida","Categoria inválida",IF(OR(H53&lt;1,H53&gt;12),"Fora dos 12 meses","OK"))))))</f>
        <v/>
      </c>
    </row>
    <row r="54">
      <c r="A54" s="35" t="n"/>
      <c r="B54" s="31" t="n"/>
      <c r="C54" s="19">
        <f>IF(B54="","",IF(COUNTIF(Config!$D$6:$D$15,B54)&gt;0,"Entrada",IF(COUNTIF(Config!$F$6:$F$25,B54)&gt;0,"Saída","Categoria inválida")))</f>
        <v/>
      </c>
      <c r="D54" s="31" t="n"/>
      <c r="E54" s="33" t="n"/>
      <c r="F54" s="36" t="n"/>
      <c r="G54" s="31" t="n"/>
      <c r="H54" s="37">
        <f>IF(A54="","",(YEAR(A54)-YEAR(Config!$B$6))*12+MONTH(A54)-MONTH(Config!$B$6)+1)</f>
        <v/>
      </c>
      <c r="I54" s="19">
        <f>IF(AND(A54="",B54="",E54=""),"",IF(A54="","Falta data",IF(B54="","Falta categoria",IF(E54="","Falta valor",IF(C54="Categoria inválida","Categoria inválida",IF(OR(H54&lt;1,H54&gt;12),"Fora dos 12 meses","OK"))))))</f>
        <v/>
      </c>
    </row>
    <row r="55">
      <c r="A55" s="35" t="n"/>
      <c r="B55" s="31" t="n"/>
      <c r="C55" s="19">
        <f>IF(B55="","",IF(COUNTIF(Config!$D$6:$D$15,B55)&gt;0,"Entrada",IF(COUNTIF(Config!$F$6:$F$25,B55)&gt;0,"Saída","Categoria inválida")))</f>
        <v/>
      </c>
      <c r="D55" s="31" t="n"/>
      <c r="E55" s="33" t="n"/>
      <c r="F55" s="36" t="n"/>
      <c r="G55" s="31" t="n"/>
      <c r="H55" s="37">
        <f>IF(A55="","",(YEAR(A55)-YEAR(Config!$B$6))*12+MONTH(A55)-MONTH(Config!$B$6)+1)</f>
        <v/>
      </c>
      <c r="I55" s="19">
        <f>IF(AND(A55="",B55="",E55=""),"",IF(A55="","Falta data",IF(B55="","Falta categoria",IF(E55="","Falta valor",IF(C55="Categoria inválida","Categoria inválida",IF(OR(H55&lt;1,H55&gt;12),"Fora dos 12 meses","OK"))))))</f>
        <v/>
      </c>
    </row>
    <row r="56">
      <c r="A56" s="35" t="n"/>
      <c r="B56" s="31" t="n"/>
      <c r="C56" s="19">
        <f>IF(B56="","",IF(COUNTIF(Config!$D$6:$D$15,B56)&gt;0,"Entrada",IF(COUNTIF(Config!$F$6:$F$25,B56)&gt;0,"Saída","Categoria inválida")))</f>
        <v/>
      </c>
      <c r="D56" s="31" t="n"/>
      <c r="E56" s="33" t="n"/>
      <c r="F56" s="36" t="n"/>
      <c r="G56" s="31" t="n"/>
      <c r="H56" s="37">
        <f>IF(A56="","",(YEAR(A56)-YEAR(Config!$B$6))*12+MONTH(A56)-MONTH(Config!$B$6)+1)</f>
        <v/>
      </c>
      <c r="I56" s="19">
        <f>IF(AND(A56="",B56="",E56=""),"",IF(A56="","Falta data",IF(B56="","Falta categoria",IF(E56="","Falta valor",IF(C56="Categoria inválida","Categoria inválida",IF(OR(H56&lt;1,H56&gt;12),"Fora dos 12 meses","OK"))))))</f>
        <v/>
      </c>
    </row>
    <row r="57">
      <c r="A57" s="35" t="n"/>
      <c r="B57" s="31" t="n"/>
      <c r="C57" s="19">
        <f>IF(B57="","",IF(COUNTIF(Config!$D$6:$D$15,B57)&gt;0,"Entrada",IF(COUNTIF(Config!$F$6:$F$25,B57)&gt;0,"Saída","Categoria inválida")))</f>
        <v/>
      </c>
      <c r="D57" s="31" t="n"/>
      <c r="E57" s="33" t="n"/>
      <c r="F57" s="36" t="n"/>
      <c r="G57" s="31" t="n"/>
      <c r="H57" s="37">
        <f>IF(A57="","",(YEAR(A57)-YEAR(Config!$B$6))*12+MONTH(A57)-MONTH(Config!$B$6)+1)</f>
        <v/>
      </c>
      <c r="I57" s="19">
        <f>IF(AND(A57="",B57="",E57=""),"",IF(A57="","Falta data",IF(B57="","Falta categoria",IF(E57="","Falta valor",IF(C57="Categoria inválida","Categoria inválida",IF(OR(H57&lt;1,H57&gt;12),"Fora dos 12 meses","OK"))))))</f>
        <v/>
      </c>
    </row>
    <row r="58">
      <c r="A58" s="35" t="n"/>
      <c r="B58" s="31" t="n"/>
      <c r="C58" s="19">
        <f>IF(B58="","",IF(COUNTIF(Config!$D$6:$D$15,B58)&gt;0,"Entrada",IF(COUNTIF(Config!$F$6:$F$25,B58)&gt;0,"Saída","Categoria inválida")))</f>
        <v/>
      </c>
      <c r="D58" s="31" t="n"/>
      <c r="E58" s="33" t="n"/>
      <c r="F58" s="36" t="n"/>
      <c r="G58" s="31" t="n"/>
      <c r="H58" s="37">
        <f>IF(A58="","",(YEAR(A58)-YEAR(Config!$B$6))*12+MONTH(A58)-MONTH(Config!$B$6)+1)</f>
        <v/>
      </c>
      <c r="I58" s="19">
        <f>IF(AND(A58="",B58="",E58=""),"",IF(A58="","Falta data",IF(B58="","Falta categoria",IF(E58="","Falta valor",IF(C58="Categoria inválida","Categoria inválida",IF(OR(H58&lt;1,H58&gt;12),"Fora dos 12 meses","OK"))))))</f>
        <v/>
      </c>
    </row>
    <row r="59">
      <c r="A59" s="35" t="n"/>
      <c r="B59" s="31" t="n"/>
      <c r="C59" s="19">
        <f>IF(B59="","",IF(COUNTIF(Config!$D$6:$D$15,B59)&gt;0,"Entrada",IF(COUNTIF(Config!$F$6:$F$25,B59)&gt;0,"Saída","Categoria inválida")))</f>
        <v/>
      </c>
      <c r="D59" s="31" t="n"/>
      <c r="E59" s="33" t="n"/>
      <c r="F59" s="36" t="n"/>
      <c r="G59" s="31" t="n"/>
      <c r="H59" s="37">
        <f>IF(A59="","",(YEAR(A59)-YEAR(Config!$B$6))*12+MONTH(A59)-MONTH(Config!$B$6)+1)</f>
        <v/>
      </c>
      <c r="I59" s="19">
        <f>IF(AND(A59="",B59="",E59=""),"",IF(A59="","Falta data",IF(B59="","Falta categoria",IF(E59="","Falta valor",IF(C59="Categoria inválida","Categoria inválida",IF(OR(H59&lt;1,H59&gt;12),"Fora dos 12 meses","OK"))))))</f>
        <v/>
      </c>
    </row>
    <row r="60">
      <c r="A60" s="35" t="n"/>
      <c r="B60" s="31" t="n"/>
      <c r="C60" s="19">
        <f>IF(B60="","",IF(COUNTIF(Config!$D$6:$D$15,B60)&gt;0,"Entrada",IF(COUNTIF(Config!$F$6:$F$25,B60)&gt;0,"Saída","Categoria inválida")))</f>
        <v/>
      </c>
      <c r="D60" s="31" t="n"/>
      <c r="E60" s="33" t="n"/>
      <c r="F60" s="36" t="n"/>
      <c r="G60" s="31" t="n"/>
      <c r="H60" s="37">
        <f>IF(A60="","",(YEAR(A60)-YEAR(Config!$B$6))*12+MONTH(A60)-MONTH(Config!$B$6)+1)</f>
        <v/>
      </c>
      <c r="I60" s="19">
        <f>IF(AND(A60="",B60="",E60=""),"",IF(A60="","Falta data",IF(B60="","Falta categoria",IF(E60="","Falta valor",IF(C60="Categoria inválida","Categoria inválida",IF(OR(H60&lt;1,H60&gt;12),"Fora dos 12 meses","OK"))))))</f>
        <v/>
      </c>
    </row>
    <row r="61">
      <c r="A61" s="35" t="n"/>
      <c r="B61" s="31" t="n"/>
      <c r="C61" s="19">
        <f>IF(B61="","",IF(COUNTIF(Config!$D$6:$D$15,B61)&gt;0,"Entrada",IF(COUNTIF(Config!$F$6:$F$25,B61)&gt;0,"Saída","Categoria inválida")))</f>
        <v/>
      </c>
      <c r="D61" s="31" t="n"/>
      <c r="E61" s="33" t="n"/>
      <c r="F61" s="36" t="n"/>
      <c r="G61" s="31" t="n"/>
      <c r="H61" s="37">
        <f>IF(A61="","",(YEAR(A61)-YEAR(Config!$B$6))*12+MONTH(A61)-MONTH(Config!$B$6)+1)</f>
        <v/>
      </c>
      <c r="I61" s="19">
        <f>IF(AND(A61="",B61="",E61=""),"",IF(A61="","Falta data",IF(B61="","Falta categoria",IF(E61="","Falta valor",IF(C61="Categoria inválida","Categoria inválida",IF(OR(H61&lt;1,H61&gt;12),"Fora dos 12 meses","OK"))))))</f>
        <v/>
      </c>
    </row>
    <row r="62">
      <c r="A62" s="35" t="n"/>
      <c r="B62" s="31" t="n"/>
      <c r="C62" s="19">
        <f>IF(B62="","",IF(COUNTIF(Config!$D$6:$D$15,B62)&gt;0,"Entrada",IF(COUNTIF(Config!$F$6:$F$25,B62)&gt;0,"Saída","Categoria inválida")))</f>
        <v/>
      </c>
      <c r="D62" s="31" t="n"/>
      <c r="E62" s="33" t="n"/>
      <c r="F62" s="36" t="n"/>
      <c r="G62" s="31" t="n"/>
      <c r="H62" s="37">
        <f>IF(A62="","",(YEAR(A62)-YEAR(Config!$B$6))*12+MONTH(A62)-MONTH(Config!$B$6)+1)</f>
        <v/>
      </c>
      <c r="I62" s="19">
        <f>IF(AND(A62="",B62="",E62=""),"",IF(A62="","Falta data",IF(B62="","Falta categoria",IF(E62="","Falta valor",IF(C62="Categoria inválida","Categoria inválida",IF(OR(H62&lt;1,H62&gt;12),"Fora dos 12 meses","OK"))))))</f>
        <v/>
      </c>
    </row>
    <row r="63">
      <c r="A63" s="35" t="n"/>
      <c r="B63" s="31" t="n"/>
      <c r="C63" s="19">
        <f>IF(B63="","",IF(COUNTIF(Config!$D$6:$D$15,B63)&gt;0,"Entrada",IF(COUNTIF(Config!$F$6:$F$25,B63)&gt;0,"Saída","Categoria inválida")))</f>
        <v/>
      </c>
      <c r="D63" s="31" t="n"/>
      <c r="E63" s="33" t="n"/>
      <c r="F63" s="36" t="n"/>
      <c r="G63" s="31" t="n"/>
      <c r="H63" s="37">
        <f>IF(A63="","",(YEAR(A63)-YEAR(Config!$B$6))*12+MONTH(A63)-MONTH(Config!$B$6)+1)</f>
        <v/>
      </c>
      <c r="I63" s="19">
        <f>IF(AND(A63="",B63="",E63=""),"",IF(A63="","Falta data",IF(B63="","Falta categoria",IF(E63="","Falta valor",IF(C63="Categoria inválida","Categoria inválida",IF(OR(H63&lt;1,H63&gt;12),"Fora dos 12 meses","OK"))))))</f>
        <v/>
      </c>
    </row>
    <row r="64">
      <c r="A64" s="35" t="n"/>
      <c r="B64" s="31" t="n"/>
      <c r="C64" s="19">
        <f>IF(B64="","",IF(COUNTIF(Config!$D$6:$D$15,B64)&gt;0,"Entrada",IF(COUNTIF(Config!$F$6:$F$25,B64)&gt;0,"Saída","Categoria inválida")))</f>
        <v/>
      </c>
      <c r="D64" s="31" t="n"/>
      <c r="E64" s="33" t="n"/>
      <c r="F64" s="36" t="n"/>
      <c r="G64" s="31" t="n"/>
      <c r="H64" s="37">
        <f>IF(A64="","",(YEAR(A64)-YEAR(Config!$B$6))*12+MONTH(A64)-MONTH(Config!$B$6)+1)</f>
        <v/>
      </c>
      <c r="I64" s="19">
        <f>IF(AND(A64="",B64="",E64=""),"",IF(A64="","Falta data",IF(B64="","Falta categoria",IF(E64="","Falta valor",IF(C64="Categoria inválida","Categoria inválida",IF(OR(H64&lt;1,H64&gt;12),"Fora dos 12 meses","OK"))))))</f>
        <v/>
      </c>
    </row>
    <row r="65">
      <c r="A65" s="35" t="n"/>
      <c r="B65" s="31" t="n"/>
      <c r="C65" s="19">
        <f>IF(B65="","",IF(COUNTIF(Config!$D$6:$D$15,B65)&gt;0,"Entrada",IF(COUNTIF(Config!$F$6:$F$25,B65)&gt;0,"Saída","Categoria inválida")))</f>
        <v/>
      </c>
      <c r="D65" s="31" t="n"/>
      <c r="E65" s="33" t="n"/>
      <c r="F65" s="36" t="n"/>
      <c r="G65" s="31" t="n"/>
      <c r="H65" s="37">
        <f>IF(A65="","",(YEAR(A65)-YEAR(Config!$B$6))*12+MONTH(A65)-MONTH(Config!$B$6)+1)</f>
        <v/>
      </c>
      <c r="I65" s="19">
        <f>IF(AND(A65="",B65="",E65=""),"",IF(A65="","Falta data",IF(B65="","Falta categoria",IF(E65="","Falta valor",IF(C65="Categoria inválida","Categoria inválida",IF(OR(H65&lt;1,H65&gt;12),"Fora dos 12 meses","OK"))))))</f>
        <v/>
      </c>
    </row>
    <row r="66">
      <c r="A66" s="35" t="n"/>
      <c r="B66" s="31" t="n"/>
      <c r="C66" s="19">
        <f>IF(B66="","",IF(COUNTIF(Config!$D$6:$D$15,B66)&gt;0,"Entrada",IF(COUNTIF(Config!$F$6:$F$25,B66)&gt;0,"Saída","Categoria inválida")))</f>
        <v/>
      </c>
      <c r="D66" s="31" t="n"/>
      <c r="E66" s="33" t="n"/>
      <c r="F66" s="36" t="n"/>
      <c r="G66" s="31" t="n"/>
      <c r="H66" s="37">
        <f>IF(A66="","",(YEAR(A66)-YEAR(Config!$B$6))*12+MONTH(A66)-MONTH(Config!$B$6)+1)</f>
        <v/>
      </c>
      <c r="I66" s="19">
        <f>IF(AND(A66="",B66="",E66=""),"",IF(A66="","Falta data",IF(B66="","Falta categoria",IF(E66="","Falta valor",IF(C66="Categoria inválida","Categoria inválida",IF(OR(H66&lt;1,H66&gt;12),"Fora dos 12 meses","OK"))))))</f>
        <v/>
      </c>
    </row>
    <row r="67">
      <c r="A67" s="35" t="n"/>
      <c r="B67" s="31" t="n"/>
      <c r="C67" s="19">
        <f>IF(B67="","",IF(COUNTIF(Config!$D$6:$D$15,B67)&gt;0,"Entrada",IF(COUNTIF(Config!$F$6:$F$25,B67)&gt;0,"Saída","Categoria inválida")))</f>
        <v/>
      </c>
      <c r="D67" s="31" t="n"/>
      <c r="E67" s="33" t="n"/>
      <c r="F67" s="36" t="n"/>
      <c r="G67" s="31" t="n"/>
      <c r="H67" s="37">
        <f>IF(A67="","",(YEAR(A67)-YEAR(Config!$B$6))*12+MONTH(A67)-MONTH(Config!$B$6)+1)</f>
        <v/>
      </c>
      <c r="I67" s="19">
        <f>IF(AND(A67="",B67="",E67=""),"",IF(A67="","Falta data",IF(B67="","Falta categoria",IF(E67="","Falta valor",IF(C67="Categoria inválida","Categoria inválida",IF(OR(H67&lt;1,H67&gt;12),"Fora dos 12 meses","OK"))))))</f>
        <v/>
      </c>
    </row>
    <row r="68">
      <c r="A68" s="35" t="n"/>
      <c r="B68" s="31" t="n"/>
      <c r="C68" s="19">
        <f>IF(B68="","",IF(COUNTIF(Config!$D$6:$D$15,B68)&gt;0,"Entrada",IF(COUNTIF(Config!$F$6:$F$25,B68)&gt;0,"Saída","Categoria inválida")))</f>
        <v/>
      </c>
      <c r="D68" s="31" t="n"/>
      <c r="E68" s="33" t="n"/>
      <c r="F68" s="36" t="n"/>
      <c r="G68" s="31" t="n"/>
      <c r="H68" s="37">
        <f>IF(A68="","",(YEAR(A68)-YEAR(Config!$B$6))*12+MONTH(A68)-MONTH(Config!$B$6)+1)</f>
        <v/>
      </c>
      <c r="I68" s="19">
        <f>IF(AND(A68="",B68="",E68=""),"",IF(A68="","Falta data",IF(B68="","Falta categoria",IF(E68="","Falta valor",IF(C68="Categoria inválida","Categoria inválida",IF(OR(H68&lt;1,H68&gt;12),"Fora dos 12 meses","OK"))))))</f>
        <v/>
      </c>
    </row>
    <row r="69">
      <c r="A69" s="35" t="n"/>
      <c r="B69" s="31" t="n"/>
      <c r="C69" s="19">
        <f>IF(B69="","",IF(COUNTIF(Config!$D$6:$D$15,B69)&gt;0,"Entrada",IF(COUNTIF(Config!$F$6:$F$25,B69)&gt;0,"Saída","Categoria inválida")))</f>
        <v/>
      </c>
      <c r="D69" s="31" t="n"/>
      <c r="E69" s="33" t="n"/>
      <c r="F69" s="36" t="n"/>
      <c r="G69" s="31" t="n"/>
      <c r="H69" s="37">
        <f>IF(A69="","",(YEAR(A69)-YEAR(Config!$B$6))*12+MONTH(A69)-MONTH(Config!$B$6)+1)</f>
        <v/>
      </c>
      <c r="I69" s="19">
        <f>IF(AND(A69="",B69="",E69=""),"",IF(A69="","Falta data",IF(B69="","Falta categoria",IF(E69="","Falta valor",IF(C69="Categoria inválida","Categoria inválida",IF(OR(H69&lt;1,H69&gt;12),"Fora dos 12 meses","OK"))))))</f>
        <v/>
      </c>
    </row>
    <row r="70">
      <c r="A70" s="35" t="n"/>
      <c r="B70" s="31" t="n"/>
      <c r="C70" s="19">
        <f>IF(B70="","",IF(COUNTIF(Config!$D$6:$D$15,B70)&gt;0,"Entrada",IF(COUNTIF(Config!$F$6:$F$25,B70)&gt;0,"Saída","Categoria inválida")))</f>
        <v/>
      </c>
      <c r="D70" s="31" t="n"/>
      <c r="E70" s="33" t="n"/>
      <c r="F70" s="36" t="n"/>
      <c r="G70" s="31" t="n"/>
      <c r="H70" s="37">
        <f>IF(A70="","",(YEAR(A70)-YEAR(Config!$B$6))*12+MONTH(A70)-MONTH(Config!$B$6)+1)</f>
        <v/>
      </c>
      <c r="I70" s="19">
        <f>IF(AND(A70="",B70="",E70=""),"",IF(A70="","Falta data",IF(B70="","Falta categoria",IF(E70="","Falta valor",IF(C70="Categoria inválida","Categoria inválida",IF(OR(H70&lt;1,H70&gt;12),"Fora dos 12 meses","OK"))))))</f>
        <v/>
      </c>
    </row>
    <row r="71">
      <c r="A71" s="35" t="n"/>
      <c r="B71" s="31" t="n"/>
      <c r="C71" s="19">
        <f>IF(B71="","",IF(COUNTIF(Config!$D$6:$D$15,B71)&gt;0,"Entrada",IF(COUNTIF(Config!$F$6:$F$25,B71)&gt;0,"Saída","Categoria inválida")))</f>
        <v/>
      </c>
      <c r="D71" s="31" t="n"/>
      <c r="E71" s="33" t="n"/>
      <c r="F71" s="36" t="n"/>
      <c r="G71" s="31" t="n"/>
      <c r="H71" s="37">
        <f>IF(A71="","",(YEAR(A71)-YEAR(Config!$B$6))*12+MONTH(A71)-MONTH(Config!$B$6)+1)</f>
        <v/>
      </c>
      <c r="I71" s="19">
        <f>IF(AND(A71="",B71="",E71=""),"",IF(A71="","Falta data",IF(B71="","Falta categoria",IF(E71="","Falta valor",IF(C71="Categoria inválida","Categoria inválida",IF(OR(H71&lt;1,H71&gt;12),"Fora dos 12 meses","OK"))))))</f>
        <v/>
      </c>
    </row>
    <row r="72">
      <c r="A72" s="35" t="n"/>
      <c r="B72" s="31" t="n"/>
      <c r="C72" s="19">
        <f>IF(B72="","",IF(COUNTIF(Config!$D$6:$D$15,B72)&gt;0,"Entrada",IF(COUNTIF(Config!$F$6:$F$25,B72)&gt;0,"Saída","Categoria inválida")))</f>
        <v/>
      </c>
      <c r="D72" s="31" t="n"/>
      <c r="E72" s="33" t="n"/>
      <c r="F72" s="36" t="n"/>
      <c r="G72" s="31" t="n"/>
      <c r="H72" s="37">
        <f>IF(A72="","",(YEAR(A72)-YEAR(Config!$B$6))*12+MONTH(A72)-MONTH(Config!$B$6)+1)</f>
        <v/>
      </c>
      <c r="I72" s="19">
        <f>IF(AND(A72="",B72="",E72=""),"",IF(A72="","Falta data",IF(B72="","Falta categoria",IF(E72="","Falta valor",IF(C72="Categoria inválida","Categoria inválida",IF(OR(H72&lt;1,H72&gt;12),"Fora dos 12 meses","OK"))))))</f>
        <v/>
      </c>
    </row>
    <row r="73">
      <c r="A73" s="35" t="n"/>
      <c r="B73" s="31" t="n"/>
      <c r="C73" s="19">
        <f>IF(B73="","",IF(COUNTIF(Config!$D$6:$D$15,B73)&gt;0,"Entrada",IF(COUNTIF(Config!$F$6:$F$25,B73)&gt;0,"Saída","Categoria inválida")))</f>
        <v/>
      </c>
      <c r="D73" s="31" t="n"/>
      <c r="E73" s="33" t="n"/>
      <c r="F73" s="36" t="n"/>
      <c r="G73" s="31" t="n"/>
      <c r="H73" s="37">
        <f>IF(A73="","",(YEAR(A73)-YEAR(Config!$B$6))*12+MONTH(A73)-MONTH(Config!$B$6)+1)</f>
        <v/>
      </c>
      <c r="I73" s="19">
        <f>IF(AND(A73="",B73="",E73=""),"",IF(A73="","Falta data",IF(B73="","Falta categoria",IF(E73="","Falta valor",IF(C73="Categoria inválida","Categoria inválida",IF(OR(H73&lt;1,H73&gt;12),"Fora dos 12 meses","OK"))))))</f>
        <v/>
      </c>
    </row>
    <row r="74">
      <c r="A74" s="35" t="n"/>
      <c r="B74" s="31" t="n"/>
      <c r="C74" s="19">
        <f>IF(B74="","",IF(COUNTIF(Config!$D$6:$D$15,B74)&gt;0,"Entrada",IF(COUNTIF(Config!$F$6:$F$25,B74)&gt;0,"Saída","Categoria inválida")))</f>
        <v/>
      </c>
      <c r="D74" s="31" t="n"/>
      <c r="E74" s="33" t="n"/>
      <c r="F74" s="36" t="n"/>
      <c r="G74" s="31" t="n"/>
      <c r="H74" s="37">
        <f>IF(A74="","",(YEAR(A74)-YEAR(Config!$B$6))*12+MONTH(A74)-MONTH(Config!$B$6)+1)</f>
        <v/>
      </c>
      <c r="I74" s="19">
        <f>IF(AND(A74="",B74="",E74=""),"",IF(A74="","Falta data",IF(B74="","Falta categoria",IF(E74="","Falta valor",IF(C74="Categoria inválida","Categoria inválida",IF(OR(H74&lt;1,H74&gt;12),"Fora dos 12 meses","OK"))))))</f>
        <v/>
      </c>
    </row>
    <row r="75">
      <c r="A75" s="35" t="n"/>
      <c r="B75" s="31" t="n"/>
      <c r="C75" s="19">
        <f>IF(B75="","",IF(COUNTIF(Config!$D$6:$D$15,B75)&gt;0,"Entrada",IF(COUNTIF(Config!$F$6:$F$25,B75)&gt;0,"Saída","Categoria inválida")))</f>
        <v/>
      </c>
      <c r="D75" s="31" t="n"/>
      <c r="E75" s="33" t="n"/>
      <c r="F75" s="36" t="n"/>
      <c r="G75" s="31" t="n"/>
      <c r="H75" s="37">
        <f>IF(A75="","",(YEAR(A75)-YEAR(Config!$B$6))*12+MONTH(A75)-MONTH(Config!$B$6)+1)</f>
        <v/>
      </c>
      <c r="I75" s="19">
        <f>IF(AND(A75="",B75="",E75=""),"",IF(A75="","Falta data",IF(B75="","Falta categoria",IF(E75="","Falta valor",IF(C75="Categoria inválida","Categoria inválida",IF(OR(H75&lt;1,H75&gt;12),"Fora dos 12 meses","OK"))))))</f>
        <v/>
      </c>
    </row>
    <row r="76">
      <c r="A76" s="35" t="n"/>
      <c r="B76" s="31" t="n"/>
      <c r="C76" s="19">
        <f>IF(B76="","",IF(COUNTIF(Config!$D$6:$D$15,B76)&gt;0,"Entrada",IF(COUNTIF(Config!$F$6:$F$25,B76)&gt;0,"Saída","Categoria inválida")))</f>
        <v/>
      </c>
      <c r="D76" s="31" t="n"/>
      <c r="E76" s="33" t="n"/>
      <c r="F76" s="36" t="n"/>
      <c r="G76" s="31" t="n"/>
      <c r="H76" s="37">
        <f>IF(A76="","",(YEAR(A76)-YEAR(Config!$B$6))*12+MONTH(A76)-MONTH(Config!$B$6)+1)</f>
        <v/>
      </c>
      <c r="I76" s="19">
        <f>IF(AND(A76="",B76="",E76=""),"",IF(A76="","Falta data",IF(B76="","Falta categoria",IF(E76="","Falta valor",IF(C76="Categoria inválida","Categoria inválida",IF(OR(H76&lt;1,H76&gt;12),"Fora dos 12 meses","OK"))))))</f>
        <v/>
      </c>
    </row>
    <row r="77">
      <c r="A77" s="35" t="n"/>
      <c r="B77" s="31" t="n"/>
      <c r="C77" s="19">
        <f>IF(B77="","",IF(COUNTIF(Config!$D$6:$D$15,B77)&gt;0,"Entrada",IF(COUNTIF(Config!$F$6:$F$25,B77)&gt;0,"Saída","Categoria inválida")))</f>
        <v/>
      </c>
      <c r="D77" s="31" t="n"/>
      <c r="E77" s="33" t="n"/>
      <c r="F77" s="36" t="n"/>
      <c r="G77" s="31" t="n"/>
      <c r="H77" s="37">
        <f>IF(A77="","",(YEAR(A77)-YEAR(Config!$B$6))*12+MONTH(A77)-MONTH(Config!$B$6)+1)</f>
        <v/>
      </c>
      <c r="I77" s="19">
        <f>IF(AND(A77="",B77="",E77=""),"",IF(A77="","Falta data",IF(B77="","Falta categoria",IF(E77="","Falta valor",IF(C77="Categoria inválida","Categoria inválida",IF(OR(H77&lt;1,H77&gt;12),"Fora dos 12 meses","OK"))))))</f>
        <v/>
      </c>
    </row>
    <row r="78">
      <c r="A78" s="35" t="n"/>
      <c r="B78" s="31" t="n"/>
      <c r="C78" s="19">
        <f>IF(B78="","",IF(COUNTIF(Config!$D$6:$D$15,B78)&gt;0,"Entrada",IF(COUNTIF(Config!$F$6:$F$25,B78)&gt;0,"Saída","Categoria inválida")))</f>
        <v/>
      </c>
      <c r="D78" s="31" t="n"/>
      <c r="E78" s="33" t="n"/>
      <c r="F78" s="36" t="n"/>
      <c r="G78" s="31" t="n"/>
      <c r="H78" s="37">
        <f>IF(A78="","",(YEAR(A78)-YEAR(Config!$B$6))*12+MONTH(A78)-MONTH(Config!$B$6)+1)</f>
        <v/>
      </c>
      <c r="I78" s="19">
        <f>IF(AND(A78="",B78="",E78=""),"",IF(A78="","Falta data",IF(B78="","Falta categoria",IF(E78="","Falta valor",IF(C78="Categoria inválida","Categoria inválida",IF(OR(H78&lt;1,H78&gt;12),"Fora dos 12 meses","OK"))))))</f>
        <v/>
      </c>
    </row>
    <row r="79">
      <c r="A79" s="35" t="n"/>
      <c r="B79" s="31" t="n"/>
      <c r="C79" s="19">
        <f>IF(B79="","",IF(COUNTIF(Config!$D$6:$D$15,B79)&gt;0,"Entrada",IF(COUNTIF(Config!$F$6:$F$25,B79)&gt;0,"Saída","Categoria inválida")))</f>
        <v/>
      </c>
      <c r="D79" s="31" t="n"/>
      <c r="E79" s="33" t="n"/>
      <c r="F79" s="36" t="n"/>
      <c r="G79" s="31" t="n"/>
      <c r="H79" s="37">
        <f>IF(A79="","",(YEAR(A79)-YEAR(Config!$B$6))*12+MONTH(A79)-MONTH(Config!$B$6)+1)</f>
        <v/>
      </c>
      <c r="I79" s="19">
        <f>IF(AND(A79="",B79="",E79=""),"",IF(A79="","Falta data",IF(B79="","Falta categoria",IF(E79="","Falta valor",IF(C79="Categoria inválida","Categoria inválida",IF(OR(H79&lt;1,H79&gt;12),"Fora dos 12 meses","OK"))))))</f>
        <v/>
      </c>
    </row>
    <row r="80">
      <c r="A80" s="35" t="n"/>
      <c r="B80" s="31" t="n"/>
      <c r="C80" s="19">
        <f>IF(B80="","",IF(COUNTIF(Config!$D$6:$D$15,B80)&gt;0,"Entrada",IF(COUNTIF(Config!$F$6:$F$25,B80)&gt;0,"Saída","Categoria inválida")))</f>
        <v/>
      </c>
      <c r="D80" s="31" t="n"/>
      <c r="E80" s="33" t="n"/>
      <c r="F80" s="36" t="n"/>
      <c r="G80" s="31" t="n"/>
      <c r="H80" s="37">
        <f>IF(A80="","",(YEAR(A80)-YEAR(Config!$B$6))*12+MONTH(A80)-MONTH(Config!$B$6)+1)</f>
        <v/>
      </c>
      <c r="I80" s="19">
        <f>IF(AND(A80="",B80="",E80=""),"",IF(A80="","Falta data",IF(B80="","Falta categoria",IF(E80="","Falta valor",IF(C80="Categoria inválida","Categoria inválida",IF(OR(H80&lt;1,H80&gt;12),"Fora dos 12 meses","OK"))))))</f>
        <v/>
      </c>
    </row>
    <row r="81">
      <c r="A81" s="35" t="n"/>
      <c r="B81" s="31" t="n"/>
      <c r="C81" s="19">
        <f>IF(B81="","",IF(COUNTIF(Config!$D$6:$D$15,B81)&gt;0,"Entrada",IF(COUNTIF(Config!$F$6:$F$25,B81)&gt;0,"Saída","Categoria inválida")))</f>
        <v/>
      </c>
      <c r="D81" s="31" t="n"/>
      <c r="E81" s="33" t="n"/>
      <c r="F81" s="36" t="n"/>
      <c r="G81" s="31" t="n"/>
      <c r="H81" s="37">
        <f>IF(A81="","",(YEAR(A81)-YEAR(Config!$B$6))*12+MONTH(A81)-MONTH(Config!$B$6)+1)</f>
        <v/>
      </c>
      <c r="I81" s="19">
        <f>IF(AND(A81="",B81="",E81=""),"",IF(A81="","Falta data",IF(B81="","Falta categoria",IF(E81="","Falta valor",IF(C81="Categoria inválida","Categoria inválida",IF(OR(H81&lt;1,H81&gt;12),"Fora dos 12 meses","OK"))))))</f>
        <v/>
      </c>
    </row>
    <row r="82">
      <c r="A82" s="35" t="n"/>
      <c r="B82" s="31" t="n"/>
      <c r="C82" s="19">
        <f>IF(B82="","",IF(COUNTIF(Config!$D$6:$D$15,B82)&gt;0,"Entrada",IF(COUNTIF(Config!$F$6:$F$25,B82)&gt;0,"Saída","Categoria inválida")))</f>
        <v/>
      </c>
      <c r="D82" s="31" t="n"/>
      <c r="E82" s="33" t="n"/>
      <c r="F82" s="36" t="n"/>
      <c r="G82" s="31" t="n"/>
      <c r="H82" s="37">
        <f>IF(A82="","",(YEAR(A82)-YEAR(Config!$B$6))*12+MONTH(A82)-MONTH(Config!$B$6)+1)</f>
        <v/>
      </c>
      <c r="I82" s="19">
        <f>IF(AND(A82="",B82="",E82=""),"",IF(A82="","Falta data",IF(B82="","Falta categoria",IF(E82="","Falta valor",IF(C82="Categoria inválida","Categoria inválida",IF(OR(H82&lt;1,H82&gt;12),"Fora dos 12 meses","OK"))))))</f>
        <v/>
      </c>
    </row>
    <row r="83">
      <c r="A83" s="35" t="n"/>
      <c r="B83" s="31" t="n"/>
      <c r="C83" s="19">
        <f>IF(B83="","",IF(COUNTIF(Config!$D$6:$D$15,B83)&gt;0,"Entrada",IF(COUNTIF(Config!$F$6:$F$25,B83)&gt;0,"Saída","Categoria inválida")))</f>
        <v/>
      </c>
      <c r="D83" s="31" t="n"/>
      <c r="E83" s="33" t="n"/>
      <c r="F83" s="36" t="n"/>
      <c r="G83" s="31" t="n"/>
      <c r="H83" s="37">
        <f>IF(A83="","",(YEAR(A83)-YEAR(Config!$B$6))*12+MONTH(A83)-MONTH(Config!$B$6)+1)</f>
        <v/>
      </c>
      <c r="I83" s="19">
        <f>IF(AND(A83="",B83="",E83=""),"",IF(A83="","Falta data",IF(B83="","Falta categoria",IF(E83="","Falta valor",IF(C83="Categoria inválida","Categoria inválida",IF(OR(H83&lt;1,H83&gt;12),"Fora dos 12 meses","OK"))))))</f>
        <v/>
      </c>
    </row>
    <row r="84">
      <c r="A84" s="35" t="n"/>
      <c r="B84" s="31" t="n"/>
      <c r="C84" s="19">
        <f>IF(B84="","",IF(COUNTIF(Config!$D$6:$D$15,B84)&gt;0,"Entrada",IF(COUNTIF(Config!$F$6:$F$25,B84)&gt;0,"Saída","Categoria inválida")))</f>
        <v/>
      </c>
      <c r="D84" s="31" t="n"/>
      <c r="E84" s="33" t="n"/>
      <c r="F84" s="36" t="n"/>
      <c r="G84" s="31" t="n"/>
      <c r="H84" s="37">
        <f>IF(A84="","",(YEAR(A84)-YEAR(Config!$B$6))*12+MONTH(A84)-MONTH(Config!$B$6)+1)</f>
        <v/>
      </c>
      <c r="I84" s="19">
        <f>IF(AND(A84="",B84="",E84=""),"",IF(A84="","Falta data",IF(B84="","Falta categoria",IF(E84="","Falta valor",IF(C84="Categoria inválida","Categoria inválida",IF(OR(H84&lt;1,H84&gt;12),"Fora dos 12 meses","OK"))))))</f>
        <v/>
      </c>
    </row>
    <row r="85">
      <c r="A85" s="35" t="n"/>
      <c r="B85" s="31" t="n"/>
      <c r="C85" s="19">
        <f>IF(B85="","",IF(COUNTIF(Config!$D$6:$D$15,B85)&gt;0,"Entrada",IF(COUNTIF(Config!$F$6:$F$25,B85)&gt;0,"Saída","Categoria inválida")))</f>
        <v/>
      </c>
      <c r="D85" s="31" t="n"/>
      <c r="E85" s="33" t="n"/>
      <c r="F85" s="36" t="n"/>
      <c r="G85" s="31" t="n"/>
      <c r="H85" s="37">
        <f>IF(A85="","",(YEAR(A85)-YEAR(Config!$B$6))*12+MONTH(A85)-MONTH(Config!$B$6)+1)</f>
        <v/>
      </c>
      <c r="I85" s="19">
        <f>IF(AND(A85="",B85="",E85=""),"",IF(A85="","Falta data",IF(B85="","Falta categoria",IF(E85="","Falta valor",IF(C85="Categoria inválida","Categoria inválida",IF(OR(H85&lt;1,H85&gt;12),"Fora dos 12 meses","OK"))))))</f>
        <v/>
      </c>
    </row>
    <row r="86">
      <c r="A86" s="35" t="n"/>
      <c r="B86" s="31" t="n"/>
      <c r="C86" s="19">
        <f>IF(B86="","",IF(COUNTIF(Config!$D$6:$D$15,B86)&gt;0,"Entrada",IF(COUNTIF(Config!$F$6:$F$25,B86)&gt;0,"Saída","Categoria inválida")))</f>
        <v/>
      </c>
      <c r="D86" s="31" t="n"/>
      <c r="E86" s="33" t="n"/>
      <c r="F86" s="36" t="n"/>
      <c r="G86" s="31" t="n"/>
      <c r="H86" s="37">
        <f>IF(A86="","",(YEAR(A86)-YEAR(Config!$B$6))*12+MONTH(A86)-MONTH(Config!$B$6)+1)</f>
        <v/>
      </c>
      <c r="I86" s="19">
        <f>IF(AND(A86="",B86="",E86=""),"",IF(A86="","Falta data",IF(B86="","Falta categoria",IF(E86="","Falta valor",IF(C86="Categoria inválida","Categoria inválida",IF(OR(H86&lt;1,H86&gt;12),"Fora dos 12 meses","OK"))))))</f>
        <v/>
      </c>
    </row>
    <row r="87">
      <c r="A87" s="35" t="n"/>
      <c r="B87" s="31" t="n"/>
      <c r="C87" s="19">
        <f>IF(B87="","",IF(COUNTIF(Config!$D$6:$D$15,B87)&gt;0,"Entrada",IF(COUNTIF(Config!$F$6:$F$25,B87)&gt;0,"Saída","Categoria inválida")))</f>
        <v/>
      </c>
      <c r="D87" s="31" t="n"/>
      <c r="E87" s="33" t="n"/>
      <c r="F87" s="36" t="n"/>
      <c r="G87" s="31" t="n"/>
      <c r="H87" s="37">
        <f>IF(A87="","",(YEAR(A87)-YEAR(Config!$B$6))*12+MONTH(A87)-MONTH(Config!$B$6)+1)</f>
        <v/>
      </c>
      <c r="I87" s="19">
        <f>IF(AND(A87="",B87="",E87=""),"",IF(A87="","Falta data",IF(B87="","Falta categoria",IF(E87="","Falta valor",IF(C87="Categoria inválida","Categoria inválida",IF(OR(H87&lt;1,H87&gt;12),"Fora dos 12 meses","OK"))))))</f>
        <v/>
      </c>
    </row>
    <row r="88">
      <c r="A88" s="35" t="n"/>
      <c r="B88" s="31" t="n"/>
      <c r="C88" s="19">
        <f>IF(B88="","",IF(COUNTIF(Config!$D$6:$D$15,B88)&gt;0,"Entrada",IF(COUNTIF(Config!$F$6:$F$25,B88)&gt;0,"Saída","Categoria inválida")))</f>
        <v/>
      </c>
      <c r="D88" s="31" t="n"/>
      <c r="E88" s="33" t="n"/>
      <c r="F88" s="36" t="n"/>
      <c r="G88" s="31" t="n"/>
      <c r="H88" s="37">
        <f>IF(A88="","",(YEAR(A88)-YEAR(Config!$B$6))*12+MONTH(A88)-MONTH(Config!$B$6)+1)</f>
        <v/>
      </c>
      <c r="I88" s="19">
        <f>IF(AND(A88="",B88="",E88=""),"",IF(A88="","Falta data",IF(B88="","Falta categoria",IF(E88="","Falta valor",IF(C88="Categoria inválida","Categoria inválida",IF(OR(H88&lt;1,H88&gt;12),"Fora dos 12 meses","OK"))))))</f>
        <v/>
      </c>
    </row>
    <row r="89">
      <c r="A89" s="35" t="n"/>
      <c r="B89" s="31" t="n"/>
      <c r="C89" s="19">
        <f>IF(B89="","",IF(COUNTIF(Config!$D$6:$D$15,B89)&gt;0,"Entrada",IF(COUNTIF(Config!$F$6:$F$25,B89)&gt;0,"Saída","Categoria inválida")))</f>
        <v/>
      </c>
      <c r="D89" s="31" t="n"/>
      <c r="E89" s="33" t="n"/>
      <c r="F89" s="36" t="n"/>
      <c r="G89" s="31" t="n"/>
      <c r="H89" s="37">
        <f>IF(A89="","",(YEAR(A89)-YEAR(Config!$B$6))*12+MONTH(A89)-MONTH(Config!$B$6)+1)</f>
        <v/>
      </c>
      <c r="I89" s="19">
        <f>IF(AND(A89="",B89="",E89=""),"",IF(A89="","Falta data",IF(B89="","Falta categoria",IF(E89="","Falta valor",IF(C89="Categoria inválida","Categoria inválida",IF(OR(H89&lt;1,H89&gt;12),"Fora dos 12 meses","OK"))))))</f>
        <v/>
      </c>
    </row>
    <row r="90">
      <c r="A90" s="35" t="n"/>
      <c r="B90" s="31" t="n"/>
      <c r="C90" s="19">
        <f>IF(B90="","",IF(COUNTIF(Config!$D$6:$D$15,B90)&gt;0,"Entrada",IF(COUNTIF(Config!$F$6:$F$25,B90)&gt;0,"Saída","Categoria inválida")))</f>
        <v/>
      </c>
      <c r="D90" s="31" t="n"/>
      <c r="E90" s="33" t="n"/>
      <c r="F90" s="36" t="n"/>
      <c r="G90" s="31" t="n"/>
      <c r="H90" s="37">
        <f>IF(A90="","",(YEAR(A90)-YEAR(Config!$B$6))*12+MONTH(A90)-MONTH(Config!$B$6)+1)</f>
        <v/>
      </c>
      <c r="I90" s="19">
        <f>IF(AND(A90="",B90="",E90=""),"",IF(A90="","Falta data",IF(B90="","Falta categoria",IF(E90="","Falta valor",IF(C90="Categoria inválida","Categoria inválida",IF(OR(H90&lt;1,H90&gt;12),"Fora dos 12 meses","OK"))))))</f>
        <v/>
      </c>
    </row>
    <row r="91">
      <c r="A91" s="35" t="n"/>
      <c r="B91" s="31" t="n"/>
      <c r="C91" s="19">
        <f>IF(B91="","",IF(COUNTIF(Config!$D$6:$D$15,B91)&gt;0,"Entrada",IF(COUNTIF(Config!$F$6:$F$25,B91)&gt;0,"Saída","Categoria inválida")))</f>
        <v/>
      </c>
      <c r="D91" s="31" t="n"/>
      <c r="E91" s="33" t="n"/>
      <c r="F91" s="36" t="n"/>
      <c r="G91" s="31" t="n"/>
      <c r="H91" s="37">
        <f>IF(A91="","",(YEAR(A91)-YEAR(Config!$B$6))*12+MONTH(A91)-MONTH(Config!$B$6)+1)</f>
        <v/>
      </c>
      <c r="I91" s="19">
        <f>IF(AND(A91="",B91="",E91=""),"",IF(A91="","Falta data",IF(B91="","Falta categoria",IF(E91="","Falta valor",IF(C91="Categoria inválida","Categoria inválida",IF(OR(H91&lt;1,H91&gt;12),"Fora dos 12 meses","OK"))))))</f>
        <v/>
      </c>
    </row>
    <row r="92">
      <c r="A92" s="35" t="n"/>
      <c r="B92" s="31" t="n"/>
      <c r="C92" s="19">
        <f>IF(B92="","",IF(COUNTIF(Config!$D$6:$D$15,B92)&gt;0,"Entrada",IF(COUNTIF(Config!$F$6:$F$25,B92)&gt;0,"Saída","Categoria inválida")))</f>
        <v/>
      </c>
      <c r="D92" s="31" t="n"/>
      <c r="E92" s="33" t="n"/>
      <c r="F92" s="36" t="n"/>
      <c r="G92" s="31" t="n"/>
      <c r="H92" s="37">
        <f>IF(A92="","",(YEAR(A92)-YEAR(Config!$B$6))*12+MONTH(A92)-MONTH(Config!$B$6)+1)</f>
        <v/>
      </c>
      <c r="I92" s="19">
        <f>IF(AND(A92="",B92="",E92=""),"",IF(A92="","Falta data",IF(B92="","Falta categoria",IF(E92="","Falta valor",IF(C92="Categoria inválida","Categoria inválida",IF(OR(H92&lt;1,H92&gt;12),"Fora dos 12 meses","OK"))))))</f>
        <v/>
      </c>
    </row>
    <row r="93">
      <c r="A93" s="35" t="n"/>
      <c r="B93" s="31" t="n"/>
      <c r="C93" s="19">
        <f>IF(B93="","",IF(COUNTIF(Config!$D$6:$D$15,B93)&gt;0,"Entrada",IF(COUNTIF(Config!$F$6:$F$25,B93)&gt;0,"Saída","Categoria inválida")))</f>
        <v/>
      </c>
      <c r="D93" s="31" t="n"/>
      <c r="E93" s="33" t="n"/>
      <c r="F93" s="36" t="n"/>
      <c r="G93" s="31" t="n"/>
      <c r="H93" s="37">
        <f>IF(A93="","",(YEAR(A93)-YEAR(Config!$B$6))*12+MONTH(A93)-MONTH(Config!$B$6)+1)</f>
        <v/>
      </c>
      <c r="I93" s="19">
        <f>IF(AND(A93="",B93="",E93=""),"",IF(A93="","Falta data",IF(B93="","Falta categoria",IF(E93="","Falta valor",IF(C93="Categoria inválida","Categoria inválida",IF(OR(H93&lt;1,H93&gt;12),"Fora dos 12 meses","OK"))))))</f>
        <v/>
      </c>
    </row>
    <row r="94">
      <c r="A94" s="35" t="n"/>
      <c r="B94" s="31" t="n"/>
      <c r="C94" s="19">
        <f>IF(B94="","",IF(COUNTIF(Config!$D$6:$D$15,B94)&gt;0,"Entrada",IF(COUNTIF(Config!$F$6:$F$25,B94)&gt;0,"Saída","Categoria inválida")))</f>
        <v/>
      </c>
      <c r="D94" s="31" t="n"/>
      <c r="E94" s="33" t="n"/>
      <c r="F94" s="36" t="n"/>
      <c r="G94" s="31" t="n"/>
      <c r="H94" s="37">
        <f>IF(A94="","",(YEAR(A94)-YEAR(Config!$B$6))*12+MONTH(A94)-MONTH(Config!$B$6)+1)</f>
        <v/>
      </c>
      <c r="I94" s="19">
        <f>IF(AND(A94="",B94="",E94=""),"",IF(A94="","Falta data",IF(B94="","Falta categoria",IF(E94="","Falta valor",IF(C94="Categoria inválida","Categoria inválida",IF(OR(H94&lt;1,H94&gt;12),"Fora dos 12 meses","OK"))))))</f>
        <v/>
      </c>
    </row>
    <row r="95">
      <c r="A95" s="35" t="n"/>
      <c r="B95" s="31" t="n"/>
      <c r="C95" s="19">
        <f>IF(B95="","",IF(COUNTIF(Config!$D$6:$D$15,B95)&gt;0,"Entrada",IF(COUNTIF(Config!$F$6:$F$25,B95)&gt;0,"Saída","Categoria inválida")))</f>
        <v/>
      </c>
      <c r="D95" s="31" t="n"/>
      <c r="E95" s="33" t="n"/>
      <c r="F95" s="36" t="n"/>
      <c r="G95" s="31" t="n"/>
      <c r="H95" s="37">
        <f>IF(A95="","",(YEAR(A95)-YEAR(Config!$B$6))*12+MONTH(A95)-MONTH(Config!$B$6)+1)</f>
        <v/>
      </c>
      <c r="I95" s="19">
        <f>IF(AND(A95="",B95="",E95=""),"",IF(A95="","Falta data",IF(B95="","Falta categoria",IF(E95="","Falta valor",IF(C95="Categoria inválida","Categoria inválida",IF(OR(H95&lt;1,H95&gt;12),"Fora dos 12 meses","OK"))))))</f>
        <v/>
      </c>
    </row>
    <row r="96">
      <c r="A96" s="35" t="n"/>
      <c r="B96" s="31" t="n"/>
      <c r="C96" s="19">
        <f>IF(B96="","",IF(COUNTIF(Config!$D$6:$D$15,B96)&gt;0,"Entrada",IF(COUNTIF(Config!$F$6:$F$25,B96)&gt;0,"Saída","Categoria inválida")))</f>
        <v/>
      </c>
      <c r="D96" s="31" t="n"/>
      <c r="E96" s="33" t="n"/>
      <c r="F96" s="36" t="n"/>
      <c r="G96" s="31" t="n"/>
      <c r="H96" s="37">
        <f>IF(A96="","",(YEAR(A96)-YEAR(Config!$B$6))*12+MONTH(A96)-MONTH(Config!$B$6)+1)</f>
        <v/>
      </c>
      <c r="I96" s="19">
        <f>IF(AND(A96="",B96="",E96=""),"",IF(A96="","Falta data",IF(B96="","Falta categoria",IF(E96="","Falta valor",IF(C96="Categoria inválida","Categoria inválida",IF(OR(H96&lt;1,H96&gt;12),"Fora dos 12 meses","OK"))))))</f>
        <v/>
      </c>
    </row>
    <row r="97">
      <c r="A97" s="35" t="n"/>
      <c r="B97" s="31" t="n"/>
      <c r="C97" s="19">
        <f>IF(B97="","",IF(COUNTIF(Config!$D$6:$D$15,B97)&gt;0,"Entrada",IF(COUNTIF(Config!$F$6:$F$25,B97)&gt;0,"Saída","Categoria inválida")))</f>
        <v/>
      </c>
      <c r="D97" s="31" t="n"/>
      <c r="E97" s="33" t="n"/>
      <c r="F97" s="36" t="n"/>
      <c r="G97" s="31" t="n"/>
      <c r="H97" s="37">
        <f>IF(A97="","",(YEAR(A97)-YEAR(Config!$B$6))*12+MONTH(A97)-MONTH(Config!$B$6)+1)</f>
        <v/>
      </c>
      <c r="I97" s="19">
        <f>IF(AND(A97="",B97="",E97=""),"",IF(A97="","Falta data",IF(B97="","Falta categoria",IF(E97="","Falta valor",IF(C97="Categoria inválida","Categoria inválida",IF(OR(H97&lt;1,H97&gt;12),"Fora dos 12 meses","OK"))))))</f>
        <v/>
      </c>
    </row>
    <row r="98">
      <c r="A98" s="35" t="n"/>
      <c r="B98" s="31" t="n"/>
      <c r="C98" s="19">
        <f>IF(B98="","",IF(COUNTIF(Config!$D$6:$D$15,B98)&gt;0,"Entrada",IF(COUNTIF(Config!$F$6:$F$25,B98)&gt;0,"Saída","Categoria inválida")))</f>
        <v/>
      </c>
      <c r="D98" s="31" t="n"/>
      <c r="E98" s="33" t="n"/>
      <c r="F98" s="36" t="n"/>
      <c r="G98" s="31" t="n"/>
      <c r="H98" s="37">
        <f>IF(A98="","",(YEAR(A98)-YEAR(Config!$B$6))*12+MONTH(A98)-MONTH(Config!$B$6)+1)</f>
        <v/>
      </c>
      <c r="I98" s="19">
        <f>IF(AND(A98="",B98="",E98=""),"",IF(A98="","Falta data",IF(B98="","Falta categoria",IF(E98="","Falta valor",IF(C98="Categoria inválida","Categoria inválida",IF(OR(H98&lt;1,H98&gt;12),"Fora dos 12 meses","OK"))))))</f>
        <v/>
      </c>
    </row>
    <row r="99">
      <c r="A99" s="35" t="n"/>
      <c r="B99" s="31" t="n"/>
      <c r="C99" s="19">
        <f>IF(B99="","",IF(COUNTIF(Config!$D$6:$D$15,B99)&gt;0,"Entrada",IF(COUNTIF(Config!$F$6:$F$25,B99)&gt;0,"Saída","Categoria inválida")))</f>
        <v/>
      </c>
      <c r="D99" s="31" t="n"/>
      <c r="E99" s="33" t="n"/>
      <c r="F99" s="36" t="n"/>
      <c r="G99" s="31" t="n"/>
      <c r="H99" s="37">
        <f>IF(A99="","",(YEAR(A99)-YEAR(Config!$B$6))*12+MONTH(A99)-MONTH(Config!$B$6)+1)</f>
        <v/>
      </c>
      <c r="I99" s="19">
        <f>IF(AND(A99="",B99="",E99=""),"",IF(A99="","Falta data",IF(B99="","Falta categoria",IF(E99="","Falta valor",IF(C99="Categoria inválida","Categoria inválida",IF(OR(H99&lt;1,H99&gt;12),"Fora dos 12 meses","OK"))))))</f>
        <v/>
      </c>
    </row>
    <row r="100">
      <c r="A100" s="35" t="n"/>
      <c r="B100" s="31" t="n"/>
      <c r="C100" s="19">
        <f>IF(B100="","",IF(COUNTIF(Config!$D$6:$D$15,B100)&gt;0,"Entrada",IF(COUNTIF(Config!$F$6:$F$25,B100)&gt;0,"Saída","Categoria inválida")))</f>
        <v/>
      </c>
      <c r="D100" s="31" t="n"/>
      <c r="E100" s="33" t="n"/>
      <c r="F100" s="36" t="n"/>
      <c r="G100" s="31" t="n"/>
      <c r="H100" s="37">
        <f>IF(A100="","",(YEAR(A100)-YEAR(Config!$B$6))*12+MONTH(A100)-MONTH(Config!$B$6)+1)</f>
        <v/>
      </c>
      <c r="I100" s="19">
        <f>IF(AND(A100="",B100="",E100=""),"",IF(A100="","Falta data",IF(B100="","Falta categoria",IF(E100="","Falta valor",IF(C100="Categoria inválida","Categoria inválida",IF(OR(H100&lt;1,H100&gt;12),"Fora dos 12 meses","OK"))))))</f>
        <v/>
      </c>
    </row>
    <row r="101">
      <c r="A101" s="35" t="n"/>
      <c r="B101" s="31" t="n"/>
      <c r="C101" s="19">
        <f>IF(B101="","",IF(COUNTIF(Config!$D$6:$D$15,B101)&gt;0,"Entrada",IF(COUNTIF(Config!$F$6:$F$25,B101)&gt;0,"Saída","Categoria inválida")))</f>
        <v/>
      </c>
      <c r="D101" s="31" t="n"/>
      <c r="E101" s="33" t="n"/>
      <c r="F101" s="36" t="n"/>
      <c r="G101" s="31" t="n"/>
      <c r="H101" s="37">
        <f>IF(A101="","",(YEAR(A101)-YEAR(Config!$B$6))*12+MONTH(A101)-MONTH(Config!$B$6)+1)</f>
        <v/>
      </c>
      <c r="I101" s="19">
        <f>IF(AND(A101="",B101="",E101=""),"",IF(A101="","Falta data",IF(B101="","Falta categoria",IF(E101="","Falta valor",IF(C101="Categoria inválida","Categoria inválida",IF(OR(H101&lt;1,H101&gt;12),"Fora dos 12 meses","OK"))))))</f>
        <v/>
      </c>
    </row>
    <row r="102">
      <c r="A102" s="35" t="n"/>
      <c r="B102" s="31" t="n"/>
      <c r="C102" s="19">
        <f>IF(B102="","",IF(COUNTIF(Config!$D$6:$D$15,B102)&gt;0,"Entrada",IF(COUNTIF(Config!$F$6:$F$25,B102)&gt;0,"Saída","Categoria inválida")))</f>
        <v/>
      </c>
      <c r="D102" s="31" t="n"/>
      <c r="E102" s="33" t="n"/>
      <c r="F102" s="36" t="n"/>
      <c r="G102" s="31" t="n"/>
      <c r="H102" s="37">
        <f>IF(A102="","",(YEAR(A102)-YEAR(Config!$B$6))*12+MONTH(A102)-MONTH(Config!$B$6)+1)</f>
        <v/>
      </c>
      <c r="I102" s="19">
        <f>IF(AND(A102="",B102="",E102=""),"",IF(A102="","Falta data",IF(B102="","Falta categoria",IF(E102="","Falta valor",IF(C102="Categoria inválida","Categoria inválida",IF(OR(H102&lt;1,H102&gt;12),"Fora dos 12 meses","OK"))))))</f>
        <v/>
      </c>
    </row>
    <row r="103">
      <c r="A103" s="35" t="n"/>
      <c r="B103" s="31" t="n"/>
      <c r="C103" s="19">
        <f>IF(B103="","",IF(COUNTIF(Config!$D$6:$D$15,B103)&gt;0,"Entrada",IF(COUNTIF(Config!$F$6:$F$25,B103)&gt;0,"Saída","Categoria inválida")))</f>
        <v/>
      </c>
      <c r="D103" s="31" t="n"/>
      <c r="E103" s="33" t="n"/>
      <c r="F103" s="36" t="n"/>
      <c r="G103" s="31" t="n"/>
      <c r="H103" s="37">
        <f>IF(A103="","",(YEAR(A103)-YEAR(Config!$B$6))*12+MONTH(A103)-MONTH(Config!$B$6)+1)</f>
        <v/>
      </c>
      <c r="I103" s="19">
        <f>IF(AND(A103="",B103="",E103=""),"",IF(A103="","Falta data",IF(B103="","Falta categoria",IF(E103="","Falta valor",IF(C103="Categoria inválida","Categoria inválida",IF(OR(H103&lt;1,H103&gt;12),"Fora dos 12 meses","OK"))))))</f>
        <v/>
      </c>
    </row>
    <row r="104">
      <c r="A104" s="35" t="n"/>
      <c r="B104" s="31" t="n"/>
      <c r="C104" s="19">
        <f>IF(B104="","",IF(COUNTIF(Config!$D$6:$D$15,B104)&gt;0,"Entrada",IF(COUNTIF(Config!$F$6:$F$25,B104)&gt;0,"Saída","Categoria inválida")))</f>
        <v/>
      </c>
      <c r="D104" s="31" t="n"/>
      <c r="E104" s="33" t="n"/>
      <c r="F104" s="36" t="n"/>
      <c r="G104" s="31" t="n"/>
      <c r="H104" s="37">
        <f>IF(A104="","",(YEAR(A104)-YEAR(Config!$B$6))*12+MONTH(A104)-MONTH(Config!$B$6)+1)</f>
        <v/>
      </c>
      <c r="I104" s="19">
        <f>IF(AND(A104="",B104="",E104=""),"",IF(A104="","Falta data",IF(B104="","Falta categoria",IF(E104="","Falta valor",IF(C104="Categoria inválida","Categoria inválida",IF(OR(H104&lt;1,H104&gt;12),"Fora dos 12 meses","OK"))))))</f>
        <v/>
      </c>
    </row>
    <row r="105">
      <c r="A105" s="35" t="n"/>
      <c r="B105" s="31" t="n"/>
      <c r="C105" s="19">
        <f>IF(B105="","",IF(COUNTIF(Config!$D$6:$D$15,B105)&gt;0,"Entrada",IF(COUNTIF(Config!$F$6:$F$25,B105)&gt;0,"Saída","Categoria inválida")))</f>
        <v/>
      </c>
      <c r="D105" s="31" t="n"/>
      <c r="E105" s="33" t="n"/>
      <c r="F105" s="36" t="n"/>
      <c r="G105" s="31" t="n"/>
      <c r="H105" s="37">
        <f>IF(A105="","",(YEAR(A105)-YEAR(Config!$B$6))*12+MONTH(A105)-MONTH(Config!$B$6)+1)</f>
        <v/>
      </c>
      <c r="I105" s="19">
        <f>IF(AND(A105="",B105="",E105=""),"",IF(A105="","Falta data",IF(B105="","Falta categoria",IF(E105="","Falta valor",IF(C105="Categoria inválida","Categoria inválida",IF(OR(H105&lt;1,H105&gt;12),"Fora dos 12 meses","OK"))))))</f>
        <v/>
      </c>
    </row>
    <row r="106">
      <c r="A106" s="35" t="n"/>
      <c r="B106" s="31" t="n"/>
      <c r="C106" s="19">
        <f>IF(B106="","",IF(COUNTIF(Config!$D$6:$D$15,B106)&gt;0,"Entrada",IF(COUNTIF(Config!$F$6:$F$25,B106)&gt;0,"Saída","Categoria inválida")))</f>
        <v/>
      </c>
      <c r="D106" s="31" t="n"/>
      <c r="E106" s="33" t="n"/>
      <c r="F106" s="36" t="n"/>
      <c r="G106" s="31" t="n"/>
      <c r="H106" s="37">
        <f>IF(A106="","",(YEAR(A106)-YEAR(Config!$B$6))*12+MONTH(A106)-MONTH(Config!$B$6)+1)</f>
        <v/>
      </c>
      <c r="I106" s="19">
        <f>IF(AND(A106="",B106="",E106=""),"",IF(A106="","Falta data",IF(B106="","Falta categoria",IF(E106="","Falta valor",IF(C106="Categoria inválida","Categoria inválida",IF(OR(H106&lt;1,H106&gt;12),"Fora dos 12 meses","OK"))))))</f>
        <v/>
      </c>
    </row>
    <row r="107">
      <c r="A107" s="35" t="n"/>
      <c r="B107" s="31" t="n"/>
      <c r="C107" s="19">
        <f>IF(B107="","",IF(COUNTIF(Config!$D$6:$D$15,B107)&gt;0,"Entrada",IF(COUNTIF(Config!$F$6:$F$25,B107)&gt;0,"Saída","Categoria inválida")))</f>
        <v/>
      </c>
      <c r="D107" s="31" t="n"/>
      <c r="E107" s="33" t="n"/>
      <c r="F107" s="36" t="n"/>
      <c r="G107" s="31" t="n"/>
      <c r="H107" s="37">
        <f>IF(A107="","",(YEAR(A107)-YEAR(Config!$B$6))*12+MONTH(A107)-MONTH(Config!$B$6)+1)</f>
        <v/>
      </c>
      <c r="I107" s="19">
        <f>IF(AND(A107="",B107="",E107=""),"",IF(A107="","Falta data",IF(B107="","Falta categoria",IF(E107="","Falta valor",IF(C107="Categoria inválida","Categoria inválida",IF(OR(H107&lt;1,H107&gt;12),"Fora dos 12 meses","OK"))))))</f>
        <v/>
      </c>
    </row>
    <row r="108">
      <c r="A108" s="35" t="n"/>
      <c r="B108" s="31" t="n"/>
      <c r="C108" s="19">
        <f>IF(B108="","",IF(COUNTIF(Config!$D$6:$D$15,B108)&gt;0,"Entrada",IF(COUNTIF(Config!$F$6:$F$25,B108)&gt;0,"Saída","Categoria inválida")))</f>
        <v/>
      </c>
      <c r="D108" s="31" t="n"/>
      <c r="E108" s="33" t="n"/>
      <c r="F108" s="36" t="n"/>
      <c r="G108" s="31" t="n"/>
      <c r="H108" s="37">
        <f>IF(A108="","",(YEAR(A108)-YEAR(Config!$B$6))*12+MONTH(A108)-MONTH(Config!$B$6)+1)</f>
        <v/>
      </c>
      <c r="I108" s="19">
        <f>IF(AND(A108="",B108="",E108=""),"",IF(A108="","Falta data",IF(B108="","Falta categoria",IF(E108="","Falta valor",IF(C108="Categoria inválida","Categoria inválida",IF(OR(H108&lt;1,H108&gt;12),"Fora dos 12 meses","OK"))))))</f>
        <v/>
      </c>
    </row>
    <row r="109">
      <c r="A109" s="35" t="n"/>
      <c r="B109" s="31" t="n"/>
      <c r="C109" s="19">
        <f>IF(B109="","",IF(COUNTIF(Config!$D$6:$D$15,B109)&gt;0,"Entrada",IF(COUNTIF(Config!$F$6:$F$25,B109)&gt;0,"Saída","Categoria inválida")))</f>
        <v/>
      </c>
      <c r="D109" s="31" t="n"/>
      <c r="E109" s="33" t="n"/>
      <c r="F109" s="36" t="n"/>
      <c r="G109" s="31" t="n"/>
      <c r="H109" s="37">
        <f>IF(A109="","",(YEAR(A109)-YEAR(Config!$B$6))*12+MONTH(A109)-MONTH(Config!$B$6)+1)</f>
        <v/>
      </c>
      <c r="I109" s="19">
        <f>IF(AND(A109="",B109="",E109=""),"",IF(A109="","Falta data",IF(B109="","Falta categoria",IF(E109="","Falta valor",IF(C109="Categoria inválida","Categoria inválida",IF(OR(H109&lt;1,H109&gt;12),"Fora dos 12 meses","OK"))))))</f>
        <v/>
      </c>
    </row>
    <row r="110">
      <c r="A110" s="35" t="n"/>
      <c r="B110" s="31" t="n"/>
      <c r="C110" s="19">
        <f>IF(B110="","",IF(COUNTIF(Config!$D$6:$D$15,B110)&gt;0,"Entrada",IF(COUNTIF(Config!$F$6:$F$25,B110)&gt;0,"Saída","Categoria inválida")))</f>
        <v/>
      </c>
      <c r="D110" s="31" t="n"/>
      <c r="E110" s="33" t="n"/>
      <c r="F110" s="36" t="n"/>
      <c r="G110" s="31" t="n"/>
      <c r="H110" s="37">
        <f>IF(A110="","",(YEAR(A110)-YEAR(Config!$B$6))*12+MONTH(A110)-MONTH(Config!$B$6)+1)</f>
        <v/>
      </c>
      <c r="I110" s="19">
        <f>IF(AND(A110="",B110="",E110=""),"",IF(A110="","Falta data",IF(B110="","Falta categoria",IF(E110="","Falta valor",IF(C110="Categoria inválida","Categoria inválida",IF(OR(H110&lt;1,H110&gt;12),"Fora dos 12 meses","OK"))))))</f>
        <v/>
      </c>
    </row>
    <row r="111">
      <c r="A111" s="35" t="n"/>
      <c r="B111" s="31" t="n"/>
      <c r="C111" s="19">
        <f>IF(B111="","",IF(COUNTIF(Config!$D$6:$D$15,B111)&gt;0,"Entrada",IF(COUNTIF(Config!$F$6:$F$25,B111)&gt;0,"Saída","Categoria inválida")))</f>
        <v/>
      </c>
      <c r="D111" s="31" t="n"/>
      <c r="E111" s="33" t="n"/>
      <c r="F111" s="36" t="n"/>
      <c r="G111" s="31" t="n"/>
      <c r="H111" s="37">
        <f>IF(A111="","",(YEAR(A111)-YEAR(Config!$B$6))*12+MONTH(A111)-MONTH(Config!$B$6)+1)</f>
        <v/>
      </c>
      <c r="I111" s="19">
        <f>IF(AND(A111="",B111="",E111=""),"",IF(A111="","Falta data",IF(B111="","Falta categoria",IF(E111="","Falta valor",IF(C111="Categoria inválida","Categoria inválida",IF(OR(H111&lt;1,H111&gt;12),"Fora dos 12 meses","OK"))))))</f>
        <v/>
      </c>
    </row>
    <row r="112">
      <c r="A112" s="35" t="n"/>
      <c r="B112" s="31" t="n"/>
      <c r="C112" s="19">
        <f>IF(B112="","",IF(COUNTIF(Config!$D$6:$D$15,B112)&gt;0,"Entrada",IF(COUNTIF(Config!$F$6:$F$25,B112)&gt;0,"Saída","Categoria inválida")))</f>
        <v/>
      </c>
      <c r="D112" s="31" t="n"/>
      <c r="E112" s="33" t="n"/>
      <c r="F112" s="36" t="n"/>
      <c r="G112" s="31" t="n"/>
      <c r="H112" s="37">
        <f>IF(A112="","",(YEAR(A112)-YEAR(Config!$B$6))*12+MONTH(A112)-MONTH(Config!$B$6)+1)</f>
        <v/>
      </c>
      <c r="I112" s="19">
        <f>IF(AND(A112="",B112="",E112=""),"",IF(A112="","Falta data",IF(B112="","Falta categoria",IF(E112="","Falta valor",IF(C112="Categoria inválida","Categoria inválida",IF(OR(H112&lt;1,H112&gt;12),"Fora dos 12 meses","OK"))))))</f>
        <v/>
      </c>
    </row>
    <row r="113">
      <c r="A113" s="35" t="n"/>
      <c r="B113" s="31" t="n"/>
      <c r="C113" s="19">
        <f>IF(B113="","",IF(COUNTIF(Config!$D$6:$D$15,B113)&gt;0,"Entrada",IF(COUNTIF(Config!$F$6:$F$25,B113)&gt;0,"Saída","Categoria inválida")))</f>
        <v/>
      </c>
      <c r="D113" s="31" t="n"/>
      <c r="E113" s="33" t="n"/>
      <c r="F113" s="36" t="n"/>
      <c r="G113" s="31" t="n"/>
      <c r="H113" s="37">
        <f>IF(A113="","",(YEAR(A113)-YEAR(Config!$B$6))*12+MONTH(A113)-MONTH(Config!$B$6)+1)</f>
        <v/>
      </c>
      <c r="I113" s="19">
        <f>IF(AND(A113="",B113="",E113=""),"",IF(A113="","Falta data",IF(B113="","Falta categoria",IF(E113="","Falta valor",IF(C113="Categoria inválida","Categoria inválida",IF(OR(H113&lt;1,H113&gt;12),"Fora dos 12 meses","OK"))))))</f>
        <v/>
      </c>
    </row>
    <row r="114">
      <c r="A114" s="35" t="n"/>
      <c r="B114" s="31" t="n"/>
      <c r="C114" s="19">
        <f>IF(B114="","",IF(COUNTIF(Config!$D$6:$D$15,B114)&gt;0,"Entrada",IF(COUNTIF(Config!$F$6:$F$25,B114)&gt;0,"Saída","Categoria inválida")))</f>
        <v/>
      </c>
      <c r="D114" s="31" t="n"/>
      <c r="E114" s="33" t="n"/>
      <c r="F114" s="36" t="n"/>
      <c r="G114" s="31" t="n"/>
      <c r="H114" s="37">
        <f>IF(A114="","",(YEAR(A114)-YEAR(Config!$B$6))*12+MONTH(A114)-MONTH(Config!$B$6)+1)</f>
        <v/>
      </c>
      <c r="I114" s="19">
        <f>IF(AND(A114="",B114="",E114=""),"",IF(A114="","Falta data",IF(B114="","Falta categoria",IF(E114="","Falta valor",IF(C114="Categoria inválida","Categoria inválida",IF(OR(H114&lt;1,H114&gt;12),"Fora dos 12 meses","OK"))))))</f>
        <v/>
      </c>
    </row>
    <row r="115">
      <c r="A115" s="35" t="n"/>
      <c r="B115" s="31" t="n"/>
      <c r="C115" s="19">
        <f>IF(B115="","",IF(COUNTIF(Config!$D$6:$D$15,B115)&gt;0,"Entrada",IF(COUNTIF(Config!$F$6:$F$25,B115)&gt;0,"Saída","Categoria inválida")))</f>
        <v/>
      </c>
      <c r="D115" s="31" t="n"/>
      <c r="E115" s="33" t="n"/>
      <c r="F115" s="36" t="n"/>
      <c r="G115" s="31" t="n"/>
      <c r="H115" s="37">
        <f>IF(A115="","",(YEAR(A115)-YEAR(Config!$B$6))*12+MONTH(A115)-MONTH(Config!$B$6)+1)</f>
        <v/>
      </c>
      <c r="I115" s="19">
        <f>IF(AND(A115="",B115="",E115=""),"",IF(A115="","Falta data",IF(B115="","Falta categoria",IF(E115="","Falta valor",IF(C115="Categoria inválida","Categoria inválida",IF(OR(H115&lt;1,H115&gt;12),"Fora dos 12 meses","OK"))))))</f>
        <v/>
      </c>
    </row>
    <row r="116">
      <c r="A116" s="35" t="n"/>
      <c r="B116" s="31" t="n"/>
      <c r="C116" s="19">
        <f>IF(B116="","",IF(COUNTIF(Config!$D$6:$D$15,B116)&gt;0,"Entrada",IF(COUNTIF(Config!$F$6:$F$25,B116)&gt;0,"Saída","Categoria inválida")))</f>
        <v/>
      </c>
      <c r="D116" s="31" t="n"/>
      <c r="E116" s="33" t="n"/>
      <c r="F116" s="36" t="n"/>
      <c r="G116" s="31" t="n"/>
      <c r="H116" s="37">
        <f>IF(A116="","",(YEAR(A116)-YEAR(Config!$B$6))*12+MONTH(A116)-MONTH(Config!$B$6)+1)</f>
        <v/>
      </c>
      <c r="I116" s="19">
        <f>IF(AND(A116="",B116="",E116=""),"",IF(A116="","Falta data",IF(B116="","Falta categoria",IF(E116="","Falta valor",IF(C116="Categoria inválida","Categoria inválida",IF(OR(H116&lt;1,H116&gt;12),"Fora dos 12 meses","OK"))))))</f>
        <v/>
      </c>
    </row>
    <row r="117">
      <c r="A117" s="35" t="n"/>
      <c r="B117" s="31" t="n"/>
      <c r="C117" s="19">
        <f>IF(B117="","",IF(COUNTIF(Config!$D$6:$D$15,B117)&gt;0,"Entrada",IF(COUNTIF(Config!$F$6:$F$25,B117)&gt;0,"Saída","Categoria inválida")))</f>
        <v/>
      </c>
      <c r="D117" s="31" t="n"/>
      <c r="E117" s="33" t="n"/>
      <c r="F117" s="36" t="n"/>
      <c r="G117" s="31" t="n"/>
      <c r="H117" s="37">
        <f>IF(A117="","",(YEAR(A117)-YEAR(Config!$B$6))*12+MONTH(A117)-MONTH(Config!$B$6)+1)</f>
        <v/>
      </c>
      <c r="I117" s="19">
        <f>IF(AND(A117="",B117="",E117=""),"",IF(A117="","Falta data",IF(B117="","Falta categoria",IF(E117="","Falta valor",IF(C117="Categoria inválida","Categoria inválida",IF(OR(H117&lt;1,H117&gt;12),"Fora dos 12 meses","OK"))))))</f>
        <v/>
      </c>
    </row>
    <row r="118">
      <c r="A118" s="35" t="n"/>
      <c r="B118" s="31" t="n"/>
      <c r="C118" s="19">
        <f>IF(B118="","",IF(COUNTIF(Config!$D$6:$D$15,B118)&gt;0,"Entrada",IF(COUNTIF(Config!$F$6:$F$25,B118)&gt;0,"Saída","Categoria inválida")))</f>
        <v/>
      </c>
      <c r="D118" s="31" t="n"/>
      <c r="E118" s="33" t="n"/>
      <c r="F118" s="36" t="n"/>
      <c r="G118" s="31" t="n"/>
      <c r="H118" s="37">
        <f>IF(A118="","",(YEAR(A118)-YEAR(Config!$B$6))*12+MONTH(A118)-MONTH(Config!$B$6)+1)</f>
        <v/>
      </c>
      <c r="I118" s="19">
        <f>IF(AND(A118="",B118="",E118=""),"",IF(A118="","Falta data",IF(B118="","Falta categoria",IF(E118="","Falta valor",IF(C118="Categoria inválida","Categoria inválida",IF(OR(H118&lt;1,H118&gt;12),"Fora dos 12 meses","OK"))))))</f>
        <v/>
      </c>
    </row>
    <row r="119">
      <c r="A119" s="35" t="n"/>
      <c r="B119" s="31" t="n"/>
      <c r="C119" s="19">
        <f>IF(B119="","",IF(COUNTIF(Config!$D$6:$D$15,B119)&gt;0,"Entrada",IF(COUNTIF(Config!$F$6:$F$25,B119)&gt;0,"Saída","Categoria inválida")))</f>
        <v/>
      </c>
      <c r="D119" s="31" t="n"/>
      <c r="E119" s="33" t="n"/>
      <c r="F119" s="36" t="n"/>
      <c r="G119" s="31" t="n"/>
      <c r="H119" s="37">
        <f>IF(A119="","",(YEAR(A119)-YEAR(Config!$B$6))*12+MONTH(A119)-MONTH(Config!$B$6)+1)</f>
        <v/>
      </c>
      <c r="I119" s="19">
        <f>IF(AND(A119="",B119="",E119=""),"",IF(A119="","Falta data",IF(B119="","Falta categoria",IF(E119="","Falta valor",IF(C119="Categoria inválida","Categoria inválida",IF(OR(H119&lt;1,H119&gt;12),"Fora dos 12 meses","OK"))))))</f>
        <v/>
      </c>
    </row>
    <row r="120">
      <c r="A120" s="35" t="n"/>
      <c r="B120" s="31" t="n"/>
      <c r="C120" s="19">
        <f>IF(B120="","",IF(COUNTIF(Config!$D$6:$D$15,B120)&gt;0,"Entrada",IF(COUNTIF(Config!$F$6:$F$25,B120)&gt;0,"Saída","Categoria inválida")))</f>
        <v/>
      </c>
      <c r="D120" s="31" t="n"/>
      <c r="E120" s="33" t="n"/>
      <c r="F120" s="36" t="n"/>
      <c r="G120" s="31" t="n"/>
      <c r="H120" s="37">
        <f>IF(A120="","",(YEAR(A120)-YEAR(Config!$B$6))*12+MONTH(A120)-MONTH(Config!$B$6)+1)</f>
        <v/>
      </c>
      <c r="I120" s="19">
        <f>IF(AND(A120="",B120="",E120=""),"",IF(A120="","Falta data",IF(B120="","Falta categoria",IF(E120="","Falta valor",IF(C120="Categoria inválida","Categoria inválida",IF(OR(H120&lt;1,H120&gt;12),"Fora dos 12 meses","OK"))))))</f>
        <v/>
      </c>
    </row>
    <row r="121">
      <c r="A121" s="35" t="n"/>
      <c r="B121" s="31" t="n"/>
      <c r="C121" s="19">
        <f>IF(B121="","",IF(COUNTIF(Config!$D$6:$D$15,B121)&gt;0,"Entrada",IF(COUNTIF(Config!$F$6:$F$25,B121)&gt;0,"Saída","Categoria inválida")))</f>
        <v/>
      </c>
      <c r="D121" s="31" t="n"/>
      <c r="E121" s="33" t="n"/>
      <c r="F121" s="36" t="n"/>
      <c r="G121" s="31" t="n"/>
      <c r="H121" s="37">
        <f>IF(A121="","",(YEAR(A121)-YEAR(Config!$B$6))*12+MONTH(A121)-MONTH(Config!$B$6)+1)</f>
        <v/>
      </c>
      <c r="I121" s="19">
        <f>IF(AND(A121="",B121="",E121=""),"",IF(A121="","Falta data",IF(B121="","Falta categoria",IF(E121="","Falta valor",IF(C121="Categoria inválida","Categoria inválida",IF(OR(H121&lt;1,H121&gt;12),"Fora dos 12 meses","OK"))))))</f>
        <v/>
      </c>
    </row>
    <row r="122">
      <c r="A122" s="35" t="n"/>
      <c r="B122" s="31" t="n"/>
      <c r="C122" s="19">
        <f>IF(B122="","",IF(COUNTIF(Config!$D$6:$D$15,B122)&gt;0,"Entrada",IF(COUNTIF(Config!$F$6:$F$25,B122)&gt;0,"Saída","Categoria inválida")))</f>
        <v/>
      </c>
      <c r="D122" s="31" t="n"/>
      <c r="E122" s="33" t="n"/>
      <c r="F122" s="36" t="n"/>
      <c r="G122" s="31" t="n"/>
      <c r="H122" s="37">
        <f>IF(A122="","",(YEAR(A122)-YEAR(Config!$B$6))*12+MONTH(A122)-MONTH(Config!$B$6)+1)</f>
        <v/>
      </c>
      <c r="I122" s="19">
        <f>IF(AND(A122="",B122="",E122=""),"",IF(A122="","Falta data",IF(B122="","Falta categoria",IF(E122="","Falta valor",IF(C122="Categoria inválida","Categoria inválida",IF(OR(H122&lt;1,H122&gt;12),"Fora dos 12 meses","OK"))))))</f>
        <v/>
      </c>
    </row>
    <row r="123">
      <c r="A123" s="35" t="n"/>
      <c r="B123" s="31" t="n"/>
      <c r="C123" s="19">
        <f>IF(B123="","",IF(COUNTIF(Config!$D$6:$D$15,B123)&gt;0,"Entrada",IF(COUNTIF(Config!$F$6:$F$25,B123)&gt;0,"Saída","Categoria inválida")))</f>
        <v/>
      </c>
      <c r="D123" s="31" t="n"/>
      <c r="E123" s="33" t="n"/>
      <c r="F123" s="36" t="n"/>
      <c r="G123" s="31" t="n"/>
      <c r="H123" s="37">
        <f>IF(A123="","",(YEAR(A123)-YEAR(Config!$B$6))*12+MONTH(A123)-MONTH(Config!$B$6)+1)</f>
        <v/>
      </c>
      <c r="I123" s="19">
        <f>IF(AND(A123="",B123="",E123=""),"",IF(A123="","Falta data",IF(B123="","Falta categoria",IF(E123="","Falta valor",IF(C123="Categoria inválida","Categoria inválida",IF(OR(H123&lt;1,H123&gt;12),"Fora dos 12 meses","OK"))))))</f>
        <v/>
      </c>
    </row>
    <row r="124">
      <c r="A124" s="35" t="n"/>
      <c r="B124" s="31" t="n"/>
      <c r="C124" s="19">
        <f>IF(B124="","",IF(COUNTIF(Config!$D$6:$D$15,B124)&gt;0,"Entrada",IF(COUNTIF(Config!$F$6:$F$25,B124)&gt;0,"Saída","Categoria inválida")))</f>
        <v/>
      </c>
      <c r="D124" s="31" t="n"/>
      <c r="E124" s="33" t="n"/>
      <c r="F124" s="36" t="n"/>
      <c r="G124" s="31" t="n"/>
      <c r="H124" s="37">
        <f>IF(A124="","",(YEAR(A124)-YEAR(Config!$B$6))*12+MONTH(A124)-MONTH(Config!$B$6)+1)</f>
        <v/>
      </c>
      <c r="I124" s="19">
        <f>IF(AND(A124="",B124="",E124=""),"",IF(A124="","Falta data",IF(B124="","Falta categoria",IF(E124="","Falta valor",IF(C124="Categoria inválida","Categoria inválida",IF(OR(H124&lt;1,H124&gt;12),"Fora dos 12 meses","OK"))))))</f>
        <v/>
      </c>
    </row>
    <row r="125">
      <c r="A125" s="35" t="n"/>
      <c r="B125" s="31" t="n"/>
      <c r="C125" s="19">
        <f>IF(B125="","",IF(COUNTIF(Config!$D$6:$D$15,B125)&gt;0,"Entrada",IF(COUNTIF(Config!$F$6:$F$25,B125)&gt;0,"Saída","Categoria inválida")))</f>
        <v/>
      </c>
      <c r="D125" s="31" t="n"/>
      <c r="E125" s="33" t="n"/>
      <c r="F125" s="36" t="n"/>
      <c r="G125" s="31" t="n"/>
      <c r="H125" s="37">
        <f>IF(A125="","",(YEAR(A125)-YEAR(Config!$B$6))*12+MONTH(A125)-MONTH(Config!$B$6)+1)</f>
        <v/>
      </c>
      <c r="I125" s="19">
        <f>IF(AND(A125="",B125="",E125=""),"",IF(A125="","Falta data",IF(B125="","Falta categoria",IF(E125="","Falta valor",IF(C125="Categoria inválida","Categoria inválida",IF(OR(H125&lt;1,H125&gt;12),"Fora dos 12 meses","OK"))))))</f>
        <v/>
      </c>
    </row>
    <row r="126">
      <c r="A126" s="35" t="n"/>
      <c r="B126" s="31" t="n"/>
      <c r="C126" s="19">
        <f>IF(B126="","",IF(COUNTIF(Config!$D$6:$D$15,B126)&gt;0,"Entrada",IF(COUNTIF(Config!$F$6:$F$25,B126)&gt;0,"Saída","Categoria inválida")))</f>
        <v/>
      </c>
      <c r="D126" s="31" t="n"/>
      <c r="E126" s="33" t="n"/>
      <c r="F126" s="36" t="n"/>
      <c r="G126" s="31" t="n"/>
      <c r="H126" s="37">
        <f>IF(A126="","",(YEAR(A126)-YEAR(Config!$B$6))*12+MONTH(A126)-MONTH(Config!$B$6)+1)</f>
        <v/>
      </c>
      <c r="I126" s="19">
        <f>IF(AND(A126="",B126="",E126=""),"",IF(A126="","Falta data",IF(B126="","Falta categoria",IF(E126="","Falta valor",IF(C126="Categoria inválida","Categoria inválida",IF(OR(H126&lt;1,H126&gt;12),"Fora dos 12 meses","OK"))))))</f>
        <v/>
      </c>
    </row>
    <row r="127">
      <c r="A127" s="35" t="n"/>
      <c r="B127" s="31" t="n"/>
      <c r="C127" s="19">
        <f>IF(B127="","",IF(COUNTIF(Config!$D$6:$D$15,B127)&gt;0,"Entrada",IF(COUNTIF(Config!$F$6:$F$25,B127)&gt;0,"Saída","Categoria inválida")))</f>
        <v/>
      </c>
      <c r="D127" s="31" t="n"/>
      <c r="E127" s="33" t="n"/>
      <c r="F127" s="36" t="n"/>
      <c r="G127" s="31" t="n"/>
      <c r="H127" s="37">
        <f>IF(A127="","",(YEAR(A127)-YEAR(Config!$B$6))*12+MONTH(A127)-MONTH(Config!$B$6)+1)</f>
        <v/>
      </c>
      <c r="I127" s="19">
        <f>IF(AND(A127="",B127="",E127=""),"",IF(A127="","Falta data",IF(B127="","Falta categoria",IF(E127="","Falta valor",IF(C127="Categoria inválida","Categoria inválida",IF(OR(H127&lt;1,H127&gt;12),"Fora dos 12 meses","OK"))))))</f>
        <v/>
      </c>
    </row>
    <row r="128">
      <c r="A128" s="35" t="n"/>
      <c r="B128" s="31" t="n"/>
      <c r="C128" s="19">
        <f>IF(B128="","",IF(COUNTIF(Config!$D$6:$D$15,B128)&gt;0,"Entrada",IF(COUNTIF(Config!$F$6:$F$25,B128)&gt;0,"Saída","Categoria inválida")))</f>
        <v/>
      </c>
      <c r="D128" s="31" t="n"/>
      <c r="E128" s="33" t="n"/>
      <c r="F128" s="36" t="n"/>
      <c r="G128" s="31" t="n"/>
      <c r="H128" s="37">
        <f>IF(A128="","",(YEAR(A128)-YEAR(Config!$B$6))*12+MONTH(A128)-MONTH(Config!$B$6)+1)</f>
        <v/>
      </c>
      <c r="I128" s="19">
        <f>IF(AND(A128="",B128="",E128=""),"",IF(A128="","Falta data",IF(B128="","Falta categoria",IF(E128="","Falta valor",IF(C128="Categoria inválida","Categoria inválida",IF(OR(H128&lt;1,H128&gt;12),"Fora dos 12 meses","OK"))))))</f>
        <v/>
      </c>
    </row>
    <row r="129">
      <c r="A129" s="35" t="n"/>
      <c r="B129" s="31" t="n"/>
      <c r="C129" s="19">
        <f>IF(B129="","",IF(COUNTIF(Config!$D$6:$D$15,B129)&gt;0,"Entrada",IF(COUNTIF(Config!$F$6:$F$25,B129)&gt;0,"Saída","Categoria inválida")))</f>
        <v/>
      </c>
      <c r="D129" s="31" t="n"/>
      <c r="E129" s="33" t="n"/>
      <c r="F129" s="36" t="n"/>
      <c r="G129" s="31" t="n"/>
      <c r="H129" s="37">
        <f>IF(A129="","",(YEAR(A129)-YEAR(Config!$B$6))*12+MONTH(A129)-MONTH(Config!$B$6)+1)</f>
        <v/>
      </c>
      <c r="I129" s="19">
        <f>IF(AND(A129="",B129="",E129=""),"",IF(A129="","Falta data",IF(B129="","Falta categoria",IF(E129="","Falta valor",IF(C129="Categoria inválida","Categoria inválida",IF(OR(H129&lt;1,H129&gt;12),"Fora dos 12 meses","OK"))))))</f>
        <v/>
      </c>
    </row>
    <row r="130">
      <c r="A130" s="35" t="n"/>
      <c r="B130" s="31" t="n"/>
      <c r="C130" s="19">
        <f>IF(B130="","",IF(COUNTIF(Config!$D$6:$D$15,B130)&gt;0,"Entrada",IF(COUNTIF(Config!$F$6:$F$25,B130)&gt;0,"Saída","Categoria inválida")))</f>
        <v/>
      </c>
      <c r="D130" s="31" t="n"/>
      <c r="E130" s="33" t="n"/>
      <c r="F130" s="36" t="n"/>
      <c r="G130" s="31" t="n"/>
      <c r="H130" s="37">
        <f>IF(A130="","",(YEAR(A130)-YEAR(Config!$B$6))*12+MONTH(A130)-MONTH(Config!$B$6)+1)</f>
        <v/>
      </c>
      <c r="I130" s="19">
        <f>IF(AND(A130="",B130="",E130=""),"",IF(A130="","Falta data",IF(B130="","Falta categoria",IF(E130="","Falta valor",IF(C130="Categoria inválida","Categoria inválida",IF(OR(H130&lt;1,H130&gt;12),"Fora dos 12 meses","OK"))))))</f>
        <v/>
      </c>
    </row>
    <row r="131">
      <c r="A131" s="35" t="n"/>
      <c r="B131" s="31" t="n"/>
      <c r="C131" s="19">
        <f>IF(B131="","",IF(COUNTIF(Config!$D$6:$D$15,B131)&gt;0,"Entrada",IF(COUNTIF(Config!$F$6:$F$25,B131)&gt;0,"Saída","Categoria inválida")))</f>
        <v/>
      </c>
      <c r="D131" s="31" t="n"/>
      <c r="E131" s="33" t="n"/>
      <c r="F131" s="36" t="n"/>
      <c r="G131" s="31" t="n"/>
      <c r="H131" s="37">
        <f>IF(A131="","",(YEAR(A131)-YEAR(Config!$B$6))*12+MONTH(A131)-MONTH(Config!$B$6)+1)</f>
        <v/>
      </c>
      <c r="I131" s="19">
        <f>IF(AND(A131="",B131="",E131=""),"",IF(A131="","Falta data",IF(B131="","Falta categoria",IF(E131="","Falta valor",IF(C131="Categoria inválida","Categoria inválida",IF(OR(H131&lt;1,H131&gt;12),"Fora dos 12 meses","OK"))))))</f>
        <v/>
      </c>
    </row>
    <row r="132">
      <c r="A132" s="35" t="n"/>
      <c r="B132" s="31" t="n"/>
      <c r="C132" s="19">
        <f>IF(B132="","",IF(COUNTIF(Config!$D$6:$D$15,B132)&gt;0,"Entrada",IF(COUNTIF(Config!$F$6:$F$25,B132)&gt;0,"Saída","Categoria inválida")))</f>
        <v/>
      </c>
      <c r="D132" s="31" t="n"/>
      <c r="E132" s="33" t="n"/>
      <c r="F132" s="36" t="n"/>
      <c r="G132" s="31" t="n"/>
      <c r="H132" s="37">
        <f>IF(A132="","",(YEAR(A132)-YEAR(Config!$B$6))*12+MONTH(A132)-MONTH(Config!$B$6)+1)</f>
        <v/>
      </c>
      <c r="I132" s="19">
        <f>IF(AND(A132="",B132="",E132=""),"",IF(A132="","Falta data",IF(B132="","Falta categoria",IF(E132="","Falta valor",IF(C132="Categoria inválida","Categoria inválida",IF(OR(H132&lt;1,H132&gt;12),"Fora dos 12 meses","OK"))))))</f>
        <v/>
      </c>
    </row>
    <row r="133">
      <c r="A133" s="35" t="n"/>
      <c r="B133" s="31" t="n"/>
      <c r="C133" s="19">
        <f>IF(B133="","",IF(COUNTIF(Config!$D$6:$D$15,B133)&gt;0,"Entrada",IF(COUNTIF(Config!$F$6:$F$25,B133)&gt;0,"Saída","Categoria inválida")))</f>
        <v/>
      </c>
      <c r="D133" s="31" t="n"/>
      <c r="E133" s="33" t="n"/>
      <c r="F133" s="36" t="n"/>
      <c r="G133" s="31" t="n"/>
      <c r="H133" s="37">
        <f>IF(A133="","",(YEAR(A133)-YEAR(Config!$B$6))*12+MONTH(A133)-MONTH(Config!$B$6)+1)</f>
        <v/>
      </c>
      <c r="I133" s="19">
        <f>IF(AND(A133="",B133="",E133=""),"",IF(A133="","Falta data",IF(B133="","Falta categoria",IF(E133="","Falta valor",IF(C133="Categoria inválida","Categoria inválida",IF(OR(H133&lt;1,H133&gt;12),"Fora dos 12 meses","OK"))))))</f>
        <v/>
      </c>
    </row>
    <row r="134">
      <c r="A134" s="35" t="n"/>
      <c r="B134" s="31" t="n"/>
      <c r="C134" s="19">
        <f>IF(B134="","",IF(COUNTIF(Config!$D$6:$D$15,B134)&gt;0,"Entrada",IF(COUNTIF(Config!$F$6:$F$25,B134)&gt;0,"Saída","Categoria inválida")))</f>
        <v/>
      </c>
      <c r="D134" s="31" t="n"/>
      <c r="E134" s="33" t="n"/>
      <c r="F134" s="36" t="n"/>
      <c r="G134" s="31" t="n"/>
      <c r="H134" s="37">
        <f>IF(A134="","",(YEAR(A134)-YEAR(Config!$B$6))*12+MONTH(A134)-MONTH(Config!$B$6)+1)</f>
        <v/>
      </c>
      <c r="I134" s="19">
        <f>IF(AND(A134="",B134="",E134=""),"",IF(A134="","Falta data",IF(B134="","Falta categoria",IF(E134="","Falta valor",IF(C134="Categoria inválida","Categoria inválida",IF(OR(H134&lt;1,H134&gt;12),"Fora dos 12 meses","OK"))))))</f>
        <v/>
      </c>
    </row>
    <row r="135">
      <c r="A135" s="35" t="n"/>
      <c r="B135" s="31" t="n"/>
      <c r="C135" s="19">
        <f>IF(B135="","",IF(COUNTIF(Config!$D$6:$D$15,B135)&gt;0,"Entrada",IF(COUNTIF(Config!$F$6:$F$25,B135)&gt;0,"Saída","Categoria inválida")))</f>
        <v/>
      </c>
      <c r="D135" s="31" t="n"/>
      <c r="E135" s="33" t="n"/>
      <c r="F135" s="36" t="n"/>
      <c r="G135" s="31" t="n"/>
      <c r="H135" s="37">
        <f>IF(A135="","",(YEAR(A135)-YEAR(Config!$B$6))*12+MONTH(A135)-MONTH(Config!$B$6)+1)</f>
        <v/>
      </c>
      <c r="I135" s="19">
        <f>IF(AND(A135="",B135="",E135=""),"",IF(A135="","Falta data",IF(B135="","Falta categoria",IF(E135="","Falta valor",IF(C135="Categoria inválida","Categoria inválida",IF(OR(H135&lt;1,H135&gt;12),"Fora dos 12 meses","OK"))))))</f>
        <v/>
      </c>
    </row>
    <row r="136">
      <c r="A136" s="35" t="n"/>
      <c r="B136" s="31" t="n"/>
      <c r="C136" s="19">
        <f>IF(B136="","",IF(COUNTIF(Config!$D$6:$D$15,B136)&gt;0,"Entrada",IF(COUNTIF(Config!$F$6:$F$25,B136)&gt;0,"Saída","Categoria inválida")))</f>
        <v/>
      </c>
      <c r="D136" s="31" t="n"/>
      <c r="E136" s="33" t="n"/>
      <c r="F136" s="36" t="n"/>
      <c r="G136" s="31" t="n"/>
      <c r="H136" s="37">
        <f>IF(A136="","",(YEAR(A136)-YEAR(Config!$B$6))*12+MONTH(A136)-MONTH(Config!$B$6)+1)</f>
        <v/>
      </c>
      <c r="I136" s="19">
        <f>IF(AND(A136="",B136="",E136=""),"",IF(A136="","Falta data",IF(B136="","Falta categoria",IF(E136="","Falta valor",IF(C136="Categoria inválida","Categoria inválida",IF(OR(H136&lt;1,H136&gt;12),"Fora dos 12 meses","OK"))))))</f>
        <v/>
      </c>
    </row>
    <row r="137">
      <c r="A137" s="35" t="n"/>
      <c r="B137" s="31" t="n"/>
      <c r="C137" s="19">
        <f>IF(B137="","",IF(COUNTIF(Config!$D$6:$D$15,B137)&gt;0,"Entrada",IF(COUNTIF(Config!$F$6:$F$25,B137)&gt;0,"Saída","Categoria inválida")))</f>
        <v/>
      </c>
      <c r="D137" s="31" t="n"/>
      <c r="E137" s="33" t="n"/>
      <c r="F137" s="36" t="n"/>
      <c r="G137" s="31" t="n"/>
      <c r="H137" s="37">
        <f>IF(A137="","",(YEAR(A137)-YEAR(Config!$B$6))*12+MONTH(A137)-MONTH(Config!$B$6)+1)</f>
        <v/>
      </c>
      <c r="I137" s="19">
        <f>IF(AND(A137="",B137="",E137=""),"",IF(A137="","Falta data",IF(B137="","Falta categoria",IF(E137="","Falta valor",IF(C137="Categoria inválida","Categoria inválida",IF(OR(H137&lt;1,H137&gt;12),"Fora dos 12 meses","OK"))))))</f>
        <v/>
      </c>
    </row>
    <row r="138">
      <c r="A138" s="35" t="n"/>
      <c r="B138" s="31" t="n"/>
      <c r="C138" s="19">
        <f>IF(B138="","",IF(COUNTIF(Config!$D$6:$D$15,B138)&gt;0,"Entrada",IF(COUNTIF(Config!$F$6:$F$25,B138)&gt;0,"Saída","Categoria inválida")))</f>
        <v/>
      </c>
      <c r="D138" s="31" t="n"/>
      <c r="E138" s="33" t="n"/>
      <c r="F138" s="36" t="n"/>
      <c r="G138" s="31" t="n"/>
      <c r="H138" s="37">
        <f>IF(A138="","",(YEAR(A138)-YEAR(Config!$B$6))*12+MONTH(A138)-MONTH(Config!$B$6)+1)</f>
        <v/>
      </c>
      <c r="I138" s="19">
        <f>IF(AND(A138="",B138="",E138=""),"",IF(A138="","Falta data",IF(B138="","Falta categoria",IF(E138="","Falta valor",IF(C138="Categoria inválida","Categoria inválida",IF(OR(H138&lt;1,H138&gt;12),"Fora dos 12 meses","OK"))))))</f>
        <v/>
      </c>
    </row>
    <row r="139">
      <c r="A139" s="35" t="n"/>
      <c r="B139" s="31" t="n"/>
      <c r="C139" s="19">
        <f>IF(B139="","",IF(COUNTIF(Config!$D$6:$D$15,B139)&gt;0,"Entrada",IF(COUNTIF(Config!$F$6:$F$25,B139)&gt;0,"Saída","Categoria inválida")))</f>
        <v/>
      </c>
      <c r="D139" s="31" t="n"/>
      <c r="E139" s="33" t="n"/>
      <c r="F139" s="36" t="n"/>
      <c r="G139" s="31" t="n"/>
      <c r="H139" s="37">
        <f>IF(A139="","",(YEAR(A139)-YEAR(Config!$B$6))*12+MONTH(A139)-MONTH(Config!$B$6)+1)</f>
        <v/>
      </c>
      <c r="I139" s="19">
        <f>IF(AND(A139="",B139="",E139=""),"",IF(A139="","Falta data",IF(B139="","Falta categoria",IF(E139="","Falta valor",IF(C139="Categoria inválida","Categoria inválida",IF(OR(H139&lt;1,H139&gt;12),"Fora dos 12 meses","OK"))))))</f>
        <v/>
      </c>
    </row>
    <row r="140">
      <c r="A140" s="35" t="n"/>
      <c r="B140" s="31" t="n"/>
      <c r="C140" s="19">
        <f>IF(B140="","",IF(COUNTIF(Config!$D$6:$D$15,B140)&gt;0,"Entrada",IF(COUNTIF(Config!$F$6:$F$25,B140)&gt;0,"Saída","Categoria inválida")))</f>
        <v/>
      </c>
      <c r="D140" s="31" t="n"/>
      <c r="E140" s="33" t="n"/>
      <c r="F140" s="36" t="n"/>
      <c r="G140" s="31" t="n"/>
      <c r="H140" s="37">
        <f>IF(A140="","",(YEAR(A140)-YEAR(Config!$B$6))*12+MONTH(A140)-MONTH(Config!$B$6)+1)</f>
        <v/>
      </c>
      <c r="I140" s="19">
        <f>IF(AND(A140="",B140="",E140=""),"",IF(A140="","Falta data",IF(B140="","Falta categoria",IF(E140="","Falta valor",IF(C140="Categoria inválida","Categoria inválida",IF(OR(H140&lt;1,H140&gt;12),"Fora dos 12 meses","OK"))))))</f>
        <v/>
      </c>
    </row>
    <row r="141">
      <c r="A141" s="35" t="n"/>
      <c r="B141" s="31" t="n"/>
      <c r="C141" s="19">
        <f>IF(B141="","",IF(COUNTIF(Config!$D$6:$D$15,B141)&gt;0,"Entrada",IF(COUNTIF(Config!$F$6:$F$25,B141)&gt;0,"Saída","Categoria inválida")))</f>
        <v/>
      </c>
      <c r="D141" s="31" t="n"/>
      <c r="E141" s="33" t="n"/>
      <c r="F141" s="36" t="n"/>
      <c r="G141" s="31" t="n"/>
      <c r="H141" s="37">
        <f>IF(A141="","",(YEAR(A141)-YEAR(Config!$B$6))*12+MONTH(A141)-MONTH(Config!$B$6)+1)</f>
        <v/>
      </c>
      <c r="I141" s="19">
        <f>IF(AND(A141="",B141="",E141=""),"",IF(A141="","Falta data",IF(B141="","Falta categoria",IF(E141="","Falta valor",IF(C141="Categoria inválida","Categoria inválida",IF(OR(H141&lt;1,H141&gt;12),"Fora dos 12 meses","OK"))))))</f>
        <v/>
      </c>
    </row>
    <row r="142">
      <c r="A142" s="35" t="n"/>
      <c r="B142" s="31" t="n"/>
      <c r="C142" s="19">
        <f>IF(B142="","",IF(COUNTIF(Config!$D$6:$D$15,B142)&gt;0,"Entrada",IF(COUNTIF(Config!$F$6:$F$25,B142)&gt;0,"Saída","Categoria inválida")))</f>
        <v/>
      </c>
      <c r="D142" s="31" t="n"/>
      <c r="E142" s="33" t="n"/>
      <c r="F142" s="36" t="n"/>
      <c r="G142" s="31" t="n"/>
      <c r="H142" s="37">
        <f>IF(A142="","",(YEAR(A142)-YEAR(Config!$B$6))*12+MONTH(A142)-MONTH(Config!$B$6)+1)</f>
        <v/>
      </c>
      <c r="I142" s="19">
        <f>IF(AND(A142="",B142="",E142=""),"",IF(A142="","Falta data",IF(B142="","Falta categoria",IF(E142="","Falta valor",IF(C142="Categoria inválida","Categoria inválida",IF(OR(H142&lt;1,H142&gt;12),"Fora dos 12 meses","OK"))))))</f>
        <v/>
      </c>
    </row>
    <row r="143">
      <c r="A143" s="35" t="n"/>
      <c r="B143" s="31" t="n"/>
      <c r="C143" s="19">
        <f>IF(B143="","",IF(COUNTIF(Config!$D$6:$D$15,B143)&gt;0,"Entrada",IF(COUNTIF(Config!$F$6:$F$25,B143)&gt;0,"Saída","Categoria inválida")))</f>
        <v/>
      </c>
      <c r="D143" s="31" t="n"/>
      <c r="E143" s="33" t="n"/>
      <c r="F143" s="36" t="n"/>
      <c r="G143" s="31" t="n"/>
      <c r="H143" s="37">
        <f>IF(A143="","",(YEAR(A143)-YEAR(Config!$B$6))*12+MONTH(A143)-MONTH(Config!$B$6)+1)</f>
        <v/>
      </c>
      <c r="I143" s="19">
        <f>IF(AND(A143="",B143="",E143=""),"",IF(A143="","Falta data",IF(B143="","Falta categoria",IF(E143="","Falta valor",IF(C143="Categoria inválida","Categoria inválida",IF(OR(H143&lt;1,H143&gt;12),"Fora dos 12 meses","OK"))))))</f>
        <v/>
      </c>
    </row>
    <row r="144">
      <c r="A144" s="35" t="n"/>
      <c r="B144" s="31" t="n"/>
      <c r="C144" s="19">
        <f>IF(B144="","",IF(COUNTIF(Config!$D$6:$D$15,B144)&gt;0,"Entrada",IF(COUNTIF(Config!$F$6:$F$25,B144)&gt;0,"Saída","Categoria inválida")))</f>
        <v/>
      </c>
      <c r="D144" s="31" t="n"/>
      <c r="E144" s="33" t="n"/>
      <c r="F144" s="36" t="n"/>
      <c r="G144" s="31" t="n"/>
      <c r="H144" s="37">
        <f>IF(A144="","",(YEAR(A144)-YEAR(Config!$B$6))*12+MONTH(A144)-MONTH(Config!$B$6)+1)</f>
        <v/>
      </c>
      <c r="I144" s="19">
        <f>IF(AND(A144="",B144="",E144=""),"",IF(A144="","Falta data",IF(B144="","Falta categoria",IF(E144="","Falta valor",IF(C144="Categoria inválida","Categoria inválida",IF(OR(H144&lt;1,H144&gt;12),"Fora dos 12 meses","OK"))))))</f>
        <v/>
      </c>
    </row>
    <row r="145">
      <c r="A145" s="35" t="n"/>
      <c r="B145" s="31" t="n"/>
      <c r="C145" s="19">
        <f>IF(B145="","",IF(COUNTIF(Config!$D$6:$D$15,B145)&gt;0,"Entrada",IF(COUNTIF(Config!$F$6:$F$25,B145)&gt;0,"Saída","Categoria inválida")))</f>
        <v/>
      </c>
      <c r="D145" s="31" t="n"/>
      <c r="E145" s="33" t="n"/>
      <c r="F145" s="36" t="n"/>
      <c r="G145" s="31" t="n"/>
      <c r="H145" s="37">
        <f>IF(A145="","",(YEAR(A145)-YEAR(Config!$B$6))*12+MONTH(A145)-MONTH(Config!$B$6)+1)</f>
        <v/>
      </c>
      <c r="I145" s="19">
        <f>IF(AND(A145="",B145="",E145=""),"",IF(A145="","Falta data",IF(B145="","Falta categoria",IF(E145="","Falta valor",IF(C145="Categoria inválida","Categoria inválida",IF(OR(H145&lt;1,H145&gt;12),"Fora dos 12 meses","OK"))))))</f>
        <v/>
      </c>
    </row>
    <row r="146">
      <c r="A146" s="35" t="n"/>
      <c r="B146" s="31" t="n"/>
      <c r="C146" s="19">
        <f>IF(B146="","",IF(COUNTIF(Config!$D$6:$D$15,B146)&gt;0,"Entrada",IF(COUNTIF(Config!$F$6:$F$25,B146)&gt;0,"Saída","Categoria inválida")))</f>
        <v/>
      </c>
      <c r="D146" s="31" t="n"/>
      <c r="E146" s="33" t="n"/>
      <c r="F146" s="36" t="n"/>
      <c r="G146" s="31" t="n"/>
      <c r="H146" s="37">
        <f>IF(A146="","",(YEAR(A146)-YEAR(Config!$B$6))*12+MONTH(A146)-MONTH(Config!$B$6)+1)</f>
        <v/>
      </c>
      <c r="I146" s="19">
        <f>IF(AND(A146="",B146="",E146=""),"",IF(A146="","Falta data",IF(B146="","Falta categoria",IF(E146="","Falta valor",IF(C146="Categoria inválida","Categoria inválida",IF(OR(H146&lt;1,H146&gt;12),"Fora dos 12 meses","OK"))))))</f>
        <v/>
      </c>
    </row>
    <row r="147">
      <c r="A147" s="35" t="n"/>
      <c r="B147" s="31" t="n"/>
      <c r="C147" s="19">
        <f>IF(B147="","",IF(COUNTIF(Config!$D$6:$D$15,B147)&gt;0,"Entrada",IF(COUNTIF(Config!$F$6:$F$25,B147)&gt;0,"Saída","Categoria inválida")))</f>
        <v/>
      </c>
      <c r="D147" s="31" t="n"/>
      <c r="E147" s="33" t="n"/>
      <c r="F147" s="36" t="n"/>
      <c r="G147" s="31" t="n"/>
      <c r="H147" s="37">
        <f>IF(A147="","",(YEAR(A147)-YEAR(Config!$B$6))*12+MONTH(A147)-MONTH(Config!$B$6)+1)</f>
        <v/>
      </c>
      <c r="I147" s="19">
        <f>IF(AND(A147="",B147="",E147=""),"",IF(A147="","Falta data",IF(B147="","Falta categoria",IF(E147="","Falta valor",IF(C147="Categoria inválida","Categoria inválida",IF(OR(H147&lt;1,H147&gt;12),"Fora dos 12 meses","OK"))))))</f>
        <v/>
      </c>
    </row>
    <row r="148">
      <c r="A148" s="35" t="n"/>
      <c r="B148" s="31" t="n"/>
      <c r="C148" s="19">
        <f>IF(B148="","",IF(COUNTIF(Config!$D$6:$D$15,B148)&gt;0,"Entrada",IF(COUNTIF(Config!$F$6:$F$25,B148)&gt;0,"Saída","Categoria inválida")))</f>
        <v/>
      </c>
      <c r="D148" s="31" t="n"/>
      <c r="E148" s="33" t="n"/>
      <c r="F148" s="36" t="n"/>
      <c r="G148" s="31" t="n"/>
      <c r="H148" s="37">
        <f>IF(A148="","",(YEAR(A148)-YEAR(Config!$B$6))*12+MONTH(A148)-MONTH(Config!$B$6)+1)</f>
        <v/>
      </c>
      <c r="I148" s="19">
        <f>IF(AND(A148="",B148="",E148=""),"",IF(A148="","Falta data",IF(B148="","Falta categoria",IF(E148="","Falta valor",IF(C148="Categoria inválida","Categoria inválida",IF(OR(H148&lt;1,H148&gt;12),"Fora dos 12 meses","OK"))))))</f>
        <v/>
      </c>
    </row>
    <row r="149">
      <c r="A149" s="35" t="n"/>
      <c r="B149" s="31" t="n"/>
      <c r="C149" s="19">
        <f>IF(B149="","",IF(COUNTIF(Config!$D$6:$D$15,B149)&gt;0,"Entrada",IF(COUNTIF(Config!$F$6:$F$25,B149)&gt;0,"Saída","Categoria inválida")))</f>
        <v/>
      </c>
      <c r="D149" s="31" t="n"/>
      <c r="E149" s="33" t="n"/>
      <c r="F149" s="36" t="n"/>
      <c r="G149" s="31" t="n"/>
      <c r="H149" s="37">
        <f>IF(A149="","",(YEAR(A149)-YEAR(Config!$B$6))*12+MONTH(A149)-MONTH(Config!$B$6)+1)</f>
        <v/>
      </c>
      <c r="I149" s="19">
        <f>IF(AND(A149="",B149="",E149=""),"",IF(A149="","Falta data",IF(B149="","Falta categoria",IF(E149="","Falta valor",IF(C149="Categoria inválida","Categoria inválida",IF(OR(H149&lt;1,H149&gt;12),"Fora dos 12 meses","OK"))))))</f>
        <v/>
      </c>
    </row>
    <row r="150">
      <c r="A150" s="35" t="n"/>
      <c r="B150" s="31" t="n"/>
      <c r="C150" s="19">
        <f>IF(B150="","",IF(COUNTIF(Config!$D$6:$D$15,B150)&gt;0,"Entrada",IF(COUNTIF(Config!$F$6:$F$25,B150)&gt;0,"Saída","Categoria inválida")))</f>
        <v/>
      </c>
      <c r="D150" s="31" t="n"/>
      <c r="E150" s="33" t="n"/>
      <c r="F150" s="36" t="n"/>
      <c r="G150" s="31" t="n"/>
      <c r="H150" s="37">
        <f>IF(A150="","",(YEAR(A150)-YEAR(Config!$B$6))*12+MONTH(A150)-MONTH(Config!$B$6)+1)</f>
        <v/>
      </c>
      <c r="I150" s="19">
        <f>IF(AND(A150="",B150="",E150=""),"",IF(A150="","Falta data",IF(B150="","Falta categoria",IF(E150="","Falta valor",IF(C150="Categoria inválida","Categoria inválida",IF(OR(H150&lt;1,H150&gt;12),"Fora dos 12 meses","OK"))))))</f>
        <v/>
      </c>
    </row>
    <row r="151">
      <c r="A151" s="35" t="n"/>
      <c r="B151" s="31" t="n"/>
      <c r="C151" s="19">
        <f>IF(B151="","",IF(COUNTIF(Config!$D$6:$D$15,B151)&gt;0,"Entrada",IF(COUNTIF(Config!$F$6:$F$25,B151)&gt;0,"Saída","Categoria inválida")))</f>
        <v/>
      </c>
      <c r="D151" s="31" t="n"/>
      <c r="E151" s="33" t="n"/>
      <c r="F151" s="36" t="n"/>
      <c r="G151" s="31" t="n"/>
      <c r="H151" s="37">
        <f>IF(A151="","",(YEAR(A151)-YEAR(Config!$B$6))*12+MONTH(A151)-MONTH(Config!$B$6)+1)</f>
        <v/>
      </c>
      <c r="I151" s="19">
        <f>IF(AND(A151="",B151="",E151=""),"",IF(A151="","Falta data",IF(B151="","Falta categoria",IF(E151="","Falta valor",IF(C151="Categoria inválida","Categoria inválida",IF(OR(H151&lt;1,H151&gt;12),"Fora dos 12 meses","OK"))))))</f>
        <v/>
      </c>
    </row>
    <row r="152">
      <c r="A152" s="35" t="n"/>
      <c r="B152" s="31" t="n"/>
      <c r="C152" s="19">
        <f>IF(B152="","",IF(COUNTIF(Config!$D$6:$D$15,B152)&gt;0,"Entrada",IF(COUNTIF(Config!$F$6:$F$25,B152)&gt;0,"Saída","Categoria inválida")))</f>
        <v/>
      </c>
      <c r="D152" s="31" t="n"/>
      <c r="E152" s="33" t="n"/>
      <c r="F152" s="36" t="n"/>
      <c r="G152" s="31" t="n"/>
      <c r="H152" s="37">
        <f>IF(A152="","",(YEAR(A152)-YEAR(Config!$B$6))*12+MONTH(A152)-MONTH(Config!$B$6)+1)</f>
        <v/>
      </c>
      <c r="I152" s="19">
        <f>IF(AND(A152="",B152="",E152=""),"",IF(A152="","Falta data",IF(B152="","Falta categoria",IF(E152="","Falta valor",IF(C152="Categoria inválida","Categoria inválida",IF(OR(H152&lt;1,H152&gt;12),"Fora dos 12 meses","OK"))))))</f>
        <v/>
      </c>
    </row>
    <row r="153">
      <c r="A153" s="35" t="n"/>
      <c r="B153" s="31" t="n"/>
      <c r="C153" s="19">
        <f>IF(B153="","",IF(COUNTIF(Config!$D$6:$D$15,B153)&gt;0,"Entrada",IF(COUNTIF(Config!$F$6:$F$25,B153)&gt;0,"Saída","Categoria inválida")))</f>
        <v/>
      </c>
      <c r="D153" s="31" t="n"/>
      <c r="E153" s="33" t="n"/>
      <c r="F153" s="36" t="n"/>
      <c r="G153" s="31" t="n"/>
      <c r="H153" s="37">
        <f>IF(A153="","",(YEAR(A153)-YEAR(Config!$B$6))*12+MONTH(A153)-MONTH(Config!$B$6)+1)</f>
        <v/>
      </c>
      <c r="I153" s="19">
        <f>IF(AND(A153="",B153="",E153=""),"",IF(A153="","Falta data",IF(B153="","Falta categoria",IF(E153="","Falta valor",IF(C153="Categoria inválida","Categoria inválida",IF(OR(H153&lt;1,H153&gt;12),"Fora dos 12 meses","OK"))))))</f>
        <v/>
      </c>
    </row>
    <row r="154">
      <c r="A154" s="35" t="n"/>
      <c r="B154" s="31" t="n"/>
      <c r="C154" s="19">
        <f>IF(B154="","",IF(COUNTIF(Config!$D$6:$D$15,B154)&gt;0,"Entrada",IF(COUNTIF(Config!$F$6:$F$25,B154)&gt;0,"Saída","Categoria inválida")))</f>
        <v/>
      </c>
      <c r="D154" s="31" t="n"/>
      <c r="E154" s="33" t="n"/>
      <c r="F154" s="36" t="n"/>
      <c r="G154" s="31" t="n"/>
      <c r="H154" s="37">
        <f>IF(A154="","",(YEAR(A154)-YEAR(Config!$B$6))*12+MONTH(A154)-MONTH(Config!$B$6)+1)</f>
        <v/>
      </c>
      <c r="I154" s="19">
        <f>IF(AND(A154="",B154="",E154=""),"",IF(A154="","Falta data",IF(B154="","Falta categoria",IF(E154="","Falta valor",IF(C154="Categoria inválida","Categoria inválida",IF(OR(H154&lt;1,H154&gt;12),"Fora dos 12 meses","OK"))))))</f>
        <v/>
      </c>
    </row>
    <row r="155">
      <c r="A155" s="35" t="n"/>
      <c r="B155" s="31" t="n"/>
      <c r="C155" s="19">
        <f>IF(B155="","",IF(COUNTIF(Config!$D$6:$D$15,B155)&gt;0,"Entrada",IF(COUNTIF(Config!$F$6:$F$25,B155)&gt;0,"Saída","Categoria inválida")))</f>
        <v/>
      </c>
      <c r="D155" s="31" t="n"/>
      <c r="E155" s="33" t="n"/>
      <c r="F155" s="36" t="n"/>
      <c r="G155" s="31" t="n"/>
      <c r="H155" s="37">
        <f>IF(A155="","",(YEAR(A155)-YEAR(Config!$B$6))*12+MONTH(A155)-MONTH(Config!$B$6)+1)</f>
        <v/>
      </c>
      <c r="I155" s="19">
        <f>IF(AND(A155="",B155="",E155=""),"",IF(A155="","Falta data",IF(B155="","Falta categoria",IF(E155="","Falta valor",IF(C155="Categoria inválida","Categoria inválida",IF(OR(H155&lt;1,H155&gt;12),"Fora dos 12 meses","OK"))))))</f>
        <v/>
      </c>
    </row>
    <row r="156">
      <c r="A156" s="35" t="n"/>
      <c r="B156" s="31" t="n"/>
      <c r="C156" s="19">
        <f>IF(B156="","",IF(COUNTIF(Config!$D$6:$D$15,B156)&gt;0,"Entrada",IF(COUNTIF(Config!$F$6:$F$25,B156)&gt;0,"Saída","Categoria inválida")))</f>
        <v/>
      </c>
      <c r="D156" s="31" t="n"/>
      <c r="E156" s="33" t="n"/>
      <c r="F156" s="36" t="n"/>
      <c r="G156" s="31" t="n"/>
      <c r="H156" s="37">
        <f>IF(A156="","",(YEAR(A156)-YEAR(Config!$B$6))*12+MONTH(A156)-MONTH(Config!$B$6)+1)</f>
        <v/>
      </c>
      <c r="I156" s="19">
        <f>IF(AND(A156="",B156="",E156=""),"",IF(A156="","Falta data",IF(B156="","Falta categoria",IF(E156="","Falta valor",IF(C156="Categoria inválida","Categoria inválida",IF(OR(H156&lt;1,H156&gt;12),"Fora dos 12 meses","OK"))))))</f>
        <v/>
      </c>
    </row>
    <row r="157">
      <c r="A157" s="35" t="n"/>
      <c r="B157" s="31" t="n"/>
      <c r="C157" s="19">
        <f>IF(B157="","",IF(COUNTIF(Config!$D$6:$D$15,B157)&gt;0,"Entrada",IF(COUNTIF(Config!$F$6:$F$25,B157)&gt;0,"Saída","Categoria inválida")))</f>
        <v/>
      </c>
      <c r="D157" s="31" t="n"/>
      <c r="E157" s="33" t="n"/>
      <c r="F157" s="36" t="n"/>
      <c r="G157" s="31" t="n"/>
      <c r="H157" s="37">
        <f>IF(A157="","",(YEAR(A157)-YEAR(Config!$B$6))*12+MONTH(A157)-MONTH(Config!$B$6)+1)</f>
        <v/>
      </c>
      <c r="I157" s="19">
        <f>IF(AND(A157="",B157="",E157=""),"",IF(A157="","Falta data",IF(B157="","Falta categoria",IF(E157="","Falta valor",IF(C157="Categoria inválida","Categoria inválida",IF(OR(H157&lt;1,H157&gt;12),"Fora dos 12 meses","OK"))))))</f>
        <v/>
      </c>
    </row>
    <row r="158">
      <c r="A158" s="35" t="n"/>
      <c r="B158" s="31" t="n"/>
      <c r="C158" s="19">
        <f>IF(B158="","",IF(COUNTIF(Config!$D$6:$D$15,B158)&gt;0,"Entrada",IF(COUNTIF(Config!$F$6:$F$25,B158)&gt;0,"Saída","Categoria inválida")))</f>
        <v/>
      </c>
      <c r="D158" s="31" t="n"/>
      <c r="E158" s="33" t="n"/>
      <c r="F158" s="36" t="n"/>
      <c r="G158" s="31" t="n"/>
      <c r="H158" s="37">
        <f>IF(A158="","",(YEAR(A158)-YEAR(Config!$B$6))*12+MONTH(A158)-MONTH(Config!$B$6)+1)</f>
        <v/>
      </c>
      <c r="I158" s="19">
        <f>IF(AND(A158="",B158="",E158=""),"",IF(A158="","Falta data",IF(B158="","Falta categoria",IF(E158="","Falta valor",IF(C158="Categoria inválida","Categoria inválida",IF(OR(H158&lt;1,H158&gt;12),"Fora dos 12 meses","OK"))))))</f>
        <v/>
      </c>
    </row>
    <row r="159">
      <c r="A159" s="35" t="n"/>
      <c r="B159" s="31" t="n"/>
      <c r="C159" s="19">
        <f>IF(B159="","",IF(COUNTIF(Config!$D$6:$D$15,B159)&gt;0,"Entrada",IF(COUNTIF(Config!$F$6:$F$25,B159)&gt;0,"Saída","Categoria inválida")))</f>
        <v/>
      </c>
      <c r="D159" s="31" t="n"/>
      <c r="E159" s="33" t="n"/>
      <c r="F159" s="36" t="n"/>
      <c r="G159" s="31" t="n"/>
      <c r="H159" s="37">
        <f>IF(A159="","",(YEAR(A159)-YEAR(Config!$B$6))*12+MONTH(A159)-MONTH(Config!$B$6)+1)</f>
        <v/>
      </c>
      <c r="I159" s="19">
        <f>IF(AND(A159="",B159="",E159=""),"",IF(A159="","Falta data",IF(B159="","Falta categoria",IF(E159="","Falta valor",IF(C159="Categoria inválida","Categoria inválida",IF(OR(H159&lt;1,H159&gt;12),"Fora dos 12 meses","OK"))))))</f>
        <v/>
      </c>
    </row>
    <row r="160">
      <c r="A160" s="35" t="n"/>
      <c r="B160" s="31" t="n"/>
      <c r="C160" s="19">
        <f>IF(B160="","",IF(COUNTIF(Config!$D$6:$D$15,B160)&gt;0,"Entrada",IF(COUNTIF(Config!$F$6:$F$25,B160)&gt;0,"Saída","Categoria inválida")))</f>
        <v/>
      </c>
      <c r="D160" s="31" t="n"/>
      <c r="E160" s="33" t="n"/>
      <c r="F160" s="36" t="n"/>
      <c r="G160" s="31" t="n"/>
      <c r="H160" s="37">
        <f>IF(A160="","",(YEAR(A160)-YEAR(Config!$B$6))*12+MONTH(A160)-MONTH(Config!$B$6)+1)</f>
        <v/>
      </c>
      <c r="I160" s="19">
        <f>IF(AND(A160="",B160="",E160=""),"",IF(A160="","Falta data",IF(B160="","Falta categoria",IF(E160="","Falta valor",IF(C160="Categoria inválida","Categoria inválida",IF(OR(H160&lt;1,H160&gt;12),"Fora dos 12 meses","OK"))))))</f>
        <v/>
      </c>
    </row>
    <row r="161">
      <c r="A161" s="35" t="n"/>
      <c r="B161" s="31" t="n"/>
      <c r="C161" s="19">
        <f>IF(B161="","",IF(COUNTIF(Config!$D$6:$D$15,B161)&gt;0,"Entrada",IF(COUNTIF(Config!$F$6:$F$25,B161)&gt;0,"Saída","Categoria inválida")))</f>
        <v/>
      </c>
      <c r="D161" s="31" t="n"/>
      <c r="E161" s="33" t="n"/>
      <c r="F161" s="36" t="n"/>
      <c r="G161" s="31" t="n"/>
      <c r="H161" s="37">
        <f>IF(A161="","",(YEAR(A161)-YEAR(Config!$B$6))*12+MONTH(A161)-MONTH(Config!$B$6)+1)</f>
        <v/>
      </c>
      <c r="I161" s="19">
        <f>IF(AND(A161="",B161="",E161=""),"",IF(A161="","Falta data",IF(B161="","Falta categoria",IF(E161="","Falta valor",IF(C161="Categoria inválida","Categoria inválida",IF(OR(H161&lt;1,H161&gt;12),"Fora dos 12 meses","OK"))))))</f>
        <v/>
      </c>
    </row>
    <row r="162">
      <c r="A162" s="35" t="n"/>
      <c r="B162" s="31" t="n"/>
      <c r="C162" s="19">
        <f>IF(B162="","",IF(COUNTIF(Config!$D$6:$D$15,B162)&gt;0,"Entrada",IF(COUNTIF(Config!$F$6:$F$25,B162)&gt;0,"Saída","Categoria inválida")))</f>
        <v/>
      </c>
      <c r="D162" s="31" t="n"/>
      <c r="E162" s="33" t="n"/>
      <c r="F162" s="36" t="n"/>
      <c r="G162" s="31" t="n"/>
      <c r="H162" s="37">
        <f>IF(A162="","",(YEAR(A162)-YEAR(Config!$B$6))*12+MONTH(A162)-MONTH(Config!$B$6)+1)</f>
        <v/>
      </c>
      <c r="I162" s="19">
        <f>IF(AND(A162="",B162="",E162=""),"",IF(A162="","Falta data",IF(B162="","Falta categoria",IF(E162="","Falta valor",IF(C162="Categoria inválida","Categoria inválida",IF(OR(H162&lt;1,H162&gt;12),"Fora dos 12 meses","OK"))))))</f>
        <v/>
      </c>
    </row>
    <row r="163">
      <c r="A163" s="35" t="n"/>
      <c r="B163" s="31" t="n"/>
      <c r="C163" s="19">
        <f>IF(B163="","",IF(COUNTIF(Config!$D$6:$D$15,B163)&gt;0,"Entrada",IF(COUNTIF(Config!$F$6:$F$25,B163)&gt;0,"Saída","Categoria inválida")))</f>
        <v/>
      </c>
      <c r="D163" s="31" t="n"/>
      <c r="E163" s="33" t="n"/>
      <c r="F163" s="36" t="n"/>
      <c r="G163" s="31" t="n"/>
      <c r="H163" s="37">
        <f>IF(A163="","",(YEAR(A163)-YEAR(Config!$B$6))*12+MONTH(A163)-MONTH(Config!$B$6)+1)</f>
        <v/>
      </c>
      <c r="I163" s="19">
        <f>IF(AND(A163="",B163="",E163=""),"",IF(A163="","Falta data",IF(B163="","Falta categoria",IF(E163="","Falta valor",IF(C163="Categoria inválida","Categoria inválida",IF(OR(H163&lt;1,H163&gt;12),"Fora dos 12 meses","OK"))))))</f>
        <v/>
      </c>
    </row>
    <row r="164">
      <c r="A164" s="35" t="n"/>
      <c r="B164" s="31" t="n"/>
      <c r="C164" s="19">
        <f>IF(B164="","",IF(COUNTIF(Config!$D$6:$D$15,B164)&gt;0,"Entrada",IF(COUNTIF(Config!$F$6:$F$25,B164)&gt;0,"Saída","Categoria inválida")))</f>
        <v/>
      </c>
      <c r="D164" s="31" t="n"/>
      <c r="E164" s="33" t="n"/>
      <c r="F164" s="36" t="n"/>
      <c r="G164" s="31" t="n"/>
      <c r="H164" s="37">
        <f>IF(A164="","",(YEAR(A164)-YEAR(Config!$B$6))*12+MONTH(A164)-MONTH(Config!$B$6)+1)</f>
        <v/>
      </c>
      <c r="I164" s="19">
        <f>IF(AND(A164="",B164="",E164=""),"",IF(A164="","Falta data",IF(B164="","Falta categoria",IF(E164="","Falta valor",IF(C164="Categoria inválida","Categoria inválida",IF(OR(H164&lt;1,H164&gt;12),"Fora dos 12 meses","OK"))))))</f>
        <v/>
      </c>
    </row>
    <row r="165">
      <c r="A165" s="35" t="n"/>
      <c r="B165" s="31" t="n"/>
      <c r="C165" s="19">
        <f>IF(B165="","",IF(COUNTIF(Config!$D$6:$D$15,B165)&gt;0,"Entrada",IF(COUNTIF(Config!$F$6:$F$25,B165)&gt;0,"Saída","Categoria inválida")))</f>
        <v/>
      </c>
      <c r="D165" s="31" t="n"/>
      <c r="E165" s="33" t="n"/>
      <c r="F165" s="36" t="n"/>
      <c r="G165" s="31" t="n"/>
      <c r="H165" s="37">
        <f>IF(A165="","",(YEAR(A165)-YEAR(Config!$B$6))*12+MONTH(A165)-MONTH(Config!$B$6)+1)</f>
        <v/>
      </c>
      <c r="I165" s="19">
        <f>IF(AND(A165="",B165="",E165=""),"",IF(A165="","Falta data",IF(B165="","Falta categoria",IF(E165="","Falta valor",IF(C165="Categoria inválida","Categoria inválida",IF(OR(H165&lt;1,H165&gt;12),"Fora dos 12 meses","OK"))))))</f>
        <v/>
      </c>
    </row>
    <row r="166">
      <c r="A166" s="35" t="n"/>
      <c r="B166" s="31" t="n"/>
      <c r="C166" s="19">
        <f>IF(B166="","",IF(COUNTIF(Config!$D$6:$D$15,B166)&gt;0,"Entrada",IF(COUNTIF(Config!$F$6:$F$25,B166)&gt;0,"Saída","Categoria inválida")))</f>
        <v/>
      </c>
      <c r="D166" s="31" t="n"/>
      <c r="E166" s="33" t="n"/>
      <c r="F166" s="36" t="n"/>
      <c r="G166" s="31" t="n"/>
      <c r="H166" s="37">
        <f>IF(A166="","",(YEAR(A166)-YEAR(Config!$B$6))*12+MONTH(A166)-MONTH(Config!$B$6)+1)</f>
        <v/>
      </c>
      <c r="I166" s="19">
        <f>IF(AND(A166="",B166="",E166=""),"",IF(A166="","Falta data",IF(B166="","Falta categoria",IF(E166="","Falta valor",IF(C166="Categoria inválida","Categoria inválida",IF(OR(H166&lt;1,H166&gt;12),"Fora dos 12 meses","OK"))))))</f>
        <v/>
      </c>
    </row>
    <row r="167">
      <c r="A167" s="35" t="n"/>
      <c r="B167" s="31" t="n"/>
      <c r="C167" s="19">
        <f>IF(B167="","",IF(COUNTIF(Config!$D$6:$D$15,B167)&gt;0,"Entrada",IF(COUNTIF(Config!$F$6:$F$25,B167)&gt;0,"Saída","Categoria inválida")))</f>
        <v/>
      </c>
      <c r="D167" s="31" t="n"/>
      <c r="E167" s="33" t="n"/>
      <c r="F167" s="36" t="n"/>
      <c r="G167" s="31" t="n"/>
      <c r="H167" s="37">
        <f>IF(A167="","",(YEAR(A167)-YEAR(Config!$B$6))*12+MONTH(A167)-MONTH(Config!$B$6)+1)</f>
        <v/>
      </c>
      <c r="I167" s="19">
        <f>IF(AND(A167="",B167="",E167=""),"",IF(A167="","Falta data",IF(B167="","Falta categoria",IF(E167="","Falta valor",IF(C167="Categoria inválida","Categoria inválida",IF(OR(H167&lt;1,H167&gt;12),"Fora dos 12 meses","OK"))))))</f>
        <v/>
      </c>
    </row>
    <row r="168">
      <c r="A168" s="35" t="n"/>
      <c r="B168" s="31" t="n"/>
      <c r="C168" s="19">
        <f>IF(B168="","",IF(COUNTIF(Config!$D$6:$D$15,B168)&gt;0,"Entrada",IF(COUNTIF(Config!$F$6:$F$25,B168)&gt;0,"Saída","Categoria inválida")))</f>
        <v/>
      </c>
      <c r="D168" s="31" t="n"/>
      <c r="E168" s="33" t="n"/>
      <c r="F168" s="36" t="n"/>
      <c r="G168" s="31" t="n"/>
      <c r="H168" s="37">
        <f>IF(A168="","",(YEAR(A168)-YEAR(Config!$B$6))*12+MONTH(A168)-MONTH(Config!$B$6)+1)</f>
        <v/>
      </c>
      <c r="I168" s="19">
        <f>IF(AND(A168="",B168="",E168=""),"",IF(A168="","Falta data",IF(B168="","Falta categoria",IF(E168="","Falta valor",IF(C168="Categoria inválida","Categoria inválida",IF(OR(H168&lt;1,H168&gt;12),"Fora dos 12 meses","OK"))))))</f>
        <v/>
      </c>
    </row>
    <row r="169">
      <c r="A169" s="35" t="n"/>
      <c r="B169" s="31" t="n"/>
      <c r="C169" s="19">
        <f>IF(B169="","",IF(COUNTIF(Config!$D$6:$D$15,B169)&gt;0,"Entrada",IF(COUNTIF(Config!$F$6:$F$25,B169)&gt;0,"Saída","Categoria inválida")))</f>
        <v/>
      </c>
      <c r="D169" s="31" t="n"/>
      <c r="E169" s="33" t="n"/>
      <c r="F169" s="36" t="n"/>
      <c r="G169" s="31" t="n"/>
      <c r="H169" s="37">
        <f>IF(A169="","",(YEAR(A169)-YEAR(Config!$B$6))*12+MONTH(A169)-MONTH(Config!$B$6)+1)</f>
        <v/>
      </c>
      <c r="I169" s="19">
        <f>IF(AND(A169="",B169="",E169=""),"",IF(A169="","Falta data",IF(B169="","Falta categoria",IF(E169="","Falta valor",IF(C169="Categoria inválida","Categoria inválida",IF(OR(H169&lt;1,H169&gt;12),"Fora dos 12 meses","OK"))))))</f>
        <v/>
      </c>
    </row>
    <row r="170">
      <c r="A170" s="35" t="n"/>
      <c r="B170" s="31" t="n"/>
      <c r="C170" s="19">
        <f>IF(B170="","",IF(COUNTIF(Config!$D$6:$D$15,B170)&gt;0,"Entrada",IF(COUNTIF(Config!$F$6:$F$25,B170)&gt;0,"Saída","Categoria inválida")))</f>
        <v/>
      </c>
      <c r="D170" s="31" t="n"/>
      <c r="E170" s="33" t="n"/>
      <c r="F170" s="36" t="n"/>
      <c r="G170" s="31" t="n"/>
      <c r="H170" s="37">
        <f>IF(A170="","",(YEAR(A170)-YEAR(Config!$B$6))*12+MONTH(A170)-MONTH(Config!$B$6)+1)</f>
        <v/>
      </c>
      <c r="I170" s="19">
        <f>IF(AND(A170="",B170="",E170=""),"",IF(A170="","Falta data",IF(B170="","Falta categoria",IF(E170="","Falta valor",IF(C170="Categoria inválida","Categoria inválida",IF(OR(H170&lt;1,H170&gt;12),"Fora dos 12 meses","OK"))))))</f>
        <v/>
      </c>
    </row>
    <row r="171">
      <c r="A171" s="35" t="n"/>
      <c r="B171" s="31" t="n"/>
      <c r="C171" s="19">
        <f>IF(B171="","",IF(COUNTIF(Config!$D$6:$D$15,B171)&gt;0,"Entrada",IF(COUNTIF(Config!$F$6:$F$25,B171)&gt;0,"Saída","Categoria inválida")))</f>
        <v/>
      </c>
      <c r="D171" s="31" t="n"/>
      <c r="E171" s="33" t="n"/>
      <c r="F171" s="36" t="n"/>
      <c r="G171" s="31" t="n"/>
      <c r="H171" s="37">
        <f>IF(A171="","",(YEAR(A171)-YEAR(Config!$B$6))*12+MONTH(A171)-MONTH(Config!$B$6)+1)</f>
        <v/>
      </c>
      <c r="I171" s="19">
        <f>IF(AND(A171="",B171="",E171=""),"",IF(A171="","Falta data",IF(B171="","Falta categoria",IF(E171="","Falta valor",IF(C171="Categoria inválida","Categoria inválida",IF(OR(H171&lt;1,H171&gt;12),"Fora dos 12 meses","OK"))))))</f>
        <v/>
      </c>
    </row>
    <row r="172">
      <c r="A172" s="35" t="n"/>
      <c r="B172" s="31" t="n"/>
      <c r="C172" s="19">
        <f>IF(B172="","",IF(COUNTIF(Config!$D$6:$D$15,B172)&gt;0,"Entrada",IF(COUNTIF(Config!$F$6:$F$25,B172)&gt;0,"Saída","Categoria inválida")))</f>
        <v/>
      </c>
      <c r="D172" s="31" t="n"/>
      <c r="E172" s="33" t="n"/>
      <c r="F172" s="36" t="n"/>
      <c r="G172" s="31" t="n"/>
      <c r="H172" s="37">
        <f>IF(A172="","",(YEAR(A172)-YEAR(Config!$B$6))*12+MONTH(A172)-MONTH(Config!$B$6)+1)</f>
        <v/>
      </c>
      <c r="I172" s="19">
        <f>IF(AND(A172="",B172="",E172=""),"",IF(A172="","Falta data",IF(B172="","Falta categoria",IF(E172="","Falta valor",IF(C172="Categoria inválida","Categoria inválida",IF(OR(H172&lt;1,H172&gt;12),"Fora dos 12 meses","OK"))))))</f>
        <v/>
      </c>
    </row>
    <row r="173">
      <c r="A173" s="35" t="n"/>
      <c r="B173" s="31" t="n"/>
      <c r="C173" s="19">
        <f>IF(B173="","",IF(COUNTIF(Config!$D$6:$D$15,B173)&gt;0,"Entrada",IF(COUNTIF(Config!$F$6:$F$25,B173)&gt;0,"Saída","Categoria inválida")))</f>
        <v/>
      </c>
      <c r="D173" s="31" t="n"/>
      <c r="E173" s="33" t="n"/>
      <c r="F173" s="36" t="n"/>
      <c r="G173" s="31" t="n"/>
      <c r="H173" s="37">
        <f>IF(A173="","",(YEAR(A173)-YEAR(Config!$B$6))*12+MONTH(A173)-MONTH(Config!$B$6)+1)</f>
        <v/>
      </c>
      <c r="I173" s="19">
        <f>IF(AND(A173="",B173="",E173=""),"",IF(A173="","Falta data",IF(B173="","Falta categoria",IF(E173="","Falta valor",IF(C173="Categoria inválida","Categoria inválida",IF(OR(H173&lt;1,H173&gt;12),"Fora dos 12 meses","OK"))))))</f>
        <v/>
      </c>
    </row>
    <row r="174">
      <c r="A174" s="35" t="n"/>
      <c r="B174" s="31" t="n"/>
      <c r="C174" s="19">
        <f>IF(B174="","",IF(COUNTIF(Config!$D$6:$D$15,B174)&gt;0,"Entrada",IF(COUNTIF(Config!$F$6:$F$25,B174)&gt;0,"Saída","Categoria inválida")))</f>
        <v/>
      </c>
      <c r="D174" s="31" t="n"/>
      <c r="E174" s="33" t="n"/>
      <c r="F174" s="36" t="n"/>
      <c r="G174" s="31" t="n"/>
      <c r="H174" s="37">
        <f>IF(A174="","",(YEAR(A174)-YEAR(Config!$B$6))*12+MONTH(A174)-MONTH(Config!$B$6)+1)</f>
        <v/>
      </c>
      <c r="I174" s="19">
        <f>IF(AND(A174="",B174="",E174=""),"",IF(A174="","Falta data",IF(B174="","Falta categoria",IF(E174="","Falta valor",IF(C174="Categoria inválida","Categoria inválida",IF(OR(H174&lt;1,H174&gt;12),"Fora dos 12 meses","OK"))))))</f>
        <v/>
      </c>
    </row>
    <row r="175">
      <c r="A175" s="35" t="n"/>
      <c r="B175" s="31" t="n"/>
      <c r="C175" s="19">
        <f>IF(B175="","",IF(COUNTIF(Config!$D$6:$D$15,B175)&gt;0,"Entrada",IF(COUNTIF(Config!$F$6:$F$25,B175)&gt;0,"Saída","Categoria inválida")))</f>
        <v/>
      </c>
      <c r="D175" s="31" t="n"/>
      <c r="E175" s="33" t="n"/>
      <c r="F175" s="36" t="n"/>
      <c r="G175" s="31" t="n"/>
      <c r="H175" s="37">
        <f>IF(A175="","",(YEAR(A175)-YEAR(Config!$B$6))*12+MONTH(A175)-MONTH(Config!$B$6)+1)</f>
        <v/>
      </c>
      <c r="I175" s="19">
        <f>IF(AND(A175="",B175="",E175=""),"",IF(A175="","Falta data",IF(B175="","Falta categoria",IF(E175="","Falta valor",IF(C175="Categoria inválida","Categoria inválida",IF(OR(H175&lt;1,H175&gt;12),"Fora dos 12 meses","OK"))))))</f>
        <v/>
      </c>
    </row>
    <row r="176">
      <c r="A176" s="35" t="n"/>
      <c r="B176" s="31" t="n"/>
      <c r="C176" s="19">
        <f>IF(B176="","",IF(COUNTIF(Config!$D$6:$D$15,B176)&gt;0,"Entrada",IF(COUNTIF(Config!$F$6:$F$25,B176)&gt;0,"Saída","Categoria inválida")))</f>
        <v/>
      </c>
      <c r="D176" s="31" t="n"/>
      <c r="E176" s="33" t="n"/>
      <c r="F176" s="36" t="n"/>
      <c r="G176" s="31" t="n"/>
      <c r="H176" s="37">
        <f>IF(A176="","",(YEAR(A176)-YEAR(Config!$B$6))*12+MONTH(A176)-MONTH(Config!$B$6)+1)</f>
        <v/>
      </c>
      <c r="I176" s="19">
        <f>IF(AND(A176="",B176="",E176=""),"",IF(A176="","Falta data",IF(B176="","Falta categoria",IF(E176="","Falta valor",IF(C176="Categoria inválida","Categoria inválida",IF(OR(H176&lt;1,H176&gt;12),"Fora dos 12 meses","OK"))))))</f>
        <v/>
      </c>
    </row>
    <row r="177">
      <c r="A177" s="35" t="n"/>
      <c r="B177" s="31" t="n"/>
      <c r="C177" s="19">
        <f>IF(B177="","",IF(COUNTIF(Config!$D$6:$D$15,B177)&gt;0,"Entrada",IF(COUNTIF(Config!$F$6:$F$25,B177)&gt;0,"Saída","Categoria inválida")))</f>
        <v/>
      </c>
      <c r="D177" s="31" t="n"/>
      <c r="E177" s="33" t="n"/>
      <c r="F177" s="36" t="n"/>
      <c r="G177" s="31" t="n"/>
      <c r="H177" s="37">
        <f>IF(A177="","",(YEAR(A177)-YEAR(Config!$B$6))*12+MONTH(A177)-MONTH(Config!$B$6)+1)</f>
        <v/>
      </c>
      <c r="I177" s="19">
        <f>IF(AND(A177="",B177="",E177=""),"",IF(A177="","Falta data",IF(B177="","Falta categoria",IF(E177="","Falta valor",IF(C177="Categoria inválida","Categoria inválida",IF(OR(H177&lt;1,H177&gt;12),"Fora dos 12 meses","OK"))))))</f>
        <v/>
      </c>
    </row>
    <row r="178">
      <c r="A178" s="35" t="n"/>
      <c r="B178" s="31" t="n"/>
      <c r="C178" s="19">
        <f>IF(B178="","",IF(COUNTIF(Config!$D$6:$D$15,B178)&gt;0,"Entrada",IF(COUNTIF(Config!$F$6:$F$25,B178)&gt;0,"Saída","Categoria inválida")))</f>
        <v/>
      </c>
      <c r="D178" s="31" t="n"/>
      <c r="E178" s="33" t="n"/>
      <c r="F178" s="36" t="n"/>
      <c r="G178" s="31" t="n"/>
      <c r="H178" s="37">
        <f>IF(A178="","",(YEAR(A178)-YEAR(Config!$B$6))*12+MONTH(A178)-MONTH(Config!$B$6)+1)</f>
        <v/>
      </c>
      <c r="I178" s="19">
        <f>IF(AND(A178="",B178="",E178=""),"",IF(A178="","Falta data",IF(B178="","Falta categoria",IF(E178="","Falta valor",IF(C178="Categoria inválida","Categoria inválida",IF(OR(H178&lt;1,H178&gt;12),"Fora dos 12 meses","OK"))))))</f>
        <v/>
      </c>
    </row>
    <row r="179">
      <c r="A179" s="35" t="n"/>
      <c r="B179" s="31" t="n"/>
      <c r="C179" s="19">
        <f>IF(B179="","",IF(COUNTIF(Config!$D$6:$D$15,B179)&gt;0,"Entrada",IF(COUNTIF(Config!$F$6:$F$25,B179)&gt;0,"Saída","Categoria inválida")))</f>
        <v/>
      </c>
      <c r="D179" s="31" t="n"/>
      <c r="E179" s="33" t="n"/>
      <c r="F179" s="36" t="n"/>
      <c r="G179" s="31" t="n"/>
      <c r="H179" s="37">
        <f>IF(A179="","",(YEAR(A179)-YEAR(Config!$B$6))*12+MONTH(A179)-MONTH(Config!$B$6)+1)</f>
        <v/>
      </c>
      <c r="I179" s="19">
        <f>IF(AND(A179="",B179="",E179=""),"",IF(A179="","Falta data",IF(B179="","Falta categoria",IF(E179="","Falta valor",IF(C179="Categoria inválida","Categoria inválida",IF(OR(H179&lt;1,H179&gt;12),"Fora dos 12 meses","OK"))))))</f>
        <v/>
      </c>
    </row>
    <row r="180">
      <c r="A180" s="35" t="n"/>
      <c r="B180" s="31" t="n"/>
      <c r="C180" s="19">
        <f>IF(B180="","",IF(COUNTIF(Config!$D$6:$D$15,B180)&gt;0,"Entrada",IF(COUNTIF(Config!$F$6:$F$25,B180)&gt;0,"Saída","Categoria inválida")))</f>
        <v/>
      </c>
      <c r="D180" s="31" t="n"/>
      <c r="E180" s="33" t="n"/>
      <c r="F180" s="36" t="n"/>
      <c r="G180" s="31" t="n"/>
      <c r="H180" s="37">
        <f>IF(A180="","",(YEAR(A180)-YEAR(Config!$B$6))*12+MONTH(A180)-MONTH(Config!$B$6)+1)</f>
        <v/>
      </c>
      <c r="I180" s="19">
        <f>IF(AND(A180="",B180="",E180=""),"",IF(A180="","Falta data",IF(B180="","Falta categoria",IF(E180="","Falta valor",IF(C180="Categoria inválida","Categoria inválida",IF(OR(H180&lt;1,H180&gt;12),"Fora dos 12 meses","OK"))))))</f>
        <v/>
      </c>
    </row>
    <row r="181">
      <c r="A181" s="35" t="n"/>
      <c r="B181" s="31" t="n"/>
      <c r="C181" s="19">
        <f>IF(B181="","",IF(COUNTIF(Config!$D$6:$D$15,B181)&gt;0,"Entrada",IF(COUNTIF(Config!$F$6:$F$25,B181)&gt;0,"Saída","Categoria inválida")))</f>
        <v/>
      </c>
      <c r="D181" s="31" t="n"/>
      <c r="E181" s="33" t="n"/>
      <c r="F181" s="36" t="n"/>
      <c r="G181" s="31" t="n"/>
      <c r="H181" s="37">
        <f>IF(A181="","",(YEAR(A181)-YEAR(Config!$B$6))*12+MONTH(A181)-MONTH(Config!$B$6)+1)</f>
        <v/>
      </c>
      <c r="I181" s="19">
        <f>IF(AND(A181="",B181="",E181=""),"",IF(A181="","Falta data",IF(B181="","Falta categoria",IF(E181="","Falta valor",IF(C181="Categoria inválida","Categoria inválida",IF(OR(H181&lt;1,H181&gt;12),"Fora dos 12 meses","OK"))))))</f>
        <v/>
      </c>
    </row>
    <row r="182">
      <c r="A182" s="35" t="n"/>
      <c r="B182" s="31" t="n"/>
      <c r="C182" s="19">
        <f>IF(B182="","",IF(COUNTIF(Config!$D$6:$D$15,B182)&gt;0,"Entrada",IF(COUNTIF(Config!$F$6:$F$25,B182)&gt;0,"Saída","Categoria inválida")))</f>
        <v/>
      </c>
      <c r="D182" s="31" t="n"/>
      <c r="E182" s="33" t="n"/>
      <c r="F182" s="36" t="n"/>
      <c r="G182" s="31" t="n"/>
      <c r="H182" s="37">
        <f>IF(A182="","",(YEAR(A182)-YEAR(Config!$B$6))*12+MONTH(A182)-MONTH(Config!$B$6)+1)</f>
        <v/>
      </c>
      <c r="I182" s="19">
        <f>IF(AND(A182="",B182="",E182=""),"",IF(A182="","Falta data",IF(B182="","Falta categoria",IF(E182="","Falta valor",IF(C182="Categoria inválida","Categoria inválida",IF(OR(H182&lt;1,H182&gt;12),"Fora dos 12 meses","OK"))))))</f>
        <v/>
      </c>
    </row>
    <row r="183">
      <c r="A183" s="35" t="n"/>
      <c r="B183" s="31" t="n"/>
      <c r="C183" s="19">
        <f>IF(B183="","",IF(COUNTIF(Config!$D$6:$D$15,B183)&gt;0,"Entrada",IF(COUNTIF(Config!$F$6:$F$25,B183)&gt;0,"Saída","Categoria inválida")))</f>
        <v/>
      </c>
      <c r="D183" s="31" t="n"/>
      <c r="E183" s="33" t="n"/>
      <c r="F183" s="36" t="n"/>
      <c r="G183" s="31" t="n"/>
      <c r="H183" s="37">
        <f>IF(A183="","",(YEAR(A183)-YEAR(Config!$B$6))*12+MONTH(A183)-MONTH(Config!$B$6)+1)</f>
        <v/>
      </c>
      <c r="I183" s="19">
        <f>IF(AND(A183="",B183="",E183=""),"",IF(A183="","Falta data",IF(B183="","Falta categoria",IF(E183="","Falta valor",IF(C183="Categoria inválida","Categoria inválida",IF(OR(H183&lt;1,H183&gt;12),"Fora dos 12 meses","OK"))))))</f>
        <v/>
      </c>
    </row>
    <row r="184">
      <c r="A184" s="35" t="n"/>
      <c r="B184" s="31" t="n"/>
      <c r="C184" s="19">
        <f>IF(B184="","",IF(COUNTIF(Config!$D$6:$D$15,B184)&gt;0,"Entrada",IF(COUNTIF(Config!$F$6:$F$25,B184)&gt;0,"Saída","Categoria inválida")))</f>
        <v/>
      </c>
      <c r="D184" s="31" t="n"/>
      <c r="E184" s="33" t="n"/>
      <c r="F184" s="36" t="n"/>
      <c r="G184" s="31" t="n"/>
      <c r="H184" s="37">
        <f>IF(A184="","",(YEAR(A184)-YEAR(Config!$B$6))*12+MONTH(A184)-MONTH(Config!$B$6)+1)</f>
        <v/>
      </c>
      <c r="I184" s="19">
        <f>IF(AND(A184="",B184="",E184=""),"",IF(A184="","Falta data",IF(B184="","Falta categoria",IF(E184="","Falta valor",IF(C184="Categoria inválida","Categoria inválida",IF(OR(H184&lt;1,H184&gt;12),"Fora dos 12 meses","OK"))))))</f>
        <v/>
      </c>
    </row>
    <row r="185">
      <c r="A185" s="35" t="n"/>
      <c r="B185" s="31" t="n"/>
      <c r="C185" s="19">
        <f>IF(B185="","",IF(COUNTIF(Config!$D$6:$D$15,B185)&gt;0,"Entrada",IF(COUNTIF(Config!$F$6:$F$25,B185)&gt;0,"Saída","Categoria inválida")))</f>
        <v/>
      </c>
      <c r="D185" s="31" t="n"/>
      <c r="E185" s="33" t="n"/>
      <c r="F185" s="36" t="n"/>
      <c r="G185" s="31" t="n"/>
      <c r="H185" s="37">
        <f>IF(A185="","",(YEAR(A185)-YEAR(Config!$B$6))*12+MONTH(A185)-MONTH(Config!$B$6)+1)</f>
        <v/>
      </c>
      <c r="I185" s="19">
        <f>IF(AND(A185="",B185="",E185=""),"",IF(A185="","Falta data",IF(B185="","Falta categoria",IF(E185="","Falta valor",IF(C185="Categoria inválida","Categoria inválida",IF(OR(H185&lt;1,H185&gt;12),"Fora dos 12 meses","OK"))))))</f>
        <v/>
      </c>
    </row>
    <row r="186">
      <c r="A186" s="35" t="n"/>
      <c r="B186" s="31" t="n"/>
      <c r="C186" s="19">
        <f>IF(B186="","",IF(COUNTIF(Config!$D$6:$D$15,B186)&gt;0,"Entrada",IF(COUNTIF(Config!$F$6:$F$25,B186)&gt;0,"Saída","Categoria inválida")))</f>
        <v/>
      </c>
      <c r="D186" s="31" t="n"/>
      <c r="E186" s="33" t="n"/>
      <c r="F186" s="36" t="n"/>
      <c r="G186" s="31" t="n"/>
      <c r="H186" s="37">
        <f>IF(A186="","",(YEAR(A186)-YEAR(Config!$B$6))*12+MONTH(A186)-MONTH(Config!$B$6)+1)</f>
        <v/>
      </c>
      <c r="I186" s="19">
        <f>IF(AND(A186="",B186="",E186=""),"",IF(A186="","Falta data",IF(B186="","Falta categoria",IF(E186="","Falta valor",IF(C186="Categoria inválida","Categoria inválida",IF(OR(H186&lt;1,H186&gt;12),"Fora dos 12 meses","OK"))))))</f>
        <v/>
      </c>
    </row>
    <row r="187">
      <c r="A187" s="35" t="n"/>
      <c r="B187" s="31" t="n"/>
      <c r="C187" s="19">
        <f>IF(B187="","",IF(COUNTIF(Config!$D$6:$D$15,B187)&gt;0,"Entrada",IF(COUNTIF(Config!$F$6:$F$25,B187)&gt;0,"Saída","Categoria inválida")))</f>
        <v/>
      </c>
      <c r="D187" s="31" t="n"/>
      <c r="E187" s="33" t="n"/>
      <c r="F187" s="36" t="n"/>
      <c r="G187" s="31" t="n"/>
      <c r="H187" s="37">
        <f>IF(A187="","",(YEAR(A187)-YEAR(Config!$B$6))*12+MONTH(A187)-MONTH(Config!$B$6)+1)</f>
        <v/>
      </c>
      <c r="I187" s="19">
        <f>IF(AND(A187="",B187="",E187=""),"",IF(A187="","Falta data",IF(B187="","Falta categoria",IF(E187="","Falta valor",IF(C187="Categoria inválida","Categoria inválida",IF(OR(H187&lt;1,H187&gt;12),"Fora dos 12 meses","OK"))))))</f>
        <v/>
      </c>
    </row>
    <row r="188">
      <c r="A188" s="35" t="n"/>
      <c r="B188" s="31" t="n"/>
      <c r="C188" s="19">
        <f>IF(B188="","",IF(COUNTIF(Config!$D$6:$D$15,B188)&gt;0,"Entrada",IF(COUNTIF(Config!$F$6:$F$25,B188)&gt;0,"Saída","Categoria inválida")))</f>
        <v/>
      </c>
      <c r="D188" s="31" t="n"/>
      <c r="E188" s="33" t="n"/>
      <c r="F188" s="36" t="n"/>
      <c r="G188" s="31" t="n"/>
      <c r="H188" s="37">
        <f>IF(A188="","",(YEAR(A188)-YEAR(Config!$B$6))*12+MONTH(A188)-MONTH(Config!$B$6)+1)</f>
        <v/>
      </c>
      <c r="I188" s="19">
        <f>IF(AND(A188="",B188="",E188=""),"",IF(A188="","Falta data",IF(B188="","Falta categoria",IF(E188="","Falta valor",IF(C188="Categoria inválida","Categoria inválida",IF(OR(H188&lt;1,H188&gt;12),"Fora dos 12 meses","OK"))))))</f>
        <v/>
      </c>
    </row>
    <row r="189">
      <c r="A189" s="35" t="n"/>
      <c r="B189" s="31" t="n"/>
      <c r="C189" s="19">
        <f>IF(B189="","",IF(COUNTIF(Config!$D$6:$D$15,B189)&gt;0,"Entrada",IF(COUNTIF(Config!$F$6:$F$25,B189)&gt;0,"Saída","Categoria inválida")))</f>
        <v/>
      </c>
      <c r="D189" s="31" t="n"/>
      <c r="E189" s="33" t="n"/>
      <c r="F189" s="36" t="n"/>
      <c r="G189" s="31" t="n"/>
      <c r="H189" s="37">
        <f>IF(A189="","",(YEAR(A189)-YEAR(Config!$B$6))*12+MONTH(A189)-MONTH(Config!$B$6)+1)</f>
        <v/>
      </c>
      <c r="I189" s="19">
        <f>IF(AND(A189="",B189="",E189=""),"",IF(A189="","Falta data",IF(B189="","Falta categoria",IF(E189="","Falta valor",IF(C189="Categoria inválida","Categoria inválida",IF(OR(H189&lt;1,H189&gt;12),"Fora dos 12 meses","OK"))))))</f>
        <v/>
      </c>
    </row>
    <row r="190">
      <c r="A190" s="35" t="n"/>
      <c r="B190" s="31" t="n"/>
      <c r="C190" s="19">
        <f>IF(B190="","",IF(COUNTIF(Config!$D$6:$D$15,B190)&gt;0,"Entrada",IF(COUNTIF(Config!$F$6:$F$25,B190)&gt;0,"Saída","Categoria inválida")))</f>
        <v/>
      </c>
      <c r="D190" s="31" t="n"/>
      <c r="E190" s="33" t="n"/>
      <c r="F190" s="36" t="n"/>
      <c r="G190" s="31" t="n"/>
      <c r="H190" s="37">
        <f>IF(A190="","",(YEAR(A190)-YEAR(Config!$B$6))*12+MONTH(A190)-MONTH(Config!$B$6)+1)</f>
        <v/>
      </c>
      <c r="I190" s="19">
        <f>IF(AND(A190="",B190="",E190=""),"",IF(A190="","Falta data",IF(B190="","Falta categoria",IF(E190="","Falta valor",IF(C190="Categoria inválida","Categoria inválida",IF(OR(H190&lt;1,H190&gt;12),"Fora dos 12 meses","OK"))))))</f>
        <v/>
      </c>
    </row>
    <row r="191">
      <c r="A191" s="35" t="n"/>
      <c r="B191" s="31" t="n"/>
      <c r="C191" s="19">
        <f>IF(B191="","",IF(COUNTIF(Config!$D$6:$D$15,B191)&gt;0,"Entrada",IF(COUNTIF(Config!$F$6:$F$25,B191)&gt;0,"Saída","Categoria inválida")))</f>
        <v/>
      </c>
      <c r="D191" s="31" t="n"/>
      <c r="E191" s="33" t="n"/>
      <c r="F191" s="36" t="n"/>
      <c r="G191" s="31" t="n"/>
      <c r="H191" s="37">
        <f>IF(A191="","",(YEAR(A191)-YEAR(Config!$B$6))*12+MONTH(A191)-MONTH(Config!$B$6)+1)</f>
        <v/>
      </c>
      <c r="I191" s="19">
        <f>IF(AND(A191="",B191="",E191=""),"",IF(A191="","Falta data",IF(B191="","Falta categoria",IF(E191="","Falta valor",IF(C191="Categoria inválida","Categoria inválida",IF(OR(H191&lt;1,H191&gt;12),"Fora dos 12 meses","OK"))))))</f>
        <v/>
      </c>
    </row>
    <row r="192">
      <c r="A192" s="35" t="n"/>
      <c r="B192" s="31" t="n"/>
      <c r="C192" s="19">
        <f>IF(B192="","",IF(COUNTIF(Config!$D$6:$D$15,B192)&gt;0,"Entrada",IF(COUNTIF(Config!$F$6:$F$25,B192)&gt;0,"Saída","Categoria inválida")))</f>
        <v/>
      </c>
      <c r="D192" s="31" t="n"/>
      <c r="E192" s="33" t="n"/>
      <c r="F192" s="36" t="n"/>
      <c r="G192" s="31" t="n"/>
      <c r="H192" s="37">
        <f>IF(A192="","",(YEAR(A192)-YEAR(Config!$B$6))*12+MONTH(A192)-MONTH(Config!$B$6)+1)</f>
        <v/>
      </c>
      <c r="I192" s="19">
        <f>IF(AND(A192="",B192="",E192=""),"",IF(A192="","Falta data",IF(B192="","Falta categoria",IF(E192="","Falta valor",IF(C192="Categoria inválida","Categoria inválida",IF(OR(H192&lt;1,H192&gt;12),"Fora dos 12 meses","OK"))))))</f>
        <v/>
      </c>
    </row>
    <row r="193">
      <c r="A193" s="35" t="n"/>
      <c r="B193" s="31" t="n"/>
      <c r="C193" s="19">
        <f>IF(B193="","",IF(COUNTIF(Config!$D$6:$D$15,B193)&gt;0,"Entrada",IF(COUNTIF(Config!$F$6:$F$25,B193)&gt;0,"Saída","Categoria inválida")))</f>
        <v/>
      </c>
      <c r="D193" s="31" t="n"/>
      <c r="E193" s="33" t="n"/>
      <c r="F193" s="36" t="n"/>
      <c r="G193" s="31" t="n"/>
      <c r="H193" s="37">
        <f>IF(A193="","",(YEAR(A193)-YEAR(Config!$B$6))*12+MONTH(A193)-MONTH(Config!$B$6)+1)</f>
        <v/>
      </c>
      <c r="I193" s="19">
        <f>IF(AND(A193="",B193="",E193=""),"",IF(A193="","Falta data",IF(B193="","Falta categoria",IF(E193="","Falta valor",IF(C193="Categoria inválida","Categoria inválida",IF(OR(H193&lt;1,H193&gt;12),"Fora dos 12 meses","OK"))))))</f>
        <v/>
      </c>
    </row>
    <row r="194">
      <c r="A194" s="35" t="n"/>
      <c r="B194" s="31" t="n"/>
      <c r="C194" s="19">
        <f>IF(B194="","",IF(COUNTIF(Config!$D$6:$D$15,B194)&gt;0,"Entrada",IF(COUNTIF(Config!$F$6:$F$25,B194)&gt;0,"Saída","Categoria inválida")))</f>
        <v/>
      </c>
      <c r="D194" s="31" t="n"/>
      <c r="E194" s="33" t="n"/>
      <c r="F194" s="36" t="n"/>
      <c r="G194" s="31" t="n"/>
      <c r="H194" s="37">
        <f>IF(A194="","",(YEAR(A194)-YEAR(Config!$B$6))*12+MONTH(A194)-MONTH(Config!$B$6)+1)</f>
        <v/>
      </c>
      <c r="I194" s="19">
        <f>IF(AND(A194="",B194="",E194=""),"",IF(A194="","Falta data",IF(B194="","Falta categoria",IF(E194="","Falta valor",IF(C194="Categoria inválida","Categoria inválida",IF(OR(H194&lt;1,H194&gt;12),"Fora dos 12 meses","OK"))))))</f>
        <v/>
      </c>
    </row>
    <row r="195">
      <c r="A195" s="35" t="n"/>
      <c r="B195" s="31" t="n"/>
      <c r="C195" s="19">
        <f>IF(B195="","",IF(COUNTIF(Config!$D$6:$D$15,B195)&gt;0,"Entrada",IF(COUNTIF(Config!$F$6:$F$25,B195)&gt;0,"Saída","Categoria inválida")))</f>
        <v/>
      </c>
      <c r="D195" s="31" t="n"/>
      <c r="E195" s="33" t="n"/>
      <c r="F195" s="36" t="n"/>
      <c r="G195" s="31" t="n"/>
      <c r="H195" s="37">
        <f>IF(A195="","",(YEAR(A195)-YEAR(Config!$B$6))*12+MONTH(A195)-MONTH(Config!$B$6)+1)</f>
        <v/>
      </c>
      <c r="I195" s="19">
        <f>IF(AND(A195="",B195="",E195=""),"",IF(A195="","Falta data",IF(B195="","Falta categoria",IF(E195="","Falta valor",IF(C195="Categoria inválida","Categoria inválida",IF(OR(H195&lt;1,H195&gt;12),"Fora dos 12 meses","OK"))))))</f>
        <v/>
      </c>
    </row>
    <row r="196">
      <c r="A196" s="35" t="n"/>
      <c r="B196" s="31" t="n"/>
      <c r="C196" s="19">
        <f>IF(B196="","",IF(COUNTIF(Config!$D$6:$D$15,B196)&gt;0,"Entrada",IF(COUNTIF(Config!$F$6:$F$25,B196)&gt;0,"Saída","Categoria inválida")))</f>
        <v/>
      </c>
      <c r="D196" s="31" t="n"/>
      <c r="E196" s="33" t="n"/>
      <c r="F196" s="36" t="n"/>
      <c r="G196" s="31" t="n"/>
      <c r="H196" s="37">
        <f>IF(A196="","",(YEAR(A196)-YEAR(Config!$B$6))*12+MONTH(A196)-MONTH(Config!$B$6)+1)</f>
        <v/>
      </c>
      <c r="I196" s="19">
        <f>IF(AND(A196="",B196="",E196=""),"",IF(A196="","Falta data",IF(B196="","Falta categoria",IF(E196="","Falta valor",IF(C196="Categoria inválida","Categoria inválida",IF(OR(H196&lt;1,H196&gt;12),"Fora dos 12 meses","OK"))))))</f>
        <v/>
      </c>
    </row>
    <row r="197">
      <c r="A197" s="35" t="n"/>
      <c r="B197" s="31" t="n"/>
      <c r="C197" s="19">
        <f>IF(B197="","",IF(COUNTIF(Config!$D$6:$D$15,B197)&gt;0,"Entrada",IF(COUNTIF(Config!$F$6:$F$25,B197)&gt;0,"Saída","Categoria inválida")))</f>
        <v/>
      </c>
      <c r="D197" s="31" t="n"/>
      <c r="E197" s="33" t="n"/>
      <c r="F197" s="36" t="n"/>
      <c r="G197" s="31" t="n"/>
      <c r="H197" s="37">
        <f>IF(A197="","",(YEAR(A197)-YEAR(Config!$B$6))*12+MONTH(A197)-MONTH(Config!$B$6)+1)</f>
        <v/>
      </c>
      <c r="I197" s="19">
        <f>IF(AND(A197="",B197="",E197=""),"",IF(A197="","Falta data",IF(B197="","Falta categoria",IF(E197="","Falta valor",IF(C197="Categoria inválida","Categoria inválida",IF(OR(H197&lt;1,H197&gt;12),"Fora dos 12 meses","OK"))))))</f>
        <v/>
      </c>
    </row>
    <row r="198">
      <c r="A198" s="35" t="n"/>
      <c r="B198" s="31" t="n"/>
      <c r="C198" s="19">
        <f>IF(B198="","",IF(COUNTIF(Config!$D$6:$D$15,B198)&gt;0,"Entrada",IF(COUNTIF(Config!$F$6:$F$25,B198)&gt;0,"Saída","Categoria inválida")))</f>
        <v/>
      </c>
      <c r="D198" s="31" t="n"/>
      <c r="E198" s="33" t="n"/>
      <c r="F198" s="36" t="n"/>
      <c r="G198" s="31" t="n"/>
      <c r="H198" s="37">
        <f>IF(A198="","",(YEAR(A198)-YEAR(Config!$B$6))*12+MONTH(A198)-MONTH(Config!$B$6)+1)</f>
        <v/>
      </c>
      <c r="I198" s="19">
        <f>IF(AND(A198="",B198="",E198=""),"",IF(A198="","Falta data",IF(B198="","Falta categoria",IF(E198="","Falta valor",IF(C198="Categoria inválida","Categoria inválida",IF(OR(H198&lt;1,H198&gt;12),"Fora dos 12 meses","OK"))))))</f>
        <v/>
      </c>
    </row>
    <row r="199">
      <c r="A199" s="35" t="n"/>
      <c r="B199" s="31" t="n"/>
      <c r="C199" s="19">
        <f>IF(B199="","",IF(COUNTIF(Config!$D$6:$D$15,B199)&gt;0,"Entrada",IF(COUNTIF(Config!$F$6:$F$25,B199)&gt;0,"Saída","Categoria inválida")))</f>
        <v/>
      </c>
      <c r="D199" s="31" t="n"/>
      <c r="E199" s="33" t="n"/>
      <c r="F199" s="36" t="n"/>
      <c r="G199" s="31" t="n"/>
      <c r="H199" s="37">
        <f>IF(A199="","",(YEAR(A199)-YEAR(Config!$B$6))*12+MONTH(A199)-MONTH(Config!$B$6)+1)</f>
        <v/>
      </c>
      <c r="I199" s="19">
        <f>IF(AND(A199="",B199="",E199=""),"",IF(A199="","Falta data",IF(B199="","Falta categoria",IF(E199="","Falta valor",IF(C199="Categoria inválida","Categoria inválida",IF(OR(H199&lt;1,H199&gt;12),"Fora dos 12 meses","OK"))))))</f>
        <v/>
      </c>
    </row>
    <row r="200">
      <c r="A200" s="35" t="n"/>
      <c r="B200" s="31" t="n"/>
      <c r="C200" s="19">
        <f>IF(B200="","",IF(COUNTIF(Config!$D$6:$D$15,B200)&gt;0,"Entrada",IF(COUNTIF(Config!$F$6:$F$25,B200)&gt;0,"Saída","Categoria inválida")))</f>
        <v/>
      </c>
      <c r="D200" s="31" t="n"/>
      <c r="E200" s="33" t="n"/>
      <c r="F200" s="36" t="n"/>
      <c r="G200" s="31" t="n"/>
      <c r="H200" s="37">
        <f>IF(A200="","",(YEAR(A200)-YEAR(Config!$B$6))*12+MONTH(A200)-MONTH(Config!$B$6)+1)</f>
        <v/>
      </c>
      <c r="I200" s="19">
        <f>IF(AND(A200="",B200="",E200=""),"",IF(A200="","Falta data",IF(B200="","Falta categoria",IF(E200="","Falta valor",IF(C200="Categoria inválida","Categoria inválida",IF(OR(H200&lt;1,H200&gt;12),"Fora dos 12 meses","OK"))))))</f>
        <v/>
      </c>
    </row>
    <row r="201">
      <c r="A201" s="35" t="n"/>
      <c r="B201" s="31" t="n"/>
      <c r="C201" s="19">
        <f>IF(B201="","",IF(COUNTIF(Config!$D$6:$D$15,B201)&gt;0,"Entrada",IF(COUNTIF(Config!$F$6:$F$25,B201)&gt;0,"Saída","Categoria inválida")))</f>
        <v/>
      </c>
      <c r="D201" s="31" t="n"/>
      <c r="E201" s="33" t="n"/>
      <c r="F201" s="36" t="n"/>
      <c r="G201" s="31" t="n"/>
      <c r="H201" s="37">
        <f>IF(A201="","",(YEAR(A201)-YEAR(Config!$B$6))*12+MONTH(A201)-MONTH(Config!$B$6)+1)</f>
        <v/>
      </c>
      <c r="I201" s="19">
        <f>IF(AND(A201="",B201="",E201=""),"",IF(A201="","Falta data",IF(B201="","Falta categoria",IF(E201="","Falta valor",IF(C201="Categoria inválida","Categoria inválida",IF(OR(H201&lt;1,H201&gt;12),"Fora dos 12 meses","OK"))))))</f>
        <v/>
      </c>
    </row>
    <row r="202">
      <c r="A202" s="35" t="n"/>
      <c r="B202" s="31" t="n"/>
      <c r="C202" s="19">
        <f>IF(B202="","",IF(COUNTIF(Config!$D$6:$D$15,B202)&gt;0,"Entrada",IF(COUNTIF(Config!$F$6:$F$25,B202)&gt;0,"Saída","Categoria inválida")))</f>
        <v/>
      </c>
      <c r="D202" s="31" t="n"/>
      <c r="E202" s="33" t="n"/>
      <c r="F202" s="36" t="n"/>
      <c r="G202" s="31" t="n"/>
      <c r="H202" s="37">
        <f>IF(A202="","",(YEAR(A202)-YEAR(Config!$B$6))*12+MONTH(A202)-MONTH(Config!$B$6)+1)</f>
        <v/>
      </c>
      <c r="I202" s="19">
        <f>IF(AND(A202="",B202="",E202=""),"",IF(A202="","Falta data",IF(B202="","Falta categoria",IF(E202="","Falta valor",IF(C202="Categoria inválida","Categoria inválida",IF(OR(H202&lt;1,H202&gt;12),"Fora dos 12 meses","OK"))))))</f>
        <v/>
      </c>
    </row>
    <row r="203">
      <c r="A203" s="35" t="n"/>
      <c r="B203" s="31" t="n"/>
      <c r="C203" s="19">
        <f>IF(B203="","",IF(COUNTIF(Config!$D$6:$D$15,B203)&gt;0,"Entrada",IF(COUNTIF(Config!$F$6:$F$25,B203)&gt;0,"Saída","Categoria inválida")))</f>
        <v/>
      </c>
      <c r="D203" s="31" t="n"/>
      <c r="E203" s="33" t="n"/>
      <c r="F203" s="36" t="n"/>
      <c r="G203" s="31" t="n"/>
      <c r="H203" s="37">
        <f>IF(A203="","",(YEAR(A203)-YEAR(Config!$B$6))*12+MONTH(A203)-MONTH(Config!$B$6)+1)</f>
        <v/>
      </c>
      <c r="I203" s="19">
        <f>IF(AND(A203="",B203="",E203=""),"",IF(A203="","Falta data",IF(B203="","Falta categoria",IF(E203="","Falta valor",IF(C203="Categoria inválida","Categoria inválida",IF(OR(H203&lt;1,H203&gt;12),"Fora dos 12 meses","OK"))))))</f>
        <v/>
      </c>
    </row>
    <row r="204">
      <c r="A204" s="35" t="n"/>
      <c r="B204" s="31" t="n"/>
      <c r="C204" s="19">
        <f>IF(B204="","",IF(COUNTIF(Config!$D$6:$D$15,B204)&gt;0,"Entrada",IF(COUNTIF(Config!$F$6:$F$25,B204)&gt;0,"Saída","Categoria inválida")))</f>
        <v/>
      </c>
      <c r="D204" s="31" t="n"/>
      <c r="E204" s="33" t="n"/>
      <c r="F204" s="36" t="n"/>
      <c r="G204" s="31" t="n"/>
      <c r="H204" s="37">
        <f>IF(A204="","",(YEAR(A204)-YEAR(Config!$B$6))*12+MONTH(A204)-MONTH(Config!$B$6)+1)</f>
        <v/>
      </c>
      <c r="I204" s="19">
        <f>IF(AND(A204="",B204="",E204=""),"",IF(A204="","Falta data",IF(B204="","Falta categoria",IF(E204="","Falta valor",IF(C204="Categoria inválida","Categoria inválida",IF(OR(H204&lt;1,H204&gt;12),"Fora dos 12 meses","OK"))))))</f>
        <v/>
      </c>
    </row>
    <row r="205">
      <c r="A205" s="35" t="n"/>
      <c r="B205" s="31" t="n"/>
      <c r="C205" s="19">
        <f>IF(B205="","",IF(COUNTIF(Config!$D$6:$D$15,B205)&gt;0,"Entrada",IF(COUNTIF(Config!$F$6:$F$25,B205)&gt;0,"Saída","Categoria inválida")))</f>
        <v/>
      </c>
      <c r="D205" s="31" t="n"/>
      <c r="E205" s="33" t="n"/>
      <c r="F205" s="36" t="n"/>
      <c r="G205" s="31" t="n"/>
      <c r="H205" s="37">
        <f>IF(A205="","",(YEAR(A205)-YEAR(Config!$B$6))*12+MONTH(A205)-MONTH(Config!$B$6)+1)</f>
        <v/>
      </c>
      <c r="I205" s="19">
        <f>IF(AND(A205="",B205="",E205=""),"",IF(A205="","Falta data",IF(B205="","Falta categoria",IF(E205="","Falta valor",IF(C205="Categoria inválida","Categoria inválida",IF(OR(H205&lt;1,H205&gt;12),"Fora dos 12 meses","OK"))))))</f>
        <v/>
      </c>
    </row>
    <row r="206">
      <c r="A206" s="35" t="n"/>
      <c r="B206" s="31" t="n"/>
      <c r="C206" s="19">
        <f>IF(B206="","",IF(COUNTIF(Config!$D$6:$D$15,B206)&gt;0,"Entrada",IF(COUNTIF(Config!$F$6:$F$25,B206)&gt;0,"Saída","Categoria inválida")))</f>
        <v/>
      </c>
      <c r="D206" s="31" t="n"/>
      <c r="E206" s="33" t="n"/>
      <c r="F206" s="36" t="n"/>
      <c r="G206" s="31" t="n"/>
      <c r="H206" s="37">
        <f>IF(A206="","",(YEAR(A206)-YEAR(Config!$B$6))*12+MONTH(A206)-MONTH(Config!$B$6)+1)</f>
        <v/>
      </c>
      <c r="I206" s="19">
        <f>IF(AND(A206="",B206="",E206=""),"",IF(A206="","Falta data",IF(B206="","Falta categoria",IF(E206="","Falta valor",IF(C206="Categoria inválida","Categoria inválida",IF(OR(H206&lt;1,H206&gt;12),"Fora dos 12 meses","OK"))))))</f>
        <v/>
      </c>
    </row>
    <row r="207">
      <c r="A207" s="35" t="n"/>
      <c r="B207" s="31" t="n"/>
      <c r="C207" s="19">
        <f>IF(B207="","",IF(COUNTIF(Config!$D$6:$D$15,B207)&gt;0,"Entrada",IF(COUNTIF(Config!$F$6:$F$25,B207)&gt;0,"Saída","Categoria inválida")))</f>
        <v/>
      </c>
      <c r="D207" s="31" t="n"/>
      <c r="E207" s="33" t="n"/>
      <c r="F207" s="36" t="n"/>
      <c r="G207" s="31" t="n"/>
      <c r="H207" s="37">
        <f>IF(A207="","",(YEAR(A207)-YEAR(Config!$B$6))*12+MONTH(A207)-MONTH(Config!$B$6)+1)</f>
        <v/>
      </c>
      <c r="I207" s="19">
        <f>IF(AND(A207="",B207="",E207=""),"",IF(A207="","Falta data",IF(B207="","Falta categoria",IF(E207="","Falta valor",IF(C207="Categoria inválida","Categoria inválida",IF(OR(H207&lt;1,H207&gt;12),"Fora dos 12 meses","OK"))))))</f>
        <v/>
      </c>
    </row>
    <row r="208">
      <c r="A208" s="35" t="n"/>
      <c r="B208" s="31" t="n"/>
      <c r="C208" s="19">
        <f>IF(B208="","",IF(COUNTIF(Config!$D$6:$D$15,B208)&gt;0,"Entrada",IF(COUNTIF(Config!$F$6:$F$25,B208)&gt;0,"Saída","Categoria inválida")))</f>
        <v/>
      </c>
      <c r="D208" s="31" t="n"/>
      <c r="E208" s="33" t="n"/>
      <c r="F208" s="36" t="n"/>
      <c r="G208" s="31" t="n"/>
      <c r="H208" s="37">
        <f>IF(A208="","",(YEAR(A208)-YEAR(Config!$B$6))*12+MONTH(A208)-MONTH(Config!$B$6)+1)</f>
        <v/>
      </c>
      <c r="I208" s="19">
        <f>IF(AND(A208="",B208="",E208=""),"",IF(A208="","Falta data",IF(B208="","Falta categoria",IF(E208="","Falta valor",IF(C208="Categoria inválida","Categoria inválida",IF(OR(H208&lt;1,H208&gt;12),"Fora dos 12 meses","OK"))))))</f>
        <v/>
      </c>
    </row>
    <row r="209">
      <c r="A209" s="35" t="n"/>
      <c r="B209" s="31" t="n"/>
      <c r="C209" s="19">
        <f>IF(B209="","",IF(COUNTIF(Config!$D$6:$D$15,B209)&gt;0,"Entrada",IF(COUNTIF(Config!$F$6:$F$25,B209)&gt;0,"Saída","Categoria inválida")))</f>
        <v/>
      </c>
      <c r="D209" s="31" t="n"/>
      <c r="E209" s="33" t="n"/>
      <c r="F209" s="36" t="n"/>
      <c r="G209" s="31" t="n"/>
      <c r="H209" s="37">
        <f>IF(A209="","",(YEAR(A209)-YEAR(Config!$B$6))*12+MONTH(A209)-MONTH(Config!$B$6)+1)</f>
        <v/>
      </c>
      <c r="I209" s="19">
        <f>IF(AND(A209="",B209="",E209=""),"",IF(A209="","Falta data",IF(B209="","Falta categoria",IF(E209="","Falta valor",IF(C209="Categoria inválida","Categoria inválida",IF(OR(H209&lt;1,H209&gt;12),"Fora dos 12 meses","OK"))))))</f>
        <v/>
      </c>
    </row>
    <row r="210">
      <c r="A210" s="35" t="n"/>
      <c r="B210" s="31" t="n"/>
      <c r="C210" s="19">
        <f>IF(B210="","",IF(COUNTIF(Config!$D$6:$D$15,B210)&gt;0,"Entrada",IF(COUNTIF(Config!$F$6:$F$25,B210)&gt;0,"Saída","Categoria inválida")))</f>
        <v/>
      </c>
      <c r="D210" s="31" t="n"/>
      <c r="E210" s="33" t="n"/>
      <c r="F210" s="36" t="n"/>
      <c r="G210" s="31" t="n"/>
      <c r="H210" s="37">
        <f>IF(A210="","",(YEAR(A210)-YEAR(Config!$B$6))*12+MONTH(A210)-MONTH(Config!$B$6)+1)</f>
        <v/>
      </c>
      <c r="I210" s="19">
        <f>IF(AND(A210="",B210="",E210=""),"",IF(A210="","Falta data",IF(B210="","Falta categoria",IF(E210="","Falta valor",IF(C210="Categoria inválida","Categoria inválida",IF(OR(H210&lt;1,H210&gt;12),"Fora dos 12 meses","OK"))))))</f>
        <v/>
      </c>
    </row>
    <row r="211">
      <c r="A211" s="35" t="n"/>
      <c r="B211" s="31" t="n"/>
      <c r="C211" s="19">
        <f>IF(B211="","",IF(COUNTIF(Config!$D$6:$D$15,B211)&gt;0,"Entrada",IF(COUNTIF(Config!$F$6:$F$25,B211)&gt;0,"Saída","Categoria inválida")))</f>
        <v/>
      </c>
      <c r="D211" s="31" t="n"/>
      <c r="E211" s="33" t="n"/>
      <c r="F211" s="36" t="n"/>
      <c r="G211" s="31" t="n"/>
      <c r="H211" s="37">
        <f>IF(A211="","",(YEAR(A211)-YEAR(Config!$B$6))*12+MONTH(A211)-MONTH(Config!$B$6)+1)</f>
        <v/>
      </c>
      <c r="I211" s="19">
        <f>IF(AND(A211="",B211="",E211=""),"",IF(A211="","Falta data",IF(B211="","Falta categoria",IF(E211="","Falta valor",IF(C211="Categoria inválida","Categoria inválida",IF(OR(H211&lt;1,H211&gt;12),"Fora dos 12 meses","OK"))))))</f>
        <v/>
      </c>
    </row>
    <row r="212">
      <c r="A212" s="35" t="n"/>
      <c r="B212" s="31" t="n"/>
      <c r="C212" s="19">
        <f>IF(B212="","",IF(COUNTIF(Config!$D$6:$D$15,B212)&gt;0,"Entrada",IF(COUNTIF(Config!$F$6:$F$25,B212)&gt;0,"Saída","Categoria inválida")))</f>
        <v/>
      </c>
      <c r="D212" s="31" t="n"/>
      <c r="E212" s="33" t="n"/>
      <c r="F212" s="36" t="n"/>
      <c r="G212" s="31" t="n"/>
      <c r="H212" s="37">
        <f>IF(A212="","",(YEAR(A212)-YEAR(Config!$B$6))*12+MONTH(A212)-MONTH(Config!$B$6)+1)</f>
        <v/>
      </c>
      <c r="I212" s="19">
        <f>IF(AND(A212="",B212="",E212=""),"",IF(A212="","Falta data",IF(B212="","Falta categoria",IF(E212="","Falta valor",IF(C212="Categoria inválida","Categoria inválida",IF(OR(H212&lt;1,H212&gt;12),"Fora dos 12 meses","OK"))))))</f>
        <v/>
      </c>
    </row>
    <row r="213">
      <c r="A213" s="35" t="n"/>
      <c r="B213" s="31" t="n"/>
      <c r="C213" s="19">
        <f>IF(B213="","",IF(COUNTIF(Config!$D$6:$D$15,B213)&gt;0,"Entrada",IF(COUNTIF(Config!$F$6:$F$25,B213)&gt;0,"Saída","Categoria inválida")))</f>
        <v/>
      </c>
      <c r="D213" s="31" t="n"/>
      <c r="E213" s="33" t="n"/>
      <c r="F213" s="36" t="n"/>
      <c r="G213" s="31" t="n"/>
      <c r="H213" s="37">
        <f>IF(A213="","",(YEAR(A213)-YEAR(Config!$B$6))*12+MONTH(A213)-MONTH(Config!$B$6)+1)</f>
        <v/>
      </c>
      <c r="I213" s="19">
        <f>IF(AND(A213="",B213="",E213=""),"",IF(A213="","Falta data",IF(B213="","Falta categoria",IF(E213="","Falta valor",IF(C213="Categoria inválida","Categoria inválida",IF(OR(H213&lt;1,H213&gt;12),"Fora dos 12 meses","OK"))))))</f>
        <v/>
      </c>
    </row>
    <row r="214">
      <c r="A214" s="35" t="n"/>
      <c r="B214" s="31" t="n"/>
      <c r="C214" s="19">
        <f>IF(B214="","",IF(COUNTIF(Config!$D$6:$D$15,B214)&gt;0,"Entrada",IF(COUNTIF(Config!$F$6:$F$25,B214)&gt;0,"Saída","Categoria inválida")))</f>
        <v/>
      </c>
      <c r="D214" s="31" t="n"/>
      <c r="E214" s="33" t="n"/>
      <c r="F214" s="36" t="n"/>
      <c r="G214" s="31" t="n"/>
      <c r="H214" s="37">
        <f>IF(A214="","",(YEAR(A214)-YEAR(Config!$B$6))*12+MONTH(A214)-MONTH(Config!$B$6)+1)</f>
        <v/>
      </c>
      <c r="I214" s="19">
        <f>IF(AND(A214="",B214="",E214=""),"",IF(A214="","Falta data",IF(B214="","Falta categoria",IF(E214="","Falta valor",IF(C214="Categoria inválida","Categoria inválida",IF(OR(H214&lt;1,H214&gt;12),"Fora dos 12 meses","OK"))))))</f>
        <v/>
      </c>
    </row>
    <row r="215">
      <c r="A215" s="35" t="n"/>
      <c r="B215" s="31" t="n"/>
      <c r="C215" s="19">
        <f>IF(B215="","",IF(COUNTIF(Config!$D$6:$D$15,B215)&gt;0,"Entrada",IF(COUNTIF(Config!$F$6:$F$25,B215)&gt;0,"Saída","Categoria inválida")))</f>
        <v/>
      </c>
      <c r="D215" s="31" t="n"/>
      <c r="E215" s="33" t="n"/>
      <c r="F215" s="36" t="n"/>
      <c r="G215" s="31" t="n"/>
      <c r="H215" s="37">
        <f>IF(A215="","",(YEAR(A215)-YEAR(Config!$B$6))*12+MONTH(A215)-MONTH(Config!$B$6)+1)</f>
        <v/>
      </c>
      <c r="I215" s="19">
        <f>IF(AND(A215="",B215="",E215=""),"",IF(A215="","Falta data",IF(B215="","Falta categoria",IF(E215="","Falta valor",IF(C215="Categoria inválida","Categoria inválida",IF(OR(H215&lt;1,H215&gt;12),"Fora dos 12 meses","OK"))))))</f>
        <v/>
      </c>
    </row>
    <row r="216">
      <c r="A216" s="35" t="n"/>
      <c r="B216" s="31" t="n"/>
      <c r="C216" s="19">
        <f>IF(B216="","",IF(COUNTIF(Config!$D$6:$D$15,B216)&gt;0,"Entrada",IF(COUNTIF(Config!$F$6:$F$25,B216)&gt;0,"Saída","Categoria inválida")))</f>
        <v/>
      </c>
      <c r="D216" s="31" t="n"/>
      <c r="E216" s="33" t="n"/>
      <c r="F216" s="36" t="n"/>
      <c r="G216" s="31" t="n"/>
      <c r="H216" s="37">
        <f>IF(A216="","",(YEAR(A216)-YEAR(Config!$B$6))*12+MONTH(A216)-MONTH(Config!$B$6)+1)</f>
        <v/>
      </c>
      <c r="I216" s="19">
        <f>IF(AND(A216="",B216="",E216=""),"",IF(A216="","Falta data",IF(B216="","Falta categoria",IF(E216="","Falta valor",IF(C216="Categoria inválida","Categoria inválida",IF(OR(H216&lt;1,H216&gt;12),"Fora dos 12 meses","OK"))))))</f>
        <v/>
      </c>
    </row>
    <row r="217">
      <c r="A217" s="35" t="n"/>
      <c r="B217" s="31" t="n"/>
      <c r="C217" s="19">
        <f>IF(B217="","",IF(COUNTIF(Config!$D$6:$D$15,B217)&gt;0,"Entrada",IF(COUNTIF(Config!$F$6:$F$25,B217)&gt;0,"Saída","Categoria inválida")))</f>
        <v/>
      </c>
      <c r="D217" s="31" t="n"/>
      <c r="E217" s="33" t="n"/>
      <c r="F217" s="36" t="n"/>
      <c r="G217" s="31" t="n"/>
      <c r="H217" s="37">
        <f>IF(A217="","",(YEAR(A217)-YEAR(Config!$B$6))*12+MONTH(A217)-MONTH(Config!$B$6)+1)</f>
        <v/>
      </c>
      <c r="I217" s="19">
        <f>IF(AND(A217="",B217="",E217=""),"",IF(A217="","Falta data",IF(B217="","Falta categoria",IF(E217="","Falta valor",IF(C217="Categoria inválida","Categoria inválida",IF(OR(H217&lt;1,H217&gt;12),"Fora dos 12 meses","OK"))))))</f>
        <v/>
      </c>
    </row>
    <row r="218">
      <c r="A218" s="35" t="n"/>
      <c r="B218" s="31" t="n"/>
      <c r="C218" s="19">
        <f>IF(B218="","",IF(COUNTIF(Config!$D$6:$D$15,B218)&gt;0,"Entrada",IF(COUNTIF(Config!$F$6:$F$25,B218)&gt;0,"Saída","Categoria inválida")))</f>
        <v/>
      </c>
      <c r="D218" s="31" t="n"/>
      <c r="E218" s="33" t="n"/>
      <c r="F218" s="36" t="n"/>
      <c r="G218" s="31" t="n"/>
      <c r="H218" s="37">
        <f>IF(A218="","",(YEAR(A218)-YEAR(Config!$B$6))*12+MONTH(A218)-MONTH(Config!$B$6)+1)</f>
        <v/>
      </c>
      <c r="I218" s="19">
        <f>IF(AND(A218="",B218="",E218=""),"",IF(A218="","Falta data",IF(B218="","Falta categoria",IF(E218="","Falta valor",IF(C218="Categoria inválida","Categoria inválida",IF(OR(H218&lt;1,H218&gt;12),"Fora dos 12 meses","OK"))))))</f>
        <v/>
      </c>
    </row>
    <row r="219">
      <c r="A219" s="35" t="n"/>
      <c r="B219" s="31" t="n"/>
      <c r="C219" s="19">
        <f>IF(B219="","",IF(COUNTIF(Config!$D$6:$D$15,B219)&gt;0,"Entrada",IF(COUNTIF(Config!$F$6:$F$25,B219)&gt;0,"Saída","Categoria inválida")))</f>
        <v/>
      </c>
      <c r="D219" s="31" t="n"/>
      <c r="E219" s="33" t="n"/>
      <c r="F219" s="36" t="n"/>
      <c r="G219" s="31" t="n"/>
      <c r="H219" s="37">
        <f>IF(A219="","",(YEAR(A219)-YEAR(Config!$B$6))*12+MONTH(A219)-MONTH(Config!$B$6)+1)</f>
        <v/>
      </c>
      <c r="I219" s="19">
        <f>IF(AND(A219="",B219="",E219=""),"",IF(A219="","Falta data",IF(B219="","Falta categoria",IF(E219="","Falta valor",IF(C219="Categoria inválida","Categoria inválida",IF(OR(H219&lt;1,H219&gt;12),"Fora dos 12 meses","OK"))))))</f>
        <v/>
      </c>
    </row>
    <row r="220">
      <c r="A220" s="35" t="n"/>
      <c r="B220" s="31" t="n"/>
      <c r="C220" s="19">
        <f>IF(B220="","",IF(COUNTIF(Config!$D$6:$D$15,B220)&gt;0,"Entrada",IF(COUNTIF(Config!$F$6:$F$25,B220)&gt;0,"Saída","Categoria inválida")))</f>
        <v/>
      </c>
      <c r="D220" s="31" t="n"/>
      <c r="E220" s="33" t="n"/>
      <c r="F220" s="36" t="n"/>
      <c r="G220" s="31" t="n"/>
      <c r="H220" s="37">
        <f>IF(A220="","",(YEAR(A220)-YEAR(Config!$B$6))*12+MONTH(A220)-MONTH(Config!$B$6)+1)</f>
        <v/>
      </c>
      <c r="I220" s="19">
        <f>IF(AND(A220="",B220="",E220=""),"",IF(A220="","Falta data",IF(B220="","Falta categoria",IF(E220="","Falta valor",IF(C220="Categoria inválida","Categoria inválida",IF(OR(H220&lt;1,H220&gt;12),"Fora dos 12 meses","OK"))))))</f>
        <v/>
      </c>
    </row>
    <row r="221">
      <c r="A221" s="35" t="n"/>
      <c r="B221" s="31" t="n"/>
      <c r="C221" s="19">
        <f>IF(B221="","",IF(COUNTIF(Config!$D$6:$D$15,B221)&gt;0,"Entrada",IF(COUNTIF(Config!$F$6:$F$25,B221)&gt;0,"Saída","Categoria inválida")))</f>
        <v/>
      </c>
      <c r="D221" s="31" t="n"/>
      <c r="E221" s="33" t="n"/>
      <c r="F221" s="36" t="n"/>
      <c r="G221" s="31" t="n"/>
      <c r="H221" s="37">
        <f>IF(A221="","",(YEAR(A221)-YEAR(Config!$B$6))*12+MONTH(A221)-MONTH(Config!$B$6)+1)</f>
        <v/>
      </c>
      <c r="I221" s="19">
        <f>IF(AND(A221="",B221="",E221=""),"",IF(A221="","Falta data",IF(B221="","Falta categoria",IF(E221="","Falta valor",IF(C221="Categoria inválida","Categoria inválida",IF(OR(H221&lt;1,H221&gt;12),"Fora dos 12 meses","OK"))))))</f>
        <v/>
      </c>
    </row>
    <row r="222">
      <c r="A222" s="35" t="n"/>
      <c r="B222" s="31" t="n"/>
      <c r="C222" s="19">
        <f>IF(B222="","",IF(COUNTIF(Config!$D$6:$D$15,B222)&gt;0,"Entrada",IF(COUNTIF(Config!$F$6:$F$25,B222)&gt;0,"Saída","Categoria inválida")))</f>
        <v/>
      </c>
      <c r="D222" s="31" t="n"/>
      <c r="E222" s="33" t="n"/>
      <c r="F222" s="36" t="n"/>
      <c r="G222" s="31" t="n"/>
      <c r="H222" s="37">
        <f>IF(A222="","",(YEAR(A222)-YEAR(Config!$B$6))*12+MONTH(A222)-MONTH(Config!$B$6)+1)</f>
        <v/>
      </c>
      <c r="I222" s="19">
        <f>IF(AND(A222="",B222="",E222=""),"",IF(A222="","Falta data",IF(B222="","Falta categoria",IF(E222="","Falta valor",IF(C222="Categoria inválida","Categoria inválida",IF(OR(H222&lt;1,H222&gt;12),"Fora dos 12 meses","OK"))))))</f>
        <v/>
      </c>
    </row>
    <row r="223">
      <c r="A223" s="35" t="n"/>
      <c r="B223" s="31" t="n"/>
      <c r="C223" s="19">
        <f>IF(B223="","",IF(COUNTIF(Config!$D$6:$D$15,B223)&gt;0,"Entrada",IF(COUNTIF(Config!$F$6:$F$25,B223)&gt;0,"Saída","Categoria inválida")))</f>
        <v/>
      </c>
      <c r="D223" s="31" t="n"/>
      <c r="E223" s="33" t="n"/>
      <c r="F223" s="36" t="n"/>
      <c r="G223" s="31" t="n"/>
      <c r="H223" s="37">
        <f>IF(A223="","",(YEAR(A223)-YEAR(Config!$B$6))*12+MONTH(A223)-MONTH(Config!$B$6)+1)</f>
        <v/>
      </c>
      <c r="I223" s="19">
        <f>IF(AND(A223="",B223="",E223=""),"",IF(A223="","Falta data",IF(B223="","Falta categoria",IF(E223="","Falta valor",IF(C223="Categoria inválida","Categoria inválida",IF(OR(H223&lt;1,H223&gt;12),"Fora dos 12 meses","OK"))))))</f>
        <v/>
      </c>
    </row>
    <row r="224">
      <c r="A224" s="35" t="n"/>
      <c r="B224" s="31" t="n"/>
      <c r="C224" s="19">
        <f>IF(B224="","",IF(COUNTIF(Config!$D$6:$D$15,B224)&gt;0,"Entrada",IF(COUNTIF(Config!$F$6:$F$25,B224)&gt;0,"Saída","Categoria inválida")))</f>
        <v/>
      </c>
      <c r="D224" s="31" t="n"/>
      <c r="E224" s="33" t="n"/>
      <c r="F224" s="36" t="n"/>
      <c r="G224" s="31" t="n"/>
      <c r="H224" s="37">
        <f>IF(A224="","",(YEAR(A224)-YEAR(Config!$B$6))*12+MONTH(A224)-MONTH(Config!$B$6)+1)</f>
        <v/>
      </c>
      <c r="I224" s="19">
        <f>IF(AND(A224="",B224="",E224=""),"",IF(A224="","Falta data",IF(B224="","Falta categoria",IF(E224="","Falta valor",IF(C224="Categoria inválida","Categoria inválida",IF(OR(H224&lt;1,H224&gt;12),"Fora dos 12 meses","OK"))))))</f>
        <v/>
      </c>
    </row>
    <row r="225">
      <c r="A225" s="35" t="n"/>
      <c r="B225" s="31" t="n"/>
      <c r="C225" s="19">
        <f>IF(B225="","",IF(COUNTIF(Config!$D$6:$D$15,B225)&gt;0,"Entrada",IF(COUNTIF(Config!$F$6:$F$25,B225)&gt;0,"Saída","Categoria inválida")))</f>
        <v/>
      </c>
      <c r="D225" s="31" t="n"/>
      <c r="E225" s="33" t="n"/>
      <c r="F225" s="36" t="n"/>
      <c r="G225" s="31" t="n"/>
      <c r="H225" s="37">
        <f>IF(A225="","",(YEAR(A225)-YEAR(Config!$B$6))*12+MONTH(A225)-MONTH(Config!$B$6)+1)</f>
        <v/>
      </c>
      <c r="I225" s="19">
        <f>IF(AND(A225="",B225="",E225=""),"",IF(A225="","Falta data",IF(B225="","Falta categoria",IF(E225="","Falta valor",IF(C225="Categoria inválida","Categoria inválida",IF(OR(H225&lt;1,H225&gt;12),"Fora dos 12 meses","OK"))))))</f>
        <v/>
      </c>
    </row>
    <row r="226">
      <c r="A226" s="35" t="n"/>
      <c r="B226" s="31" t="n"/>
      <c r="C226" s="19">
        <f>IF(B226="","",IF(COUNTIF(Config!$D$6:$D$15,B226)&gt;0,"Entrada",IF(COUNTIF(Config!$F$6:$F$25,B226)&gt;0,"Saída","Categoria inválida")))</f>
        <v/>
      </c>
      <c r="D226" s="31" t="n"/>
      <c r="E226" s="33" t="n"/>
      <c r="F226" s="36" t="n"/>
      <c r="G226" s="31" t="n"/>
      <c r="H226" s="37">
        <f>IF(A226="","",(YEAR(A226)-YEAR(Config!$B$6))*12+MONTH(A226)-MONTH(Config!$B$6)+1)</f>
        <v/>
      </c>
      <c r="I226" s="19">
        <f>IF(AND(A226="",B226="",E226=""),"",IF(A226="","Falta data",IF(B226="","Falta categoria",IF(E226="","Falta valor",IF(C226="Categoria inválida","Categoria inválida",IF(OR(H226&lt;1,H226&gt;12),"Fora dos 12 meses","OK"))))))</f>
        <v/>
      </c>
    </row>
    <row r="227">
      <c r="A227" s="35" t="n"/>
      <c r="B227" s="31" t="n"/>
      <c r="C227" s="19">
        <f>IF(B227="","",IF(COUNTIF(Config!$D$6:$D$15,B227)&gt;0,"Entrada",IF(COUNTIF(Config!$F$6:$F$25,B227)&gt;0,"Saída","Categoria inválida")))</f>
        <v/>
      </c>
      <c r="D227" s="31" t="n"/>
      <c r="E227" s="33" t="n"/>
      <c r="F227" s="36" t="n"/>
      <c r="G227" s="31" t="n"/>
      <c r="H227" s="37">
        <f>IF(A227="","",(YEAR(A227)-YEAR(Config!$B$6))*12+MONTH(A227)-MONTH(Config!$B$6)+1)</f>
        <v/>
      </c>
      <c r="I227" s="19">
        <f>IF(AND(A227="",B227="",E227=""),"",IF(A227="","Falta data",IF(B227="","Falta categoria",IF(E227="","Falta valor",IF(C227="Categoria inválida","Categoria inválida",IF(OR(H227&lt;1,H227&gt;12),"Fora dos 12 meses","OK"))))))</f>
        <v/>
      </c>
    </row>
    <row r="228">
      <c r="A228" s="35" t="n"/>
      <c r="B228" s="31" t="n"/>
      <c r="C228" s="19">
        <f>IF(B228="","",IF(COUNTIF(Config!$D$6:$D$15,B228)&gt;0,"Entrada",IF(COUNTIF(Config!$F$6:$F$25,B228)&gt;0,"Saída","Categoria inválida")))</f>
        <v/>
      </c>
      <c r="D228" s="31" t="n"/>
      <c r="E228" s="33" t="n"/>
      <c r="F228" s="36" t="n"/>
      <c r="G228" s="31" t="n"/>
      <c r="H228" s="37">
        <f>IF(A228="","",(YEAR(A228)-YEAR(Config!$B$6))*12+MONTH(A228)-MONTH(Config!$B$6)+1)</f>
        <v/>
      </c>
      <c r="I228" s="19">
        <f>IF(AND(A228="",B228="",E228=""),"",IF(A228="","Falta data",IF(B228="","Falta categoria",IF(E228="","Falta valor",IF(C228="Categoria inválida","Categoria inválida",IF(OR(H228&lt;1,H228&gt;12),"Fora dos 12 meses","OK"))))))</f>
        <v/>
      </c>
    </row>
    <row r="229">
      <c r="A229" s="35" t="n"/>
      <c r="B229" s="31" t="n"/>
      <c r="C229" s="19">
        <f>IF(B229="","",IF(COUNTIF(Config!$D$6:$D$15,B229)&gt;0,"Entrada",IF(COUNTIF(Config!$F$6:$F$25,B229)&gt;0,"Saída","Categoria inválida")))</f>
        <v/>
      </c>
      <c r="D229" s="31" t="n"/>
      <c r="E229" s="33" t="n"/>
      <c r="F229" s="36" t="n"/>
      <c r="G229" s="31" t="n"/>
      <c r="H229" s="37">
        <f>IF(A229="","",(YEAR(A229)-YEAR(Config!$B$6))*12+MONTH(A229)-MONTH(Config!$B$6)+1)</f>
        <v/>
      </c>
      <c r="I229" s="19">
        <f>IF(AND(A229="",B229="",E229=""),"",IF(A229="","Falta data",IF(B229="","Falta categoria",IF(E229="","Falta valor",IF(C229="Categoria inválida","Categoria inválida",IF(OR(H229&lt;1,H229&gt;12),"Fora dos 12 meses","OK"))))))</f>
        <v/>
      </c>
    </row>
    <row r="230">
      <c r="A230" s="35" t="n"/>
      <c r="B230" s="31" t="n"/>
      <c r="C230" s="19">
        <f>IF(B230="","",IF(COUNTIF(Config!$D$6:$D$15,B230)&gt;0,"Entrada",IF(COUNTIF(Config!$F$6:$F$25,B230)&gt;0,"Saída","Categoria inválida")))</f>
        <v/>
      </c>
      <c r="D230" s="31" t="n"/>
      <c r="E230" s="33" t="n"/>
      <c r="F230" s="36" t="n"/>
      <c r="G230" s="31" t="n"/>
      <c r="H230" s="37">
        <f>IF(A230="","",(YEAR(A230)-YEAR(Config!$B$6))*12+MONTH(A230)-MONTH(Config!$B$6)+1)</f>
        <v/>
      </c>
      <c r="I230" s="19">
        <f>IF(AND(A230="",B230="",E230=""),"",IF(A230="","Falta data",IF(B230="","Falta categoria",IF(E230="","Falta valor",IF(C230="Categoria inválida","Categoria inválida",IF(OR(H230&lt;1,H230&gt;12),"Fora dos 12 meses","OK"))))))</f>
        <v/>
      </c>
    </row>
    <row r="231">
      <c r="A231" s="35" t="n"/>
      <c r="B231" s="31" t="n"/>
      <c r="C231" s="19">
        <f>IF(B231="","",IF(COUNTIF(Config!$D$6:$D$15,B231)&gt;0,"Entrada",IF(COUNTIF(Config!$F$6:$F$25,B231)&gt;0,"Saída","Categoria inválida")))</f>
        <v/>
      </c>
      <c r="D231" s="31" t="n"/>
      <c r="E231" s="33" t="n"/>
      <c r="F231" s="36" t="n"/>
      <c r="G231" s="31" t="n"/>
      <c r="H231" s="37">
        <f>IF(A231="","",(YEAR(A231)-YEAR(Config!$B$6))*12+MONTH(A231)-MONTH(Config!$B$6)+1)</f>
        <v/>
      </c>
      <c r="I231" s="19">
        <f>IF(AND(A231="",B231="",E231=""),"",IF(A231="","Falta data",IF(B231="","Falta categoria",IF(E231="","Falta valor",IF(C231="Categoria inválida","Categoria inválida",IF(OR(H231&lt;1,H231&gt;12),"Fora dos 12 meses","OK"))))))</f>
        <v/>
      </c>
    </row>
    <row r="232">
      <c r="A232" s="35" t="n"/>
      <c r="B232" s="31" t="n"/>
      <c r="C232" s="19">
        <f>IF(B232="","",IF(COUNTIF(Config!$D$6:$D$15,B232)&gt;0,"Entrada",IF(COUNTIF(Config!$F$6:$F$25,B232)&gt;0,"Saída","Categoria inválida")))</f>
        <v/>
      </c>
      <c r="D232" s="31" t="n"/>
      <c r="E232" s="33" t="n"/>
      <c r="F232" s="36" t="n"/>
      <c r="G232" s="31" t="n"/>
      <c r="H232" s="37">
        <f>IF(A232="","",(YEAR(A232)-YEAR(Config!$B$6))*12+MONTH(A232)-MONTH(Config!$B$6)+1)</f>
        <v/>
      </c>
      <c r="I232" s="19">
        <f>IF(AND(A232="",B232="",E232=""),"",IF(A232="","Falta data",IF(B232="","Falta categoria",IF(E232="","Falta valor",IF(C232="Categoria inválida","Categoria inválida",IF(OR(H232&lt;1,H232&gt;12),"Fora dos 12 meses","OK"))))))</f>
        <v/>
      </c>
    </row>
    <row r="233">
      <c r="A233" s="35" t="n"/>
      <c r="B233" s="31" t="n"/>
      <c r="C233" s="19">
        <f>IF(B233="","",IF(COUNTIF(Config!$D$6:$D$15,B233)&gt;0,"Entrada",IF(COUNTIF(Config!$F$6:$F$25,B233)&gt;0,"Saída","Categoria inválida")))</f>
        <v/>
      </c>
      <c r="D233" s="31" t="n"/>
      <c r="E233" s="33" t="n"/>
      <c r="F233" s="36" t="n"/>
      <c r="G233" s="31" t="n"/>
      <c r="H233" s="37">
        <f>IF(A233="","",(YEAR(A233)-YEAR(Config!$B$6))*12+MONTH(A233)-MONTH(Config!$B$6)+1)</f>
        <v/>
      </c>
      <c r="I233" s="19">
        <f>IF(AND(A233="",B233="",E233=""),"",IF(A233="","Falta data",IF(B233="","Falta categoria",IF(E233="","Falta valor",IF(C233="Categoria inválida","Categoria inválida",IF(OR(H233&lt;1,H233&gt;12),"Fora dos 12 meses","OK"))))))</f>
        <v/>
      </c>
    </row>
    <row r="234">
      <c r="A234" s="35" t="n"/>
      <c r="B234" s="31" t="n"/>
      <c r="C234" s="19">
        <f>IF(B234="","",IF(COUNTIF(Config!$D$6:$D$15,B234)&gt;0,"Entrada",IF(COUNTIF(Config!$F$6:$F$25,B234)&gt;0,"Saída","Categoria inválida")))</f>
        <v/>
      </c>
      <c r="D234" s="31" t="n"/>
      <c r="E234" s="33" t="n"/>
      <c r="F234" s="36" t="n"/>
      <c r="G234" s="31" t="n"/>
      <c r="H234" s="37">
        <f>IF(A234="","",(YEAR(A234)-YEAR(Config!$B$6))*12+MONTH(A234)-MONTH(Config!$B$6)+1)</f>
        <v/>
      </c>
      <c r="I234" s="19">
        <f>IF(AND(A234="",B234="",E234=""),"",IF(A234="","Falta data",IF(B234="","Falta categoria",IF(E234="","Falta valor",IF(C234="Categoria inválida","Categoria inválida",IF(OR(H234&lt;1,H234&gt;12),"Fora dos 12 meses","OK"))))))</f>
        <v/>
      </c>
    </row>
    <row r="235">
      <c r="A235" s="35" t="n"/>
      <c r="B235" s="31" t="n"/>
      <c r="C235" s="19">
        <f>IF(B235="","",IF(COUNTIF(Config!$D$6:$D$15,B235)&gt;0,"Entrada",IF(COUNTIF(Config!$F$6:$F$25,B235)&gt;0,"Saída","Categoria inválida")))</f>
        <v/>
      </c>
      <c r="D235" s="31" t="n"/>
      <c r="E235" s="33" t="n"/>
      <c r="F235" s="36" t="n"/>
      <c r="G235" s="31" t="n"/>
      <c r="H235" s="37">
        <f>IF(A235="","",(YEAR(A235)-YEAR(Config!$B$6))*12+MONTH(A235)-MONTH(Config!$B$6)+1)</f>
        <v/>
      </c>
      <c r="I235" s="19">
        <f>IF(AND(A235="",B235="",E235=""),"",IF(A235="","Falta data",IF(B235="","Falta categoria",IF(E235="","Falta valor",IF(C235="Categoria inválida","Categoria inválida",IF(OR(H235&lt;1,H235&gt;12),"Fora dos 12 meses","OK"))))))</f>
        <v/>
      </c>
    </row>
    <row r="236">
      <c r="A236" s="35" t="n"/>
      <c r="B236" s="31" t="n"/>
      <c r="C236" s="19">
        <f>IF(B236="","",IF(COUNTIF(Config!$D$6:$D$15,B236)&gt;0,"Entrada",IF(COUNTIF(Config!$F$6:$F$25,B236)&gt;0,"Saída","Categoria inválida")))</f>
        <v/>
      </c>
      <c r="D236" s="31" t="n"/>
      <c r="E236" s="33" t="n"/>
      <c r="F236" s="36" t="n"/>
      <c r="G236" s="31" t="n"/>
      <c r="H236" s="37">
        <f>IF(A236="","",(YEAR(A236)-YEAR(Config!$B$6))*12+MONTH(A236)-MONTH(Config!$B$6)+1)</f>
        <v/>
      </c>
      <c r="I236" s="19">
        <f>IF(AND(A236="",B236="",E236=""),"",IF(A236="","Falta data",IF(B236="","Falta categoria",IF(E236="","Falta valor",IF(C236="Categoria inválida","Categoria inválida",IF(OR(H236&lt;1,H236&gt;12),"Fora dos 12 meses","OK"))))))</f>
        <v/>
      </c>
    </row>
    <row r="237">
      <c r="A237" s="35" t="n"/>
      <c r="B237" s="31" t="n"/>
      <c r="C237" s="19">
        <f>IF(B237="","",IF(COUNTIF(Config!$D$6:$D$15,B237)&gt;0,"Entrada",IF(COUNTIF(Config!$F$6:$F$25,B237)&gt;0,"Saída","Categoria inválida")))</f>
        <v/>
      </c>
      <c r="D237" s="31" t="n"/>
      <c r="E237" s="33" t="n"/>
      <c r="F237" s="36" t="n"/>
      <c r="G237" s="31" t="n"/>
      <c r="H237" s="37">
        <f>IF(A237="","",(YEAR(A237)-YEAR(Config!$B$6))*12+MONTH(A237)-MONTH(Config!$B$6)+1)</f>
        <v/>
      </c>
      <c r="I237" s="19">
        <f>IF(AND(A237="",B237="",E237=""),"",IF(A237="","Falta data",IF(B237="","Falta categoria",IF(E237="","Falta valor",IF(C237="Categoria inválida","Categoria inválida",IF(OR(H237&lt;1,H237&gt;12),"Fora dos 12 meses","OK"))))))</f>
        <v/>
      </c>
    </row>
    <row r="238">
      <c r="A238" s="35" t="n"/>
      <c r="B238" s="31" t="n"/>
      <c r="C238" s="19">
        <f>IF(B238="","",IF(COUNTIF(Config!$D$6:$D$15,B238)&gt;0,"Entrada",IF(COUNTIF(Config!$F$6:$F$25,B238)&gt;0,"Saída","Categoria inválida")))</f>
        <v/>
      </c>
      <c r="D238" s="31" t="n"/>
      <c r="E238" s="33" t="n"/>
      <c r="F238" s="36" t="n"/>
      <c r="G238" s="31" t="n"/>
      <c r="H238" s="37">
        <f>IF(A238="","",(YEAR(A238)-YEAR(Config!$B$6))*12+MONTH(A238)-MONTH(Config!$B$6)+1)</f>
        <v/>
      </c>
      <c r="I238" s="19">
        <f>IF(AND(A238="",B238="",E238=""),"",IF(A238="","Falta data",IF(B238="","Falta categoria",IF(E238="","Falta valor",IF(C238="Categoria inválida","Categoria inválida",IF(OR(H238&lt;1,H238&gt;12),"Fora dos 12 meses","OK"))))))</f>
        <v/>
      </c>
    </row>
    <row r="239">
      <c r="A239" s="35" t="n"/>
      <c r="B239" s="31" t="n"/>
      <c r="C239" s="19">
        <f>IF(B239="","",IF(COUNTIF(Config!$D$6:$D$15,B239)&gt;0,"Entrada",IF(COUNTIF(Config!$F$6:$F$25,B239)&gt;0,"Saída","Categoria inválida")))</f>
        <v/>
      </c>
      <c r="D239" s="31" t="n"/>
      <c r="E239" s="33" t="n"/>
      <c r="F239" s="36" t="n"/>
      <c r="G239" s="31" t="n"/>
      <c r="H239" s="37">
        <f>IF(A239="","",(YEAR(A239)-YEAR(Config!$B$6))*12+MONTH(A239)-MONTH(Config!$B$6)+1)</f>
        <v/>
      </c>
      <c r="I239" s="19">
        <f>IF(AND(A239="",B239="",E239=""),"",IF(A239="","Falta data",IF(B239="","Falta categoria",IF(E239="","Falta valor",IF(C239="Categoria inválida","Categoria inválida",IF(OR(H239&lt;1,H239&gt;12),"Fora dos 12 meses","OK"))))))</f>
        <v/>
      </c>
    </row>
    <row r="240">
      <c r="A240" s="35" t="n"/>
      <c r="B240" s="31" t="n"/>
      <c r="C240" s="19">
        <f>IF(B240="","",IF(COUNTIF(Config!$D$6:$D$15,B240)&gt;0,"Entrada",IF(COUNTIF(Config!$F$6:$F$25,B240)&gt;0,"Saída","Categoria inválida")))</f>
        <v/>
      </c>
      <c r="D240" s="31" t="n"/>
      <c r="E240" s="33" t="n"/>
      <c r="F240" s="36" t="n"/>
      <c r="G240" s="31" t="n"/>
      <c r="H240" s="37">
        <f>IF(A240="","",(YEAR(A240)-YEAR(Config!$B$6))*12+MONTH(A240)-MONTH(Config!$B$6)+1)</f>
        <v/>
      </c>
      <c r="I240" s="19">
        <f>IF(AND(A240="",B240="",E240=""),"",IF(A240="","Falta data",IF(B240="","Falta categoria",IF(E240="","Falta valor",IF(C240="Categoria inválida","Categoria inválida",IF(OR(H240&lt;1,H240&gt;12),"Fora dos 12 meses","OK"))))))</f>
        <v/>
      </c>
    </row>
    <row r="241">
      <c r="A241" s="35" t="n"/>
      <c r="B241" s="31" t="n"/>
      <c r="C241" s="19">
        <f>IF(B241="","",IF(COUNTIF(Config!$D$6:$D$15,B241)&gt;0,"Entrada",IF(COUNTIF(Config!$F$6:$F$25,B241)&gt;0,"Saída","Categoria inválida")))</f>
        <v/>
      </c>
      <c r="D241" s="31" t="n"/>
      <c r="E241" s="33" t="n"/>
      <c r="F241" s="36" t="n"/>
      <c r="G241" s="31" t="n"/>
      <c r="H241" s="37">
        <f>IF(A241="","",(YEAR(A241)-YEAR(Config!$B$6))*12+MONTH(A241)-MONTH(Config!$B$6)+1)</f>
        <v/>
      </c>
      <c r="I241" s="19">
        <f>IF(AND(A241="",B241="",E241=""),"",IF(A241="","Falta data",IF(B241="","Falta categoria",IF(E241="","Falta valor",IF(C241="Categoria inválida","Categoria inválida",IF(OR(H241&lt;1,H241&gt;12),"Fora dos 12 meses","OK"))))))</f>
        <v/>
      </c>
    </row>
    <row r="242">
      <c r="A242" s="35" t="n"/>
      <c r="B242" s="31" t="n"/>
      <c r="C242" s="19">
        <f>IF(B242="","",IF(COUNTIF(Config!$D$6:$D$15,B242)&gt;0,"Entrada",IF(COUNTIF(Config!$F$6:$F$25,B242)&gt;0,"Saída","Categoria inválida")))</f>
        <v/>
      </c>
      <c r="D242" s="31" t="n"/>
      <c r="E242" s="33" t="n"/>
      <c r="F242" s="36" t="n"/>
      <c r="G242" s="31" t="n"/>
      <c r="H242" s="37">
        <f>IF(A242="","",(YEAR(A242)-YEAR(Config!$B$6))*12+MONTH(A242)-MONTH(Config!$B$6)+1)</f>
        <v/>
      </c>
      <c r="I242" s="19">
        <f>IF(AND(A242="",B242="",E242=""),"",IF(A242="","Falta data",IF(B242="","Falta categoria",IF(E242="","Falta valor",IF(C242="Categoria inválida","Categoria inválida",IF(OR(H242&lt;1,H242&gt;12),"Fora dos 12 meses","OK"))))))</f>
        <v/>
      </c>
    </row>
    <row r="243">
      <c r="A243" s="35" t="n"/>
      <c r="B243" s="31" t="n"/>
      <c r="C243" s="19">
        <f>IF(B243="","",IF(COUNTIF(Config!$D$6:$D$15,B243)&gt;0,"Entrada",IF(COUNTIF(Config!$F$6:$F$25,B243)&gt;0,"Saída","Categoria inválida")))</f>
        <v/>
      </c>
      <c r="D243" s="31" t="n"/>
      <c r="E243" s="33" t="n"/>
      <c r="F243" s="36" t="n"/>
      <c r="G243" s="31" t="n"/>
      <c r="H243" s="37">
        <f>IF(A243="","",(YEAR(A243)-YEAR(Config!$B$6))*12+MONTH(A243)-MONTH(Config!$B$6)+1)</f>
        <v/>
      </c>
      <c r="I243" s="19">
        <f>IF(AND(A243="",B243="",E243=""),"",IF(A243="","Falta data",IF(B243="","Falta categoria",IF(E243="","Falta valor",IF(C243="Categoria inválida","Categoria inválida",IF(OR(H243&lt;1,H243&gt;12),"Fora dos 12 meses","OK"))))))</f>
        <v/>
      </c>
    </row>
    <row r="244">
      <c r="A244" s="35" t="n"/>
      <c r="B244" s="31" t="n"/>
      <c r="C244" s="19">
        <f>IF(B244="","",IF(COUNTIF(Config!$D$6:$D$15,B244)&gt;0,"Entrada",IF(COUNTIF(Config!$F$6:$F$25,B244)&gt;0,"Saída","Categoria inválida")))</f>
        <v/>
      </c>
      <c r="D244" s="31" t="n"/>
      <c r="E244" s="33" t="n"/>
      <c r="F244" s="36" t="n"/>
      <c r="G244" s="31" t="n"/>
      <c r="H244" s="37">
        <f>IF(A244="","",(YEAR(A244)-YEAR(Config!$B$6))*12+MONTH(A244)-MONTH(Config!$B$6)+1)</f>
        <v/>
      </c>
      <c r="I244" s="19">
        <f>IF(AND(A244="",B244="",E244=""),"",IF(A244="","Falta data",IF(B244="","Falta categoria",IF(E244="","Falta valor",IF(C244="Categoria inválida","Categoria inválida",IF(OR(H244&lt;1,H244&gt;12),"Fora dos 12 meses","OK"))))))</f>
        <v/>
      </c>
    </row>
    <row r="245">
      <c r="A245" s="35" t="n"/>
      <c r="B245" s="31" t="n"/>
      <c r="C245" s="19">
        <f>IF(B245="","",IF(COUNTIF(Config!$D$6:$D$15,B245)&gt;0,"Entrada",IF(COUNTIF(Config!$F$6:$F$25,B245)&gt;0,"Saída","Categoria inválida")))</f>
        <v/>
      </c>
      <c r="D245" s="31" t="n"/>
      <c r="E245" s="33" t="n"/>
      <c r="F245" s="36" t="n"/>
      <c r="G245" s="31" t="n"/>
      <c r="H245" s="37">
        <f>IF(A245="","",(YEAR(A245)-YEAR(Config!$B$6))*12+MONTH(A245)-MONTH(Config!$B$6)+1)</f>
        <v/>
      </c>
      <c r="I245" s="19">
        <f>IF(AND(A245="",B245="",E245=""),"",IF(A245="","Falta data",IF(B245="","Falta categoria",IF(E245="","Falta valor",IF(C245="Categoria inválida","Categoria inválida",IF(OR(H245&lt;1,H245&gt;12),"Fora dos 12 meses","OK"))))))</f>
        <v/>
      </c>
    </row>
    <row r="246">
      <c r="A246" s="35" t="n"/>
      <c r="B246" s="31" t="n"/>
      <c r="C246" s="19">
        <f>IF(B246="","",IF(COUNTIF(Config!$D$6:$D$15,B246)&gt;0,"Entrada",IF(COUNTIF(Config!$F$6:$F$25,B246)&gt;0,"Saída","Categoria inválida")))</f>
        <v/>
      </c>
      <c r="D246" s="31" t="n"/>
      <c r="E246" s="33" t="n"/>
      <c r="F246" s="36" t="n"/>
      <c r="G246" s="31" t="n"/>
      <c r="H246" s="37">
        <f>IF(A246="","",(YEAR(A246)-YEAR(Config!$B$6))*12+MONTH(A246)-MONTH(Config!$B$6)+1)</f>
        <v/>
      </c>
      <c r="I246" s="19">
        <f>IF(AND(A246="",B246="",E246=""),"",IF(A246="","Falta data",IF(B246="","Falta categoria",IF(E246="","Falta valor",IF(C246="Categoria inválida","Categoria inválida",IF(OR(H246&lt;1,H246&gt;12),"Fora dos 12 meses","OK"))))))</f>
        <v/>
      </c>
    </row>
    <row r="247">
      <c r="A247" s="35" t="n"/>
      <c r="B247" s="31" t="n"/>
      <c r="C247" s="19">
        <f>IF(B247="","",IF(COUNTIF(Config!$D$6:$D$15,B247)&gt;0,"Entrada",IF(COUNTIF(Config!$F$6:$F$25,B247)&gt;0,"Saída","Categoria inválida")))</f>
        <v/>
      </c>
      <c r="D247" s="31" t="n"/>
      <c r="E247" s="33" t="n"/>
      <c r="F247" s="36" t="n"/>
      <c r="G247" s="31" t="n"/>
      <c r="H247" s="37">
        <f>IF(A247="","",(YEAR(A247)-YEAR(Config!$B$6))*12+MONTH(A247)-MONTH(Config!$B$6)+1)</f>
        <v/>
      </c>
      <c r="I247" s="19">
        <f>IF(AND(A247="",B247="",E247=""),"",IF(A247="","Falta data",IF(B247="","Falta categoria",IF(E247="","Falta valor",IF(C247="Categoria inválida","Categoria inválida",IF(OR(H247&lt;1,H247&gt;12),"Fora dos 12 meses","OK"))))))</f>
        <v/>
      </c>
    </row>
    <row r="248">
      <c r="A248" s="35" t="n"/>
      <c r="B248" s="31" t="n"/>
      <c r="C248" s="19">
        <f>IF(B248="","",IF(COUNTIF(Config!$D$6:$D$15,B248)&gt;0,"Entrada",IF(COUNTIF(Config!$F$6:$F$25,B248)&gt;0,"Saída","Categoria inválida")))</f>
        <v/>
      </c>
      <c r="D248" s="31" t="n"/>
      <c r="E248" s="33" t="n"/>
      <c r="F248" s="36" t="n"/>
      <c r="G248" s="31" t="n"/>
      <c r="H248" s="37">
        <f>IF(A248="","",(YEAR(A248)-YEAR(Config!$B$6))*12+MONTH(A248)-MONTH(Config!$B$6)+1)</f>
        <v/>
      </c>
      <c r="I248" s="19">
        <f>IF(AND(A248="",B248="",E248=""),"",IF(A248="","Falta data",IF(B248="","Falta categoria",IF(E248="","Falta valor",IF(C248="Categoria inválida","Categoria inválida",IF(OR(H248&lt;1,H248&gt;12),"Fora dos 12 meses","OK"))))))</f>
        <v/>
      </c>
    </row>
    <row r="249">
      <c r="A249" s="35" t="n"/>
      <c r="B249" s="31" t="n"/>
      <c r="C249" s="19">
        <f>IF(B249="","",IF(COUNTIF(Config!$D$6:$D$15,B249)&gt;0,"Entrada",IF(COUNTIF(Config!$F$6:$F$25,B249)&gt;0,"Saída","Categoria inválida")))</f>
        <v/>
      </c>
      <c r="D249" s="31" t="n"/>
      <c r="E249" s="33" t="n"/>
      <c r="F249" s="36" t="n"/>
      <c r="G249" s="31" t="n"/>
      <c r="H249" s="37">
        <f>IF(A249="","",(YEAR(A249)-YEAR(Config!$B$6))*12+MONTH(A249)-MONTH(Config!$B$6)+1)</f>
        <v/>
      </c>
      <c r="I249" s="19">
        <f>IF(AND(A249="",B249="",E249=""),"",IF(A249="","Falta data",IF(B249="","Falta categoria",IF(E249="","Falta valor",IF(C249="Categoria inválida","Categoria inválida",IF(OR(H249&lt;1,H249&gt;12),"Fora dos 12 meses","OK"))))))</f>
        <v/>
      </c>
    </row>
    <row r="250">
      <c r="A250" s="35" t="n"/>
      <c r="B250" s="31" t="n"/>
      <c r="C250" s="19">
        <f>IF(B250="","",IF(COUNTIF(Config!$D$6:$D$15,B250)&gt;0,"Entrada",IF(COUNTIF(Config!$F$6:$F$25,B250)&gt;0,"Saída","Categoria inválida")))</f>
        <v/>
      </c>
      <c r="D250" s="31" t="n"/>
      <c r="E250" s="33" t="n"/>
      <c r="F250" s="36" t="n"/>
      <c r="G250" s="31" t="n"/>
      <c r="H250" s="37">
        <f>IF(A250="","",(YEAR(A250)-YEAR(Config!$B$6))*12+MONTH(A250)-MONTH(Config!$B$6)+1)</f>
        <v/>
      </c>
      <c r="I250" s="19">
        <f>IF(AND(A250="",B250="",E250=""),"",IF(A250="","Falta data",IF(B250="","Falta categoria",IF(E250="","Falta valor",IF(C250="Categoria inválida","Categoria inválida",IF(OR(H250&lt;1,H250&gt;12),"Fora dos 12 meses","OK"))))))</f>
        <v/>
      </c>
    </row>
    <row r="251">
      <c r="A251" s="35" t="n"/>
      <c r="B251" s="31" t="n"/>
      <c r="C251" s="19">
        <f>IF(B251="","",IF(COUNTIF(Config!$D$6:$D$15,B251)&gt;0,"Entrada",IF(COUNTIF(Config!$F$6:$F$25,B251)&gt;0,"Saída","Categoria inválida")))</f>
        <v/>
      </c>
      <c r="D251" s="31" t="n"/>
      <c r="E251" s="33" t="n"/>
      <c r="F251" s="36" t="n"/>
      <c r="G251" s="31" t="n"/>
      <c r="H251" s="37">
        <f>IF(A251="","",(YEAR(A251)-YEAR(Config!$B$6))*12+MONTH(A251)-MONTH(Config!$B$6)+1)</f>
        <v/>
      </c>
      <c r="I251" s="19">
        <f>IF(AND(A251="",B251="",E251=""),"",IF(A251="","Falta data",IF(B251="","Falta categoria",IF(E251="","Falta valor",IF(C251="Categoria inválida","Categoria inválida",IF(OR(H251&lt;1,H251&gt;12),"Fora dos 12 meses","OK"))))))</f>
        <v/>
      </c>
    </row>
    <row r="252">
      <c r="A252" s="35" t="n"/>
      <c r="B252" s="31" t="n"/>
      <c r="C252" s="19">
        <f>IF(B252="","",IF(COUNTIF(Config!$D$6:$D$15,B252)&gt;0,"Entrada",IF(COUNTIF(Config!$F$6:$F$25,B252)&gt;0,"Saída","Categoria inválida")))</f>
        <v/>
      </c>
      <c r="D252" s="31" t="n"/>
      <c r="E252" s="33" t="n"/>
      <c r="F252" s="36" t="n"/>
      <c r="G252" s="31" t="n"/>
      <c r="H252" s="37">
        <f>IF(A252="","",(YEAR(A252)-YEAR(Config!$B$6))*12+MONTH(A252)-MONTH(Config!$B$6)+1)</f>
        <v/>
      </c>
      <c r="I252" s="19">
        <f>IF(AND(A252="",B252="",E252=""),"",IF(A252="","Falta data",IF(B252="","Falta categoria",IF(E252="","Falta valor",IF(C252="Categoria inválida","Categoria inválida",IF(OR(H252&lt;1,H252&gt;12),"Fora dos 12 meses","OK"))))))</f>
        <v/>
      </c>
    </row>
    <row r="253">
      <c r="A253" s="35" t="n"/>
      <c r="B253" s="31" t="n"/>
      <c r="C253" s="19">
        <f>IF(B253="","",IF(COUNTIF(Config!$D$6:$D$15,B253)&gt;0,"Entrada",IF(COUNTIF(Config!$F$6:$F$25,B253)&gt;0,"Saída","Categoria inválida")))</f>
        <v/>
      </c>
      <c r="D253" s="31" t="n"/>
      <c r="E253" s="33" t="n"/>
      <c r="F253" s="36" t="n"/>
      <c r="G253" s="31" t="n"/>
      <c r="H253" s="37">
        <f>IF(A253="","",(YEAR(A253)-YEAR(Config!$B$6))*12+MONTH(A253)-MONTH(Config!$B$6)+1)</f>
        <v/>
      </c>
      <c r="I253" s="19">
        <f>IF(AND(A253="",B253="",E253=""),"",IF(A253="","Falta data",IF(B253="","Falta categoria",IF(E253="","Falta valor",IF(C253="Categoria inválida","Categoria inválida",IF(OR(H253&lt;1,H253&gt;12),"Fora dos 12 meses","OK"))))))</f>
        <v/>
      </c>
    </row>
    <row r="254">
      <c r="A254" s="35" t="n"/>
      <c r="B254" s="31" t="n"/>
      <c r="C254" s="19">
        <f>IF(B254="","",IF(COUNTIF(Config!$D$6:$D$15,B254)&gt;0,"Entrada",IF(COUNTIF(Config!$F$6:$F$25,B254)&gt;0,"Saída","Categoria inválida")))</f>
        <v/>
      </c>
      <c r="D254" s="31" t="n"/>
      <c r="E254" s="33" t="n"/>
      <c r="F254" s="36" t="n"/>
      <c r="G254" s="31" t="n"/>
      <c r="H254" s="37">
        <f>IF(A254="","",(YEAR(A254)-YEAR(Config!$B$6))*12+MONTH(A254)-MONTH(Config!$B$6)+1)</f>
        <v/>
      </c>
      <c r="I254" s="19">
        <f>IF(AND(A254="",B254="",E254=""),"",IF(A254="","Falta data",IF(B254="","Falta categoria",IF(E254="","Falta valor",IF(C254="Categoria inválida","Categoria inválida",IF(OR(H254&lt;1,H254&gt;12),"Fora dos 12 meses","OK"))))))</f>
        <v/>
      </c>
    </row>
    <row r="255">
      <c r="A255" s="35" t="n"/>
      <c r="B255" s="31" t="n"/>
      <c r="C255" s="19">
        <f>IF(B255="","",IF(COUNTIF(Config!$D$6:$D$15,B255)&gt;0,"Entrada",IF(COUNTIF(Config!$F$6:$F$25,B255)&gt;0,"Saída","Categoria inválida")))</f>
        <v/>
      </c>
      <c r="D255" s="31" t="n"/>
      <c r="E255" s="33" t="n"/>
      <c r="F255" s="36" t="n"/>
      <c r="G255" s="31" t="n"/>
      <c r="H255" s="37">
        <f>IF(A255="","",(YEAR(A255)-YEAR(Config!$B$6))*12+MONTH(A255)-MONTH(Config!$B$6)+1)</f>
        <v/>
      </c>
      <c r="I255" s="19">
        <f>IF(AND(A255="",B255="",E255=""),"",IF(A255="","Falta data",IF(B255="","Falta categoria",IF(E255="","Falta valor",IF(C255="Categoria inválida","Categoria inválida",IF(OR(H255&lt;1,H255&gt;12),"Fora dos 12 meses","OK"))))))</f>
        <v/>
      </c>
    </row>
    <row r="256">
      <c r="A256" s="35" t="n"/>
      <c r="B256" s="31" t="n"/>
      <c r="C256" s="19">
        <f>IF(B256="","",IF(COUNTIF(Config!$D$6:$D$15,B256)&gt;0,"Entrada",IF(COUNTIF(Config!$F$6:$F$25,B256)&gt;0,"Saída","Categoria inválida")))</f>
        <v/>
      </c>
      <c r="D256" s="31" t="n"/>
      <c r="E256" s="33" t="n"/>
      <c r="F256" s="36" t="n"/>
      <c r="G256" s="31" t="n"/>
      <c r="H256" s="37">
        <f>IF(A256="","",(YEAR(A256)-YEAR(Config!$B$6))*12+MONTH(A256)-MONTH(Config!$B$6)+1)</f>
        <v/>
      </c>
      <c r="I256" s="19">
        <f>IF(AND(A256="",B256="",E256=""),"",IF(A256="","Falta data",IF(B256="","Falta categoria",IF(E256="","Falta valor",IF(C256="Categoria inválida","Categoria inválida",IF(OR(H256&lt;1,H256&gt;12),"Fora dos 12 meses","OK"))))))</f>
        <v/>
      </c>
    </row>
    <row r="257">
      <c r="A257" s="35" t="n"/>
      <c r="B257" s="31" t="n"/>
      <c r="C257" s="19">
        <f>IF(B257="","",IF(COUNTIF(Config!$D$6:$D$15,B257)&gt;0,"Entrada",IF(COUNTIF(Config!$F$6:$F$25,B257)&gt;0,"Saída","Categoria inválida")))</f>
        <v/>
      </c>
      <c r="D257" s="31" t="n"/>
      <c r="E257" s="33" t="n"/>
      <c r="F257" s="36" t="n"/>
      <c r="G257" s="31" t="n"/>
      <c r="H257" s="37">
        <f>IF(A257="","",(YEAR(A257)-YEAR(Config!$B$6))*12+MONTH(A257)-MONTH(Config!$B$6)+1)</f>
        <v/>
      </c>
      <c r="I257" s="19">
        <f>IF(AND(A257="",B257="",E257=""),"",IF(A257="","Falta data",IF(B257="","Falta categoria",IF(E257="","Falta valor",IF(C257="Categoria inválida","Categoria inválida",IF(OR(H257&lt;1,H257&gt;12),"Fora dos 12 meses","OK"))))))</f>
        <v/>
      </c>
    </row>
    <row r="258">
      <c r="A258" s="35" t="n"/>
      <c r="B258" s="31" t="n"/>
      <c r="C258" s="19">
        <f>IF(B258="","",IF(COUNTIF(Config!$D$6:$D$15,B258)&gt;0,"Entrada",IF(COUNTIF(Config!$F$6:$F$25,B258)&gt;0,"Saída","Categoria inválida")))</f>
        <v/>
      </c>
      <c r="D258" s="31" t="n"/>
      <c r="E258" s="33" t="n"/>
      <c r="F258" s="36" t="n"/>
      <c r="G258" s="31" t="n"/>
      <c r="H258" s="37">
        <f>IF(A258="","",(YEAR(A258)-YEAR(Config!$B$6))*12+MONTH(A258)-MONTH(Config!$B$6)+1)</f>
        <v/>
      </c>
      <c r="I258" s="19">
        <f>IF(AND(A258="",B258="",E258=""),"",IF(A258="","Falta data",IF(B258="","Falta categoria",IF(E258="","Falta valor",IF(C258="Categoria inválida","Categoria inválida",IF(OR(H258&lt;1,H258&gt;12),"Fora dos 12 meses","OK"))))))</f>
        <v/>
      </c>
    </row>
    <row r="259">
      <c r="A259" s="35" t="n"/>
      <c r="B259" s="31" t="n"/>
      <c r="C259" s="19">
        <f>IF(B259="","",IF(COUNTIF(Config!$D$6:$D$15,B259)&gt;0,"Entrada",IF(COUNTIF(Config!$F$6:$F$25,B259)&gt;0,"Saída","Categoria inválida")))</f>
        <v/>
      </c>
      <c r="D259" s="31" t="n"/>
      <c r="E259" s="33" t="n"/>
      <c r="F259" s="36" t="n"/>
      <c r="G259" s="31" t="n"/>
      <c r="H259" s="37">
        <f>IF(A259="","",(YEAR(A259)-YEAR(Config!$B$6))*12+MONTH(A259)-MONTH(Config!$B$6)+1)</f>
        <v/>
      </c>
      <c r="I259" s="19">
        <f>IF(AND(A259="",B259="",E259=""),"",IF(A259="","Falta data",IF(B259="","Falta categoria",IF(E259="","Falta valor",IF(C259="Categoria inválida","Categoria inválida",IF(OR(H259&lt;1,H259&gt;12),"Fora dos 12 meses","OK"))))))</f>
        <v/>
      </c>
    </row>
    <row r="260">
      <c r="A260" s="35" t="n"/>
      <c r="B260" s="31" t="n"/>
      <c r="C260" s="19">
        <f>IF(B260="","",IF(COUNTIF(Config!$D$6:$D$15,B260)&gt;0,"Entrada",IF(COUNTIF(Config!$F$6:$F$25,B260)&gt;0,"Saída","Categoria inválida")))</f>
        <v/>
      </c>
      <c r="D260" s="31" t="n"/>
      <c r="E260" s="33" t="n"/>
      <c r="F260" s="36" t="n"/>
      <c r="G260" s="31" t="n"/>
      <c r="H260" s="37">
        <f>IF(A260="","",(YEAR(A260)-YEAR(Config!$B$6))*12+MONTH(A260)-MONTH(Config!$B$6)+1)</f>
        <v/>
      </c>
      <c r="I260" s="19">
        <f>IF(AND(A260="",B260="",E260=""),"",IF(A260="","Falta data",IF(B260="","Falta categoria",IF(E260="","Falta valor",IF(C260="Categoria inválida","Categoria inválida",IF(OR(H260&lt;1,H260&gt;12),"Fora dos 12 meses","OK"))))))</f>
        <v/>
      </c>
    </row>
    <row r="261">
      <c r="A261" s="35" t="n"/>
      <c r="B261" s="31" t="n"/>
      <c r="C261" s="19">
        <f>IF(B261="","",IF(COUNTIF(Config!$D$6:$D$15,B261)&gt;0,"Entrada",IF(COUNTIF(Config!$F$6:$F$25,B261)&gt;0,"Saída","Categoria inválida")))</f>
        <v/>
      </c>
      <c r="D261" s="31" t="n"/>
      <c r="E261" s="33" t="n"/>
      <c r="F261" s="36" t="n"/>
      <c r="G261" s="31" t="n"/>
      <c r="H261" s="37">
        <f>IF(A261="","",(YEAR(A261)-YEAR(Config!$B$6))*12+MONTH(A261)-MONTH(Config!$B$6)+1)</f>
        <v/>
      </c>
      <c r="I261" s="19">
        <f>IF(AND(A261="",B261="",E261=""),"",IF(A261="","Falta data",IF(B261="","Falta categoria",IF(E261="","Falta valor",IF(C261="Categoria inválida","Categoria inválida",IF(OR(H261&lt;1,H261&gt;12),"Fora dos 12 meses","OK"))))))</f>
        <v/>
      </c>
    </row>
    <row r="262">
      <c r="A262" s="35" t="n"/>
      <c r="B262" s="31" t="n"/>
      <c r="C262" s="19">
        <f>IF(B262="","",IF(COUNTIF(Config!$D$6:$D$15,B262)&gt;0,"Entrada",IF(COUNTIF(Config!$F$6:$F$25,B262)&gt;0,"Saída","Categoria inválida")))</f>
        <v/>
      </c>
      <c r="D262" s="31" t="n"/>
      <c r="E262" s="33" t="n"/>
      <c r="F262" s="36" t="n"/>
      <c r="G262" s="31" t="n"/>
      <c r="H262" s="37">
        <f>IF(A262="","",(YEAR(A262)-YEAR(Config!$B$6))*12+MONTH(A262)-MONTH(Config!$B$6)+1)</f>
        <v/>
      </c>
      <c r="I262" s="19">
        <f>IF(AND(A262="",B262="",E262=""),"",IF(A262="","Falta data",IF(B262="","Falta categoria",IF(E262="","Falta valor",IF(C262="Categoria inválida","Categoria inválida",IF(OR(H262&lt;1,H262&gt;12),"Fora dos 12 meses","OK"))))))</f>
        <v/>
      </c>
    </row>
    <row r="263">
      <c r="A263" s="35" t="n"/>
      <c r="B263" s="31" t="n"/>
      <c r="C263" s="19">
        <f>IF(B263="","",IF(COUNTIF(Config!$D$6:$D$15,B263)&gt;0,"Entrada",IF(COUNTIF(Config!$F$6:$F$25,B263)&gt;0,"Saída","Categoria inválida")))</f>
        <v/>
      </c>
      <c r="D263" s="31" t="n"/>
      <c r="E263" s="33" t="n"/>
      <c r="F263" s="36" t="n"/>
      <c r="G263" s="31" t="n"/>
      <c r="H263" s="37">
        <f>IF(A263="","",(YEAR(A263)-YEAR(Config!$B$6))*12+MONTH(A263)-MONTH(Config!$B$6)+1)</f>
        <v/>
      </c>
      <c r="I263" s="19">
        <f>IF(AND(A263="",B263="",E263=""),"",IF(A263="","Falta data",IF(B263="","Falta categoria",IF(E263="","Falta valor",IF(C263="Categoria inválida","Categoria inválida",IF(OR(H263&lt;1,H263&gt;12),"Fora dos 12 meses","OK"))))))</f>
        <v/>
      </c>
    </row>
    <row r="264">
      <c r="A264" s="35" t="n"/>
      <c r="B264" s="31" t="n"/>
      <c r="C264" s="19">
        <f>IF(B264="","",IF(COUNTIF(Config!$D$6:$D$15,B264)&gt;0,"Entrada",IF(COUNTIF(Config!$F$6:$F$25,B264)&gt;0,"Saída","Categoria inválida")))</f>
        <v/>
      </c>
      <c r="D264" s="31" t="n"/>
      <c r="E264" s="33" t="n"/>
      <c r="F264" s="36" t="n"/>
      <c r="G264" s="31" t="n"/>
      <c r="H264" s="37">
        <f>IF(A264="","",(YEAR(A264)-YEAR(Config!$B$6))*12+MONTH(A264)-MONTH(Config!$B$6)+1)</f>
        <v/>
      </c>
      <c r="I264" s="19">
        <f>IF(AND(A264="",B264="",E264=""),"",IF(A264="","Falta data",IF(B264="","Falta categoria",IF(E264="","Falta valor",IF(C264="Categoria inválida","Categoria inválida",IF(OR(H264&lt;1,H264&gt;12),"Fora dos 12 meses","OK"))))))</f>
        <v/>
      </c>
    </row>
    <row r="265">
      <c r="A265" s="35" t="n"/>
      <c r="B265" s="31" t="n"/>
      <c r="C265" s="19">
        <f>IF(B265="","",IF(COUNTIF(Config!$D$6:$D$15,B265)&gt;0,"Entrada",IF(COUNTIF(Config!$F$6:$F$25,B265)&gt;0,"Saída","Categoria inválida")))</f>
        <v/>
      </c>
      <c r="D265" s="31" t="n"/>
      <c r="E265" s="33" t="n"/>
      <c r="F265" s="36" t="n"/>
      <c r="G265" s="31" t="n"/>
      <c r="H265" s="37">
        <f>IF(A265="","",(YEAR(A265)-YEAR(Config!$B$6))*12+MONTH(A265)-MONTH(Config!$B$6)+1)</f>
        <v/>
      </c>
      <c r="I265" s="19">
        <f>IF(AND(A265="",B265="",E265=""),"",IF(A265="","Falta data",IF(B265="","Falta categoria",IF(E265="","Falta valor",IF(C265="Categoria inválida","Categoria inválida",IF(OR(H265&lt;1,H265&gt;12),"Fora dos 12 meses","OK"))))))</f>
        <v/>
      </c>
    </row>
    <row r="266">
      <c r="A266" s="35" t="n"/>
      <c r="B266" s="31" t="n"/>
      <c r="C266" s="19">
        <f>IF(B266="","",IF(COUNTIF(Config!$D$6:$D$15,B266)&gt;0,"Entrada",IF(COUNTIF(Config!$F$6:$F$25,B266)&gt;0,"Saída","Categoria inválida")))</f>
        <v/>
      </c>
      <c r="D266" s="31" t="n"/>
      <c r="E266" s="33" t="n"/>
      <c r="F266" s="36" t="n"/>
      <c r="G266" s="31" t="n"/>
      <c r="H266" s="37">
        <f>IF(A266="","",(YEAR(A266)-YEAR(Config!$B$6))*12+MONTH(A266)-MONTH(Config!$B$6)+1)</f>
        <v/>
      </c>
      <c r="I266" s="19">
        <f>IF(AND(A266="",B266="",E266=""),"",IF(A266="","Falta data",IF(B266="","Falta categoria",IF(E266="","Falta valor",IF(C266="Categoria inválida","Categoria inválida",IF(OR(H266&lt;1,H266&gt;12),"Fora dos 12 meses","OK"))))))</f>
        <v/>
      </c>
    </row>
    <row r="267">
      <c r="A267" s="35" t="n"/>
      <c r="B267" s="31" t="n"/>
      <c r="C267" s="19">
        <f>IF(B267="","",IF(COUNTIF(Config!$D$6:$D$15,B267)&gt;0,"Entrada",IF(COUNTIF(Config!$F$6:$F$25,B267)&gt;0,"Saída","Categoria inválida")))</f>
        <v/>
      </c>
      <c r="D267" s="31" t="n"/>
      <c r="E267" s="33" t="n"/>
      <c r="F267" s="36" t="n"/>
      <c r="G267" s="31" t="n"/>
      <c r="H267" s="37">
        <f>IF(A267="","",(YEAR(A267)-YEAR(Config!$B$6))*12+MONTH(A267)-MONTH(Config!$B$6)+1)</f>
        <v/>
      </c>
      <c r="I267" s="19">
        <f>IF(AND(A267="",B267="",E267=""),"",IF(A267="","Falta data",IF(B267="","Falta categoria",IF(E267="","Falta valor",IF(C267="Categoria inválida","Categoria inválida",IF(OR(H267&lt;1,H267&gt;12),"Fora dos 12 meses","OK"))))))</f>
        <v/>
      </c>
    </row>
    <row r="268">
      <c r="A268" s="35" t="n"/>
      <c r="B268" s="31" t="n"/>
      <c r="C268" s="19">
        <f>IF(B268="","",IF(COUNTIF(Config!$D$6:$D$15,B268)&gt;0,"Entrada",IF(COUNTIF(Config!$F$6:$F$25,B268)&gt;0,"Saída","Categoria inválida")))</f>
        <v/>
      </c>
      <c r="D268" s="31" t="n"/>
      <c r="E268" s="33" t="n"/>
      <c r="F268" s="36" t="n"/>
      <c r="G268" s="31" t="n"/>
      <c r="H268" s="37">
        <f>IF(A268="","",(YEAR(A268)-YEAR(Config!$B$6))*12+MONTH(A268)-MONTH(Config!$B$6)+1)</f>
        <v/>
      </c>
      <c r="I268" s="19">
        <f>IF(AND(A268="",B268="",E268=""),"",IF(A268="","Falta data",IF(B268="","Falta categoria",IF(E268="","Falta valor",IF(C268="Categoria inválida","Categoria inválida",IF(OR(H268&lt;1,H268&gt;12),"Fora dos 12 meses","OK"))))))</f>
        <v/>
      </c>
    </row>
    <row r="269">
      <c r="A269" s="35" t="n"/>
      <c r="B269" s="31" t="n"/>
      <c r="C269" s="19">
        <f>IF(B269="","",IF(COUNTIF(Config!$D$6:$D$15,B269)&gt;0,"Entrada",IF(COUNTIF(Config!$F$6:$F$25,B269)&gt;0,"Saída","Categoria inválida")))</f>
        <v/>
      </c>
      <c r="D269" s="31" t="n"/>
      <c r="E269" s="33" t="n"/>
      <c r="F269" s="36" t="n"/>
      <c r="G269" s="31" t="n"/>
      <c r="H269" s="37">
        <f>IF(A269="","",(YEAR(A269)-YEAR(Config!$B$6))*12+MONTH(A269)-MONTH(Config!$B$6)+1)</f>
        <v/>
      </c>
      <c r="I269" s="19">
        <f>IF(AND(A269="",B269="",E269=""),"",IF(A269="","Falta data",IF(B269="","Falta categoria",IF(E269="","Falta valor",IF(C269="Categoria inválida","Categoria inválida",IF(OR(H269&lt;1,H269&gt;12),"Fora dos 12 meses","OK"))))))</f>
        <v/>
      </c>
    </row>
    <row r="270">
      <c r="A270" s="35" t="n"/>
      <c r="B270" s="31" t="n"/>
      <c r="C270" s="19">
        <f>IF(B270="","",IF(COUNTIF(Config!$D$6:$D$15,B270)&gt;0,"Entrada",IF(COUNTIF(Config!$F$6:$F$25,B270)&gt;0,"Saída","Categoria inválida")))</f>
        <v/>
      </c>
      <c r="D270" s="31" t="n"/>
      <c r="E270" s="33" t="n"/>
      <c r="F270" s="36" t="n"/>
      <c r="G270" s="31" t="n"/>
      <c r="H270" s="37">
        <f>IF(A270="","",(YEAR(A270)-YEAR(Config!$B$6))*12+MONTH(A270)-MONTH(Config!$B$6)+1)</f>
        <v/>
      </c>
      <c r="I270" s="19">
        <f>IF(AND(A270="",B270="",E270=""),"",IF(A270="","Falta data",IF(B270="","Falta categoria",IF(E270="","Falta valor",IF(C270="Categoria inválida","Categoria inválida",IF(OR(H270&lt;1,H270&gt;12),"Fora dos 12 meses","OK"))))))</f>
        <v/>
      </c>
    </row>
    <row r="271">
      <c r="A271" s="35" t="n"/>
      <c r="B271" s="31" t="n"/>
      <c r="C271" s="19">
        <f>IF(B271="","",IF(COUNTIF(Config!$D$6:$D$15,B271)&gt;0,"Entrada",IF(COUNTIF(Config!$F$6:$F$25,B271)&gt;0,"Saída","Categoria inválida")))</f>
        <v/>
      </c>
      <c r="D271" s="31" t="n"/>
      <c r="E271" s="33" t="n"/>
      <c r="F271" s="36" t="n"/>
      <c r="G271" s="31" t="n"/>
      <c r="H271" s="37">
        <f>IF(A271="","",(YEAR(A271)-YEAR(Config!$B$6))*12+MONTH(A271)-MONTH(Config!$B$6)+1)</f>
        <v/>
      </c>
      <c r="I271" s="19">
        <f>IF(AND(A271="",B271="",E271=""),"",IF(A271="","Falta data",IF(B271="","Falta categoria",IF(E271="","Falta valor",IF(C271="Categoria inválida","Categoria inválida",IF(OR(H271&lt;1,H271&gt;12),"Fora dos 12 meses","OK"))))))</f>
        <v/>
      </c>
    </row>
    <row r="272">
      <c r="A272" s="35" t="n"/>
      <c r="B272" s="31" t="n"/>
      <c r="C272" s="19">
        <f>IF(B272="","",IF(COUNTIF(Config!$D$6:$D$15,B272)&gt;0,"Entrada",IF(COUNTIF(Config!$F$6:$F$25,B272)&gt;0,"Saída","Categoria inválida")))</f>
        <v/>
      </c>
      <c r="D272" s="31" t="n"/>
      <c r="E272" s="33" t="n"/>
      <c r="F272" s="36" t="n"/>
      <c r="G272" s="31" t="n"/>
      <c r="H272" s="37">
        <f>IF(A272="","",(YEAR(A272)-YEAR(Config!$B$6))*12+MONTH(A272)-MONTH(Config!$B$6)+1)</f>
        <v/>
      </c>
      <c r="I272" s="19">
        <f>IF(AND(A272="",B272="",E272=""),"",IF(A272="","Falta data",IF(B272="","Falta categoria",IF(E272="","Falta valor",IF(C272="Categoria inválida","Categoria inválida",IF(OR(H272&lt;1,H272&gt;12),"Fora dos 12 meses","OK"))))))</f>
        <v/>
      </c>
    </row>
    <row r="273">
      <c r="A273" s="35" t="n"/>
      <c r="B273" s="31" t="n"/>
      <c r="C273" s="19">
        <f>IF(B273="","",IF(COUNTIF(Config!$D$6:$D$15,B273)&gt;0,"Entrada",IF(COUNTIF(Config!$F$6:$F$25,B273)&gt;0,"Saída","Categoria inválida")))</f>
        <v/>
      </c>
      <c r="D273" s="31" t="n"/>
      <c r="E273" s="33" t="n"/>
      <c r="F273" s="36" t="n"/>
      <c r="G273" s="31" t="n"/>
      <c r="H273" s="37">
        <f>IF(A273="","",(YEAR(A273)-YEAR(Config!$B$6))*12+MONTH(A273)-MONTH(Config!$B$6)+1)</f>
        <v/>
      </c>
      <c r="I273" s="19">
        <f>IF(AND(A273="",B273="",E273=""),"",IF(A273="","Falta data",IF(B273="","Falta categoria",IF(E273="","Falta valor",IF(C273="Categoria inválida","Categoria inválida",IF(OR(H273&lt;1,H273&gt;12),"Fora dos 12 meses","OK"))))))</f>
        <v/>
      </c>
    </row>
    <row r="274">
      <c r="A274" s="35" t="n"/>
      <c r="B274" s="31" t="n"/>
      <c r="C274" s="19">
        <f>IF(B274="","",IF(COUNTIF(Config!$D$6:$D$15,B274)&gt;0,"Entrada",IF(COUNTIF(Config!$F$6:$F$25,B274)&gt;0,"Saída","Categoria inválida")))</f>
        <v/>
      </c>
      <c r="D274" s="31" t="n"/>
      <c r="E274" s="33" t="n"/>
      <c r="F274" s="36" t="n"/>
      <c r="G274" s="31" t="n"/>
      <c r="H274" s="37">
        <f>IF(A274="","",(YEAR(A274)-YEAR(Config!$B$6))*12+MONTH(A274)-MONTH(Config!$B$6)+1)</f>
        <v/>
      </c>
      <c r="I274" s="19">
        <f>IF(AND(A274="",B274="",E274=""),"",IF(A274="","Falta data",IF(B274="","Falta categoria",IF(E274="","Falta valor",IF(C274="Categoria inválida","Categoria inválida",IF(OR(H274&lt;1,H274&gt;12),"Fora dos 12 meses","OK"))))))</f>
        <v/>
      </c>
    </row>
    <row r="275">
      <c r="A275" s="35" t="n"/>
      <c r="B275" s="31" t="n"/>
      <c r="C275" s="19">
        <f>IF(B275="","",IF(COUNTIF(Config!$D$6:$D$15,B275)&gt;0,"Entrada",IF(COUNTIF(Config!$F$6:$F$25,B275)&gt;0,"Saída","Categoria inválida")))</f>
        <v/>
      </c>
      <c r="D275" s="31" t="n"/>
      <c r="E275" s="33" t="n"/>
      <c r="F275" s="36" t="n"/>
      <c r="G275" s="31" t="n"/>
      <c r="H275" s="37">
        <f>IF(A275="","",(YEAR(A275)-YEAR(Config!$B$6))*12+MONTH(A275)-MONTH(Config!$B$6)+1)</f>
        <v/>
      </c>
      <c r="I275" s="19">
        <f>IF(AND(A275="",B275="",E275=""),"",IF(A275="","Falta data",IF(B275="","Falta categoria",IF(E275="","Falta valor",IF(C275="Categoria inválida","Categoria inválida",IF(OR(H275&lt;1,H275&gt;12),"Fora dos 12 meses","OK"))))))</f>
        <v/>
      </c>
    </row>
    <row r="276">
      <c r="A276" s="35" t="n"/>
      <c r="B276" s="31" t="n"/>
      <c r="C276" s="19">
        <f>IF(B276="","",IF(COUNTIF(Config!$D$6:$D$15,B276)&gt;0,"Entrada",IF(COUNTIF(Config!$F$6:$F$25,B276)&gt;0,"Saída","Categoria inválida")))</f>
        <v/>
      </c>
      <c r="D276" s="31" t="n"/>
      <c r="E276" s="33" t="n"/>
      <c r="F276" s="36" t="n"/>
      <c r="G276" s="31" t="n"/>
      <c r="H276" s="37">
        <f>IF(A276="","",(YEAR(A276)-YEAR(Config!$B$6))*12+MONTH(A276)-MONTH(Config!$B$6)+1)</f>
        <v/>
      </c>
      <c r="I276" s="19">
        <f>IF(AND(A276="",B276="",E276=""),"",IF(A276="","Falta data",IF(B276="","Falta categoria",IF(E276="","Falta valor",IF(C276="Categoria inválida","Categoria inválida",IF(OR(H276&lt;1,H276&gt;12),"Fora dos 12 meses","OK"))))))</f>
        <v/>
      </c>
    </row>
    <row r="277">
      <c r="A277" s="35" t="n"/>
      <c r="B277" s="31" t="n"/>
      <c r="C277" s="19">
        <f>IF(B277="","",IF(COUNTIF(Config!$D$6:$D$15,B277)&gt;0,"Entrada",IF(COUNTIF(Config!$F$6:$F$25,B277)&gt;0,"Saída","Categoria inválida")))</f>
        <v/>
      </c>
      <c r="D277" s="31" t="n"/>
      <c r="E277" s="33" t="n"/>
      <c r="F277" s="36" t="n"/>
      <c r="G277" s="31" t="n"/>
      <c r="H277" s="37">
        <f>IF(A277="","",(YEAR(A277)-YEAR(Config!$B$6))*12+MONTH(A277)-MONTH(Config!$B$6)+1)</f>
        <v/>
      </c>
      <c r="I277" s="19">
        <f>IF(AND(A277="",B277="",E277=""),"",IF(A277="","Falta data",IF(B277="","Falta categoria",IF(E277="","Falta valor",IF(C277="Categoria inválida","Categoria inválida",IF(OR(H277&lt;1,H277&gt;12),"Fora dos 12 meses","OK"))))))</f>
        <v/>
      </c>
    </row>
    <row r="278">
      <c r="A278" s="35" t="n"/>
      <c r="B278" s="31" t="n"/>
      <c r="C278" s="19">
        <f>IF(B278="","",IF(COUNTIF(Config!$D$6:$D$15,B278)&gt;0,"Entrada",IF(COUNTIF(Config!$F$6:$F$25,B278)&gt;0,"Saída","Categoria inválida")))</f>
        <v/>
      </c>
      <c r="D278" s="31" t="n"/>
      <c r="E278" s="33" t="n"/>
      <c r="F278" s="36" t="n"/>
      <c r="G278" s="31" t="n"/>
      <c r="H278" s="37">
        <f>IF(A278="","",(YEAR(A278)-YEAR(Config!$B$6))*12+MONTH(A278)-MONTH(Config!$B$6)+1)</f>
        <v/>
      </c>
      <c r="I278" s="19">
        <f>IF(AND(A278="",B278="",E278=""),"",IF(A278="","Falta data",IF(B278="","Falta categoria",IF(E278="","Falta valor",IF(C278="Categoria inválida","Categoria inválida",IF(OR(H278&lt;1,H278&gt;12),"Fora dos 12 meses","OK"))))))</f>
        <v/>
      </c>
    </row>
    <row r="279">
      <c r="A279" s="35" t="n"/>
      <c r="B279" s="31" t="n"/>
      <c r="C279" s="19">
        <f>IF(B279="","",IF(COUNTIF(Config!$D$6:$D$15,B279)&gt;0,"Entrada",IF(COUNTIF(Config!$F$6:$F$25,B279)&gt;0,"Saída","Categoria inválida")))</f>
        <v/>
      </c>
      <c r="D279" s="31" t="n"/>
      <c r="E279" s="33" t="n"/>
      <c r="F279" s="36" t="n"/>
      <c r="G279" s="31" t="n"/>
      <c r="H279" s="37">
        <f>IF(A279="","",(YEAR(A279)-YEAR(Config!$B$6))*12+MONTH(A279)-MONTH(Config!$B$6)+1)</f>
        <v/>
      </c>
      <c r="I279" s="19">
        <f>IF(AND(A279="",B279="",E279=""),"",IF(A279="","Falta data",IF(B279="","Falta categoria",IF(E279="","Falta valor",IF(C279="Categoria inválida","Categoria inválida",IF(OR(H279&lt;1,H279&gt;12),"Fora dos 12 meses","OK"))))))</f>
        <v/>
      </c>
    </row>
    <row r="280">
      <c r="A280" s="35" t="n"/>
      <c r="B280" s="31" t="n"/>
      <c r="C280" s="19">
        <f>IF(B280="","",IF(COUNTIF(Config!$D$6:$D$15,B280)&gt;0,"Entrada",IF(COUNTIF(Config!$F$6:$F$25,B280)&gt;0,"Saída","Categoria inválida")))</f>
        <v/>
      </c>
      <c r="D280" s="31" t="n"/>
      <c r="E280" s="33" t="n"/>
      <c r="F280" s="36" t="n"/>
      <c r="G280" s="31" t="n"/>
      <c r="H280" s="37">
        <f>IF(A280="","",(YEAR(A280)-YEAR(Config!$B$6))*12+MONTH(A280)-MONTH(Config!$B$6)+1)</f>
        <v/>
      </c>
      <c r="I280" s="19">
        <f>IF(AND(A280="",B280="",E280=""),"",IF(A280="","Falta data",IF(B280="","Falta categoria",IF(E280="","Falta valor",IF(C280="Categoria inválida","Categoria inválida",IF(OR(H280&lt;1,H280&gt;12),"Fora dos 12 meses","OK"))))))</f>
        <v/>
      </c>
    </row>
    <row r="281">
      <c r="A281" s="35" t="n"/>
      <c r="B281" s="31" t="n"/>
      <c r="C281" s="19">
        <f>IF(B281="","",IF(COUNTIF(Config!$D$6:$D$15,B281)&gt;0,"Entrada",IF(COUNTIF(Config!$F$6:$F$25,B281)&gt;0,"Saída","Categoria inválida")))</f>
        <v/>
      </c>
      <c r="D281" s="31" t="n"/>
      <c r="E281" s="33" t="n"/>
      <c r="F281" s="36" t="n"/>
      <c r="G281" s="31" t="n"/>
      <c r="H281" s="37">
        <f>IF(A281="","",(YEAR(A281)-YEAR(Config!$B$6))*12+MONTH(A281)-MONTH(Config!$B$6)+1)</f>
        <v/>
      </c>
      <c r="I281" s="19">
        <f>IF(AND(A281="",B281="",E281=""),"",IF(A281="","Falta data",IF(B281="","Falta categoria",IF(E281="","Falta valor",IF(C281="Categoria inválida","Categoria inválida",IF(OR(H281&lt;1,H281&gt;12),"Fora dos 12 meses","OK"))))))</f>
        <v/>
      </c>
    </row>
    <row r="282">
      <c r="A282" s="35" t="n"/>
      <c r="B282" s="31" t="n"/>
      <c r="C282" s="19">
        <f>IF(B282="","",IF(COUNTIF(Config!$D$6:$D$15,B282)&gt;0,"Entrada",IF(COUNTIF(Config!$F$6:$F$25,B282)&gt;0,"Saída","Categoria inválida")))</f>
        <v/>
      </c>
      <c r="D282" s="31" t="n"/>
      <c r="E282" s="33" t="n"/>
      <c r="F282" s="36" t="n"/>
      <c r="G282" s="31" t="n"/>
      <c r="H282" s="37">
        <f>IF(A282="","",(YEAR(A282)-YEAR(Config!$B$6))*12+MONTH(A282)-MONTH(Config!$B$6)+1)</f>
        <v/>
      </c>
      <c r="I282" s="19">
        <f>IF(AND(A282="",B282="",E282=""),"",IF(A282="","Falta data",IF(B282="","Falta categoria",IF(E282="","Falta valor",IF(C282="Categoria inválida","Categoria inválida",IF(OR(H282&lt;1,H282&gt;12),"Fora dos 12 meses","OK"))))))</f>
        <v/>
      </c>
    </row>
    <row r="283">
      <c r="A283" s="35" t="n"/>
      <c r="B283" s="31" t="n"/>
      <c r="C283" s="19">
        <f>IF(B283="","",IF(COUNTIF(Config!$D$6:$D$15,B283)&gt;0,"Entrada",IF(COUNTIF(Config!$F$6:$F$25,B283)&gt;0,"Saída","Categoria inválida")))</f>
        <v/>
      </c>
      <c r="D283" s="31" t="n"/>
      <c r="E283" s="33" t="n"/>
      <c r="F283" s="36" t="n"/>
      <c r="G283" s="31" t="n"/>
      <c r="H283" s="37">
        <f>IF(A283="","",(YEAR(A283)-YEAR(Config!$B$6))*12+MONTH(A283)-MONTH(Config!$B$6)+1)</f>
        <v/>
      </c>
      <c r="I283" s="19">
        <f>IF(AND(A283="",B283="",E283=""),"",IF(A283="","Falta data",IF(B283="","Falta categoria",IF(E283="","Falta valor",IF(C283="Categoria inválida","Categoria inválida",IF(OR(H283&lt;1,H283&gt;12),"Fora dos 12 meses","OK"))))))</f>
        <v/>
      </c>
    </row>
    <row r="284">
      <c r="A284" s="35" t="n"/>
      <c r="B284" s="31" t="n"/>
      <c r="C284" s="19">
        <f>IF(B284="","",IF(COUNTIF(Config!$D$6:$D$15,B284)&gt;0,"Entrada",IF(COUNTIF(Config!$F$6:$F$25,B284)&gt;0,"Saída","Categoria inválida")))</f>
        <v/>
      </c>
      <c r="D284" s="31" t="n"/>
      <c r="E284" s="33" t="n"/>
      <c r="F284" s="36" t="n"/>
      <c r="G284" s="31" t="n"/>
      <c r="H284" s="37">
        <f>IF(A284="","",(YEAR(A284)-YEAR(Config!$B$6))*12+MONTH(A284)-MONTH(Config!$B$6)+1)</f>
        <v/>
      </c>
      <c r="I284" s="19">
        <f>IF(AND(A284="",B284="",E284=""),"",IF(A284="","Falta data",IF(B284="","Falta categoria",IF(E284="","Falta valor",IF(C284="Categoria inválida","Categoria inválida",IF(OR(H284&lt;1,H284&gt;12),"Fora dos 12 meses","OK"))))))</f>
        <v/>
      </c>
    </row>
    <row r="285">
      <c r="A285" s="35" t="n"/>
      <c r="B285" s="31" t="n"/>
      <c r="C285" s="19">
        <f>IF(B285="","",IF(COUNTIF(Config!$D$6:$D$15,B285)&gt;0,"Entrada",IF(COUNTIF(Config!$F$6:$F$25,B285)&gt;0,"Saída","Categoria inválida")))</f>
        <v/>
      </c>
      <c r="D285" s="31" t="n"/>
      <c r="E285" s="33" t="n"/>
      <c r="F285" s="36" t="n"/>
      <c r="G285" s="31" t="n"/>
      <c r="H285" s="37">
        <f>IF(A285="","",(YEAR(A285)-YEAR(Config!$B$6))*12+MONTH(A285)-MONTH(Config!$B$6)+1)</f>
        <v/>
      </c>
      <c r="I285" s="19">
        <f>IF(AND(A285="",B285="",E285=""),"",IF(A285="","Falta data",IF(B285="","Falta categoria",IF(E285="","Falta valor",IF(C285="Categoria inválida","Categoria inválida",IF(OR(H285&lt;1,H285&gt;12),"Fora dos 12 meses","OK"))))))</f>
        <v/>
      </c>
    </row>
    <row r="286">
      <c r="A286" s="35" t="n"/>
      <c r="B286" s="31" t="n"/>
      <c r="C286" s="19">
        <f>IF(B286="","",IF(COUNTIF(Config!$D$6:$D$15,B286)&gt;0,"Entrada",IF(COUNTIF(Config!$F$6:$F$25,B286)&gt;0,"Saída","Categoria inválida")))</f>
        <v/>
      </c>
      <c r="D286" s="31" t="n"/>
      <c r="E286" s="33" t="n"/>
      <c r="F286" s="36" t="n"/>
      <c r="G286" s="31" t="n"/>
      <c r="H286" s="37">
        <f>IF(A286="","",(YEAR(A286)-YEAR(Config!$B$6))*12+MONTH(A286)-MONTH(Config!$B$6)+1)</f>
        <v/>
      </c>
      <c r="I286" s="19">
        <f>IF(AND(A286="",B286="",E286=""),"",IF(A286="","Falta data",IF(B286="","Falta categoria",IF(E286="","Falta valor",IF(C286="Categoria inválida","Categoria inválida",IF(OR(H286&lt;1,H286&gt;12),"Fora dos 12 meses","OK"))))))</f>
        <v/>
      </c>
    </row>
    <row r="287">
      <c r="A287" s="35" t="n"/>
      <c r="B287" s="31" t="n"/>
      <c r="C287" s="19">
        <f>IF(B287="","",IF(COUNTIF(Config!$D$6:$D$15,B287)&gt;0,"Entrada",IF(COUNTIF(Config!$F$6:$F$25,B287)&gt;0,"Saída","Categoria inválida")))</f>
        <v/>
      </c>
      <c r="D287" s="31" t="n"/>
      <c r="E287" s="33" t="n"/>
      <c r="F287" s="36" t="n"/>
      <c r="G287" s="31" t="n"/>
      <c r="H287" s="37">
        <f>IF(A287="","",(YEAR(A287)-YEAR(Config!$B$6))*12+MONTH(A287)-MONTH(Config!$B$6)+1)</f>
        <v/>
      </c>
      <c r="I287" s="19">
        <f>IF(AND(A287="",B287="",E287=""),"",IF(A287="","Falta data",IF(B287="","Falta categoria",IF(E287="","Falta valor",IF(C287="Categoria inválida","Categoria inválida",IF(OR(H287&lt;1,H287&gt;12),"Fora dos 12 meses","OK"))))))</f>
        <v/>
      </c>
    </row>
    <row r="288">
      <c r="A288" s="35" t="n"/>
      <c r="B288" s="31" t="n"/>
      <c r="C288" s="19">
        <f>IF(B288="","",IF(COUNTIF(Config!$D$6:$D$15,B288)&gt;0,"Entrada",IF(COUNTIF(Config!$F$6:$F$25,B288)&gt;0,"Saída","Categoria inválida")))</f>
        <v/>
      </c>
      <c r="D288" s="31" t="n"/>
      <c r="E288" s="33" t="n"/>
      <c r="F288" s="36" t="n"/>
      <c r="G288" s="31" t="n"/>
      <c r="H288" s="37">
        <f>IF(A288="","",(YEAR(A288)-YEAR(Config!$B$6))*12+MONTH(A288)-MONTH(Config!$B$6)+1)</f>
        <v/>
      </c>
      <c r="I288" s="19">
        <f>IF(AND(A288="",B288="",E288=""),"",IF(A288="","Falta data",IF(B288="","Falta categoria",IF(E288="","Falta valor",IF(C288="Categoria inválida","Categoria inválida",IF(OR(H288&lt;1,H288&gt;12),"Fora dos 12 meses","OK"))))))</f>
        <v/>
      </c>
    </row>
    <row r="289">
      <c r="A289" s="35" t="n"/>
      <c r="B289" s="31" t="n"/>
      <c r="C289" s="19">
        <f>IF(B289="","",IF(COUNTIF(Config!$D$6:$D$15,B289)&gt;0,"Entrada",IF(COUNTIF(Config!$F$6:$F$25,B289)&gt;0,"Saída","Categoria inválida")))</f>
        <v/>
      </c>
      <c r="D289" s="31" t="n"/>
      <c r="E289" s="33" t="n"/>
      <c r="F289" s="36" t="n"/>
      <c r="G289" s="31" t="n"/>
      <c r="H289" s="37">
        <f>IF(A289="","",(YEAR(A289)-YEAR(Config!$B$6))*12+MONTH(A289)-MONTH(Config!$B$6)+1)</f>
        <v/>
      </c>
      <c r="I289" s="19">
        <f>IF(AND(A289="",B289="",E289=""),"",IF(A289="","Falta data",IF(B289="","Falta categoria",IF(E289="","Falta valor",IF(C289="Categoria inválida","Categoria inválida",IF(OR(H289&lt;1,H289&gt;12),"Fora dos 12 meses","OK"))))))</f>
        <v/>
      </c>
    </row>
    <row r="290">
      <c r="A290" s="35" t="n"/>
      <c r="B290" s="31" t="n"/>
      <c r="C290" s="19">
        <f>IF(B290="","",IF(COUNTIF(Config!$D$6:$D$15,B290)&gt;0,"Entrada",IF(COUNTIF(Config!$F$6:$F$25,B290)&gt;0,"Saída","Categoria inválida")))</f>
        <v/>
      </c>
      <c r="D290" s="31" t="n"/>
      <c r="E290" s="33" t="n"/>
      <c r="F290" s="36" t="n"/>
      <c r="G290" s="31" t="n"/>
      <c r="H290" s="37">
        <f>IF(A290="","",(YEAR(A290)-YEAR(Config!$B$6))*12+MONTH(A290)-MONTH(Config!$B$6)+1)</f>
        <v/>
      </c>
      <c r="I290" s="19">
        <f>IF(AND(A290="",B290="",E290=""),"",IF(A290="","Falta data",IF(B290="","Falta categoria",IF(E290="","Falta valor",IF(C290="Categoria inválida","Categoria inválida",IF(OR(H290&lt;1,H290&gt;12),"Fora dos 12 meses","OK"))))))</f>
        <v/>
      </c>
    </row>
    <row r="291">
      <c r="A291" s="35" t="n"/>
      <c r="B291" s="31" t="n"/>
      <c r="C291" s="19">
        <f>IF(B291="","",IF(COUNTIF(Config!$D$6:$D$15,B291)&gt;0,"Entrada",IF(COUNTIF(Config!$F$6:$F$25,B291)&gt;0,"Saída","Categoria inválida")))</f>
        <v/>
      </c>
      <c r="D291" s="31" t="n"/>
      <c r="E291" s="33" t="n"/>
      <c r="F291" s="36" t="n"/>
      <c r="G291" s="31" t="n"/>
      <c r="H291" s="37">
        <f>IF(A291="","",(YEAR(A291)-YEAR(Config!$B$6))*12+MONTH(A291)-MONTH(Config!$B$6)+1)</f>
        <v/>
      </c>
      <c r="I291" s="19">
        <f>IF(AND(A291="",B291="",E291=""),"",IF(A291="","Falta data",IF(B291="","Falta categoria",IF(E291="","Falta valor",IF(C291="Categoria inválida","Categoria inválida",IF(OR(H291&lt;1,H291&gt;12),"Fora dos 12 meses","OK"))))))</f>
        <v/>
      </c>
    </row>
    <row r="292">
      <c r="A292" s="35" t="n"/>
      <c r="B292" s="31" t="n"/>
      <c r="C292" s="19">
        <f>IF(B292="","",IF(COUNTIF(Config!$D$6:$D$15,B292)&gt;0,"Entrada",IF(COUNTIF(Config!$F$6:$F$25,B292)&gt;0,"Saída","Categoria inválida")))</f>
        <v/>
      </c>
      <c r="D292" s="31" t="n"/>
      <c r="E292" s="33" t="n"/>
      <c r="F292" s="36" t="n"/>
      <c r="G292" s="31" t="n"/>
      <c r="H292" s="37">
        <f>IF(A292="","",(YEAR(A292)-YEAR(Config!$B$6))*12+MONTH(A292)-MONTH(Config!$B$6)+1)</f>
        <v/>
      </c>
      <c r="I292" s="19">
        <f>IF(AND(A292="",B292="",E292=""),"",IF(A292="","Falta data",IF(B292="","Falta categoria",IF(E292="","Falta valor",IF(C292="Categoria inválida","Categoria inválida",IF(OR(H292&lt;1,H292&gt;12),"Fora dos 12 meses","OK"))))))</f>
        <v/>
      </c>
    </row>
    <row r="293">
      <c r="A293" s="35" t="n"/>
      <c r="B293" s="31" t="n"/>
      <c r="C293" s="19">
        <f>IF(B293="","",IF(COUNTIF(Config!$D$6:$D$15,B293)&gt;0,"Entrada",IF(COUNTIF(Config!$F$6:$F$25,B293)&gt;0,"Saída","Categoria inválida")))</f>
        <v/>
      </c>
      <c r="D293" s="31" t="n"/>
      <c r="E293" s="33" t="n"/>
      <c r="F293" s="36" t="n"/>
      <c r="G293" s="31" t="n"/>
      <c r="H293" s="37">
        <f>IF(A293="","",(YEAR(A293)-YEAR(Config!$B$6))*12+MONTH(A293)-MONTH(Config!$B$6)+1)</f>
        <v/>
      </c>
      <c r="I293" s="19">
        <f>IF(AND(A293="",B293="",E293=""),"",IF(A293="","Falta data",IF(B293="","Falta categoria",IF(E293="","Falta valor",IF(C293="Categoria inválida","Categoria inválida",IF(OR(H293&lt;1,H293&gt;12),"Fora dos 12 meses","OK"))))))</f>
        <v/>
      </c>
    </row>
    <row r="294">
      <c r="A294" s="35" t="n"/>
      <c r="B294" s="31" t="n"/>
      <c r="C294" s="19">
        <f>IF(B294="","",IF(COUNTIF(Config!$D$6:$D$15,B294)&gt;0,"Entrada",IF(COUNTIF(Config!$F$6:$F$25,B294)&gt;0,"Saída","Categoria inválida")))</f>
        <v/>
      </c>
      <c r="D294" s="31" t="n"/>
      <c r="E294" s="33" t="n"/>
      <c r="F294" s="36" t="n"/>
      <c r="G294" s="31" t="n"/>
      <c r="H294" s="37">
        <f>IF(A294="","",(YEAR(A294)-YEAR(Config!$B$6))*12+MONTH(A294)-MONTH(Config!$B$6)+1)</f>
        <v/>
      </c>
      <c r="I294" s="19">
        <f>IF(AND(A294="",B294="",E294=""),"",IF(A294="","Falta data",IF(B294="","Falta categoria",IF(E294="","Falta valor",IF(C294="Categoria inválida","Categoria inválida",IF(OR(H294&lt;1,H294&gt;12),"Fora dos 12 meses","OK"))))))</f>
        <v/>
      </c>
    </row>
    <row r="295">
      <c r="A295" s="35" t="n"/>
      <c r="B295" s="31" t="n"/>
      <c r="C295" s="19">
        <f>IF(B295="","",IF(COUNTIF(Config!$D$6:$D$15,B295)&gt;0,"Entrada",IF(COUNTIF(Config!$F$6:$F$25,B295)&gt;0,"Saída","Categoria inválida")))</f>
        <v/>
      </c>
      <c r="D295" s="31" t="n"/>
      <c r="E295" s="33" t="n"/>
      <c r="F295" s="36" t="n"/>
      <c r="G295" s="31" t="n"/>
      <c r="H295" s="37">
        <f>IF(A295="","",(YEAR(A295)-YEAR(Config!$B$6))*12+MONTH(A295)-MONTH(Config!$B$6)+1)</f>
        <v/>
      </c>
      <c r="I295" s="19">
        <f>IF(AND(A295="",B295="",E295=""),"",IF(A295="","Falta data",IF(B295="","Falta categoria",IF(E295="","Falta valor",IF(C295="Categoria inválida","Categoria inválida",IF(OR(H295&lt;1,H295&gt;12),"Fora dos 12 meses","OK"))))))</f>
        <v/>
      </c>
    </row>
    <row r="296">
      <c r="A296" s="35" t="n"/>
      <c r="B296" s="31" t="n"/>
      <c r="C296" s="19">
        <f>IF(B296="","",IF(COUNTIF(Config!$D$6:$D$15,B296)&gt;0,"Entrada",IF(COUNTIF(Config!$F$6:$F$25,B296)&gt;0,"Saída","Categoria inválida")))</f>
        <v/>
      </c>
      <c r="D296" s="31" t="n"/>
      <c r="E296" s="33" t="n"/>
      <c r="F296" s="36" t="n"/>
      <c r="G296" s="31" t="n"/>
      <c r="H296" s="37">
        <f>IF(A296="","",(YEAR(A296)-YEAR(Config!$B$6))*12+MONTH(A296)-MONTH(Config!$B$6)+1)</f>
        <v/>
      </c>
      <c r="I296" s="19">
        <f>IF(AND(A296="",B296="",E296=""),"",IF(A296="","Falta data",IF(B296="","Falta categoria",IF(E296="","Falta valor",IF(C296="Categoria inválida","Categoria inválida",IF(OR(H296&lt;1,H296&gt;12),"Fora dos 12 meses","OK"))))))</f>
        <v/>
      </c>
    </row>
    <row r="297">
      <c r="A297" s="35" t="n"/>
      <c r="B297" s="31" t="n"/>
      <c r="C297" s="19">
        <f>IF(B297="","",IF(COUNTIF(Config!$D$6:$D$15,B297)&gt;0,"Entrada",IF(COUNTIF(Config!$F$6:$F$25,B297)&gt;0,"Saída","Categoria inválida")))</f>
        <v/>
      </c>
      <c r="D297" s="31" t="n"/>
      <c r="E297" s="33" t="n"/>
      <c r="F297" s="36" t="n"/>
      <c r="G297" s="31" t="n"/>
      <c r="H297" s="37">
        <f>IF(A297="","",(YEAR(A297)-YEAR(Config!$B$6))*12+MONTH(A297)-MONTH(Config!$B$6)+1)</f>
        <v/>
      </c>
      <c r="I297" s="19">
        <f>IF(AND(A297="",B297="",E297=""),"",IF(A297="","Falta data",IF(B297="","Falta categoria",IF(E297="","Falta valor",IF(C297="Categoria inválida","Categoria inválida",IF(OR(H297&lt;1,H297&gt;12),"Fora dos 12 meses","OK"))))))</f>
        <v/>
      </c>
    </row>
    <row r="298">
      <c r="A298" s="35" t="n"/>
      <c r="B298" s="31" t="n"/>
      <c r="C298" s="19">
        <f>IF(B298="","",IF(COUNTIF(Config!$D$6:$D$15,B298)&gt;0,"Entrada",IF(COUNTIF(Config!$F$6:$F$25,B298)&gt;0,"Saída","Categoria inválida")))</f>
        <v/>
      </c>
      <c r="D298" s="31" t="n"/>
      <c r="E298" s="33" t="n"/>
      <c r="F298" s="36" t="n"/>
      <c r="G298" s="31" t="n"/>
      <c r="H298" s="37">
        <f>IF(A298="","",(YEAR(A298)-YEAR(Config!$B$6))*12+MONTH(A298)-MONTH(Config!$B$6)+1)</f>
        <v/>
      </c>
      <c r="I298" s="19">
        <f>IF(AND(A298="",B298="",E298=""),"",IF(A298="","Falta data",IF(B298="","Falta categoria",IF(E298="","Falta valor",IF(C298="Categoria inválida","Categoria inválida",IF(OR(H298&lt;1,H298&gt;12),"Fora dos 12 meses","OK"))))))</f>
        <v/>
      </c>
    </row>
    <row r="299">
      <c r="A299" s="35" t="n"/>
      <c r="B299" s="31" t="n"/>
      <c r="C299" s="19">
        <f>IF(B299="","",IF(COUNTIF(Config!$D$6:$D$15,B299)&gt;0,"Entrada",IF(COUNTIF(Config!$F$6:$F$25,B299)&gt;0,"Saída","Categoria inválida")))</f>
        <v/>
      </c>
      <c r="D299" s="31" t="n"/>
      <c r="E299" s="33" t="n"/>
      <c r="F299" s="36" t="n"/>
      <c r="G299" s="31" t="n"/>
      <c r="H299" s="37">
        <f>IF(A299="","",(YEAR(A299)-YEAR(Config!$B$6))*12+MONTH(A299)-MONTH(Config!$B$6)+1)</f>
        <v/>
      </c>
      <c r="I299" s="19">
        <f>IF(AND(A299="",B299="",E299=""),"",IF(A299="","Falta data",IF(B299="","Falta categoria",IF(E299="","Falta valor",IF(C299="Categoria inválida","Categoria inválida",IF(OR(H299&lt;1,H299&gt;12),"Fora dos 12 meses","OK"))))))</f>
        <v/>
      </c>
    </row>
    <row r="300">
      <c r="A300" s="35" t="n"/>
      <c r="B300" s="31" t="n"/>
      <c r="C300" s="19">
        <f>IF(B300="","",IF(COUNTIF(Config!$D$6:$D$15,B300)&gt;0,"Entrada",IF(COUNTIF(Config!$F$6:$F$25,B300)&gt;0,"Saída","Categoria inválida")))</f>
        <v/>
      </c>
      <c r="D300" s="31" t="n"/>
      <c r="E300" s="33" t="n"/>
      <c r="F300" s="36" t="n"/>
      <c r="G300" s="31" t="n"/>
      <c r="H300" s="37">
        <f>IF(A300="","",(YEAR(A300)-YEAR(Config!$B$6))*12+MONTH(A300)-MONTH(Config!$B$6)+1)</f>
        <v/>
      </c>
      <c r="I300" s="19">
        <f>IF(AND(A300="",B300="",E300=""),"",IF(A300="","Falta data",IF(B300="","Falta categoria",IF(E300="","Falta valor",IF(C300="Categoria inválida","Categoria inválida",IF(OR(H300&lt;1,H300&gt;12),"Fora dos 12 meses","OK"))))))</f>
        <v/>
      </c>
    </row>
    <row r="301">
      <c r="A301" s="35" t="n"/>
      <c r="B301" s="31" t="n"/>
      <c r="C301" s="19">
        <f>IF(B301="","",IF(COUNTIF(Config!$D$6:$D$15,B301)&gt;0,"Entrada",IF(COUNTIF(Config!$F$6:$F$25,B301)&gt;0,"Saída","Categoria inválida")))</f>
        <v/>
      </c>
      <c r="D301" s="31" t="n"/>
      <c r="E301" s="33" t="n"/>
      <c r="F301" s="36" t="n"/>
      <c r="G301" s="31" t="n"/>
      <c r="H301" s="37">
        <f>IF(A301="","",(YEAR(A301)-YEAR(Config!$B$6))*12+MONTH(A301)-MONTH(Config!$B$6)+1)</f>
        <v/>
      </c>
      <c r="I301" s="19">
        <f>IF(AND(A301="",B301="",E301=""),"",IF(A301="","Falta data",IF(B301="","Falta categoria",IF(E301="","Falta valor",IF(C301="Categoria inválida","Categoria inválida",IF(OR(H301&lt;1,H301&gt;12),"Fora dos 12 meses","OK"))))))</f>
        <v/>
      </c>
    </row>
    <row r="302">
      <c r="A302" s="35" t="n"/>
      <c r="B302" s="31" t="n"/>
      <c r="C302" s="19">
        <f>IF(B302="","",IF(COUNTIF(Config!$D$6:$D$15,B302)&gt;0,"Entrada",IF(COUNTIF(Config!$F$6:$F$25,B302)&gt;0,"Saída","Categoria inválida")))</f>
        <v/>
      </c>
      <c r="D302" s="31" t="n"/>
      <c r="E302" s="33" t="n"/>
      <c r="F302" s="36" t="n"/>
      <c r="G302" s="31" t="n"/>
      <c r="H302" s="37">
        <f>IF(A302="","",(YEAR(A302)-YEAR(Config!$B$6))*12+MONTH(A302)-MONTH(Config!$B$6)+1)</f>
        <v/>
      </c>
      <c r="I302" s="19">
        <f>IF(AND(A302="",B302="",E302=""),"",IF(A302="","Falta data",IF(B302="","Falta categoria",IF(E302="","Falta valor",IF(C302="Categoria inválida","Categoria inválida",IF(OR(H302&lt;1,H302&gt;12),"Fora dos 12 meses","OK"))))))</f>
        <v/>
      </c>
    </row>
    <row r="303">
      <c r="A303" s="35" t="n"/>
      <c r="B303" s="31" t="n"/>
      <c r="C303" s="19">
        <f>IF(B303="","",IF(COUNTIF(Config!$D$6:$D$15,B303)&gt;0,"Entrada",IF(COUNTIF(Config!$F$6:$F$25,B303)&gt;0,"Saída","Categoria inválida")))</f>
        <v/>
      </c>
      <c r="D303" s="31" t="n"/>
      <c r="E303" s="33" t="n"/>
      <c r="F303" s="36" t="n"/>
      <c r="G303" s="31" t="n"/>
      <c r="H303" s="37">
        <f>IF(A303="","",(YEAR(A303)-YEAR(Config!$B$6))*12+MONTH(A303)-MONTH(Config!$B$6)+1)</f>
        <v/>
      </c>
      <c r="I303" s="19">
        <f>IF(AND(A303="",B303="",E303=""),"",IF(A303="","Falta data",IF(B303="","Falta categoria",IF(E303="","Falta valor",IF(C303="Categoria inválida","Categoria inválida",IF(OR(H303&lt;1,H303&gt;12),"Fora dos 12 meses","OK"))))))</f>
        <v/>
      </c>
    </row>
    <row r="304">
      <c r="A304" s="35" t="n"/>
      <c r="B304" s="31" t="n"/>
      <c r="C304" s="19">
        <f>IF(B304="","",IF(COUNTIF(Config!$D$6:$D$15,B304)&gt;0,"Entrada",IF(COUNTIF(Config!$F$6:$F$25,B304)&gt;0,"Saída","Categoria inválida")))</f>
        <v/>
      </c>
      <c r="D304" s="31" t="n"/>
      <c r="E304" s="33" t="n"/>
      <c r="F304" s="36" t="n"/>
      <c r="G304" s="31" t="n"/>
      <c r="H304" s="37">
        <f>IF(A304="","",(YEAR(A304)-YEAR(Config!$B$6))*12+MONTH(A304)-MONTH(Config!$B$6)+1)</f>
        <v/>
      </c>
      <c r="I304" s="19">
        <f>IF(AND(A304="",B304="",E304=""),"",IF(A304="","Falta data",IF(B304="","Falta categoria",IF(E304="","Falta valor",IF(C304="Categoria inválida","Categoria inválida",IF(OR(H304&lt;1,H304&gt;12),"Fora dos 12 meses","OK"))))))</f>
        <v/>
      </c>
    </row>
    <row r="305">
      <c r="A305" s="35" t="n"/>
      <c r="B305" s="31" t="n"/>
      <c r="C305" s="19">
        <f>IF(B305="","",IF(COUNTIF(Config!$D$6:$D$15,B305)&gt;0,"Entrada",IF(COUNTIF(Config!$F$6:$F$25,B305)&gt;0,"Saída","Categoria inválida")))</f>
        <v/>
      </c>
      <c r="D305" s="31" t="n"/>
      <c r="E305" s="33" t="n"/>
      <c r="F305" s="36" t="n"/>
      <c r="G305" s="31" t="n"/>
      <c r="H305" s="37">
        <f>IF(A305="","",(YEAR(A305)-YEAR(Config!$B$6))*12+MONTH(A305)-MONTH(Config!$B$6)+1)</f>
        <v/>
      </c>
      <c r="I305" s="19">
        <f>IF(AND(A305="",B305="",E305=""),"",IF(A305="","Falta data",IF(B305="","Falta categoria",IF(E305="","Falta valor",IF(C305="Categoria inválida","Categoria inválida",IF(OR(H305&lt;1,H305&gt;12),"Fora dos 12 meses","OK"))))))</f>
        <v/>
      </c>
    </row>
    <row r="306">
      <c r="A306" s="35" t="n"/>
      <c r="B306" s="31" t="n"/>
      <c r="C306" s="19">
        <f>IF(B306="","",IF(COUNTIF(Config!$D$6:$D$15,B306)&gt;0,"Entrada",IF(COUNTIF(Config!$F$6:$F$25,B306)&gt;0,"Saída","Categoria inválida")))</f>
        <v/>
      </c>
      <c r="D306" s="31" t="n"/>
      <c r="E306" s="33" t="n"/>
      <c r="F306" s="36" t="n"/>
      <c r="G306" s="31" t="n"/>
      <c r="H306" s="37">
        <f>IF(A306="","",(YEAR(A306)-YEAR(Config!$B$6))*12+MONTH(A306)-MONTH(Config!$B$6)+1)</f>
        <v/>
      </c>
      <c r="I306" s="19">
        <f>IF(AND(A306="",B306="",E306=""),"",IF(A306="","Falta data",IF(B306="","Falta categoria",IF(E306="","Falta valor",IF(C306="Categoria inválida","Categoria inválida",IF(OR(H306&lt;1,H306&gt;12),"Fora dos 12 meses","OK"))))))</f>
        <v/>
      </c>
    </row>
    <row r="307">
      <c r="A307" s="35" t="n"/>
      <c r="B307" s="31" t="n"/>
      <c r="C307" s="19">
        <f>IF(B307="","",IF(COUNTIF(Config!$D$6:$D$15,B307)&gt;0,"Entrada",IF(COUNTIF(Config!$F$6:$F$25,B307)&gt;0,"Saída","Categoria inválida")))</f>
        <v/>
      </c>
      <c r="D307" s="31" t="n"/>
      <c r="E307" s="33" t="n"/>
      <c r="F307" s="36" t="n"/>
      <c r="G307" s="31" t="n"/>
      <c r="H307" s="37">
        <f>IF(A307="","",(YEAR(A307)-YEAR(Config!$B$6))*12+MONTH(A307)-MONTH(Config!$B$6)+1)</f>
        <v/>
      </c>
      <c r="I307" s="19">
        <f>IF(AND(A307="",B307="",E307=""),"",IF(A307="","Falta data",IF(B307="","Falta categoria",IF(E307="","Falta valor",IF(C307="Categoria inválida","Categoria inválida",IF(OR(H307&lt;1,H307&gt;12),"Fora dos 12 meses","OK"))))))</f>
        <v/>
      </c>
    </row>
    <row r="308">
      <c r="A308" s="35" t="n"/>
      <c r="B308" s="31" t="n"/>
      <c r="C308" s="19">
        <f>IF(B308="","",IF(COUNTIF(Config!$D$6:$D$15,B308)&gt;0,"Entrada",IF(COUNTIF(Config!$F$6:$F$25,B308)&gt;0,"Saída","Categoria inválida")))</f>
        <v/>
      </c>
      <c r="D308" s="31" t="n"/>
      <c r="E308" s="33" t="n"/>
      <c r="F308" s="36" t="n"/>
      <c r="G308" s="31" t="n"/>
      <c r="H308" s="37">
        <f>IF(A308="","",(YEAR(A308)-YEAR(Config!$B$6))*12+MONTH(A308)-MONTH(Config!$B$6)+1)</f>
        <v/>
      </c>
      <c r="I308" s="19">
        <f>IF(AND(A308="",B308="",E308=""),"",IF(A308="","Falta data",IF(B308="","Falta categoria",IF(E308="","Falta valor",IF(C308="Categoria inválida","Categoria inválida",IF(OR(H308&lt;1,H308&gt;12),"Fora dos 12 meses","OK"))))))</f>
        <v/>
      </c>
    </row>
    <row r="309">
      <c r="A309" s="35" t="n"/>
      <c r="B309" s="31" t="n"/>
      <c r="C309" s="19">
        <f>IF(B309="","",IF(COUNTIF(Config!$D$6:$D$15,B309)&gt;0,"Entrada",IF(COUNTIF(Config!$F$6:$F$25,B309)&gt;0,"Saída","Categoria inválida")))</f>
        <v/>
      </c>
      <c r="D309" s="31" t="n"/>
      <c r="E309" s="33" t="n"/>
      <c r="F309" s="36" t="n"/>
      <c r="G309" s="31" t="n"/>
      <c r="H309" s="37">
        <f>IF(A309="","",(YEAR(A309)-YEAR(Config!$B$6))*12+MONTH(A309)-MONTH(Config!$B$6)+1)</f>
        <v/>
      </c>
      <c r="I309" s="19">
        <f>IF(AND(A309="",B309="",E309=""),"",IF(A309="","Falta data",IF(B309="","Falta categoria",IF(E309="","Falta valor",IF(C309="Categoria inválida","Categoria inválida",IF(OR(H309&lt;1,H309&gt;12),"Fora dos 12 meses","OK"))))))</f>
        <v/>
      </c>
    </row>
    <row r="310">
      <c r="A310" s="35" t="n"/>
      <c r="B310" s="31" t="n"/>
      <c r="C310" s="19">
        <f>IF(B310="","",IF(COUNTIF(Config!$D$6:$D$15,B310)&gt;0,"Entrada",IF(COUNTIF(Config!$F$6:$F$25,B310)&gt;0,"Saída","Categoria inválida")))</f>
        <v/>
      </c>
      <c r="D310" s="31" t="n"/>
      <c r="E310" s="33" t="n"/>
      <c r="F310" s="36" t="n"/>
      <c r="G310" s="31" t="n"/>
      <c r="H310" s="37">
        <f>IF(A310="","",(YEAR(A310)-YEAR(Config!$B$6))*12+MONTH(A310)-MONTH(Config!$B$6)+1)</f>
        <v/>
      </c>
      <c r="I310" s="19">
        <f>IF(AND(A310="",B310="",E310=""),"",IF(A310="","Falta data",IF(B310="","Falta categoria",IF(E310="","Falta valor",IF(C310="Categoria inválida","Categoria inválida",IF(OR(H310&lt;1,H310&gt;12),"Fora dos 12 meses","OK"))))))</f>
        <v/>
      </c>
    </row>
    <row r="311">
      <c r="A311" s="35" t="n"/>
      <c r="B311" s="31" t="n"/>
      <c r="C311" s="19">
        <f>IF(B311="","",IF(COUNTIF(Config!$D$6:$D$15,B311)&gt;0,"Entrada",IF(COUNTIF(Config!$F$6:$F$25,B311)&gt;0,"Saída","Categoria inválida")))</f>
        <v/>
      </c>
      <c r="D311" s="31" t="n"/>
      <c r="E311" s="33" t="n"/>
      <c r="F311" s="36" t="n"/>
      <c r="G311" s="31" t="n"/>
      <c r="H311" s="37">
        <f>IF(A311="","",(YEAR(A311)-YEAR(Config!$B$6))*12+MONTH(A311)-MONTH(Config!$B$6)+1)</f>
        <v/>
      </c>
      <c r="I311" s="19">
        <f>IF(AND(A311="",B311="",E311=""),"",IF(A311="","Falta data",IF(B311="","Falta categoria",IF(E311="","Falta valor",IF(C311="Categoria inválida","Categoria inválida",IF(OR(H311&lt;1,H311&gt;12),"Fora dos 12 meses","OK"))))))</f>
        <v/>
      </c>
    </row>
    <row r="312">
      <c r="A312" s="35" t="n"/>
      <c r="B312" s="31" t="n"/>
      <c r="C312" s="19">
        <f>IF(B312="","",IF(COUNTIF(Config!$D$6:$D$15,B312)&gt;0,"Entrada",IF(COUNTIF(Config!$F$6:$F$25,B312)&gt;0,"Saída","Categoria inválida")))</f>
        <v/>
      </c>
      <c r="D312" s="31" t="n"/>
      <c r="E312" s="33" t="n"/>
      <c r="F312" s="36" t="n"/>
      <c r="G312" s="31" t="n"/>
      <c r="H312" s="37">
        <f>IF(A312="","",(YEAR(A312)-YEAR(Config!$B$6))*12+MONTH(A312)-MONTH(Config!$B$6)+1)</f>
        <v/>
      </c>
      <c r="I312" s="19">
        <f>IF(AND(A312="",B312="",E312=""),"",IF(A312="","Falta data",IF(B312="","Falta categoria",IF(E312="","Falta valor",IF(C312="Categoria inválida","Categoria inválida",IF(OR(H312&lt;1,H312&gt;12),"Fora dos 12 meses","OK"))))))</f>
        <v/>
      </c>
    </row>
    <row r="313">
      <c r="A313" s="35" t="n"/>
      <c r="B313" s="31" t="n"/>
      <c r="C313" s="19">
        <f>IF(B313="","",IF(COUNTIF(Config!$D$6:$D$15,B313)&gt;0,"Entrada",IF(COUNTIF(Config!$F$6:$F$25,B313)&gt;0,"Saída","Categoria inválida")))</f>
        <v/>
      </c>
      <c r="D313" s="31" t="n"/>
      <c r="E313" s="33" t="n"/>
      <c r="F313" s="36" t="n"/>
      <c r="G313" s="31" t="n"/>
      <c r="H313" s="37">
        <f>IF(A313="","",(YEAR(A313)-YEAR(Config!$B$6))*12+MONTH(A313)-MONTH(Config!$B$6)+1)</f>
        <v/>
      </c>
      <c r="I313" s="19">
        <f>IF(AND(A313="",B313="",E313=""),"",IF(A313="","Falta data",IF(B313="","Falta categoria",IF(E313="","Falta valor",IF(C313="Categoria inválida","Categoria inválida",IF(OR(H313&lt;1,H313&gt;12),"Fora dos 12 meses","OK"))))))</f>
        <v/>
      </c>
    </row>
    <row r="314">
      <c r="A314" s="35" t="n"/>
      <c r="B314" s="31" t="n"/>
      <c r="C314" s="19">
        <f>IF(B314="","",IF(COUNTIF(Config!$D$6:$D$15,B314)&gt;0,"Entrada",IF(COUNTIF(Config!$F$6:$F$25,B314)&gt;0,"Saída","Categoria inválida")))</f>
        <v/>
      </c>
      <c r="D314" s="31" t="n"/>
      <c r="E314" s="33" t="n"/>
      <c r="F314" s="36" t="n"/>
      <c r="G314" s="31" t="n"/>
      <c r="H314" s="37">
        <f>IF(A314="","",(YEAR(A314)-YEAR(Config!$B$6))*12+MONTH(A314)-MONTH(Config!$B$6)+1)</f>
        <v/>
      </c>
      <c r="I314" s="19">
        <f>IF(AND(A314="",B314="",E314=""),"",IF(A314="","Falta data",IF(B314="","Falta categoria",IF(E314="","Falta valor",IF(C314="Categoria inválida","Categoria inválida",IF(OR(H314&lt;1,H314&gt;12),"Fora dos 12 meses","OK"))))))</f>
        <v/>
      </c>
    </row>
    <row r="315">
      <c r="A315" s="35" t="n"/>
      <c r="B315" s="31" t="n"/>
      <c r="C315" s="19">
        <f>IF(B315="","",IF(COUNTIF(Config!$D$6:$D$15,B315)&gt;0,"Entrada",IF(COUNTIF(Config!$F$6:$F$25,B315)&gt;0,"Saída","Categoria inválida")))</f>
        <v/>
      </c>
      <c r="D315" s="31" t="n"/>
      <c r="E315" s="33" t="n"/>
      <c r="F315" s="36" t="n"/>
      <c r="G315" s="31" t="n"/>
      <c r="H315" s="37">
        <f>IF(A315="","",(YEAR(A315)-YEAR(Config!$B$6))*12+MONTH(A315)-MONTH(Config!$B$6)+1)</f>
        <v/>
      </c>
      <c r="I315" s="19">
        <f>IF(AND(A315="",B315="",E315=""),"",IF(A315="","Falta data",IF(B315="","Falta categoria",IF(E315="","Falta valor",IF(C315="Categoria inválida","Categoria inválida",IF(OR(H315&lt;1,H315&gt;12),"Fora dos 12 meses","OK"))))))</f>
        <v/>
      </c>
    </row>
    <row r="316">
      <c r="A316" s="35" t="n"/>
      <c r="B316" s="31" t="n"/>
      <c r="C316" s="19">
        <f>IF(B316="","",IF(COUNTIF(Config!$D$6:$D$15,B316)&gt;0,"Entrada",IF(COUNTIF(Config!$F$6:$F$25,B316)&gt;0,"Saída","Categoria inválida")))</f>
        <v/>
      </c>
      <c r="D316" s="31" t="n"/>
      <c r="E316" s="33" t="n"/>
      <c r="F316" s="36" t="n"/>
      <c r="G316" s="31" t="n"/>
      <c r="H316" s="37">
        <f>IF(A316="","",(YEAR(A316)-YEAR(Config!$B$6))*12+MONTH(A316)-MONTH(Config!$B$6)+1)</f>
        <v/>
      </c>
      <c r="I316" s="19">
        <f>IF(AND(A316="",B316="",E316=""),"",IF(A316="","Falta data",IF(B316="","Falta categoria",IF(E316="","Falta valor",IF(C316="Categoria inválida","Categoria inválida",IF(OR(H316&lt;1,H316&gt;12),"Fora dos 12 meses","OK"))))))</f>
        <v/>
      </c>
    </row>
    <row r="317">
      <c r="A317" s="35" t="n"/>
      <c r="B317" s="31" t="n"/>
      <c r="C317" s="19">
        <f>IF(B317="","",IF(COUNTIF(Config!$D$6:$D$15,B317)&gt;0,"Entrada",IF(COUNTIF(Config!$F$6:$F$25,B317)&gt;0,"Saída","Categoria inválida")))</f>
        <v/>
      </c>
      <c r="D317" s="31" t="n"/>
      <c r="E317" s="33" t="n"/>
      <c r="F317" s="36" t="n"/>
      <c r="G317" s="31" t="n"/>
      <c r="H317" s="37">
        <f>IF(A317="","",(YEAR(A317)-YEAR(Config!$B$6))*12+MONTH(A317)-MONTH(Config!$B$6)+1)</f>
        <v/>
      </c>
      <c r="I317" s="19">
        <f>IF(AND(A317="",B317="",E317=""),"",IF(A317="","Falta data",IF(B317="","Falta categoria",IF(E317="","Falta valor",IF(C317="Categoria inválida","Categoria inválida",IF(OR(H317&lt;1,H317&gt;12),"Fora dos 12 meses","OK"))))))</f>
        <v/>
      </c>
    </row>
    <row r="318">
      <c r="A318" s="35" t="n"/>
      <c r="B318" s="31" t="n"/>
      <c r="C318" s="19">
        <f>IF(B318="","",IF(COUNTIF(Config!$D$6:$D$15,B318)&gt;0,"Entrada",IF(COUNTIF(Config!$F$6:$F$25,B318)&gt;0,"Saída","Categoria inválida")))</f>
        <v/>
      </c>
      <c r="D318" s="31" t="n"/>
      <c r="E318" s="33" t="n"/>
      <c r="F318" s="36" t="n"/>
      <c r="G318" s="31" t="n"/>
      <c r="H318" s="37">
        <f>IF(A318="","",(YEAR(A318)-YEAR(Config!$B$6))*12+MONTH(A318)-MONTH(Config!$B$6)+1)</f>
        <v/>
      </c>
      <c r="I318" s="19">
        <f>IF(AND(A318="",B318="",E318=""),"",IF(A318="","Falta data",IF(B318="","Falta categoria",IF(E318="","Falta valor",IF(C318="Categoria inválida","Categoria inválida",IF(OR(H318&lt;1,H318&gt;12),"Fora dos 12 meses","OK"))))))</f>
        <v/>
      </c>
    </row>
    <row r="319">
      <c r="A319" s="35" t="n"/>
      <c r="B319" s="31" t="n"/>
      <c r="C319" s="19">
        <f>IF(B319="","",IF(COUNTIF(Config!$D$6:$D$15,B319)&gt;0,"Entrada",IF(COUNTIF(Config!$F$6:$F$25,B319)&gt;0,"Saída","Categoria inválida")))</f>
        <v/>
      </c>
      <c r="D319" s="31" t="n"/>
      <c r="E319" s="33" t="n"/>
      <c r="F319" s="36" t="n"/>
      <c r="G319" s="31" t="n"/>
      <c r="H319" s="37">
        <f>IF(A319="","",(YEAR(A319)-YEAR(Config!$B$6))*12+MONTH(A319)-MONTH(Config!$B$6)+1)</f>
        <v/>
      </c>
      <c r="I319" s="19">
        <f>IF(AND(A319="",B319="",E319=""),"",IF(A319="","Falta data",IF(B319="","Falta categoria",IF(E319="","Falta valor",IF(C319="Categoria inválida","Categoria inválida",IF(OR(H319&lt;1,H319&gt;12),"Fora dos 12 meses","OK"))))))</f>
        <v/>
      </c>
    </row>
    <row r="320">
      <c r="A320" s="35" t="n"/>
      <c r="B320" s="31" t="n"/>
      <c r="C320" s="19">
        <f>IF(B320="","",IF(COUNTIF(Config!$D$6:$D$15,B320)&gt;0,"Entrada",IF(COUNTIF(Config!$F$6:$F$25,B320)&gt;0,"Saída","Categoria inválida")))</f>
        <v/>
      </c>
      <c r="D320" s="31" t="n"/>
      <c r="E320" s="33" t="n"/>
      <c r="F320" s="36" t="n"/>
      <c r="G320" s="31" t="n"/>
      <c r="H320" s="37">
        <f>IF(A320="","",(YEAR(A320)-YEAR(Config!$B$6))*12+MONTH(A320)-MONTH(Config!$B$6)+1)</f>
        <v/>
      </c>
      <c r="I320" s="19">
        <f>IF(AND(A320="",B320="",E320=""),"",IF(A320="","Falta data",IF(B320="","Falta categoria",IF(E320="","Falta valor",IF(C320="Categoria inválida","Categoria inválida",IF(OR(H320&lt;1,H320&gt;12),"Fora dos 12 meses","OK"))))))</f>
        <v/>
      </c>
    </row>
    <row r="321">
      <c r="A321" s="35" t="n"/>
      <c r="B321" s="31" t="n"/>
      <c r="C321" s="19">
        <f>IF(B321="","",IF(COUNTIF(Config!$D$6:$D$15,B321)&gt;0,"Entrada",IF(COUNTIF(Config!$F$6:$F$25,B321)&gt;0,"Saída","Categoria inválida")))</f>
        <v/>
      </c>
      <c r="D321" s="31" t="n"/>
      <c r="E321" s="33" t="n"/>
      <c r="F321" s="36" t="n"/>
      <c r="G321" s="31" t="n"/>
      <c r="H321" s="37">
        <f>IF(A321="","",(YEAR(A321)-YEAR(Config!$B$6))*12+MONTH(A321)-MONTH(Config!$B$6)+1)</f>
        <v/>
      </c>
      <c r="I321" s="19">
        <f>IF(AND(A321="",B321="",E321=""),"",IF(A321="","Falta data",IF(B321="","Falta categoria",IF(E321="","Falta valor",IF(C321="Categoria inválida","Categoria inválida",IF(OR(H321&lt;1,H321&gt;12),"Fora dos 12 meses","OK"))))))</f>
        <v/>
      </c>
    </row>
    <row r="322">
      <c r="A322" s="35" t="n"/>
      <c r="B322" s="31" t="n"/>
      <c r="C322" s="19">
        <f>IF(B322="","",IF(COUNTIF(Config!$D$6:$D$15,B322)&gt;0,"Entrada",IF(COUNTIF(Config!$F$6:$F$25,B322)&gt;0,"Saída","Categoria inválida")))</f>
        <v/>
      </c>
      <c r="D322" s="31" t="n"/>
      <c r="E322" s="33" t="n"/>
      <c r="F322" s="36" t="n"/>
      <c r="G322" s="31" t="n"/>
      <c r="H322" s="37">
        <f>IF(A322="","",(YEAR(A322)-YEAR(Config!$B$6))*12+MONTH(A322)-MONTH(Config!$B$6)+1)</f>
        <v/>
      </c>
      <c r="I322" s="19">
        <f>IF(AND(A322="",B322="",E322=""),"",IF(A322="","Falta data",IF(B322="","Falta categoria",IF(E322="","Falta valor",IF(C322="Categoria inválida","Categoria inválida",IF(OR(H322&lt;1,H322&gt;12),"Fora dos 12 meses","OK"))))))</f>
        <v/>
      </c>
    </row>
    <row r="323">
      <c r="A323" s="35" t="n"/>
      <c r="B323" s="31" t="n"/>
      <c r="C323" s="19">
        <f>IF(B323="","",IF(COUNTIF(Config!$D$6:$D$15,B323)&gt;0,"Entrada",IF(COUNTIF(Config!$F$6:$F$25,B323)&gt;0,"Saída","Categoria inválida")))</f>
        <v/>
      </c>
      <c r="D323" s="31" t="n"/>
      <c r="E323" s="33" t="n"/>
      <c r="F323" s="36" t="n"/>
      <c r="G323" s="31" t="n"/>
      <c r="H323" s="37">
        <f>IF(A323="","",(YEAR(A323)-YEAR(Config!$B$6))*12+MONTH(A323)-MONTH(Config!$B$6)+1)</f>
        <v/>
      </c>
      <c r="I323" s="19">
        <f>IF(AND(A323="",B323="",E323=""),"",IF(A323="","Falta data",IF(B323="","Falta categoria",IF(E323="","Falta valor",IF(C323="Categoria inválida","Categoria inválida",IF(OR(H323&lt;1,H323&gt;12),"Fora dos 12 meses","OK"))))))</f>
        <v/>
      </c>
    </row>
    <row r="324">
      <c r="A324" s="35" t="n"/>
      <c r="B324" s="31" t="n"/>
      <c r="C324" s="19">
        <f>IF(B324="","",IF(COUNTIF(Config!$D$6:$D$15,B324)&gt;0,"Entrada",IF(COUNTIF(Config!$F$6:$F$25,B324)&gt;0,"Saída","Categoria inválida")))</f>
        <v/>
      </c>
      <c r="D324" s="31" t="n"/>
      <c r="E324" s="33" t="n"/>
      <c r="F324" s="36" t="n"/>
      <c r="G324" s="31" t="n"/>
      <c r="H324" s="37">
        <f>IF(A324="","",(YEAR(A324)-YEAR(Config!$B$6))*12+MONTH(A324)-MONTH(Config!$B$6)+1)</f>
        <v/>
      </c>
      <c r="I324" s="19">
        <f>IF(AND(A324="",B324="",E324=""),"",IF(A324="","Falta data",IF(B324="","Falta categoria",IF(E324="","Falta valor",IF(C324="Categoria inválida","Categoria inválida",IF(OR(H324&lt;1,H324&gt;12),"Fora dos 12 meses","OK"))))))</f>
        <v/>
      </c>
    </row>
    <row r="325">
      <c r="A325" s="35" t="n"/>
      <c r="B325" s="31" t="n"/>
      <c r="C325" s="19">
        <f>IF(B325="","",IF(COUNTIF(Config!$D$6:$D$15,B325)&gt;0,"Entrada",IF(COUNTIF(Config!$F$6:$F$25,B325)&gt;0,"Saída","Categoria inválida")))</f>
        <v/>
      </c>
      <c r="D325" s="31" t="n"/>
      <c r="E325" s="33" t="n"/>
      <c r="F325" s="36" t="n"/>
      <c r="G325" s="31" t="n"/>
      <c r="H325" s="37">
        <f>IF(A325="","",(YEAR(A325)-YEAR(Config!$B$6))*12+MONTH(A325)-MONTH(Config!$B$6)+1)</f>
        <v/>
      </c>
      <c r="I325" s="19">
        <f>IF(AND(A325="",B325="",E325=""),"",IF(A325="","Falta data",IF(B325="","Falta categoria",IF(E325="","Falta valor",IF(C325="Categoria inválida","Categoria inválida",IF(OR(H325&lt;1,H325&gt;12),"Fora dos 12 meses","OK"))))))</f>
        <v/>
      </c>
    </row>
    <row r="326">
      <c r="A326" s="35" t="n"/>
      <c r="B326" s="31" t="n"/>
      <c r="C326" s="19">
        <f>IF(B326="","",IF(COUNTIF(Config!$D$6:$D$15,B326)&gt;0,"Entrada",IF(COUNTIF(Config!$F$6:$F$25,B326)&gt;0,"Saída","Categoria inválida")))</f>
        <v/>
      </c>
      <c r="D326" s="31" t="n"/>
      <c r="E326" s="33" t="n"/>
      <c r="F326" s="36" t="n"/>
      <c r="G326" s="31" t="n"/>
      <c r="H326" s="37">
        <f>IF(A326="","",(YEAR(A326)-YEAR(Config!$B$6))*12+MONTH(A326)-MONTH(Config!$B$6)+1)</f>
        <v/>
      </c>
      <c r="I326" s="19">
        <f>IF(AND(A326="",B326="",E326=""),"",IF(A326="","Falta data",IF(B326="","Falta categoria",IF(E326="","Falta valor",IF(C326="Categoria inválida","Categoria inválida",IF(OR(H326&lt;1,H326&gt;12),"Fora dos 12 meses","OK"))))))</f>
        <v/>
      </c>
    </row>
    <row r="327">
      <c r="A327" s="35" t="n"/>
      <c r="B327" s="31" t="n"/>
      <c r="C327" s="19">
        <f>IF(B327="","",IF(COUNTIF(Config!$D$6:$D$15,B327)&gt;0,"Entrada",IF(COUNTIF(Config!$F$6:$F$25,B327)&gt;0,"Saída","Categoria inválida")))</f>
        <v/>
      </c>
      <c r="D327" s="31" t="n"/>
      <c r="E327" s="33" t="n"/>
      <c r="F327" s="36" t="n"/>
      <c r="G327" s="31" t="n"/>
      <c r="H327" s="37">
        <f>IF(A327="","",(YEAR(A327)-YEAR(Config!$B$6))*12+MONTH(A327)-MONTH(Config!$B$6)+1)</f>
        <v/>
      </c>
      <c r="I327" s="19">
        <f>IF(AND(A327="",B327="",E327=""),"",IF(A327="","Falta data",IF(B327="","Falta categoria",IF(E327="","Falta valor",IF(C327="Categoria inválida","Categoria inválida",IF(OR(H327&lt;1,H327&gt;12),"Fora dos 12 meses","OK"))))))</f>
        <v/>
      </c>
    </row>
    <row r="328">
      <c r="A328" s="35" t="n"/>
      <c r="B328" s="31" t="n"/>
      <c r="C328" s="19">
        <f>IF(B328="","",IF(COUNTIF(Config!$D$6:$D$15,B328)&gt;0,"Entrada",IF(COUNTIF(Config!$F$6:$F$25,B328)&gt;0,"Saída","Categoria inválida")))</f>
        <v/>
      </c>
      <c r="D328" s="31" t="n"/>
      <c r="E328" s="33" t="n"/>
      <c r="F328" s="36" t="n"/>
      <c r="G328" s="31" t="n"/>
      <c r="H328" s="37">
        <f>IF(A328="","",(YEAR(A328)-YEAR(Config!$B$6))*12+MONTH(A328)-MONTH(Config!$B$6)+1)</f>
        <v/>
      </c>
      <c r="I328" s="19">
        <f>IF(AND(A328="",B328="",E328=""),"",IF(A328="","Falta data",IF(B328="","Falta categoria",IF(E328="","Falta valor",IF(C328="Categoria inválida","Categoria inválida",IF(OR(H328&lt;1,H328&gt;12),"Fora dos 12 meses","OK"))))))</f>
        <v/>
      </c>
    </row>
    <row r="329">
      <c r="A329" s="35" t="n"/>
      <c r="B329" s="31" t="n"/>
      <c r="C329" s="19">
        <f>IF(B329="","",IF(COUNTIF(Config!$D$6:$D$15,B329)&gt;0,"Entrada",IF(COUNTIF(Config!$F$6:$F$25,B329)&gt;0,"Saída","Categoria inválida")))</f>
        <v/>
      </c>
      <c r="D329" s="31" t="n"/>
      <c r="E329" s="33" t="n"/>
      <c r="F329" s="36" t="n"/>
      <c r="G329" s="31" t="n"/>
      <c r="H329" s="37">
        <f>IF(A329="","",(YEAR(A329)-YEAR(Config!$B$6))*12+MONTH(A329)-MONTH(Config!$B$6)+1)</f>
        <v/>
      </c>
      <c r="I329" s="19">
        <f>IF(AND(A329="",B329="",E329=""),"",IF(A329="","Falta data",IF(B329="","Falta categoria",IF(E329="","Falta valor",IF(C329="Categoria inválida","Categoria inválida",IF(OR(H329&lt;1,H329&gt;12),"Fora dos 12 meses","OK"))))))</f>
        <v/>
      </c>
    </row>
    <row r="330">
      <c r="A330" s="35" t="n"/>
      <c r="B330" s="31" t="n"/>
      <c r="C330" s="19">
        <f>IF(B330="","",IF(COUNTIF(Config!$D$6:$D$15,B330)&gt;0,"Entrada",IF(COUNTIF(Config!$F$6:$F$25,B330)&gt;0,"Saída","Categoria inválida")))</f>
        <v/>
      </c>
      <c r="D330" s="31" t="n"/>
      <c r="E330" s="33" t="n"/>
      <c r="F330" s="36" t="n"/>
      <c r="G330" s="31" t="n"/>
      <c r="H330" s="37">
        <f>IF(A330="","",(YEAR(A330)-YEAR(Config!$B$6))*12+MONTH(A330)-MONTH(Config!$B$6)+1)</f>
        <v/>
      </c>
      <c r="I330" s="19">
        <f>IF(AND(A330="",B330="",E330=""),"",IF(A330="","Falta data",IF(B330="","Falta categoria",IF(E330="","Falta valor",IF(C330="Categoria inválida","Categoria inválida",IF(OR(H330&lt;1,H330&gt;12),"Fora dos 12 meses","OK"))))))</f>
        <v/>
      </c>
    </row>
    <row r="331">
      <c r="A331" s="35" t="n"/>
      <c r="B331" s="31" t="n"/>
      <c r="C331" s="19">
        <f>IF(B331="","",IF(COUNTIF(Config!$D$6:$D$15,B331)&gt;0,"Entrada",IF(COUNTIF(Config!$F$6:$F$25,B331)&gt;0,"Saída","Categoria inválida")))</f>
        <v/>
      </c>
      <c r="D331" s="31" t="n"/>
      <c r="E331" s="33" t="n"/>
      <c r="F331" s="36" t="n"/>
      <c r="G331" s="31" t="n"/>
      <c r="H331" s="37">
        <f>IF(A331="","",(YEAR(A331)-YEAR(Config!$B$6))*12+MONTH(A331)-MONTH(Config!$B$6)+1)</f>
        <v/>
      </c>
      <c r="I331" s="19">
        <f>IF(AND(A331="",B331="",E331=""),"",IF(A331="","Falta data",IF(B331="","Falta categoria",IF(E331="","Falta valor",IF(C331="Categoria inválida","Categoria inválida",IF(OR(H331&lt;1,H331&gt;12),"Fora dos 12 meses","OK"))))))</f>
        <v/>
      </c>
    </row>
    <row r="332">
      <c r="A332" s="35" t="n"/>
      <c r="B332" s="31" t="n"/>
      <c r="C332" s="19">
        <f>IF(B332="","",IF(COUNTIF(Config!$D$6:$D$15,B332)&gt;0,"Entrada",IF(COUNTIF(Config!$F$6:$F$25,B332)&gt;0,"Saída","Categoria inválida")))</f>
        <v/>
      </c>
      <c r="D332" s="31" t="n"/>
      <c r="E332" s="33" t="n"/>
      <c r="F332" s="36" t="n"/>
      <c r="G332" s="31" t="n"/>
      <c r="H332" s="37">
        <f>IF(A332="","",(YEAR(A332)-YEAR(Config!$B$6))*12+MONTH(A332)-MONTH(Config!$B$6)+1)</f>
        <v/>
      </c>
      <c r="I332" s="19">
        <f>IF(AND(A332="",B332="",E332=""),"",IF(A332="","Falta data",IF(B332="","Falta categoria",IF(E332="","Falta valor",IF(C332="Categoria inválida","Categoria inválida",IF(OR(H332&lt;1,H332&gt;12),"Fora dos 12 meses","OK"))))))</f>
        <v/>
      </c>
    </row>
    <row r="333">
      <c r="A333" s="35" t="n"/>
      <c r="B333" s="31" t="n"/>
      <c r="C333" s="19">
        <f>IF(B333="","",IF(COUNTIF(Config!$D$6:$D$15,B333)&gt;0,"Entrada",IF(COUNTIF(Config!$F$6:$F$25,B333)&gt;0,"Saída","Categoria inválida")))</f>
        <v/>
      </c>
      <c r="D333" s="31" t="n"/>
      <c r="E333" s="33" t="n"/>
      <c r="F333" s="36" t="n"/>
      <c r="G333" s="31" t="n"/>
      <c r="H333" s="37">
        <f>IF(A333="","",(YEAR(A333)-YEAR(Config!$B$6))*12+MONTH(A333)-MONTH(Config!$B$6)+1)</f>
        <v/>
      </c>
      <c r="I333" s="19">
        <f>IF(AND(A333="",B333="",E333=""),"",IF(A333="","Falta data",IF(B333="","Falta categoria",IF(E333="","Falta valor",IF(C333="Categoria inválida","Categoria inválida",IF(OR(H333&lt;1,H333&gt;12),"Fora dos 12 meses","OK"))))))</f>
        <v/>
      </c>
    </row>
    <row r="334">
      <c r="A334" s="35" t="n"/>
      <c r="B334" s="31" t="n"/>
      <c r="C334" s="19">
        <f>IF(B334="","",IF(COUNTIF(Config!$D$6:$D$15,B334)&gt;0,"Entrada",IF(COUNTIF(Config!$F$6:$F$25,B334)&gt;0,"Saída","Categoria inválida")))</f>
        <v/>
      </c>
      <c r="D334" s="31" t="n"/>
      <c r="E334" s="33" t="n"/>
      <c r="F334" s="36" t="n"/>
      <c r="G334" s="31" t="n"/>
      <c r="H334" s="37">
        <f>IF(A334="","",(YEAR(A334)-YEAR(Config!$B$6))*12+MONTH(A334)-MONTH(Config!$B$6)+1)</f>
        <v/>
      </c>
      <c r="I334" s="19">
        <f>IF(AND(A334="",B334="",E334=""),"",IF(A334="","Falta data",IF(B334="","Falta categoria",IF(E334="","Falta valor",IF(C334="Categoria inválida","Categoria inválida",IF(OR(H334&lt;1,H334&gt;12),"Fora dos 12 meses","OK"))))))</f>
        <v/>
      </c>
    </row>
    <row r="335">
      <c r="A335" s="35" t="n"/>
      <c r="B335" s="31" t="n"/>
      <c r="C335" s="19">
        <f>IF(B335="","",IF(COUNTIF(Config!$D$6:$D$15,B335)&gt;0,"Entrada",IF(COUNTIF(Config!$F$6:$F$25,B335)&gt;0,"Saída","Categoria inválida")))</f>
        <v/>
      </c>
      <c r="D335" s="31" t="n"/>
      <c r="E335" s="33" t="n"/>
      <c r="F335" s="36" t="n"/>
      <c r="G335" s="31" t="n"/>
      <c r="H335" s="37">
        <f>IF(A335="","",(YEAR(A335)-YEAR(Config!$B$6))*12+MONTH(A335)-MONTH(Config!$B$6)+1)</f>
        <v/>
      </c>
      <c r="I335" s="19">
        <f>IF(AND(A335="",B335="",E335=""),"",IF(A335="","Falta data",IF(B335="","Falta categoria",IF(E335="","Falta valor",IF(C335="Categoria inválida","Categoria inválida",IF(OR(H335&lt;1,H335&gt;12),"Fora dos 12 meses","OK"))))))</f>
        <v/>
      </c>
    </row>
    <row r="336">
      <c r="A336" s="35" t="n"/>
      <c r="B336" s="31" t="n"/>
      <c r="C336" s="19">
        <f>IF(B336="","",IF(COUNTIF(Config!$D$6:$D$15,B336)&gt;0,"Entrada",IF(COUNTIF(Config!$F$6:$F$25,B336)&gt;0,"Saída","Categoria inválida")))</f>
        <v/>
      </c>
      <c r="D336" s="31" t="n"/>
      <c r="E336" s="33" t="n"/>
      <c r="F336" s="36" t="n"/>
      <c r="G336" s="31" t="n"/>
      <c r="H336" s="37">
        <f>IF(A336="","",(YEAR(A336)-YEAR(Config!$B$6))*12+MONTH(A336)-MONTH(Config!$B$6)+1)</f>
        <v/>
      </c>
      <c r="I336" s="19">
        <f>IF(AND(A336="",B336="",E336=""),"",IF(A336="","Falta data",IF(B336="","Falta categoria",IF(E336="","Falta valor",IF(C336="Categoria inválida","Categoria inválida",IF(OR(H336&lt;1,H336&gt;12),"Fora dos 12 meses","OK"))))))</f>
        <v/>
      </c>
    </row>
    <row r="337">
      <c r="A337" s="35" t="n"/>
      <c r="B337" s="31" t="n"/>
      <c r="C337" s="19">
        <f>IF(B337="","",IF(COUNTIF(Config!$D$6:$D$15,B337)&gt;0,"Entrada",IF(COUNTIF(Config!$F$6:$F$25,B337)&gt;0,"Saída","Categoria inválida")))</f>
        <v/>
      </c>
      <c r="D337" s="31" t="n"/>
      <c r="E337" s="33" t="n"/>
      <c r="F337" s="36" t="n"/>
      <c r="G337" s="31" t="n"/>
      <c r="H337" s="37">
        <f>IF(A337="","",(YEAR(A337)-YEAR(Config!$B$6))*12+MONTH(A337)-MONTH(Config!$B$6)+1)</f>
        <v/>
      </c>
      <c r="I337" s="19">
        <f>IF(AND(A337="",B337="",E337=""),"",IF(A337="","Falta data",IF(B337="","Falta categoria",IF(E337="","Falta valor",IF(C337="Categoria inválida","Categoria inválida",IF(OR(H337&lt;1,H337&gt;12),"Fora dos 12 meses","OK"))))))</f>
        <v/>
      </c>
    </row>
    <row r="338">
      <c r="A338" s="35" t="n"/>
      <c r="B338" s="31" t="n"/>
      <c r="C338" s="19">
        <f>IF(B338="","",IF(COUNTIF(Config!$D$6:$D$15,B338)&gt;0,"Entrada",IF(COUNTIF(Config!$F$6:$F$25,B338)&gt;0,"Saída","Categoria inválida")))</f>
        <v/>
      </c>
      <c r="D338" s="31" t="n"/>
      <c r="E338" s="33" t="n"/>
      <c r="F338" s="36" t="n"/>
      <c r="G338" s="31" t="n"/>
      <c r="H338" s="37">
        <f>IF(A338="","",(YEAR(A338)-YEAR(Config!$B$6))*12+MONTH(A338)-MONTH(Config!$B$6)+1)</f>
        <v/>
      </c>
      <c r="I338" s="19">
        <f>IF(AND(A338="",B338="",E338=""),"",IF(A338="","Falta data",IF(B338="","Falta categoria",IF(E338="","Falta valor",IF(C338="Categoria inválida","Categoria inválida",IF(OR(H338&lt;1,H338&gt;12),"Fora dos 12 meses","OK"))))))</f>
        <v/>
      </c>
    </row>
    <row r="339">
      <c r="A339" s="35" t="n"/>
      <c r="B339" s="31" t="n"/>
      <c r="C339" s="19">
        <f>IF(B339="","",IF(COUNTIF(Config!$D$6:$D$15,B339)&gt;0,"Entrada",IF(COUNTIF(Config!$F$6:$F$25,B339)&gt;0,"Saída","Categoria inválida")))</f>
        <v/>
      </c>
      <c r="D339" s="31" t="n"/>
      <c r="E339" s="33" t="n"/>
      <c r="F339" s="36" t="n"/>
      <c r="G339" s="31" t="n"/>
      <c r="H339" s="37">
        <f>IF(A339="","",(YEAR(A339)-YEAR(Config!$B$6))*12+MONTH(A339)-MONTH(Config!$B$6)+1)</f>
        <v/>
      </c>
      <c r="I339" s="19">
        <f>IF(AND(A339="",B339="",E339=""),"",IF(A339="","Falta data",IF(B339="","Falta categoria",IF(E339="","Falta valor",IF(C339="Categoria inválida","Categoria inválida",IF(OR(H339&lt;1,H339&gt;12),"Fora dos 12 meses","OK"))))))</f>
        <v/>
      </c>
    </row>
    <row r="340">
      <c r="A340" s="35" t="n"/>
      <c r="B340" s="31" t="n"/>
      <c r="C340" s="19">
        <f>IF(B340="","",IF(COUNTIF(Config!$D$6:$D$15,B340)&gt;0,"Entrada",IF(COUNTIF(Config!$F$6:$F$25,B340)&gt;0,"Saída","Categoria inválida")))</f>
        <v/>
      </c>
      <c r="D340" s="31" t="n"/>
      <c r="E340" s="33" t="n"/>
      <c r="F340" s="36" t="n"/>
      <c r="G340" s="31" t="n"/>
      <c r="H340" s="37">
        <f>IF(A340="","",(YEAR(A340)-YEAR(Config!$B$6))*12+MONTH(A340)-MONTH(Config!$B$6)+1)</f>
        <v/>
      </c>
      <c r="I340" s="19">
        <f>IF(AND(A340="",B340="",E340=""),"",IF(A340="","Falta data",IF(B340="","Falta categoria",IF(E340="","Falta valor",IF(C340="Categoria inválida","Categoria inválida",IF(OR(H340&lt;1,H340&gt;12),"Fora dos 12 meses","OK"))))))</f>
        <v/>
      </c>
    </row>
    <row r="341">
      <c r="A341" s="35" t="n"/>
      <c r="B341" s="31" t="n"/>
      <c r="C341" s="19">
        <f>IF(B341="","",IF(COUNTIF(Config!$D$6:$D$15,B341)&gt;0,"Entrada",IF(COUNTIF(Config!$F$6:$F$25,B341)&gt;0,"Saída","Categoria inválida")))</f>
        <v/>
      </c>
      <c r="D341" s="31" t="n"/>
      <c r="E341" s="33" t="n"/>
      <c r="F341" s="36" t="n"/>
      <c r="G341" s="31" t="n"/>
      <c r="H341" s="37">
        <f>IF(A341="","",(YEAR(A341)-YEAR(Config!$B$6))*12+MONTH(A341)-MONTH(Config!$B$6)+1)</f>
        <v/>
      </c>
      <c r="I341" s="19">
        <f>IF(AND(A341="",B341="",E341=""),"",IF(A341="","Falta data",IF(B341="","Falta categoria",IF(E341="","Falta valor",IF(C341="Categoria inválida","Categoria inválida",IF(OR(H341&lt;1,H341&gt;12),"Fora dos 12 meses","OK"))))))</f>
        <v/>
      </c>
    </row>
    <row r="342">
      <c r="A342" s="35" t="n"/>
      <c r="B342" s="31" t="n"/>
      <c r="C342" s="19">
        <f>IF(B342="","",IF(COUNTIF(Config!$D$6:$D$15,B342)&gt;0,"Entrada",IF(COUNTIF(Config!$F$6:$F$25,B342)&gt;0,"Saída","Categoria inválida")))</f>
        <v/>
      </c>
      <c r="D342" s="31" t="n"/>
      <c r="E342" s="33" t="n"/>
      <c r="F342" s="36" t="n"/>
      <c r="G342" s="31" t="n"/>
      <c r="H342" s="37">
        <f>IF(A342="","",(YEAR(A342)-YEAR(Config!$B$6))*12+MONTH(A342)-MONTH(Config!$B$6)+1)</f>
        <v/>
      </c>
      <c r="I342" s="19">
        <f>IF(AND(A342="",B342="",E342=""),"",IF(A342="","Falta data",IF(B342="","Falta categoria",IF(E342="","Falta valor",IF(C342="Categoria inválida","Categoria inválida",IF(OR(H342&lt;1,H342&gt;12),"Fora dos 12 meses","OK"))))))</f>
        <v/>
      </c>
    </row>
    <row r="343">
      <c r="A343" s="35" t="n"/>
      <c r="B343" s="31" t="n"/>
      <c r="C343" s="19">
        <f>IF(B343="","",IF(COUNTIF(Config!$D$6:$D$15,B343)&gt;0,"Entrada",IF(COUNTIF(Config!$F$6:$F$25,B343)&gt;0,"Saída","Categoria inválida")))</f>
        <v/>
      </c>
      <c r="D343" s="31" t="n"/>
      <c r="E343" s="33" t="n"/>
      <c r="F343" s="36" t="n"/>
      <c r="G343" s="31" t="n"/>
      <c r="H343" s="37">
        <f>IF(A343="","",(YEAR(A343)-YEAR(Config!$B$6))*12+MONTH(A343)-MONTH(Config!$B$6)+1)</f>
        <v/>
      </c>
      <c r="I343" s="19">
        <f>IF(AND(A343="",B343="",E343=""),"",IF(A343="","Falta data",IF(B343="","Falta categoria",IF(E343="","Falta valor",IF(C343="Categoria inválida","Categoria inválida",IF(OR(H343&lt;1,H343&gt;12),"Fora dos 12 meses","OK"))))))</f>
        <v/>
      </c>
    </row>
    <row r="344">
      <c r="A344" s="35" t="n"/>
      <c r="B344" s="31" t="n"/>
      <c r="C344" s="19">
        <f>IF(B344="","",IF(COUNTIF(Config!$D$6:$D$15,B344)&gt;0,"Entrada",IF(COUNTIF(Config!$F$6:$F$25,B344)&gt;0,"Saída","Categoria inválida")))</f>
        <v/>
      </c>
      <c r="D344" s="31" t="n"/>
      <c r="E344" s="33" t="n"/>
      <c r="F344" s="36" t="n"/>
      <c r="G344" s="31" t="n"/>
      <c r="H344" s="37">
        <f>IF(A344="","",(YEAR(A344)-YEAR(Config!$B$6))*12+MONTH(A344)-MONTH(Config!$B$6)+1)</f>
        <v/>
      </c>
      <c r="I344" s="19">
        <f>IF(AND(A344="",B344="",E344=""),"",IF(A344="","Falta data",IF(B344="","Falta categoria",IF(E344="","Falta valor",IF(C344="Categoria inválida","Categoria inválida",IF(OR(H344&lt;1,H344&gt;12),"Fora dos 12 meses","OK"))))))</f>
        <v/>
      </c>
    </row>
    <row r="345">
      <c r="A345" s="35" t="n"/>
      <c r="B345" s="31" t="n"/>
      <c r="C345" s="19">
        <f>IF(B345="","",IF(COUNTIF(Config!$D$6:$D$15,B345)&gt;0,"Entrada",IF(COUNTIF(Config!$F$6:$F$25,B345)&gt;0,"Saída","Categoria inválida")))</f>
        <v/>
      </c>
      <c r="D345" s="31" t="n"/>
      <c r="E345" s="33" t="n"/>
      <c r="F345" s="36" t="n"/>
      <c r="G345" s="31" t="n"/>
      <c r="H345" s="37">
        <f>IF(A345="","",(YEAR(A345)-YEAR(Config!$B$6))*12+MONTH(A345)-MONTH(Config!$B$6)+1)</f>
        <v/>
      </c>
      <c r="I345" s="19">
        <f>IF(AND(A345="",B345="",E345=""),"",IF(A345="","Falta data",IF(B345="","Falta categoria",IF(E345="","Falta valor",IF(C345="Categoria inválida","Categoria inválida",IF(OR(H345&lt;1,H345&gt;12),"Fora dos 12 meses","OK"))))))</f>
        <v/>
      </c>
    </row>
    <row r="346">
      <c r="A346" s="35" t="n"/>
      <c r="B346" s="31" t="n"/>
      <c r="C346" s="19">
        <f>IF(B346="","",IF(COUNTIF(Config!$D$6:$D$15,B346)&gt;0,"Entrada",IF(COUNTIF(Config!$F$6:$F$25,B346)&gt;0,"Saída","Categoria inválida")))</f>
        <v/>
      </c>
      <c r="D346" s="31" t="n"/>
      <c r="E346" s="33" t="n"/>
      <c r="F346" s="36" t="n"/>
      <c r="G346" s="31" t="n"/>
      <c r="H346" s="37">
        <f>IF(A346="","",(YEAR(A346)-YEAR(Config!$B$6))*12+MONTH(A346)-MONTH(Config!$B$6)+1)</f>
        <v/>
      </c>
      <c r="I346" s="19">
        <f>IF(AND(A346="",B346="",E346=""),"",IF(A346="","Falta data",IF(B346="","Falta categoria",IF(E346="","Falta valor",IF(C346="Categoria inválida","Categoria inválida",IF(OR(H346&lt;1,H346&gt;12),"Fora dos 12 meses","OK"))))))</f>
        <v/>
      </c>
    </row>
    <row r="347">
      <c r="A347" s="35" t="n"/>
      <c r="B347" s="31" t="n"/>
      <c r="C347" s="19">
        <f>IF(B347="","",IF(COUNTIF(Config!$D$6:$D$15,B347)&gt;0,"Entrada",IF(COUNTIF(Config!$F$6:$F$25,B347)&gt;0,"Saída","Categoria inválida")))</f>
        <v/>
      </c>
      <c r="D347" s="31" t="n"/>
      <c r="E347" s="33" t="n"/>
      <c r="F347" s="36" t="n"/>
      <c r="G347" s="31" t="n"/>
      <c r="H347" s="37">
        <f>IF(A347="","",(YEAR(A347)-YEAR(Config!$B$6))*12+MONTH(A347)-MONTH(Config!$B$6)+1)</f>
        <v/>
      </c>
      <c r="I347" s="19">
        <f>IF(AND(A347="",B347="",E347=""),"",IF(A347="","Falta data",IF(B347="","Falta categoria",IF(E347="","Falta valor",IF(C347="Categoria inválida","Categoria inválida",IF(OR(H347&lt;1,H347&gt;12),"Fora dos 12 meses","OK"))))))</f>
        <v/>
      </c>
    </row>
    <row r="348">
      <c r="A348" s="35" t="n"/>
      <c r="B348" s="31" t="n"/>
      <c r="C348" s="19">
        <f>IF(B348="","",IF(COUNTIF(Config!$D$6:$D$15,B348)&gt;0,"Entrada",IF(COUNTIF(Config!$F$6:$F$25,B348)&gt;0,"Saída","Categoria inválida")))</f>
        <v/>
      </c>
      <c r="D348" s="31" t="n"/>
      <c r="E348" s="33" t="n"/>
      <c r="F348" s="36" t="n"/>
      <c r="G348" s="31" t="n"/>
      <c r="H348" s="37">
        <f>IF(A348="","",(YEAR(A348)-YEAR(Config!$B$6))*12+MONTH(A348)-MONTH(Config!$B$6)+1)</f>
        <v/>
      </c>
      <c r="I348" s="19">
        <f>IF(AND(A348="",B348="",E348=""),"",IF(A348="","Falta data",IF(B348="","Falta categoria",IF(E348="","Falta valor",IF(C348="Categoria inválida","Categoria inválida",IF(OR(H348&lt;1,H348&gt;12),"Fora dos 12 meses","OK"))))))</f>
        <v/>
      </c>
    </row>
    <row r="349">
      <c r="A349" s="35" t="n"/>
      <c r="B349" s="31" t="n"/>
      <c r="C349" s="19">
        <f>IF(B349="","",IF(COUNTIF(Config!$D$6:$D$15,B349)&gt;0,"Entrada",IF(COUNTIF(Config!$F$6:$F$25,B349)&gt;0,"Saída","Categoria inválida")))</f>
        <v/>
      </c>
      <c r="D349" s="31" t="n"/>
      <c r="E349" s="33" t="n"/>
      <c r="F349" s="36" t="n"/>
      <c r="G349" s="31" t="n"/>
      <c r="H349" s="37">
        <f>IF(A349="","",(YEAR(A349)-YEAR(Config!$B$6))*12+MONTH(A349)-MONTH(Config!$B$6)+1)</f>
        <v/>
      </c>
      <c r="I349" s="19">
        <f>IF(AND(A349="",B349="",E349=""),"",IF(A349="","Falta data",IF(B349="","Falta categoria",IF(E349="","Falta valor",IF(C349="Categoria inválida","Categoria inválida",IF(OR(H349&lt;1,H349&gt;12),"Fora dos 12 meses","OK"))))))</f>
        <v/>
      </c>
    </row>
    <row r="350">
      <c r="A350" s="35" t="n"/>
      <c r="B350" s="31" t="n"/>
      <c r="C350" s="19">
        <f>IF(B350="","",IF(COUNTIF(Config!$D$6:$D$15,B350)&gt;0,"Entrada",IF(COUNTIF(Config!$F$6:$F$25,B350)&gt;0,"Saída","Categoria inválida")))</f>
        <v/>
      </c>
      <c r="D350" s="31" t="n"/>
      <c r="E350" s="33" t="n"/>
      <c r="F350" s="36" t="n"/>
      <c r="G350" s="31" t="n"/>
      <c r="H350" s="37">
        <f>IF(A350="","",(YEAR(A350)-YEAR(Config!$B$6))*12+MONTH(A350)-MONTH(Config!$B$6)+1)</f>
        <v/>
      </c>
      <c r="I350" s="19">
        <f>IF(AND(A350="",B350="",E350=""),"",IF(A350="","Falta data",IF(B350="","Falta categoria",IF(E350="","Falta valor",IF(C350="Categoria inválida","Categoria inválida",IF(OR(H350&lt;1,H350&gt;12),"Fora dos 12 meses","OK"))))))</f>
        <v/>
      </c>
    </row>
    <row r="351">
      <c r="A351" s="35" t="n"/>
      <c r="B351" s="31" t="n"/>
      <c r="C351" s="19">
        <f>IF(B351="","",IF(COUNTIF(Config!$D$6:$D$15,B351)&gt;0,"Entrada",IF(COUNTIF(Config!$F$6:$F$25,B351)&gt;0,"Saída","Categoria inválida")))</f>
        <v/>
      </c>
      <c r="D351" s="31" t="n"/>
      <c r="E351" s="33" t="n"/>
      <c r="F351" s="36" t="n"/>
      <c r="G351" s="31" t="n"/>
      <c r="H351" s="37">
        <f>IF(A351="","",(YEAR(A351)-YEAR(Config!$B$6))*12+MONTH(A351)-MONTH(Config!$B$6)+1)</f>
        <v/>
      </c>
      <c r="I351" s="19">
        <f>IF(AND(A351="",B351="",E351=""),"",IF(A351="","Falta data",IF(B351="","Falta categoria",IF(E351="","Falta valor",IF(C351="Categoria inválida","Categoria inválida",IF(OR(H351&lt;1,H351&gt;12),"Fora dos 12 meses","OK"))))))</f>
        <v/>
      </c>
    </row>
    <row r="352">
      <c r="A352" s="35" t="n"/>
      <c r="B352" s="31" t="n"/>
      <c r="C352" s="19">
        <f>IF(B352="","",IF(COUNTIF(Config!$D$6:$D$15,B352)&gt;0,"Entrada",IF(COUNTIF(Config!$F$6:$F$25,B352)&gt;0,"Saída","Categoria inválida")))</f>
        <v/>
      </c>
      <c r="D352" s="31" t="n"/>
      <c r="E352" s="33" t="n"/>
      <c r="F352" s="36" t="n"/>
      <c r="G352" s="31" t="n"/>
      <c r="H352" s="37">
        <f>IF(A352="","",(YEAR(A352)-YEAR(Config!$B$6))*12+MONTH(A352)-MONTH(Config!$B$6)+1)</f>
        <v/>
      </c>
      <c r="I352" s="19">
        <f>IF(AND(A352="",B352="",E352=""),"",IF(A352="","Falta data",IF(B352="","Falta categoria",IF(E352="","Falta valor",IF(C352="Categoria inválida","Categoria inválida",IF(OR(H352&lt;1,H352&gt;12),"Fora dos 12 meses","OK"))))))</f>
        <v/>
      </c>
    </row>
    <row r="353">
      <c r="A353" s="35" t="n"/>
      <c r="B353" s="31" t="n"/>
      <c r="C353" s="19">
        <f>IF(B353="","",IF(COUNTIF(Config!$D$6:$D$15,B353)&gt;0,"Entrada",IF(COUNTIF(Config!$F$6:$F$25,B353)&gt;0,"Saída","Categoria inválida")))</f>
        <v/>
      </c>
      <c r="D353" s="31" t="n"/>
      <c r="E353" s="33" t="n"/>
      <c r="F353" s="36" t="n"/>
      <c r="G353" s="31" t="n"/>
      <c r="H353" s="37">
        <f>IF(A353="","",(YEAR(A353)-YEAR(Config!$B$6))*12+MONTH(A353)-MONTH(Config!$B$6)+1)</f>
        <v/>
      </c>
      <c r="I353" s="19">
        <f>IF(AND(A353="",B353="",E353=""),"",IF(A353="","Falta data",IF(B353="","Falta categoria",IF(E353="","Falta valor",IF(C353="Categoria inválida","Categoria inválida",IF(OR(H353&lt;1,H353&gt;12),"Fora dos 12 meses","OK"))))))</f>
        <v/>
      </c>
    </row>
    <row r="354">
      <c r="A354" s="35" t="n"/>
      <c r="B354" s="31" t="n"/>
      <c r="C354" s="19">
        <f>IF(B354="","",IF(COUNTIF(Config!$D$6:$D$15,B354)&gt;0,"Entrada",IF(COUNTIF(Config!$F$6:$F$25,B354)&gt;0,"Saída","Categoria inválida")))</f>
        <v/>
      </c>
      <c r="D354" s="31" t="n"/>
      <c r="E354" s="33" t="n"/>
      <c r="F354" s="36" t="n"/>
      <c r="G354" s="31" t="n"/>
      <c r="H354" s="37">
        <f>IF(A354="","",(YEAR(A354)-YEAR(Config!$B$6))*12+MONTH(A354)-MONTH(Config!$B$6)+1)</f>
        <v/>
      </c>
      <c r="I354" s="19">
        <f>IF(AND(A354="",B354="",E354=""),"",IF(A354="","Falta data",IF(B354="","Falta categoria",IF(E354="","Falta valor",IF(C354="Categoria inválida","Categoria inválida",IF(OR(H354&lt;1,H354&gt;12),"Fora dos 12 meses","OK"))))))</f>
        <v/>
      </c>
    </row>
    <row r="355">
      <c r="A355" s="35" t="n"/>
      <c r="B355" s="31" t="n"/>
      <c r="C355" s="19">
        <f>IF(B355="","",IF(COUNTIF(Config!$D$6:$D$15,B355)&gt;0,"Entrada",IF(COUNTIF(Config!$F$6:$F$25,B355)&gt;0,"Saída","Categoria inválida")))</f>
        <v/>
      </c>
      <c r="D355" s="31" t="n"/>
      <c r="E355" s="33" t="n"/>
      <c r="F355" s="36" t="n"/>
      <c r="G355" s="31" t="n"/>
      <c r="H355" s="37">
        <f>IF(A355="","",(YEAR(A355)-YEAR(Config!$B$6))*12+MONTH(A355)-MONTH(Config!$B$6)+1)</f>
        <v/>
      </c>
      <c r="I355" s="19">
        <f>IF(AND(A355="",B355="",E355=""),"",IF(A355="","Falta data",IF(B355="","Falta categoria",IF(E355="","Falta valor",IF(C355="Categoria inválida","Categoria inválida",IF(OR(H355&lt;1,H355&gt;12),"Fora dos 12 meses","OK"))))))</f>
        <v/>
      </c>
    </row>
    <row r="356">
      <c r="A356" s="35" t="n"/>
      <c r="B356" s="31" t="n"/>
      <c r="C356" s="19">
        <f>IF(B356="","",IF(COUNTIF(Config!$D$6:$D$15,B356)&gt;0,"Entrada",IF(COUNTIF(Config!$F$6:$F$25,B356)&gt;0,"Saída","Categoria inválida")))</f>
        <v/>
      </c>
      <c r="D356" s="31" t="n"/>
      <c r="E356" s="33" t="n"/>
      <c r="F356" s="36" t="n"/>
      <c r="G356" s="31" t="n"/>
      <c r="H356" s="37">
        <f>IF(A356="","",(YEAR(A356)-YEAR(Config!$B$6))*12+MONTH(A356)-MONTH(Config!$B$6)+1)</f>
        <v/>
      </c>
      <c r="I356" s="19">
        <f>IF(AND(A356="",B356="",E356=""),"",IF(A356="","Falta data",IF(B356="","Falta categoria",IF(E356="","Falta valor",IF(C356="Categoria inválida","Categoria inválida",IF(OR(H356&lt;1,H356&gt;12),"Fora dos 12 meses","OK"))))))</f>
        <v/>
      </c>
    </row>
    <row r="357">
      <c r="A357" s="35" t="n"/>
      <c r="B357" s="31" t="n"/>
      <c r="C357" s="19">
        <f>IF(B357="","",IF(COUNTIF(Config!$D$6:$D$15,B357)&gt;0,"Entrada",IF(COUNTIF(Config!$F$6:$F$25,B357)&gt;0,"Saída","Categoria inválida")))</f>
        <v/>
      </c>
      <c r="D357" s="31" t="n"/>
      <c r="E357" s="33" t="n"/>
      <c r="F357" s="36" t="n"/>
      <c r="G357" s="31" t="n"/>
      <c r="H357" s="37">
        <f>IF(A357="","",(YEAR(A357)-YEAR(Config!$B$6))*12+MONTH(A357)-MONTH(Config!$B$6)+1)</f>
        <v/>
      </c>
      <c r="I357" s="19">
        <f>IF(AND(A357="",B357="",E357=""),"",IF(A357="","Falta data",IF(B357="","Falta categoria",IF(E357="","Falta valor",IF(C357="Categoria inválida","Categoria inválida",IF(OR(H357&lt;1,H357&gt;12),"Fora dos 12 meses","OK"))))))</f>
        <v/>
      </c>
    </row>
    <row r="358">
      <c r="A358" s="35" t="n"/>
      <c r="B358" s="31" t="n"/>
      <c r="C358" s="19">
        <f>IF(B358="","",IF(COUNTIF(Config!$D$6:$D$15,B358)&gt;0,"Entrada",IF(COUNTIF(Config!$F$6:$F$25,B358)&gt;0,"Saída","Categoria inválida")))</f>
        <v/>
      </c>
      <c r="D358" s="31" t="n"/>
      <c r="E358" s="33" t="n"/>
      <c r="F358" s="36" t="n"/>
      <c r="G358" s="31" t="n"/>
      <c r="H358" s="37">
        <f>IF(A358="","",(YEAR(A358)-YEAR(Config!$B$6))*12+MONTH(A358)-MONTH(Config!$B$6)+1)</f>
        <v/>
      </c>
      <c r="I358" s="19">
        <f>IF(AND(A358="",B358="",E358=""),"",IF(A358="","Falta data",IF(B358="","Falta categoria",IF(E358="","Falta valor",IF(C358="Categoria inválida","Categoria inválida",IF(OR(H358&lt;1,H358&gt;12),"Fora dos 12 meses","OK"))))))</f>
        <v/>
      </c>
    </row>
    <row r="359">
      <c r="A359" s="35" t="n"/>
      <c r="B359" s="31" t="n"/>
      <c r="C359" s="19">
        <f>IF(B359="","",IF(COUNTIF(Config!$D$6:$D$15,B359)&gt;0,"Entrada",IF(COUNTIF(Config!$F$6:$F$25,B359)&gt;0,"Saída","Categoria inválida")))</f>
        <v/>
      </c>
      <c r="D359" s="31" t="n"/>
      <c r="E359" s="33" t="n"/>
      <c r="F359" s="36" t="n"/>
      <c r="G359" s="31" t="n"/>
      <c r="H359" s="37">
        <f>IF(A359="","",(YEAR(A359)-YEAR(Config!$B$6))*12+MONTH(A359)-MONTH(Config!$B$6)+1)</f>
        <v/>
      </c>
      <c r="I359" s="19">
        <f>IF(AND(A359="",B359="",E359=""),"",IF(A359="","Falta data",IF(B359="","Falta categoria",IF(E359="","Falta valor",IF(C359="Categoria inválida","Categoria inválida",IF(OR(H359&lt;1,H359&gt;12),"Fora dos 12 meses","OK"))))))</f>
        <v/>
      </c>
    </row>
    <row r="360">
      <c r="A360" s="35" t="n"/>
      <c r="B360" s="31" t="n"/>
      <c r="C360" s="19">
        <f>IF(B360="","",IF(COUNTIF(Config!$D$6:$D$15,B360)&gt;0,"Entrada",IF(COUNTIF(Config!$F$6:$F$25,B360)&gt;0,"Saída","Categoria inválida")))</f>
        <v/>
      </c>
      <c r="D360" s="31" t="n"/>
      <c r="E360" s="33" t="n"/>
      <c r="F360" s="36" t="n"/>
      <c r="G360" s="31" t="n"/>
      <c r="H360" s="37">
        <f>IF(A360="","",(YEAR(A360)-YEAR(Config!$B$6))*12+MONTH(A360)-MONTH(Config!$B$6)+1)</f>
        <v/>
      </c>
      <c r="I360" s="19">
        <f>IF(AND(A360="",B360="",E360=""),"",IF(A360="","Falta data",IF(B360="","Falta categoria",IF(E360="","Falta valor",IF(C360="Categoria inválida","Categoria inválida",IF(OR(H360&lt;1,H360&gt;12),"Fora dos 12 meses","OK"))))))</f>
        <v/>
      </c>
    </row>
    <row r="361">
      <c r="A361" s="35" t="n"/>
      <c r="B361" s="31" t="n"/>
      <c r="C361" s="19">
        <f>IF(B361="","",IF(COUNTIF(Config!$D$6:$D$15,B361)&gt;0,"Entrada",IF(COUNTIF(Config!$F$6:$F$25,B361)&gt;0,"Saída","Categoria inválida")))</f>
        <v/>
      </c>
      <c r="D361" s="31" t="n"/>
      <c r="E361" s="33" t="n"/>
      <c r="F361" s="36" t="n"/>
      <c r="G361" s="31" t="n"/>
      <c r="H361" s="37">
        <f>IF(A361="","",(YEAR(A361)-YEAR(Config!$B$6))*12+MONTH(A361)-MONTH(Config!$B$6)+1)</f>
        <v/>
      </c>
      <c r="I361" s="19">
        <f>IF(AND(A361="",B361="",E361=""),"",IF(A361="","Falta data",IF(B361="","Falta categoria",IF(E361="","Falta valor",IF(C361="Categoria inválida","Categoria inválida",IF(OR(H361&lt;1,H361&gt;12),"Fora dos 12 meses","OK"))))))</f>
        <v/>
      </c>
    </row>
    <row r="362">
      <c r="A362" s="35" t="n"/>
      <c r="B362" s="31" t="n"/>
      <c r="C362" s="19">
        <f>IF(B362="","",IF(COUNTIF(Config!$D$6:$D$15,B362)&gt;0,"Entrada",IF(COUNTIF(Config!$F$6:$F$25,B362)&gt;0,"Saída","Categoria inválida")))</f>
        <v/>
      </c>
      <c r="D362" s="31" t="n"/>
      <c r="E362" s="33" t="n"/>
      <c r="F362" s="36" t="n"/>
      <c r="G362" s="31" t="n"/>
      <c r="H362" s="37">
        <f>IF(A362="","",(YEAR(A362)-YEAR(Config!$B$6))*12+MONTH(A362)-MONTH(Config!$B$6)+1)</f>
        <v/>
      </c>
      <c r="I362" s="19">
        <f>IF(AND(A362="",B362="",E362=""),"",IF(A362="","Falta data",IF(B362="","Falta categoria",IF(E362="","Falta valor",IF(C362="Categoria inválida","Categoria inválida",IF(OR(H362&lt;1,H362&gt;12),"Fora dos 12 meses","OK"))))))</f>
        <v/>
      </c>
    </row>
    <row r="363">
      <c r="A363" s="35" t="n"/>
      <c r="B363" s="31" t="n"/>
      <c r="C363" s="19">
        <f>IF(B363="","",IF(COUNTIF(Config!$D$6:$D$15,B363)&gt;0,"Entrada",IF(COUNTIF(Config!$F$6:$F$25,B363)&gt;0,"Saída","Categoria inválida")))</f>
        <v/>
      </c>
      <c r="D363" s="31" t="n"/>
      <c r="E363" s="33" t="n"/>
      <c r="F363" s="36" t="n"/>
      <c r="G363" s="31" t="n"/>
      <c r="H363" s="37">
        <f>IF(A363="","",(YEAR(A363)-YEAR(Config!$B$6))*12+MONTH(A363)-MONTH(Config!$B$6)+1)</f>
        <v/>
      </c>
      <c r="I363" s="19">
        <f>IF(AND(A363="",B363="",E363=""),"",IF(A363="","Falta data",IF(B363="","Falta categoria",IF(E363="","Falta valor",IF(C363="Categoria inválida","Categoria inválida",IF(OR(H363&lt;1,H363&gt;12),"Fora dos 12 meses","OK"))))))</f>
        <v/>
      </c>
    </row>
    <row r="364">
      <c r="A364" s="35" t="n"/>
      <c r="B364" s="31" t="n"/>
      <c r="C364" s="19">
        <f>IF(B364="","",IF(COUNTIF(Config!$D$6:$D$15,B364)&gt;0,"Entrada",IF(COUNTIF(Config!$F$6:$F$25,B364)&gt;0,"Saída","Categoria inválida")))</f>
        <v/>
      </c>
      <c r="D364" s="31" t="n"/>
      <c r="E364" s="33" t="n"/>
      <c r="F364" s="36" t="n"/>
      <c r="G364" s="31" t="n"/>
      <c r="H364" s="37">
        <f>IF(A364="","",(YEAR(A364)-YEAR(Config!$B$6))*12+MONTH(A364)-MONTH(Config!$B$6)+1)</f>
        <v/>
      </c>
      <c r="I364" s="19">
        <f>IF(AND(A364="",B364="",E364=""),"",IF(A364="","Falta data",IF(B364="","Falta categoria",IF(E364="","Falta valor",IF(C364="Categoria inválida","Categoria inválida",IF(OR(H364&lt;1,H364&gt;12),"Fora dos 12 meses","OK"))))))</f>
        <v/>
      </c>
    </row>
    <row r="365">
      <c r="A365" s="35" t="n"/>
      <c r="B365" s="31" t="n"/>
      <c r="C365" s="19">
        <f>IF(B365="","",IF(COUNTIF(Config!$D$6:$D$15,B365)&gt;0,"Entrada",IF(COUNTIF(Config!$F$6:$F$25,B365)&gt;0,"Saída","Categoria inválida")))</f>
        <v/>
      </c>
      <c r="D365" s="31" t="n"/>
      <c r="E365" s="33" t="n"/>
      <c r="F365" s="36" t="n"/>
      <c r="G365" s="31" t="n"/>
      <c r="H365" s="37">
        <f>IF(A365="","",(YEAR(A365)-YEAR(Config!$B$6))*12+MONTH(A365)-MONTH(Config!$B$6)+1)</f>
        <v/>
      </c>
      <c r="I365" s="19">
        <f>IF(AND(A365="",B365="",E365=""),"",IF(A365="","Falta data",IF(B365="","Falta categoria",IF(E365="","Falta valor",IF(C365="Categoria inválida","Categoria inválida",IF(OR(H365&lt;1,H365&gt;12),"Fora dos 12 meses","OK"))))))</f>
        <v/>
      </c>
    </row>
    <row r="366">
      <c r="A366" s="35" t="n"/>
      <c r="B366" s="31" t="n"/>
      <c r="C366" s="19">
        <f>IF(B366="","",IF(COUNTIF(Config!$D$6:$D$15,B366)&gt;0,"Entrada",IF(COUNTIF(Config!$F$6:$F$25,B366)&gt;0,"Saída","Categoria inválida")))</f>
        <v/>
      </c>
      <c r="D366" s="31" t="n"/>
      <c r="E366" s="33" t="n"/>
      <c r="F366" s="36" t="n"/>
      <c r="G366" s="31" t="n"/>
      <c r="H366" s="37">
        <f>IF(A366="","",(YEAR(A366)-YEAR(Config!$B$6))*12+MONTH(A366)-MONTH(Config!$B$6)+1)</f>
        <v/>
      </c>
      <c r="I366" s="19">
        <f>IF(AND(A366="",B366="",E366=""),"",IF(A366="","Falta data",IF(B366="","Falta categoria",IF(E366="","Falta valor",IF(C366="Categoria inválida","Categoria inválida",IF(OR(H366&lt;1,H366&gt;12),"Fora dos 12 meses","OK"))))))</f>
        <v/>
      </c>
    </row>
    <row r="367">
      <c r="A367" s="35" t="n"/>
      <c r="B367" s="31" t="n"/>
      <c r="C367" s="19">
        <f>IF(B367="","",IF(COUNTIF(Config!$D$6:$D$15,B367)&gt;0,"Entrada",IF(COUNTIF(Config!$F$6:$F$25,B367)&gt;0,"Saída","Categoria inválida")))</f>
        <v/>
      </c>
      <c r="D367" s="31" t="n"/>
      <c r="E367" s="33" t="n"/>
      <c r="F367" s="36" t="n"/>
      <c r="G367" s="31" t="n"/>
      <c r="H367" s="37">
        <f>IF(A367="","",(YEAR(A367)-YEAR(Config!$B$6))*12+MONTH(A367)-MONTH(Config!$B$6)+1)</f>
        <v/>
      </c>
      <c r="I367" s="19">
        <f>IF(AND(A367="",B367="",E367=""),"",IF(A367="","Falta data",IF(B367="","Falta categoria",IF(E367="","Falta valor",IF(C367="Categoria inválida","Categoria inválida",IF(OR(H367&lt;1,H367&gt;12),"Fora dos 12 meses","OK"))))))</f>
        <v/>
      </c>
    </row>
    <row r="368">
      <c r="A368" s="35" t="n"/>
      <c r="B368" s="31" t="n"/>
      <c r="C368" s="19">
        <f>IF(B368="","",IF(COUNTIF(Config!$D$6:$D$15,B368)&gt;0,"Entrada",IF(COUNTIF(Config!$F$6:$F$25,B368)&gt;0,"Saída","Categoria inválida")))</f>
        <v/>
      </c>
      <c r="D368" s="31" t="n"/>
      <c r="E368" s="33" t="n"/>
      <c r="F368" s="36" t="n"/>
      <c r="G368" s="31" t="n"/>
      <c r="H368" s="37">
        <f>IF(A368="","",(YEAR(A368)-YEAR(Config!$B$6))*12+MONTH(A368)-MONTH(Config!$B$6)+1)</f>
        <v/>
      </c>
      <c r="I368" s="19">
        <f>IF(AND(A368="",B368="",E368=""),"",IF(A368="","Falta data",IF(B368="","Falta categoria",IF(E368="","Falta valor",IF(C368="Categoria inválida","Categoria inválida",IF(OR(H368&lt;1,H368&gt;12),"Fora dos 12 meses","OK"))))))</f>
        <v/>
      </c>
    </row>
    <row r="369">
      <c r="A369" s="35" t="n"/>
      <c r="B369" s="31" t="n"/>
      <c r="C369" s="19">
        <f>IF(B369="","",IF(COUNTIF(Config!$D$6:$D$15,B369)&gt;0,"Entrada",IF(COUNTIF(Config!$F$6:$F$25,B369)&gt;0,"Saída","Categoria inválida")))</f>
        <v/>
      </c>
      <c r="D369" s="31" t="n"/>
      <c r="E369" s="33" t="n"/>
      <c r="F369" s="36" t="n"/>
      <c r="G369" s="31" t="n"/>
      <c r="H369" s="37">
        <f>IF(A369="","",(YEAR(A369)-YEAR(Config!$B$6))*12+MONTH(A369)-MONTH(Config!$B$6)+1)</f>
        <v/>
      </c>
      <c r="I369" s="19">
        <f>IF(AND(A369="",B369="",E369=""),"",IF(A369="","Falta data",IF(B369="","Falta categoria",IF(E369="","Falta valor",IF(C369="Categoria inválida","Categoria inválida",IF(OR(H369&lt;1,H369&gt;12),"Fora dos 12 meses","OK"))))))</f>
        <v/>
      </c>
    </row>
    <row r="370">
      <c r="A370" s="35" t="n"/>
      <c r="B370" s="31" t="n"/>
      <c r="C370" s="19">
        <f>IF(B370="","",IF(COUNTIF(Config!$D$6:$D$15,B370)&gt;0,"Entrada",IF(COUNTIF(Config!$F$6:$F$25,B370)&gt;0,"Saída","Categoria inválida")))</f>
        <v/>
      </c>
      <c r="D370" s="31" t="n"/>
      <c r="E370" s="33" t="n"/>
      <c r="F370" s="36" t="n"/>
      <c r="G370" s="31" t="n"/>
      <c r="H370" s="37">
        <f>IF(A370="","",(YEAR(A370)-YEAR(Config!$B$6))*12+MONTH(A370)-MONTH(Config!$B$6)+1)</f>
        <v/>
      </c>
      <c r="I370" s="19">
        <f>IF(AND(A370="",B370="",E370=""),"",IF(A370="","Falta data",IF(B370="","Falta categoria",IF(E370="","Falta valor",IF(C370="Categoria inválida","Categoria inválida",IF(OR(H370&lt;1,H370&gt;12),"Fora dos 12 meses","OK"))))))</f>
        <v/>
      </c>
    </row>
    <row r="371">
      <c r="A371" s="35" t="n"/>
      <c r="B371" s="31" t="n"/>
      <c r="C371" s="19">
        <f>IF(B371="","",IF(COUNTIF(Config!$D$6:$D$15,B371)&gt;0,"Entrada",IF(COUNTIF(Config!$F$6:$F$25,B371)&gt;0,"Saída","Categoria inválida")))</f>
        <v/>
      </c>
      <c r="D371" s="31" t="n"/>
      <c r="E371" s="33" t="n"/>
      <c r="F371" s="36" t="n"/>
      <c r="G371" s="31" t="n"/>
      <c r="H371" s="37">
        <f>IF(A371="","",(YEAR(A371)-YEAR(Config!$B$6))*12+MONTH(A371)-MONTH(Config!$B$6)+1)</f>
        <v/>
      </c>
      <c r="I371" s="19">
        <f>IF(AND(A371="",B371="",E371=""),"",IF(A371="","Falta data",IF(B371="","Falta categoria",IF(E371="","Falta valor",IF(C371="Categoria inválida","Categoria inválida",IF(OR(H371&lt;1,H371&gt;12),"Fora dos 12 meses","OK"))))))</f>
        <v/>
      </c>
    </row>
    <row r="372">
      <c r="A372" s="35" t="n"/>
      <c r="B372" s="31" t="n"/>
      <c r="C372" s="19">
        <f>IF(B372="","",IF(COUNTIF(Config!$D$6:$D$15,B372)&gt;0,"Entrada",IF(COUNTIF(Config!$F$6:$F$25,B372)&gt;0,"Saída","Categoria inválida")))</f>
        <v/>
      </c>
      <c r="D372" s="31" t="n"/>
      <c r="E372" s="33" t="n"/>
      <c r="F372" s="36" t="n"/>
      <c r="G372" s="31" t="n"/>
      <c r="H372" s="37">
        <f>IF(A372="","",(YEAR(A372)-YEAR(Config!$B$6))*12+MONTH(A372)-MONTH(Config!$B$6)+1)</f>
        <v/>
      </c>
      <c r="I372" s="19">
        <f>IF(AND(A372="",B372="",E372=""),"",IF(A372="","Falta data",IF(B372="","Falta categoria",IF(E372="","Falta valor",IF(C372="Categoria inválida","Categoria inválida",IF(OR(H372&lt;1,H372&gt;12),"Fora dos 12 meses","OK"))))))</f>
        <v/>
      </c>
    </row>
    <row r="373">
      <c r="A373" s="35" t="n"/>
      <c r="B373" s="31" t="n"/>
      <c r="C373" s="19">
        <f>IF(B373="","",IF(COUNTIF(Config!$D$6:$D$15,B373)&gt;0,"Entrada",IF(COUNTIF(Config!$F$6:$F$25,B373)&gt;0,"Saída","Categoria inválida")))</f>
        <v/>
      </c>
      <c r="D373" s="31" t="n"/>
      <c r="E373" s="33" t="n"/>
      <c r="F373" s="36" t="n"/>
      <c r="G373" s="31" t="n"/>
      <c r="H373" s="37">
        <f>IF(A373="","",(YEAR(A373)-YEAR(Config!$B$6))*12+MONTH(A373)-MONTH(Config!$B$6)+1)</f>
        <v/>
      </c>
      <c r="I373" s="19">
        <f>IF(AND(A373="",B373="",E373=""),"",IF(A373="","Falta data",IF(B373="","Falta categoria",IF(E373="","Falta valor",IF(C373="Categoria inválida","Categoria inválida",IF(OR(H373&lt;1,H373&gt;12),"Fora dos 12 meses","OK"))))))</f>
        <v/>
      </c>
    </row>
    <row r="374">
      <c r="A374" s="35" t="n"/>
      <c r="B374" s="31" t="n"/>
      <c r="C374" s="19">
        <f>IF(B374="","",IF(COUNTIF(Config!$D$6:$D$15,B374)&gt;0,"Entrada",IF(COUNTIF(Config!$F$6:$F$25,B374)&gt;0,"Saída","Categoria inválida")))</f>
        <v/>
      </c>
      <c r="D374" s="31" t="n"/>
      <c r="E374" s="33" t="n"/>
      <c r="F374" s="36" t="n"/>
      <c r="G374" s="31" t="n"/>
      <c r="H374" s="37">
        <f>IF(A374="","",(YEAR(A374)-YEAR(Config!$B$6))*12+MONTH(A374)-MONTH(Config!$B$6)+1)</f>
        <v/>
      </c>
      <c r="I374" s="19">
        <f>IF(AND(A374="",B374="",E374=""),"",IF(A374="","Falta data",IF(B374="","Falta categoria",IF(E374="","Falta valor",IF(C374="Categoria inválida","Categoria inválida",IF(OR(H374&lt;1,H374&gt;12),"Fora dos 12 meses","OK"))))))</f>
        <v/>
      </c>
    </row>
    <row r="375">
      <c r="A375" s="35" t="n"/>
      <c r="B375" s="31" t="n"/>
      <c r="C375" s="19">
        <f>IF(B375="","",IF(COUNTIF(Config!$D$6:$D$15,B375)&gt;0,"Entrada",IF(COUNTIF(Config!$F$6:$F$25,B375)&gt;0,"Saída","Categoria inválida")))</f>
        <v/>
      </c>
      <c r="D375" s="31" t="n"/>
      <c r="E375" s="33" t="n"/>
      <c r="F375" s="36" t="n"/>
      <c r="G375" s="31" t="n"/>
      <c r="H375" s="37">
        <f>IF(A375="","",(YEAR(A375)-YEAR(Config!$B$6))*12+MONTH(A375)-MONTH(Config!$B$6)+1)</f>
        <v/>
      </c>
      <c r="I375" s="19">
        <f>IF(AND(A375="",B375="",E375=""),"",IF(A375="","Falta data",IF(B375="","Falta categoria",IF(E375="","Falta valor",IF(C375="Categoria inválida","Categoria inválida",IF(OR(H375&lt;1,H375&gt;12),"Fora dos 12 meses","OK"))))))</f>
        <v/>
      </c>
    </row>
    <row r="376">
      <c r="A376" s="35" t="n"/>
      <c r="B376" s="31" t="n"/>
      <c r="C376" s="19">
        <f>IF(B376="","",IF(COUNTIF(Config!$D$6:$D$15,B376)&gt;0,"Entrada",IF(COUNTIF(Config!$F$6:$F$25,B376)&gt;0,"Saída","Categoria inválida")))</f>
        <v/>
      </c>
      <c r="D376" s="31" t="n"/>
      <c r="E376" s="33" t="n"/>
      <c r="F376" s="36" t="n"/>
      <c r="G376" s="31" t="n"/>
      <c r="H376" s="37">
        <f>IF(A376="","",(YEAR(A376)-YEAR(Config!$B$6))*12+MONTH(A376)-MONTH(Config!$B$6)+1)</f>
        <v/>
      </c>
      <c r="I376" s="19">
        <f>IF(AND(A376="",B376="",E376=""),"",IF(A376="","Falta data",IF(B376="","Falta categoria",IF(E376="","Falta valor",IF(C376="Categoria inválida","Categoria inválida",IF(OR(H376&lt;1,H376&gt;12),"Fora dos 12 meses","OK"))))))</f>
        <v/>
      </c>
    </row>
    <row r="377">
      <c r="A377" s="35" t="n"/>
      <c r="B377" s="31" t="n"/>
      <c r="C377" s="19">
        <f>IF(B377="","",IF(COUNTIF(Config!$D$6:$D$15,B377)&gt;0,"Entrada",IF(COUNTIF(Config!$F$6:$F$25,B377)&gt;0,"Saída","Categoria inválida")))</f>
        <v/>
      </c>
      <c r="D377" s="31" t="n"/>
      <c r="E377" s="33" t="n"/>
      <c r="F377" s="36" t="n"/>
      <c r="G377" s="31" t="n"/>
      <c r="H377" s="37">
        <f>IF(A377="","",(YEAR(A377)-YEAR(Config!$B$6))*12+MONTH(A377)-MONTH(Config!$B$6)+1)</f>
        <v/>
      </c>
      <c r="I377" s="19">
        <f>IF(AND(A377="",B377="",E377=""),"",IF(A377="","Falta data",IF(B377="","Falta categoria",IF(E377="","Falta valor",IF(C377="Categoria inválida","Categoria inválida",IF(OR(H377&lt;1,H377&gt;12),"Fora dos 12 meses","OK"))))))</f>
        <v/>
      </c>
    </row>
    <row r="378">
      <c r="A378" s="35" t="n"/>
      <c r="B378" s="31" t="n"/>
      <c r="C378" s="19">
        <f>IF(B378="","",IF(COUNTIF(Config!$D$6:$D$15,B378)&gt;0,"Entrada",IF(COUNTIF(Config!$F$6:$F$25,B378)&gt;0,"Saída","Categoria inválida")))</f>
        <v/>
      </c>
      <c r="D378" s="31" t="n"/>
      <c r="E378" s="33" t="n"/>
      <c r="F378" s="36" t="n"/>
      <c r="G378" s="31" t="n"/>
      <c r="H378" s="37">
        <f>IF(A378="","",(YEAR(A378)-YEAR(Config!$B$6))*12+MONTH(A378)-MONTH(Config!$B$6)+1)</f>
        <v/>
      </c>
      <c r="I378" s="19">
        <f>IF(AND(A378="",B378="",E378=""),"",IF(A378="","Falta data",IF(B378="","Falta categoria",IF(E378="","Falta valor",IF(C378="Categoria inválida","Categoria inválida",IF(OR(H378&lt;1,H378&gt;12),"Fora dos 12 meses","OK"))))))</f>
        <v/>
      </c>
    </row>
    <row r="379">
      <c r="A379" s="35" t="n"/>
      <c r="B379" s="31" t="n"/>
      <c r="C379" s="19">
        <f>IF(B379="","",IF(COUNTIF(Config!$D$6:$D$15,B379)&gt;0,"Entrada",IF(COUNTIF(Config!$F$6:$F$25,B379)&gt;0,"Saída","Categoria inválida")))</f>
        <v/>
      </c>
      <c r="D379" s="31" t="n"/>
      <c r="E379" s="33" t="n"/>
      <c r="F379" s="36" t="n"/>
      <c r="G379" s="31" t="n"/>
      <c r="H379" s="37">
        <f>IF(A379="","",(YEAR(A379)-YEAR(Config!$B$6))*12+MONTH(A379)-MONTH(Config!$B$6)+1)</f>
        <v/>
      </c>
      <c r="I379" s="19">
        <f>IF(AND(A379="",B379="",E379=""),"",IF(A379="","Falta data",IF(B379="","Falta categoria",IF(E379="","Falta valor",IF(C379="Categoria inválida","Categoria inválida",IF(OR(H379&lt;1,H379&gt;12),"Fora dos 12 meses","OK"))))))</f>
        <v/>
      </c>
    </row>
    <row r="380">
      <c r="A380" s="35" t="n"/>
      <c r="B380" s="31" t="n"/>
      <c r="C380" s="19">
        <f>IF(B380="","",IF(COUNTIF(Config!$D$6:$D$15,B380)&gt;0,"Entrada",IF(COUNTIF(Config!$F$6:$F$25,B380)&gt;0,"Saída","Categoria inválida")))</f>
        <v/>
      </c>
      <c r="D380" s="31" t="n"/>
      <c r="E380" s="33" t="n"/>
      <c r="F380" s="36" t="n"/>
      <c r="G380" s="31" t="n"/>
      <c r="H380" s="37">
        <f>IF(A380="","",(YEAR(A380)-YEAR(Config!$B$6))*12+MONTH(A380)-MONTH(Config!$B$6)+1)</f>
        <v/>
      </c>
      <c r="I380" s="19">
        <f>IF(AND(A380="",B380="",E380=""),"",IF(A380="","Falta data",IF(B380="","Falta categoria",IF(E380="","Falta valor",IF(C380="Categoria inválida","Categoria inválida",IF(OR(H380&lt;1,H380&gt;12),"Fora dos 12 meses","OK"))))))</f>
        <v/>
      </c>
    </row>
    <row r="381">
      <c r="A381" s="35" t="n"/>
      <c r="B381" s="31" t="n"/>
      <c r="C381" s="19">
        <f>IF(B381="","",IF(COUNTIF(Config!$D$6:$D$15,B381)&gt;0,"Entrada",IF(COUNTIF(Config!$F$6:$F$25,B381)&gt;0,"Saída","Categoria inválida")))</f>
        <v/>
      </c>
      <c r="D381" s="31" t="n"/>
      <c r="E381" s="33" t="n"/>
      <c r="F381" s="36" t="n"/>
      <c r="G381" s="31" t="n"/>
      <c r="H381" s="37">
        <f>IF(A381="","",(YEAR(A381)-YEAR(Config!$B$6))*12+MONTH(A381)-MONTH(Config!$B$6)+1)</f>
        <v/>
      </c>
      <c r="I381" s="19">
        <f>IF(AND(A381="",B381="",E381=""),"",IF(A381="","Falta data",IF(B381="","Falta categoria",IF(E381="","Falta valor",IF(C381="Categoria inválida","Categoria inválida",IF(OR(H381&lt;1,H381&gt;12),"Fora dos 12 meses","OK"))))))</f>
        <v/>
      </c>
    </row>
    <row r="382">
      <c r="A382" s="35" t="n"/>
      <c r="B382" s="31" t="n"/>
      <c r="C382" s="19">
        <f>IF(B382="","",IF(COUNTIF(Config!$D$6:$D$15,B382)&gt;0,"Entrada",IF(COUNTIF(Config!$F$6:$F$25,B382)&gt;0,"Saída","Categoria inválida")))</f>
        <v/>
      </c>
      <c r="D382" s="31" t="n"/>
      <c r="E382" s="33" t="n"/>
      <c r="F382" s="36" t="n"/>
      <c r="G382" s="31" t="n"/>
      <c r="H382" s="37">
        <f>IF(A382="","",(YEAR(A382)-YEAR(Config!$B$6))*12+MONTH(A382)-MONTH(Config!$B$6)+1)</f>
        <v/>
      </c>
      <c r="I382" s="19">
        <f>IF(AND(A382="",B382="",E382=""),"",IF(A382="","Falta data",IF(B382="","Falta categoria",IF(E382="","Falta valor",IF(C382="Categoria inválida","Categoria inválida",IF(OR(H382&lt;1,H382&gt;12),"Fora dos 12 meses","OK"))))))</f>
        <v/>
      </c>
    </row>
    <row r="383">
      <c r="A383" s="35" t="n"/>
      <c r="B383" s="31" t="n"/>
      <c r="C383" s="19">
        <f>IF(B383="","",IF(COUNTIF(Config!$D$6:$D$15,B383)&gt;0,"Entrada",IF(COUNTIF(Config!$F$6:$F$25,B383)&gt;0,"Saída","Categoria inválida")))</f>
        <v/>
      </c>
      <c r="D383" s="31" t="n"/>
      <c r="E383" s="33" t="n"/>
      <c r="F383" s="36" t="n"/>
      <c r="G383" s="31" t="n"/>
      <c r="H383" s="37">
        <f>IF(A383="","",(YEAR(A383)-YEAR(Config!$B$6))*12+MONTH(A383)-MONTH(Config!$B$6)+1)</f>
        <v/>
      </c>
      <c r="I383" s="19">
        <f>IF(AND(A383="",B383="",E383=""),"",IF(A383="","Falta data",IF(B383="","Falta categoria",IF(E383="","Falta valor",IF(C383="Categoria inválida","Categoria inválida",IF(OR(H383&lt;1,H383&gt;12),"Fora dos 12 meses","OK"))))))</f>
        <v/>
      </c>
    </row>
    <row r="384">
      <c r="A384" s="35" t="n"/>
      <c r="B384" s="31" t="n"/>
      <c r="C384" s="19">
        <f>IF(B384="","",IF(COUNTIF(Config!$D$6:$D$15,B384)&gt;0,"Entrada",IF(COUNTIF(Config!$F$6:$F$25,B384)&gt;0,"Saída","Categoria inválida")))</f>
        <v/>
      </c>
      <c r="D384" s="31" t="n"/>
      <c r="E384" s="33" t="n"/>
      <c r="F384" s="36" t="n"/>
      <c r="G384" s="31" t="n"/>
      <c r="H384" s="37">
        <f>IF(A384="","",(YEAR(A384)-YEAR(Config!$B$6))*12+MONTH(A384)-MONTH(Config!$B$6)+1)</f>
        <v/>
      </c>
      <c r="I384" s="19">
        <f>IF(AND(A384="",B384="",E384=""),"",IF(A384="","Falta data",IF(B384="","Falta categoria",IF(E384="","Falta valor",IF(C384="Categoria inválida","Categoria inválida",IF(OR(H384&lt;1,H384&gt;12),"Fora dos 12 meses","OK"))))))</f>
        <v/>
      </c>
    </row>
    <row r="385">
      <c r="A385" s="35" t="n"/>
      <c r="B385" s="31" t="n"/>
      <c r="C385" s="19">
        <f>IF(B385="","",IF(COUNTIF(Config!$D$6:$D$15,B385)&gt;0,"Entrada",IF(COUNTIF(Config!$F$6:$F$25,B385)&gt;0,"Saída","Categoria inválida")))</f>
        <v/>
      </c>
      <c r="D385" s="31" t="n"/>
      <c r="E385" s="33" t="n"/>
      <c r="F385" s="36" t="n"/>
      <c r="G385" s="31" t="n"/>
      <c r="H385" s="37">
        <f>IF(A385="","",(YEAR(A385)-YEAR(Config!$B$6))*12+MONTH(A385)-MONTH(Config!$B$6)+1)</f>
        <v/>
      </c>
      <c r="I385" s="19">
        <f>IF(AND(A385="",B385="",E385=""),"",IF(A385="","Falta data",IF(B385="","Falta categoria",IF(E385="","Falta valor",IF(C385="Categoria inválida","Categoria inválida",IF(OR(H385&lt;1,H385&gt;12),"Fora dos 12 meses","OK"))))))</f>
        <v/>
      </c>
    </row>
    <row r="386">
      <c r="A386" s="35" t="n"/>
      <c r="B386" s="31" t="n"/>
      <c r="C386" s="19">
        <f>IF(B386="","",IF(COUNTIF(Config!$D$6:$D$15,B386)&gt;0,"Entrada",IF(COUNTIF(Config!$F$6:$F$25,B386)&gt;0,"Saída","Categoria inválida")))</f>
        <v/>
      </c>
      <c r="D386" s="31" t="n"/>
      <c r="E386" s="33" t="n"/>
      <c r="F386" s="36" t="n"/>
      <c r="G386" s="31" t="n"/>
      <c r="H386" s="37">
        <f>IF(A386="","",(YEAR(A386)-YEAR(Config!$B$6))*12+MONTH(A386)-MONTH(Config!$B$6)+1)</f>
        <v/>
      </c>
      <c r="I386" s="19">
        <f>IF(AND(A386="",B386="",E386=""),"",IF(A386="","Falta data",IF(B386="","Falta categoria",IF(E386="","Falta valor",IF(C386="Categoria inválida","Categoria inválida",IF(OR(H386&lt;1,H386&gt;12),"Fora dos 12 meses","OK"))))))</f>
        <v/>
      </c>
    </row>
    <row r="387">
      <c r="A387" s="35" t="n"/>
      <c r="B387" s="31" t="n"/>
      <c r="C387" s="19">
        <f>IF(B387="","",IF(COUNTIF(Config!$D$6:$D$15,B387)&gt;0,"Entrada",IF(COUNTIF(Config!$F$6:$F$25,B387)&gt;0,"Saída","Categoria inválida")))</f>
        <v/>
      </c>
      <c r="D387" s="31" t="n"/>
      <c r="E387" s="33" t="n"/>
      <c r="F387" s="36" t="n"/>
      <c r="G387" s="31" t="n"/>
      <c r="H387" s="37">
        <f>IF(A387="","",(YEAR(A387)-YEAR(Config!$B$6))*12+MONTH(A387)-MONTH(Config!$B$6)+1)</f>
        <v/>
      </c>
      <c r="I387" s="19">
        <f>IF(AND(A387="",B387="",E387=""),"",IF(A387="","Falta data",IF(B387="","Falta categoria",IF(E387="","Falta valor",IF(C387="Categoria inválida","Categoria inválida",IF(OR(H387&lt;1,H387&gt;12),"Fora dos 12 meses","OK"))))))</f>
        <v/>
      </c>
    </row>
    <row r="388">
      <c r="A388" s="35" t="n"/>
      <c r="B388" s="31" t="n"/>
      <c r="C388" s="19">
        <f>IF(B388="","",IF(COUNTIF(Config!$D$6:$D$15,B388)&gt;0,"Entrada",IF(COUNTIF(Config!$F$6:$F$25,B388)&gt;0,"Saída","Categoria inválida")))</f>
        <v/>
      </c>
      <c r="D388" s="31" t="n"/>
      <c r="E388" s="33" t="n"/>
      <c r="F388" s="36" t="n"/>
      <c r="G388" s="31" t="n"/>
      <c r="H388" s="37">
        <f>IF(A388="","",(YEAR(A388)-YEAR(Config!$B$6))*12+MONTH(A388)-MONTH(Config!$B$6)+1)</f>
        <v/>
      </c>
      <c r="I388" s="19">
        <f>IF(AND(A388="",B388="",E388=""),"",IF(A388="","Falta data",IF(B388="","Falta categoria",IF(E388="","Falta valor",IF(C388="Categoria inválida","Categoria inválida",IF(OR(H388&lt;1,H388&gt;12),"Fora dos 12 meses","OK"))))))</f>
        <v/>
      </c>
    </row>
    <row r="389">
      <c r="A389" s="35" t="n"/>
      <c r="B389" s="31" t="n"/>
      <c r="C389" s="19">
        <f>IF(B389="","",IF(COUNTIF(Config!$D$6:$D$15,B389)&gt;0,"Entrada",IF(COUNTIF(Config!$F$6:$F$25,B389)&gt;0,"Saída","Categoria inválida")))</f>
        <v/>
      </c>
      <c r="D389" s="31" t="n"/>
      <c r="E389" s="33" t="n"/>
      <c r="F389" s="36" t="n"/>
      <c r="G389" s="31" t="n"/>
      <c r="H389" s="37">
        <f>IF(A389="","",(YEAR(A389)-YEAR(Config!$B$6))*12+MONTH(A389)-MONTH(Config!$B$6)+1)</f>
        <v/>
      </c>
      <c r="I389" s="19">
        <f>IF(AND(A389="",B389="",E389=""),"",IF(A389="","Falta data",IF(B389="","Falta categoria",IF(E389="","Falta valor",IF(C389="Categoria inválida","Categoria inválida",IF(OR(H389&lt;1,H389&gt;12),"Fora dos 12 meses","OK"))))))</f>
        <v/>
      </c>
    </row>
    <row r="390">
      <c r="A390" s="35" t="n"/>
      <c r="B390" s="31" t="n"/>
      <c r="C390" s="19">
        <f>IF(B390="","",IF(COUNTIF(Config!$D$6:$D$15,B390)&gt;0,"Entrada",IF(COUNTIF(Config!$F$6:$F$25,B390)&gt;0,"Saída","Categoria inválida")))</f>
        <v/>
      </c>
      <c r="D390" s="31" t="n"/>
      <c r="E390" s="33" t="n"/>
      <c r="F390" s="36" t="n"/>
      <c r="G390" s="31" t="n"/>
      <c r="H390" s="37">
        <f>IF(A390="","",(YEAR(A390)-YEAR(Config!$B$6))*12+MONTH(A390)-MONTH(Config!$B$6)+1)</f>
        <v/>
      </c>
      <c r="I390" s="19">
        <f>IF(AND(A390="",B390="",E390=""),"",IF(A390="","Falta data",IF(B390="","Falta categoria",IF(E390="","Falta valor",IF(C390="Categoria inválida","Categoria inválida",IF(OR(H390&lt;1,H390&gt;12),"Fora dos 12 meses","OK"))))))</f>
        <v/>
      </c>
    </row>
    <row r="391">
      <c r="A391" s="35" t="n"/>
      <c r="B391" s="31" t="n"/>
      <c r="C391" s="19">
        <f>IF(B391="","",IF(COUNTIF(Config!$D$6:$D$15,B391)&gt;0,"Entrada",IF(COUNTIF(Config!$F$6:$F$25,B391)&gt;0,"Saída","Categoria inválida")))</f>
        <v/>
      </c>
      <c r="D391" s="31" t="n"/>
      <c r="E391" s="33" t="n"/>
      <c r="F391" s="36" t="n"/>
      <c r="G391" s="31" t="n"/>
      <c r="H391" s="37">
        <f>IF(A391="","",(YEAR(A391)-YEAR(Config!$B$6))*12+MONTH(A391)-MONTH(Config!$B$6)+1)</f>
        <v/>
      </c>
      <c r="I391" s="19">
        <f>IF(AND(A391="",B391="",E391=""),"",IF(A391="","Falta data",IF(B391="","Falta categoria",IF(E391="","Falta valor",IF(C391="Categoria inválida","Categoria inválida",IF(OR(H391&lt;1,H391&gt;12),"Fora dos 12 meses","OK"))))))</f>
        <v/>
      </c>
    </row>
    <row r="392">
      <c r="A392" s="35" t="n"/>
      <c r="B392" s="31" t="n"/>
      <c r="C392" s="19">
        <f>IF(B392="","",IF(COUNTIF(Config!$D$6:$D$15,B392)&gt;0,"Entrada",IF(COUNTIF(Config!$F$6:$F$25,B392)&gt;0,"Saída","Categoria inválida")))</f>
        <v/>
      </c>
      <c r="D392" s="31" t="n"/>
      <c r="E392" s="33" t="n"/>
      <c r="F392" s="36" t="n"/>
      <c r="G392" s="31" t="n"/>
      <c r="H392" s="37">
        <f>IF(A392="","",(YEAR(A392)-YEAR(Config!$B$6))*12+MONTH(A392)-MONTH(Config!$B$6)+1)</f>
        <v/>
      </c>
      <c r="I392" s="19">
        <f>IF(AND(A392="",B392="",E392=""),"",IF(A392="","Falta data",IF(B392="","Falta categoria",IF(E392="","Falta valor",IF(C392="Categoria inválida","Categoria inválida",IF(OR(H392&lt;1,H392&gt;12),"Fora dos 12 meses","OK"))))))</f>
        <v/>
      </c>
    </row>
    <row r="393">
      <c r="A393" s="35" t="n"/>
      <c r="B393" s="31" t="n"/>
      <c r="C393" s="19">
        <f>IF(B393="","",IF(COUNTIF(Config!$D$6:$D$15,B393)&gt;0,"Entrada",IF(COUNTIF(Config!$F$6:$F$25,B393)&gt;0,"Saída","Categoria inválida")))</f>
        <v/>
      </c>
      <c r="D393" s="31" t="n"/>
      <c r="E393" s="33" t="n"/>
      <c r="F393" s="36" t="n"/>
      <c r="G393" s="31" t="n"/>
      <c r="H393" s="37">
        <f>IF(A393="","",(YEAR(A393)-YEAR(Config!$B$6))*12+MONTH(A393)-MONTH(Config!$B$6)+1)</f>
        <v/>
      </c>
      <c r="I393" s="19">
        <f>IF(AND(A393="",B393="",E393=""),"",IF(A393="","Falta data",IF(B393="","Falta categoria",IF(E393="","Falta valor",IF(C393="Categoria inválida","Categoria inválida",IF(OR(H393&lt;1,H393&gt;12),"Fora dos 12 meses","OK"))))))</f>
        <v/>
      </c>
    </row>
    <row r="394">
      <c r="A394" s="35" t="n"/>
      <c r="B394" s="31" t="n"/>
      <c r="C394" s="19">
        <f>IF(B394="","",IF(COUNTIF(Config!$D$6:$D$15,B394)&gt;0,"Entrada",IF(COUNTIF(Config!$F$6:$F$25,B394)&gt;0,"Saída","Categoria inválida")))</f>
        <v/>
      </c>
      <c r="D394" s="31" t="n"/>
      <c r="E394" s="33" t="n"/>
      <c r="F394" s="36" t="n"/>
      <c r="G394" s="31" t="n"/>
      <c r="H394" s="37">
        <f>IF(A394="","",(YEAR(A394)-YEAR(Config!$B$6))*12+MONTH(A394)-MONTH(Config!$B$6)+1)</f>
        <v/>
      </c>
      <c r="I394" s="19">
        <f>IF(AND(A394="",B394="",E394=""),"",IF(A394="","Falta data",IF(B394="","Falta categoria",IF(E394="","Falta valor",IF(C394="Categoria inválida","Categoria inválida",IF(OR(H394&lt;1,H394&gt;12),"Fora dos 12 meses","OK"))))))</f>
        <v/>
      </c>
    </row>
    <row r="395">
      <c r="A395" s="35" t="n"/>
      <c r="B395" s="31" t="n"/>
      <c r="C395" s="19">
        <f>IF(B395="","",IF(COUNTIF(Config!$D$6:$D$15,B395)&gt;0,"Entrada",IF(COUNTIF(Config!$F$6:$F$25,B395)&gt;0,"Saída","Categoria inválida")))</f>
        <v/>
      </c>
      <c r="D395" s="31" t="n"/>
      <c r="E395" s="33" t="n"/>
      <c r="F395" s="36" t="n"/>
      <c r="G395" s="31" t="n"/>
      <c r="H395" s="37">
        <f>IF(A395="","",(YEAR(A395)-YEAR(Config!$B$6))*12+MONTH(A395)-MONTH(Config!$B$6)+1)</f>
        <v/>
      </c>
      <c r="I395" s="19">
        <f>IF(AND(A395="",B395="",E395=""),"",IF(A395="","Falta data",IF(B395="","Falta categoria",IF(E395="","Falta valor",IF(C395="Categoria inválida","Categoria inválida",IF(OR(H395&lt;1,H395&gt;12),"Fora dos 12 meses","OK"))))))</f>
        <v/>
      </c>
    </row>
    <row r="396">
      <c r="A396" s="35" t="n"/>
      <c r="B396" s="31" t="n"/>
      <c r="C396" s="19">
        <f>IF(B396="","",IF(COUNTIF(Config!$D$6:$D$15,B396)&gt;0,"Entrada",IF(COUNTIF(Config!$F$6:$F$25,B396)&gt;0,"Saída","Categoria inválida")))</f>
        <v/>
      </c>
      <c r="D396" s="31" t="n"/>
      <c r="E396" s="33" t="n"/>
      <c r="F396" s="36" t="n"/>
      <c r="G396" s="31" t="n"/>
      <c r="H396" s="37">
        <f>IF(A396="","",(YEAR(A396)-YEAR(Config!$B$6))*12+MONTH(A396)-MONTH(Config!$B$6)+1)</f>
        <v/>
      </c>
      <c r="I396" s="19">
        <f>IF(AND(A396="",B396="",E396=""),"",IF(A396="","Falta data",IF(B396="","Falta categoria",IF(E396="","Falta valor",IF(C396="Categoria inválida","Categoria inválida",IF(OR(H396&lt;1,H396&gt;12),"Fora dos 12 meses","OK"))))))</f>
        <v/>
      </c>
    </row>
    <row r="397">
      <c r="A397" s="35" t="n"/>
      <c r="B397" s="31" t="n"/>
      <c r="C397" s="19">
        <f>IF(B397="","",IF(COUNTIF(Config!$D$6:$D$15,B397)&gt;0,"Entrada",IF(COUNTIF(Config!$F$6:$F$25,B397)&gt;0,"Saída","Categoria inválida")))</f>
        <v/>
      </c>
      <c r="D397" s="31" t="n"/>
      <c r="E397" s="33" t="n"/>
      <c r="F397" s="36" t="n"/>
      <c r="G397" s="31" t="n"/>
      <c r="H397" s="37">
        <f>IF(A397="","",(YEAR(A397)-YEAR(Config!$B$6))*12+MONTH(A397)-MONTH(Config!$B$6)+1)</f>
        <v/>
      </c>
      <c r="I397" s="19">
        <f>IF(AND(A397="",B397="",E397=""),"",IF(A397="","Falta data",IF(B397="","Falta categoria",IF(E397="","Falta valor",IF(C397="Categoria inválida","Categoria inválida",IF(OR(H397&lt;1,H397&gt;12),"Fora dos 12 meses","OK"))))))</f>
        <v/>
      </c>
    </row>
    <row r="398">
      <c r="A398" s="35" t="n"/>
      <c r="B398" s="31" t="n"/>
      <c r="C398" s="19">
        <f>IF(B398="","",IF(COUNTIF(Config!$D$6:$D$15,B398)&gt;0,"Entrada",IF(COUNTIF(Config!$F$6:$F$25,B398)&gt;0,"Saída","Categoria inválida")))</f>
        <v/>
      </c>
      <c r="D398" s="31" t="n"/>
      <c r="E398" s="33" t="n"/>
      <c r="F398" s="36" t="n"/>
      <c r="G398" s="31" t="n"/>
      <c r="H398" s="37">
        <f>IF(A398="","",(YEAR(A398)-YEAR(Config!$B$6))*12+MONTH(A398)-MONTH(Config!$B$6)+1)</f>
        <v/>
      </c>
      <c r="I398" s="19">
        <f>IF(AND(A398="",B398="",E398=""),"",IF(A398="","Falta data",IF(B398="","Falta categoria",IF(E398="","Falta valor",IF(C398="Categoria inválida","Categoria inválida",IF(OR(H398&lt;1,H398&gt;12),"Fora dos 12 meses","OK"))))))</f>
        <v/>
      </c>
    </row>
    <row r="399">
      <c r="A399" s="35" t="n"/>
      <c r="B399" s="31" t="n"/>
      <c r="C399" s="19">
        <f>IF(B399="","",IF(COUNTIF(Config!$D$6:$D$15,B399)&gt;0,"Entrada",IF(COUNTIF(Config!$F$6:$F$25,B399)&gt;0,"Saída","Categoria inválida")))</f>
        <v/>
      </c>
      <c r="D399" s="31" t="n"/>
      <c r="E399" s="33" t="n"/>
      <c r="F399" s="36" t="n"/>
      <c r="G399" s="31" t="n"/>
      <c r="H399" s="37">
        <f>IF(A399="","",(YEAR(A399)-YEAR(Config!$B$6))*12+MONTH(A399)-MONTH(Config!$B$6)+1)</f>
        <v/>
      </c>
      <c r="I399" s="19">
        <f>IF(AND(A399="",B399="",E399=""),"",IF(A399="","Falta data",IF(B399="","Falta categoria",IF(E399="","Falta valor",IF(C399="Categoria inválida","Categoria inválida",IF(OR(H399&lt;1,H399&gt;12),"Fora dos 12 meses","OK"))))))</f>
        <v/>
      </c>
    </row>
    <row r="400">
      <c r="A400" s="35" t="n"/>
      <c r="B400" s="31" t="n"/>
      <c r="C400" s="19">
        <f>IF(B400="","",IF(COUNTIF(Config!$D$6:$D$15,B400)&gt;0,"Entrada",IF(COUNTIF(Config!$F$6:$F$25,B400)&gt;0,"Saída","Categoria inválida")))</f>
        <v/>
      </c>
      <c r="D400" s="31" t="n"/>
      <c r="E400" s="33" t="n"/>
      <c r="F400" s="36" t="n"/>
      <c r="G400" s="31" t="n"/>
      <c r="H400" s="37">
        <f>IF(A400="","",(YEAR(A400)-YEAR(Config!$B$6))*12+MONTH(A400)-MONTH(Config!$B$6)+1)</f>
        <v/>
      </c>
      <c r="I400" s="19">
        <f>IF(AND(A400="",B400="",E400=""),"",IF(A400="","Falta data",IF(B400="","Falta categoria",IF(E400="","Falta valor",IF(C400="Categoria inválida","Categoria inválida",IF(OR(H400&lt;1,H400&gt;12),"Fora dos 12 meses","OK"))))))</f>
        <v/>
      </c>
    </row>
    <row r="401">
      <c r="A401" s="35" t="n"/>
      <c r="B401" s="31" t="n"/>
      <c r="C401" s="19">
        <f>IF(B401="","",IF(COUNTIF(Config!$D$6:$D$15,B401)&gt;0,"Entrada",IF(COUNTIF(Config!$F$6:$F$25,B401)&gt;0,"Saída","Categoria inválida")))</f>
        <v/>
      </c>
      <c r="D401" s="31" t="n"/>
      <c r="E401" s="33" t="n"/>
      <c r="F401" s="36" t="n"/>
      <c r="G401" s="31" t="n"/>
      <c r="H401" s="37">
        <f>IF(A401="","",(YEAR(A401)-YEAR(Config!$B$6))*12+MONTH(A401)-MONTH(Config!$B$6)+1)</f>
        <v/>
      </c>
      <c r="I401" s="19">
        <f>IF(AND(A401="",B401="",E401=""),"",IF(A401="","Falta data",IF(B401="","Falta categoria",IF(E401="","Falta valor",IF(C401="Categoria inválida","Categoria inválida",IF(OR(H401&lt;1,H401&gt;12),"Fora dos 12 meses","OK"))))))</f>
        <v/>
      </c>
    </row>
    <row r="402">
      <c r="A402" s="35" t="n"/>
      <c r="B402" s="31" t="n"/>
      <c r="C402" s="19">
        <f>IF(B402="","",IF(COUNTIF(Config!$D$6:$D$15,B402)&gt;0,"Entrada",IF(COUNTIF(Config!$F$6:$F$25,B402)&gt;0,"Saída","Categoria inválida")))</f>
        <v/>
      </c>
      <c r="D402" s="31" t="n"/>
      <c r="E402" s="33" t="n"/>
      <c r="F402" s="36" t="n"/>
      <c r="G402" s="31" t="n"/>
      <c r="H402" s="37">
        <f>IF(A402="","",(YEAR(A402)-YEAR(Config!$B$6))*12+MONTH(A402)-MONTH(Config!$B$6)+1)</f>
        <v/>
      </c>
      <c r="I402" s="19">
        <f>IF(AND(A402="",B402="",E402=""),"",IF(A402="","Falta data",IF(B402="","Falta categoria",IF(E402="","Falta valor",IF(C402="Categoria inválida","Categoria inválida",IF(OR(H402&lt;1,H402&gt;12),"Fora dos 12 meses","OK"))))))</f>
        <v/>
      </c>
    </row>
    <row r="403">
      <c r="A403" s="35" t="n"/>
      <c r="B403" s="31" t="n"/>
      <c r="C403" s="19">
        <f>IF(B403="","",IF(COUNTIF(Config!$D$6:$D$15,B403)&gt;0,"Entrada",IF(COUNTIF(Config!$F$6:$F$25,B403)&gt;0,"Saída","Categoria inválida")))</f>
        <v/>
      </c>
      <c r="D403" s="31" t="n"/>
      <c r="E403" s="33" t="n"/>
      <c r="F403" s="36" t="n"/>
      <c r="G403" s="31" t="n"/>
      <c r="H403" s="37">
        <f>IF(A403="","",(YEAR(A403)-YEAR(Config!$B$6))*12+MONTH(A403)-MONTH(Config!$B$6)+1)</f>
        <v/>
      </c>
      <c r="I403" s="19">
        <f>IF(AND(A403="",B403="",E403=""),"",IF(A403="","Falta data",IF(B403="","Falta categoria",IF(E403="","Falta valor",IF(C403="Categoria inválida","Categoria inválida",IF(OR(H403&lt;1,H403&gt;12),"Fora dos 12 meses","OK"))))))</f>
        <v/>
      </c>
    </row>
    <row r="404">
      <c r="A404" s="35" t="n"/>
      <c r="B404" s="31" t="n"/>
      <c r="C404" s="19">
        <f>IF(B404="","",IF(COUNTIF(Config!$D$6:$D$15,B404)&gt;0,"Entrada",IF(COUNTIF(Config!$F$6:$F$25,B404)&gt;0,"Saída","Categoria inválida")))</f>
        <v/>
      </c>
      <c r="D404" s="31" t="n"/>
      <c r="E404" s="33" t="n"/>
      <c r="F404" s="36" t="n"/>
      <c r="G404" s="31" t="n"/>
      <c r="H404" s="37">
        <f>IF(A404="","",(YEAR(A404)-YEAR(Config!$B$6))*12+MONTH(A404)-MONTH(Config!$B$6)+1)</f>
        <v/>
      </c>
      <c r="I404" s="19">
        <f>IF(AND(A404="",B404="",E404=""),"",IF(A404="","Falta data",IF(B404="","Falta categoria",IF(E404="","Falta valor",IF(C404="Categoria inválida","Categoria inválida",IF(OR(H404&lt;1,H404&gt;12),"Fora dos 12 meses","OK"))))))</f>
        <v/>
      </c>
    </row>
    <row r="405">
      <c r="A405" s="35" t="n"/>
      <c r="B405" s="31" t="n"/>
      <c r="C405" s="19">
        <f>IF(B405="","",IF(COUNTIF(Config!$D$6:$D$15,B405)&gt;0,"Entrada",IF(COUNTIF(Config!$F$6:$F$25,B405)&gt;0,"Saída","Categoria inválida")))</f>
        <v/>
      </c>
      <c r="D405" s="31" t="n"/>
      <c r="E405" s="33" t="n"/>
      <c r="F405" s="36" t="n"/>
      <c r="G405" s="31" t="n"/>
      <c r="H405" s="37">
        <f>IF(A405="","",(YEAR(A405)-YEAR(Config!$B$6))*12+MONTH(A405)-MONTH(Config!$B$6)+1)</f>
        <v/>
      </c>
      <c r="I405" s="19">
        <f>IF(AND(A405="",B405="",E405=""),"",IF(A405="","Falta data",IF(B405="","Falta categoria",IF(E405="","Falta valor",IF(C405="Categoria inválida","Categoria inválida",IF(OR(H405&lt;1,H405&gt;12),"Fora dos 12 meses","OK"))))))</f>
        <v/>
      </c>
    </row>
    <row r="406">
      <c r="A406" s="35" t="n"/>
      <c r="B406" s="31" t="n"/>
      <c r="C406" s="19">
        <f>IF(B406="","",IF(COUNTIF(Config!$D$6:$D$15,B406)&gt;0,"Entrada",IF(COUNTIF(Config!$F$6:$F$25,B406)&gt;0,"Saída","Categoria inválida")))</f>
        <v/>
      </c>
      <c r="D406" s="31" t="n"/>
      <c r="E406" s="33" t="n"/>
      <c r="F406" s="36" t="n"/>
      <c r="G406" s="31" t="n"/>
      <c r="H406" s="37">
        <f>IF(A406="","",(YEAR(A406)-YEAR(Config!$B$6))*12+MONTH(A406)-MONTH(Config!$B$6)+1)</f>
        <v/>
      </c>
      <c r="I406" s="19">
        <f>IF(AND(A406="",B406="",E406=""),"",IF(A406="","Falta data",IF(B406="","Falta categoria",IF(E406="","Falta valor",IF(C406="Categoria inválida","Categoria inválida",IF(OR(H406&lt;1,H406&gt;12),"Fora dos 12 meses","OK"))))))</f>
        <v/>
      </c>
    </row>
    <row r="407">
      <c r="A407" s="35" t="n"/>
      <c r="B407" s="31" t="n"/>
      <c r="C407" s="19">
        <f>IF(B407="","",IF(COUNTIF(Config!$D$6:$D$15,B407)&gt;0,"Entrada",IF(COUNTIF(Config!$F$6:$F$25,B407)&gt;0,"Saída","Categoria inválida")))</f>
        <v/>
      </c>
      <c r="D407" s="31" t="n"/>
      <c r="E407" s="33" t="n"/>
      <c r="F407" s="36" t="n"/>
      <c r="G407" s="31" t="n"/>
      <c r="H407" s="37">
        <f>IF(A407="","",(YEAR(A407)-YEAR(Config!$B$6))*12+MONTH(A407)-MONTH(Config!$B$6)+1)</f>
        <v/>
      </c>
      <c r="I407" s="19">
        <f>IF(AND(A407="",B407="",E407=""),"",IF(A407="","Falta data",IF(B407="","Falta categoria",IF(E407="","Falta valor",IF(C407="Categoria inválida","Categoria inválida",IF(OR(H407&lt;1,H407&gt;12),"Fora dos 12 meses","OK"))))))</f>
        <v/>
      </c>
    </row>
    <row r="408">
      <c r="A408" s="35" t="n"/>
      <c r="B408" s="31" t="n"/>
      <c r="C408" s="19">
        <f>IF(B408="","",IF(COUNTIF(Config!$D$6:$D$15,B408)&gt;0,"Entrada",IF(COUNTIF(Config!$F$6:$F$25,B408)&gt;0,"Saída","Categoria inválida")))</f>
        <v/>
      </c>
      <c r="D408" s="31" t="n"/>
      <c r="E408" s="33" t="n"/>
      <c r="F408" s="36" t="n"/>
      <c r="G408" s="31" t="n"/>
      <c r="H408" s="37">
        <f>IF(A408="","",(YEAR(A408)-YEAR(Config!$B$6))*12+MONTH(A408)-MONTH(Config!$B$6)+1)</f>
        <v/>
      </c>
      <c r="I408" s="19">
        <f>IF(AND(A408="",B408="",E408=""),"",IF(A408="","Falta data",IF(B408="","Falta categoria",IF(E408="","Falta valor",IF(C408="Categoria inválida","Categoria inválida",IF(OR(H408&lt;1,H408&gt;12),"Fora dos 12 meses","OK"))))))</f>
        <v/>
      </c>
    </row>
    <row r="409">
      <c r="A409" s="35" t="n"/>
      <c r="B409" s="31" t="n"/>
      <c r="C409" s="19">
        <f>IF(B409="","",IF(COUNTIF(Config!$D$6:$D$15,B409)&gt;0,"Entrada",IF(COUNTIF(Config!$F$6:$F$25,B409)&gt;0,"Saída","Categoria inválida")))</f>
        <v/>
      </c>
      <c r="D409" s="31" t="n"/>
      <c r="E409" s="33" t="n"/>
      <c r="F409" s="36" t="n"/>
      <c r="G409" s="31" t="n"/>
      <c r="H409" s="37">
        <f>IF(A409="","",(YEAR(A409)-YEAR(Config!$B$6))*12+MONTH(A409)-MONTH(Config!$B$6)+1)</f>
        <v/>
      </c>
      <c r="I409" s="19">
        <f>IF(AND(A409="",B409="",E409=""),"",IF(A409="","Falta data",IF(B409="","Falta categoria",IF(E409="","Falta valor",IF(C409="Categoria inválida","Categoria inválida",IF(OR(H409&lt;1,H409&gt;12),"Fora dos 12 meses","OK"))))))</f>
        <v/>
      </c>
    </row>
    <row r="410">
      <c r="A410" s="35" t="n"/>
      <c r="B410" s="31" t="n"/>
      <c r="C410" s="19">
        <f>IF(B410="","",IF(COUNTIF(Config!$D$6:$D$15,B410)&gt;0,"Entrada",IF(COUNTIF(Config!$F$6:$F$25,B410)&gt;0,"Saída","Categoria inválida")))</f>
        <v/>
      </c>
      <c r="D410" s="31" t="n"/>
      <c r="E410" s="33" t="n"/>
      <c r="F410" s="36" t="n"/>
      <c r="G410" s="31" t="n"/>
      <c r="H410" s="37">
        <f>IF(A410="","",(YEAR(A410)-YEAR(Config!$B$6))*12+MONTH(A410)-MONTH(Config!$B$6)+1)</f>
        <v/>
      </c>
      <c r="I410" s="19">
        <f>IF(AND(A410="",B410="",E410=""),"",IF(A410="","Falta data",IF(B410="","Falta categoria",IF(E410="","Falta valor",IF(C410="Categoria inválida","Categoria inválida",IF(OR(H410&lt;1,H410&gt;12),"Fora dos 12 meses","OK"))))))</f>
        <v/>
      </c>
    </row>
    <row r="411">
      <c r="A411" s="35" t="n"/>
      <c r="B411" s="31" t="n"/>
      <c r="C411" s="19">
        <f>IF(B411="","",IF(COUNTIF(Config!$D$6:$D$15,B411)&gt;0,"Entrada",IF(COUNTIF(Config!$F$6:$F$25,B411)&gt;0,"Saída","Categoria inválida")))</f>
        <v/>
      </c>
      <c r="D411" s="31" t="n"/>
      <c r="E411" s="33" t="n"/>
      <c r="F411" s="36" t="n"/>
      <c r="G411" s="31" t="n"/>
      <c r="H411" s="37">
        <f>IF(A411="","",(YEAR(A411)-YEAR(Config!$B$6))*12+MONTH(A411)-MONTH(Config!$B$6)+1)</f>
        <v/>
      </c>
      <c r="I411" s="19">
        <f>IF(AND(A411="",B411="",E411=""),"",IF(A411="","Falta data",IF(B411="","Falta categoria",IF(E411="","Falta valor",IF(C411="Categoria inválida","Categoria inválida",IF(OR(H411&lt;1,H411&gt;12),"Fora dos 12 meses","OK"))))))</f>
        <v/>
      </c>
    </row>
    <row r="412">
      <c r="A412" s="35" t="n"/>
      <c r="B412" s="31" t="n"/>
      <c r="C412" s="19">
        <f>IF(B412="","",IF(COUNTIF(Config!$D$6:$D$15,B412)&gt;0,"Entrada",IF(COUNTIF(Config!$F$6:$F$25,B412)&gt;0,"Saída","Categoria inválida")))</f>
        <v/>
      </c>
      <c r="D412" s="31" t="n"/>
      <c r="E412" s="33" t="n"/>
      <c r="F412" s="36" t="n"/>
      <c r="G412" s="31" t="n"/>
      <c r="H412" s="37">
        <f>IF(A412="","",(YEAR(A412)-YEAR(Config!$B$6))*12+MONTH(A412)-MONTH(Config!$B$6)+1)</f>
        <v/>
      </c>
      <c r="I412" s="19">
        <f>IF(AND(A412="",B412="",E412=""),"",IF(A412="","Falta data",IF(B412="","Falta categoria",IF(E412="","Falta valor",IF(C412="Categoria inválida","Categoria inválida",IF(OR(H412&lt;1,H412&gt;12),"Fora dos 12 meses","OK"))))))</f>
        <v/>
      </c>
    </row>
    <row r="413">
      <c r="A413" s="35" t="n"/>
      <c r="B413" s="31" t="n"/>
      <c r="C413" s="19">
        <f>IF(B413="","",IF(COUNTIF(Config!$D$6:$D$15,B413)&gt;0,"Entrada",IF(COUNTIF(Config!$F$6:$F$25,B413)&gt;0,"Saída","Categoria inválida")))</f>
        <v/>
      </c>
      <c r="D413" s="31" t="n"/>
      <c r="E413" s="33" t="n"/>
      <c r="F413" s="36" t="n"/>
      <c r="G413" s="31" t="n"/>
      <c r="H413" s="37">
        <f>IF(A413="","",(YEAR(A413)-YEAR(Config!$B$6))*12+MONTH(A413)-MONTH(Config!$B$6)+1)</f>
        <v/>
      </c>
      <c r="I413" s="19">
        <f>IF(AND(A413="",B413="",E413=""),"",IF(A413="","Falta data",IF(B413="","Falta categoria",IF(E413="","Falta valor",IF(C413="Categoria inválida","Categoria inválida",IF(OR(H413&lt;1,H413&gt;12),"Fora dos 12 meses","OK"))))))</f>
        <v/>
      </c>
    </row>
    <row r="414">
      <c r="A414" s="35" t="n"/>
      <c r="B414" s="31" t="n"/>
      <c r="C414" s="19">
        <f>IF(B414="","",IF(COUNTIF(Config!$D$6:$D$15,B414)&gt;0,"Entrada",IF(COUNTIF(Config!$F$6:$F$25,B414)&gt;0,"Saída","Categoria inválida")))</f>
        <v/>
      </c>
      <c r="D414" s="31" t="n"/>
      <c r="E414" s="33" t="n"/>
      <c r="F414" s="36" t="n"/>
      <c r="G414" s="31" t="n"/>
      <c r="H414" s="37">
        <f>IF(A414="","",(YEAR(A414)-YEAR(Config!$B$6))*12+MONTH(A414)-MONTH(Config!$B$6)+1)</f>
        <v/>
      </c>
      <c r="I414" s="19">
        <f>IF(AND(A414="",B414="",E414=""),"",IF(A414="","Falta data",IF(B414="","Falta categoria",IF(E414="","Falta valor",IF(C414="Categoria inválida","Categoria inválida",IF(OR(H414&lt;1,H414&gt;12),"Fora dos 12 meses","OK"))))))</f>
        <v/>
      </c>
    </row>
    <row r="415">
      <c r="A415" s="35" t="n"/>
      <c r="B415" s="31" t="n"/>
      <c r="C415" s="19">
        <f>IF(B415="","",IF(COUNTIF(Config!$D$6:$D$15,B415)&gt;0,"Entrada",IF(COUNTIF(Config!$F$6:$F$25,B415)&gt;0,"Saída","Categoria inválida")))</f>
        <v/>
      </c>
      <c r="D415" s="31" t="n"/>
      <c r="E415" s="33" t="n"/>
      <c r="F415" s="36" t="n"/>
      <c r="G415" s="31" t="n"/>
      <c r="H415" s="37">
        <f>IF(A415="","",(YEAR(A415)-YEAR(Config!$B$6))*12+MONTH(A415)-MONTH(Config!$B$6)+1)</f>
        <v/>
      </c>
      <c r="I415" s="19">
        <f>IF(AND(A415="",B415="",E415=""),"",IF(A415="","Falta data",IF(B415="","Falta categoria",IF(E415="","Falta valor",IF(C415="Categoria inválida","Categoria inválida",IF(OR(H415&lt;1,H415&gt;12),"Fora dos 12 meses","OK"))))))</f>
        <v/>
      </c>
    </row>
    <row r="416">
      <c r="A416" s="35" t="n"/>
      <c r="B416" s="31" t="n"/>
      <c r="C416" s="19">
        <f>IF(B416="","",IF(COUNTIF(Config!$D$6:$D$15,B416)&gt;0,"Entrada",IF(COUNTIF(Config!$F$6:$F$25,B416)&gt;0,"Saída","Categoria inválida")))</f>
        <v/>
      </c>
      <c r="D416" s="31" t="n"/>
      <c r="E416" s="33" t="n"/>
      <c r="F416" s="36" t="n"/>
      <c r="G416" s="31" t="n"/>
      <c r="H416" s="37">
        <f>IF(A416="","",(YEAR(A416)-YEAR(Config!$B$6))*12+MONTH(A416)-MONTH(Config!$B$6)+1)</f>
        <v/>
      </c>
      <c r="I416" s="19">
        <f>IF(AND(A416="",B416="",E416=""),"",IF(A416="","Falta data",IF(B416="","Falta categoria",IF(E416="","Falta valor",IF(C416="Categoria inválida","Categoria inválida",IF(OR(H416&lt;1,H416&gt;12),"Fora dos 12 meses","OK"))))))</f>
        <v/>
      </c>
    </row>
    <row r="417">
      <c r="A417" s="35" t="n"/>
      <c r="B417" s="31" t="n"/>
      <c r="C417" s="19">
        <f>IF(B417="","",IF(COUNTIF(Config!$D$6:$D$15,B417)&gt;0,"Entrada",IF(COUNTIF(Config!$F$6:$F$25,B417)&gt;0,"Saída","Categoria inválida")))</f>
        <v/>
      </c>
      <c r="D417" s="31" t="n"/>
      <c r="E417" s="33" t="n"/>
      <c r="F417" s="36" t="n"/>
      <c r="G417" s="31" t="n"/>
      <c r="H417" s="37">
        <f>IF(A417="","",(YEAR(A417)-YEAR(Config!$B$6))*12+MONTH(A417)-MONTH(Config!$B$6)+1)</f>
        <v/>
      </c>
      <c r="I417" s="19">
        <f>IF(AND(A417="",B417="",E417=""),"",IF(A417="","Falta data",IF(B417="","Falta categoria",IF(E417="","Falta valor",IF(C417="Categoria inválida","Categoria inválida",IF(OR(H417&lt;1,H417&gt;12),"Fora dos 12 meses","OK"))))))</f>
        <v/>
      </c>
    </row>
    <row r="418">
      <c r="A418" s="35" t="n"/>
      <c r="B418" s="31" t="n"/>
      <c r="C418" s="19">
        <f>IF(B418="","",IF(COUNTIF(Config!$D$6:$D$15,B418)&gt;0,"Entrada",IF(COUNTIF(Config!$F$6:$F$25,B418)&gt;0,"Saída","Categoria inválida")))</f>
        <v/>
      </c>
      <c r="D418" s="31" t="n"/>
      <c r="E418" s="33" t="n"/>
      <c r="F418" s="36" t="n"/>
      <c r="G418" s="31" t="n"/>
      <c r="H418" s="37">
        <f>IF(A418="","",(YEAR(A418)-YEAR(Config!$B$6))*12+MONTH(A418)-MONTH(Config!$B$6)+1)</f>
        <v/>
      </c>
      <c r="I418" s="19">
        <f>IF(AND(A418="",B418="",E418=""),"",IF(A418="","Falta data",IF(B418="","Falta categoria",IF(E418="","Falta valor",IF(C418="Categoria inválida","Categoria inválida",IF(OR(H418&lt;1,H418&gt;12),"Fora dos 12 meses","OK"))))))</f>
        <v/>
      </c>
    </row>
    <row r="419">
      <c r="A419" s="35" t="n"/>
      <c r="B419" s="31" t="n"/>
      <c r="C419" s="19">
        <f>IF(B419="","",IF(COUNTIF(Config!$D$6:$D$15,B419)&gt;0,"Entrada",IF(COUNTIF(Config!$F$6:$F$25,B419)&gt;0,"Saída","Categoria inválida")))</f>
        <v/>
      </c>
      <c r="D419" s="31" t="n"/>
      <c r="E419" s="33" t="n"/>
      <c r="F419" s="36" t="n"/>
      <c r="G419" s="31" t="n"/>
      <c r="H419" s="37">
        <f>IF(A419="","",(YEAR(A419)-YEAR(Config!$B$6))*12+MONTH(A419)-MONTH(Config!$B$6)+1)</f>
        <v/>
      </c>
      <c r="I419" s="19">
        <f>IF(AND(A419="",B419="",E419=""),"",IF(A419="","Falta data",IF(B419="","Falta categoria",IF(E419="","Falta valor",IF(C419="Categoria inválida","Categoria inválida",IF(OR(H419&lt;1,H419&gt;12),"Fora dos 12 meses","OK"))))))</f>
        <v/>
      </c>
    </row>
    <row r="420">
      <c r="A420" s="35" t="n"/>
      <c r="B420" s="31" t="n"/>
      <c r="C420" s="19">
        <f>IF(B420="","",IF(COUNTIF(Config!$D$6:$D$15,B420)&gt;0,"Entrada",IF(COUNTIF(Config!$F$6:$F$25,B420)&gt;0,"Saída","Categoria inválida")))</f>
        <v/>
      </c>
      <c r="D420" s="31" t="n"/>
      <c r="E420" s="33" t="n"/>
      <c r="F420" s="36" t="n"/>
      <c r="G420" s="31" t="n"/>
      <c r="H420" s="37">
        <f>IF(A420="","",(YEAR(A420)-YEAR(Config!$B$6))*12+MONTH(A420)-MONTH(Config!$B$6)+1)</f>
        <v/>
      </c>
      <c r="I420" s="19">
        <f>IF(AND(A420="",B420="",E420=""),"",IF(A420="","Falta data",IF(B420="","Falta categoria",IF(E420="","Falta valor",IF(C420="Categoria inválida","Categoria inválida",IF(OR(H420&lt;1,H420&gt;12),"Fora dos 12 meses","OK"))))))</f>
        <v/>
      </c>
    </row>
    <row r="421">
      <c r="A421" s="35" t="n"/>
      <c r="B421" s="31" t="n"/>
      <c r="C421" s="19">
        <f>IF(B421="","",IF(COUNTIF(Config!$D$6:$D$15,B421)&gt;0,"Entrada",IF(COUNTIF(Config!$F$6:$F$25,B421)&gt;0,"Saída","Categoria inválida")))</f>
        <v/>
      </c>
      <c r="D421" s="31" t="n"/>
      <c r="E421" s="33" t="n"/>
      <c r="F421" s="36" t="n"/>
      <c r="G421" s="31" t="n"/>
      <c r="H421" s="37">
        <f>IF(A421="","",(YEAR(A421)-YEAR(Config!$B$6))*12+MONTH(A421)-MONTH(Config!$B$6)+1)</f>
        <v/>
      </c>
      <c r="I421" s="19">
        <f>IF(AND(A421="",B421="",E421=""),"",IF(A421="","Falta data",IF(B421="","Falta categoria",IF(E421="","Falta valor",IF(C421="Categoria inválida","Categoria inválida",IF(OR(H421&lt;1,H421&gt;12),"Fora dos 12 meses","OK"))))))</f>
        <v/>
      </c>
    </row>
    <row r="422">
      <c r="A422" s="35" t="n"/>
      <c r="B422" s="31" t="n"/>
      <c r="C422" s="19">
        <f>IF(B422="","",IF(COUNTIF(Config!$D$6:$D$15,B422)&gt;0,"Entrada",IF(COUNTIF(Config!$F$6:$F$25,B422)&gt;0,"Saída","Categoria inválida")))</f>
        <v/>
      </c>
      <c r="D422" s="31" t="n"/>
      <c r="E422" s="33" t="n"/>
      <c r="F422" s="36" t="n"/>
      <c r="G422" s="31" t="n"/>
      <c r="H422" s="37">
        <f>IF(A422="","",(YEAR(A422)-YEAR(Config!$B$6))*12+MONTH(A422)-MONTH(Config!$B$6)+1)</f>
        <v/>
      </c>
      <c r="I422" s="19">
        <f>IF(AND(A422="",B422="",E422=""),"",IF(A422="","Falta data",IF(B422="","Falta categoria",IF(E422="","Falta valor",IF(C422="Categoria inválida","Categoria inválida",IF(OR(H422&lt;1,H422&gt;12),"Fora dos 12 meses","OK"))))))</f>
        <v/>
      </c>
    </row>
    <row r="423">
      <c r="A423" s="35" t="n"/>
      <c r="B423" s="31" t="n"/>
      <c r="C423" s="19">
        <f>IF(B423="","",IF(COUNTIF(Config!$D$6:$D$15,B423)&gt;0,"Entrada",IF(COUNTIF(Config!$F$6:$F$25,B423)&gt;0,"Saída","Categoria inválida")))</f>
        <v/>
      </c>
      <c r="D423" s="31" t="n"/>
      <c r="E423" s="33" t="n"/>
      <c r="F423" s="36" t="n"/>
      <c r="G423" s="31" t="n"/>
      <c r="H423" s="37">
        <f>IF(A423="","",(YEAR(A423)-YEAR(Config!$B$6))*12+MONTH(A423)-MONTH(Config!$B$6)+1)</f>
        <v/>
      </c>
      <c r="I423" s="19">
        <f>IF(AND(A423="",B423="",E423=""),"",IF(A423="","Falta data",IF(B423="","Falta categoria",IF(E423="","Falta valor",IF(C423="Categoria inválida","Categoria inválida",IF(OR(H423&lt;1,H423&gt;12),"Fora dos 12 meses","OK"))))))</f>
        <v/>
      </c>
    </row>
    <row r="424">
      <c r="A424" s="35" t="n"/>
      <c r="B424" s="31" t="n"/>
      <c r="C424" s="19">
        <f>IF(B424="","",IF(COUNTIF(Config!$D$6:$D$15,B424)&gt;0,"Entrada",IF(COUNTIF(Config!$F$6:$F$25,B424)&gt;0,"Saída","Categoria inválida")))</f>
        <v/>
      </c>
      <c r="D424" s="31" t="n"/>
      <c r="E424" s="33" t="n"/>
      <c r="F424" s="36" t="n"/>
      <c r="G424" s="31" t="n"/>
      <c r="H424" s="37">
        <f>IF(A424="","",(YEAR(A424)-YEAR(Config!$B$6))*12+MONTH(A424)-MONTH(Config!$B$6)+1)</f>
        <v/>
      </c>
      <c r="I424" s="19">
        <f>IF(AND(A424="",B424="",E424=""),"",IF(A424="","Falta data",IF(B424="","Falta categoria",IF(E424="","Falta valor",IF(C424="Categoria inválida","Categoria inválida",IF(OR(H424&lt;1,H424&gt;12),"Fora dos 12 meses","OK"))))))</f>
        <v/>
      </c>
    </row>
    <row r="425">
      <c r="A425" s="35" t="n"/>
      <c r="B425" s="31" t="n"/>
      <c r="C425" s="19">
        <f>IF(B425="","",IF(COUNTIF(Config!$D$6:$D$15,B425)&gt;0,"Entrada",IF(COUNTIF(Config!$F$6:$F$25,B425)&gt;0,"Saída","Categoria inválida")))</f>
        <v/>
      </c>
      <c r="D425" s="31" t="n"/>
      <c r="E425" s="33" t="n"/>
      <c r="F425" s="36" t="n"/>
      <c r="G425" s="31" t="n"/>
      <c r="H425" s="37">
        <f>IF(A425="","",(YEAR(A425)-YEAR(Config!$B$6))*12+MONTH(A425)-MONTH(Config!$B$6)+1)</f>
        <v/>
      </c>
      <c r="I425" s="19">
        <f>IF(AND(A425="",B425="",E425=""),"",IF(A425="","Falta data",IF(B425="","Falta categoria",IF(E425="","Falta valor",IF(C425="Categoria inválida","Categoria inválida",IF(OR(H425&lt;1,H425&gt;12),"Fora dos 12 meses","OK"))))))</f>
        <v/>
      </c>
    </row>
    <row r="426">
      <c r="A426" s="35" t="n"/>
      <c r="B426" s="31" t="n"/>
      <c r="C426" s="19">
        <f>IF(B426="","",IF(COUNTIF(Config!$D$6:$D$15,B426)&gt;0,"Entrada",IF(COUNTIF(Config!$F$6:$F$25,B426)&gt;0,"Saída","Categoria inválida")))</f>
        <v/>
      </c>
      <c r="D426" s="31" t="n"/>
      <c r="E426" s="33" t="n"/>
      <c r="F426" s="36" t="n"/>
      <c r="G426" s="31" t="n"/>
      <c r="H426" s="37">
        <f>IF(A426="","",(YEAR(A426)-YEAR(Config!$B$6))*12+MONTH(A426)-MONTH(Config!$B$6)+1)</f>
        <v/>
      </c>
      <c r="I426" s="19">
        <f>IF(AND(A426="",B426="",E426=""),"",IF(A426="","Falta data",IF(B426="","Falta categoria",IF(E426="","Falta valor",IF(C426="Categoria inválida","Categoria inválida",IF(OR(H426&lt;1,H426&gt;12),"Fora dos 12 meses","OK"))))))</f>
        <v/>
      </c>
    </row>
    <row r="427">
      <c r="A427" s="35" t="n"/>
      <c r="B427" s="31" t="n"/>
      <c r="C427" s="19">
        <f>IF(B427="","",IF(COUNTIF(Config!$D$6:$D$15,B427)&gt;0,"Entrada",IF(COUNTIF(Config!$F$6:$F$25,B427)&gt;0,"Saída","Categoria inválida")))</f>
        <v/>
      </c>
      <c r="D427" s="31" t="n"/>
      <c r="E427" s="33" t="n"/>
      <c r="F427" s="36" t="n"/>
      <c r="G427" s="31" t="n"/>
      <c r="H427" s="37">
        <f>IF(A427="","",(YEAR(A427)-YEAR(Config!$B$6))*12+MONTH(A427)-MONTH(Config!$B$6)+1)</f>
        <v/>
      </c>
      <c r="I427" s="19">
        <f>IF(AND(A427="",B427="",E427=""),"",IF(A427="","Falta data",IF(B427="","Falta categoria",IF(E427="","Falta valor",IF(C427="Categoria inválida","Categoria inválida",IF(OR(H427&lt;1,H427&gt;12),"Fora dos 12 meses","OK"))))))</f>
        <v/>
      </c>
    </row>
    <row r="428">
      <c r="A428" s="35" t="n"/>
      <c r="B428" s="31" t="n"/>
      <c r="C428" s="19">
        <f>IF(B428="","",IF(COUNTIF(Config!$D$6:$D$15,B428)&gt;0,"Entrada",IF(COUNTIF(Config!$F$6:$F$25,B428)&gt;0,"Saída","Categoria inválida")))</f>
        <v/>
      </c>
      <c r="D428" s="31" t="n"/>
      <c r="E428" s="33" t="n"/>
      <c r="F428" s="36" t="n"/>
      <c r="G428" s="31" t="n"/>
      <c r="H428" s="37">
        <f>IF(A428="","",(YEAR(A428)-YEAR(Config!$B$6))*12+MONTH(A428)-MONTH(Config!$B$6)+1)</f>
        <v/>
      </c>
      <c r="I428" s="19">
        <f>IF(AND(A428="",B428="",E428=""),"",IF(A428="","Falta data",IF(B428="","Falta categoria",IF(E428="","Falta valor",IF(C428="Categoria inválida","Categoria inválida",IF(OR(H428&lt;1,H428&gt;12),"Fora dos 12 meses","OK"))))))</f>
        <v/>
      </c>
    </row>
    <row r="429">
      <c r="A429" s="35" t="n"/>
      <c r="B429" s="31" t="n"/>
      <c r="C429" s="19">
        <f>IF(B429="","",IF(COUNTIF(Config!$D$6:$D$15,B429)&gt;0,"Entrada",IF(COUNTIF(Config!$F$6:$F$25,B429)&gt;0,"Saída","Categoria inválida")))</f>
        <v/>
      </c>
      <c r="D429" s="31" t="n"/>
      <c r="E429" s="33" t="n"/>
      <c r="F429" s="36" t="n"/>
      <c r="G429" s="31" t="n"/>
      <c r="H429" s="37">
        <f>IF(A429="","",(YEAR(A429)-YEAR(Config!$B$6))*12+MONTH(A429)-MONTH(Config!$B$6)+1)</f>
        <v/>
      </c>
      <c r="I429" s="19">
        <f>IF(AND(A429="",B429="",E429=""),"",IF(A429="","Falta data",IF(B429="","Falta categoria",IF(E429="","Falta valor",IF(C429="Categoria inválida","Categoria inválida",IF(OR(H429&lt;1,H429&gt;12),"Fora dos 12 meses","OK"))))))</f>
        <v/>
      </c>
    </row>
    <row r="430">
      <c r="A430" s="35" t="n"/>
      <c r="B430" s="31" t="n"/>
      <c r="C430" s="19">
        <f>IF(B430="","",IF(COUNTIF(Config!$D$6:$D$15,B430)&gt;0,"Entrada",IF(COUNTIF(Config!$F$6:$F$25,B430)&gt;0,"Saída","Categoria inválida")))</f>
        <v/>
      </c>
      <c r="D430" s="31" t="n"/>
      <c r="E430" s="33" t="n"/>
      <c r="F430" s="36" t="n"/>
      <c r="G430" s="31" t="n"/>
      <c r="H430" s="37">
        <f>IF(A430="","",(YEAR(A430)-YEAR(Config!$B$6))*12+MONTH(A430)-MONTH(Config!$B$6)+1)</f>
        <v/>
      </c>
      <c r="I430" s="19">
        <f>IF(AND(A430="",B430="",E430=""),"",IF(A430="","Falta data",IF(B430="","Falta categoria",IF(E430="","Falta valor",IF(C430="Categoria inválida","Categoria inválida",IF(OR(H430&lt;1,H430&gt;12),"Fora dos 12 meses","OK"))))))</f>
        <v/>
      </c>
    </row>
    <row r="431">
      <c r="A431" s="35" t="n"/>
      <c r="B431" s="31" t="n"/>
      <c r="C431" s="19">
        <f>IF(B431="","",IF(COUNTIF(Config!$D$6:$D$15,B431)&gt;0,"Entrada",IF(COUNTIF(Config!$F$6:$F$25,B431)&gt;0,"Saída","Categoria inválida")))</f>
        <v/>
      </c>
      <c r="D431" s="31" t="n"/>
      <c r="E431" s="33" t="n"/>
      <c r="F431" s="36" t="n"/>
      <c r="G431" s="31" t="n"/>
      <c r="H431" s="37">
        <f>IF(A431="","",(YEAR(A431)-YEAR(Config!$B$6))*12+MONTH(A431)-MONTH(Config!$B$6)+1)</f>
        <v/>
      </c>
      <c r="I431" s="19">
        <f>IF(AND(A431="",B431="",E431=""),"",IF(A431="","Falta data",IF(B431="","Falta categoria",IF(E431="","Falta valor",IF(C431="Categoria inválida","Categoria inválida",IF(OR(H431&lt;1,H431&gt;12),"Fora dos 12 meses","OK"))))))</f>
        <v/>
      </c>
    </row>
    <row r="432">
      <c r="A432" s="35" t="n"/>
      <c r="B432" s="31" t="n"/>
      <c r="C432" s="19">
        <f>IF(B432="","",IF(COUNTIF(Config!$D$6:$D$15,B432)&gt;0,"Entrada",IF(COUNTIF(Config!$F$6:$F$25,B432)&gt;0,"Saída","Categoria inválida")))</f>
        <v/>
      </c>
      <c r="D432" s="31" t="n"/>
      <c r="E432" s="33" t="n"/>
      <c r="F432" s="36" t="n"/>
      <c r="G432" s="31" t="n"/>
      <c r="H432" s="37">
        <f>IF(A432="","",(YEAR(A432)-YEAR(Config!$B$6))*12+MONTH(A432)-MONTH(Config!$B$6)+1)</f>
        <v/>
      </c>
      <c r="I432" s="19">
        <f>IF(AND(A432="",B432="",E432=""),"",IF(A432="","Falta data",IF(B432="","Falta categoria",IF(E432="","Falta valor",IF(C432="Categoria inválida","Categoria inválida",IF(OR(H432&lt;1,H432&gt;12),"Fora dos 12 meses","OK"))))))</f>
        <v/>
      </c>
    </row>
    <row r="433">
      <c r="A433" s="35" t="n"/>
      <c r="B433" s="31" t="n"/>
      <c r="C433" s="19">
        <f>IF(B433="","",IF(COUNTIF(Config!$D$6:$D$15,B433)&gt;0,"Entrada",IF(COUNTIF(Config!$F$6:$F$25,B433)&gt;0,"Saída","Categoria inválida")))</f>
        <v/>
      </c>
      <c r="D433" s="31" t="n"/>
      <c r="E433" s="33" t="n"/>
      <c r="F433" s="36" t="n"/>
      <c r="G433" s="31" t="n"/>
      <c r="H433" s="37">
        <f>IF(A433="","",(YEAR(A433)-YEAR(Config!$B$6))*12+MONTH(A433)-MONTH(Config!$B$6)+1)</f>
        <v/>
      </c>
      <c r="I433" s="19">
        <f>IF(AND(A433="",B433="",E433=""),"",IF(A433="","Falta data",IF(B433="","Falta categoria",IF(E433="","Falta valor",IF(C433="Categoria inválida","Categoria inválida",IF(OR(H433&lt;1,H433&gt;12),"Fora dos 12 meses","OK"))))))</f>
        <v/>
      </c>
    </row>
    <row r="434">
      <c r="A434" s="35" t="n"/>
      <c r="B434" s="31" t="n"/>
      <c r="C434" s="19">
        <f>IF(B434="","",IF(COUNTIF(Config!$D$6:$D$15,B434)&gt;0,"Entrada",IF(COUNTIF(Config!$F$6:$F$25,B434)&gt;0,"Saída","Categoria inválida")))</f>
        <v/>
      </c>
      <c r="D434" s="31" t="n"/>
      <c r="E434" s="33" t="n"/>
      <c r="F434" s="36" t="n"/>
      <c r="G434" s="31" t="n"/>
      <c r="H434" s="37">
        <f>IF(A434="","",(YEAR(A434)-YEAR(Config!$B$6))*12+MONTH(A434)-MONTH(Config!$B$6)+1)</f>
        <v/>
      </c>
      <c r="I434" s="19">
        <f>IF(AND(A434="",B434="",E434=""),"",IF(A434="","Falta data",IF(B434="","Falta categoria",IF(E434="","Falta valor",IF(C434="Categoria inválida","Categoria inválida",IF(OR(H434&lt;1,H434&gt;12),"Fora dos 12 meses","OK"))))))</f>
        <v/>
      </c>
    </row>
    <row r="435">
      <c r="A435" s="35" t="n"/>
      <c r="B435" s="31" t="n"/>
      <c r="C435" s="19">
        <f>IF(B435="","",IF(COUNTIF(Config!$D$6:$D$15,B435)&gt;0,"Entrada",IF(COUNTIF(Config!$F$6:$F$25,B435)&gt;0,"Saída","Categoria inválida")))</f>
        <v/>
      </c>
      <c r="D435" s="31" t="n"/>
      <c r="E435" s="33" t="n"/>
      <c r="F435" s="36" t="n"/>
      <c r="G435" s="31" t="n"/>
      <c r="H435" s="37">
        <f>IF(A435="","",(YEAR(A435)-YEAR(Config!$B$6))*12+MONTH(A435)-MONTH(Config!$B$6)+1)</f>
        <v/>
      </c>
      <c r="I435" s="19">
        <f>IF(AND(A435="",B435="",E435=""),"",IF(A435="","Falta data",IF(B435="","Falta categoria",IF(E435="","Falta valor",IF(C435="Categoria inválida","Categoria inválida",IF(OR(H435&lt;1,H435&gt;12),"Fora dos 12 meses","OK"))))))</f>
        <v/>
      </c>
    </row>
    <row r="436">
      <c r="A436" s="35" t="n"/>
      <c r="B436" s="31" t="n"/>
      <c r="C436" s="19">
        <f>IF(B436="","",IF(COUNTIF(Config!$D$6:$D$15,B436)&gt;0,"Entrada",IF(COUNTIF(Config!$F$6:$F$25,B436)&gt;0,"Saída","Categoria inválida")))</f>
        <v/>
      </c>
      <c r="D436" s="31" t="n"/>
      <c r="E436" s="33" t="n"/>
      <c r="F436" s="36" t="n"/>
      <c r="G436" s="31" t="n"/>
      <c r="H436" s="37">
        <f>IF(A436="","",(YEAR(A436)-YEAR(Config!$B$6))*12+MONTH(A436)-MONTH(Config!$B$6)+1)</f>
        <v/>
      </c>
      <c r="I436" s="19">
        <f>IF(AND(A436="",B436="",E436=""),"",IF(A436="","Falta data",IF(B436="","Falta categoria",IF(E436="","Falta valor",IF(C436="Categoria inválida","Categoria inválida",IF(OR(H436&lt;1,H436&gt;12),"Fora dos 12 meses","OK"))))))</f>
        <v/>
      </c>
    </row>
    <row r="437">
      <c r="A437" s="35" t="n"/>
      <c r="B437" s="31" t="n"/>
      <c r="C437" s="19">
        <f>IF(B437="","",IF(COUNTIF(Config!$D$6:$D$15,B437)&gt;0,"Entrada",IF(COUNTIF(Config!$F$6:$F$25,B437)&gt;0,"Saída","Categoria inválida")))</f>
        <v/>
      </c>
      <c r="D437" s="31" t="n"/>
      <c r="E437" s="33" t="n"/>
      <c r="F437" s="36" t="n"/>
      <c r="G437" s="31" t="n"/>
      <c r="H437" s="37">
        <f>IF(A437="","",(YEAR(A437)-YEAR(Config!$B$6))*12+MONTH(A437)-MONTH(Config!$B$6)+1)</f>
        <v/>
      </c>
      <c r="I437" s="19">
        <f>IF(AND(A437="",B437="",E437=""),"",IF(A437="","Falta data",IF(B437="","Falta categoria",IF(E437="","Falta valor",IF(C437="Categoria inválida","Categoria inválida",IF(OR(H437&lt;1,H437&gt;12),"Fora dos 12 meses","OK"))))))</f>
        <v/>
      </c>
    </row>
    <row r="438">
      <c r="A438" s="35" t="n"/>
      <c r="B438" s="31" t="n"/>
      <c r="C438" s="19">
        <f>IF(B438="","",IF(COUNTIF(Config!$D$6:$D$15,B438)&gt;0,"Entrada",IF(COUNTIF(Config!$F$6:$F$25,B438)&gt;0,"Saída","Categoria inválida")))</f>
        <v/>
      </c>
      <c r="D438" s="31" t="n"/>
      <c r="E438" s="33" t="n"/>
      <c r="F438" s="36" t="n"/>
      <c r="G438" s="31" t="n"/>
      <c r="H438" s="37">
        <f>IF(A438="","",(YEAR(A438)-YEAR(Config!$B$6))*12+MONTH(A438)-MONTH(Config!$B$6)+1)</f>
        <v/>
      </c>
      <c r="I438" s="19">
        <f>IF(AND(A438="",B438="",E438=""),"",IF(A438="","Falta data",IF(B438="","Falta categoria",IF(E438="","Falta valor",IF(C438="Categoria inválida","Categoria inválida",IF(OR(H438&lt;1,H438&gt;12),"Fora dos 12 meses","OK"))))))</f>
        <v/>
      </c>
    </row>
    <row r="439">
      <c r="A439" s="35" t="n"/>
      <c r="B439" s="31" t="n"/>
      <c r="C439" s="19">
        <f>IF(B439="","",IF(COUNTIF(Config!$D$6:$D$15,B439)&gt;0,"Entrada",IF(COUNTIF(Config!$F$6:$F$25,B439)&gt;0,"Saída","Categoria inválida")))</f>
        <v/>
      </c>
      <c r="D439" s="31" t="n"/>
      <c r="E439" s="33" t="n"/>
      <c r="F439" s="36" t="n"/>
      <c r="G439" s="31" t="n"/>
      <c r="H439" s="37">
        <f>IF(A439="","",(YEAR(A439)-YEAR(Config!$B$6))*12+MONTH(A439)-MONTH(Config!$B$6)+1)</f>
        <v/>
      </c>
      <c r="I439" s="19">
        <f>IF(AND(A439="",B439="",E439=""),"",IF(A439="","Falta data",IF(B439="","Falta categoria",IF(E439="","Falta valor",IF(C439="Categoria inválida","Categoria inválida",IF(OR(H439&lt;1,H439&gt;12),"Fora dos 12 meses","OK"))))))</f>
        <v/>
      </c>
    </row>
    <row r="440">
      <c r="A440" s="35" t="n"/>
      <c r="B440" s="31" t="n"/>
      <c r="C440" s="19">
        <f>IF(B440="","",IF(COUNTIF(Config!$D$6:$D$15,B440)&gt;0,"Entrada",IF(COUNTIF(Config!$F$6:$F$25,B440)&gt;0,"Saída","Categoria inválida")))</f>
        <v/>
      </c>
      <c r="D440" s="31" t="n"/>
      <c r="E440" s="33" t="n"/>
      <c r="F440" s="36" t="n"/>
      <c r="G440" s="31" t="n"/>
      <c r="H440" s="37">
        <f>IF(A440="","",(YEAR(A440)-YEAR(Config!$B$6))*12+MONTH(A440)-MONTH(Config!$B$6)+1)</f>
        <v/>
      </c>
      <c r="I440" s="19">
        <f>IF(AND(A440="",B440="",E440=""),"",IF(A440="","Falta data",IF(B440="","Falta categoria",IF(E440="","Falta valor",IF(C440="Categoria inválida","Categoria inválida",IF(OR(H440&lt;1,H440&gt;12),"Fora dos 12 meses","OK"))))))</f>
        <v/>
      </c>
    </row>
    <row r="441">
      <c r="A441" s="35" t="n"/>
      <c r="B441" s="31" t="n"/>
      <c r="C441" s="19">
        <f>IF(B441="","",IF(COUNTIF(Config!$D$6:$D$15,B441)&gt;0,"Entrada",IF(COUNTIF(Config!$F$6:$F$25,B441)&gt;0,"Saída","Categoria inválida")))</f>
        <v/>
      </c>
      <c r="D441" s="31" t="n"/>
      <c r="E441" s="33" t="n"/>
      <c r="F441" s="36" t="n"/>
      <c r="G441" s="31" t="n"/>
      <c r="H441" s="37">
        <f>IF(A441="","",(YEAR(A441)-YEAR(Config!$B$6))*12+MONTH(A441)-MONTH(Config!$B$6)+1)</f>
        <v/>
      </c>
      <c r="I441" s="19">
        <f>IF(AND(A441="",B441="",E441=""),"",IF(A441="","Falta data",IF(B441="","Falta categoria",IF(E441="","Falta valor",IF(C441="Categoria inválida","Categoria inválida",IF(OR(H441&lt;1,H441&gt;12),"Fora dos 12 meses","OK"))))))</f>
        <v/>
      </c>
    </row>
    <row r="442">
      <c r="A442" s="35" t="n"/>
      <c r="B442" s="31" t="n"/>
      <c r="C442" s="19">
        <f>IF(B442="","",IF(COUNTIF(Config!$D$6:$D$15,B442)&gt;0,"Entrada",IF(COUNTIF(Config!$F$6:$F$25,B442)&gt;0,"Saída","Categoria inválida")))</f>
        <v/>
      </c>
      <c r="D442" s="31" t="n"/>
      <c r="E442" s="33" t="n"/>
      <c r="F442" s="36" t="n"/>
      <c r="G442" s="31" t="n"/>
      <c r="H442" s="37">
        <f>IF(A442="","",(YEAR(A442)-YEAR(Config!$B$6))*12+MONTH(A442)-MONTH(Config!$B$6)+1)</f>
        <v/>
      </c>
      <c r="I442" s="19">
        <f>IF(AND(A442="",B442="",E442=""),"",IF(A442="","Falta data",IF(B442="","Falta categoria",IF(E442="","Falta valor",IF(C442="Categoria inválida","Categoria inválida",IF(OR(H442&lt;1,H442&gt;12),"Fora dos 12 meses","OK"))))))</f>
        <v/>
      </c>
    </row>
    <row r="443">
      <c r="A443" s="35" t="n"/>
      <c r="B443" s="31" t="n"/>
      <c r="C443" s="19">
        <f>IF(B443="","",IF(COUNTIF(Config!$D$6:$D$15,B443)&gt;0,"Entrada",IF(COUNTIF(Config!$F$6:$F$25,B443)&gt;0,"Saída","Categoria inválida")))</f>
        <v/>
      </c>
      <c r="D443" s="31" t="n"/>
      <c r="E443" s="33" t="n"/>
      <c r="F443" s="36" t="n"/>
      <c r="G443" s="31" t="n"/>
      <c r="H443" s="37">
        <f>IF(A443="","",(YEAR(A443)-YEAR(Config!$B$6))*12+MONTH(A443)-MONTH(Config!$B$6)+1)</f>
        <v/>
      </c>
      <c r="I443" s="19">
        <f>IF(AND(A443="",B443="",E443=""),"",IF(A443="","Falta data",IF(B443="","Falta categoria",IF(E443="","Falta valor",IF(C443="Categoria inválida","Categoria inválida",IF(OR(H443&lt;1,H443&gt;12),"Fora dos 12 meses","OK"))))))</f>
        <v/>
      </c>
    </row>
    <row r="444">
      <c r="A444" s="35" t="n"/>
      <c r="B444" s="31" t="n"/>
      <c r="C444" s="19">
        <f>IF(B444="","",IF(COUNTIF(Config!$D$6:$D$15,B444)&gt;0,"Entrada",IF(COUNTIF(Config!$F$6:$F$25,B444)&gt;0,"Saída","Categoria inválida")))</f>
        <v/>
      </c>
      <c r="D444" s="31" t="n"/>
      <c r="E444" s="33" t="n"/>
      <c r="F444" s="36" t="n"/>
      <c r="G444" s="31" t="n"/>
      <c r="H444" s="37">
        <f>IF(A444="","",(YEAR(A444)-YEAR(Config!$B$6))*12+MONTH(A444)-MONTH(Config!$B$6)+1)</f>
        <v/>
      </c>
      <c r="I444" s="19">
        <f>IF(AND(A444="",B444="",E444=""),"",IF(A444="","Falta data",IF(B444="","Falta categoria",IF(E444="","Falta valor",IF(C444="Categoria inválida","Categoria inválida",IF(OR(H444&lt;1,H444&gt;12),"Fora dos 12 meses","OK"))))))</f>
        <v/>
      </c>
    </row>
    <row r="445">
      <c r="A445" s="35" t="n"/>
      <c r="B445" s="31" t="n"/>
      <c r="C445" s="19">
        <f>IF(B445="","",IF(COUNTIF(Config!$D$6:$D$15,B445)&gt;0,"Entrada",IF(COUNTIF(Config!$F$6:$F$25,B445)&gt;0,"Saída","Categoria inválida")))</f>
        <v/>
      </c>
      <c r="D445" s="31" t="n"/>
      <c r="E445" s="33" t="n"/>
      <c r="F445" s="36" t="n"/>
      <c r="G445" s="31" t="n"/>
      <c r="H445" s="37">
        <f>IF(A445="","",(YEAR(A445)-YEAR(Config!$B$6))*12+MONTH(A445)-MONTH(Config!$B$6)+1)</f>
        <v/>
      </c>
      <c r="I445" s="19">
        <f>IF(AND(A445="",B445="",E445=""),"",IF(A445="","Falta data",IF(B445="","Falta categoria",IF(E445="","Falta valor",IF(C445="Categoria inválida","Categoria inválida",IF(OR(H445&lt;1,H445&gt;12),"Fora dos 12 meses","OK"))))))</f>
        <v/>
      </c>
    </row>
    <row r="446">
      <c r="A446" s="35" t="n"/>
      <c r="B446" s="31" t="n"/>
      <c r="C446" s="19">
        <f>IF(B446="","",IF(COUNTIF(Config!$D$6:$D$15,B446)&gt;0,"Entrada",IF(COUNTIF(Config!$F$6:$F$25,B446)&gt;0,"Saída","Categoria inválida")))</f>
        <v/>
      </c>
      <c r="D446" s="31" t="n"/>
      <c r="E446" s="33" t="n"/>
      <c r="F446" s="36" t="n"/>
      <c r="G446" s="31" t="n"/>
      <c r="H446" s="37">
        <f>IF(A446="","",(YEAR(A446)-YEAR(Config!$B$6))*12+MONTH(A446)-MONTH(Config!$B$6)+1)</f>
        <v/>
      </c>
      <c r="I446" s="19">
        <f>IF(AND(A446="",B446="",E446=""),"",IF(A446="","Falta data",IF(B446="","Falta categoria",IF(E446="","Falta valor",IF(C446="Categoria inválida","Categoria inválida",IF(OR(H446&lt;1,H446&gt;12),"Fora dos 12 meses","OK"))))))</f>
        <v/>
      </c>
    </row>
    <row r="447">
      <c r="A447" s="35" t="n"/>
      <c r="B447" s="31" t="n"/>
      <c r="C447" s="19">
        <f>IF(B447="","",IF(COUNTIF(Config!$D$6:$D$15,B447)&gt;0,"Entrada",IF(COUNTIF(Config!$F$6:$F$25,B447)&gt;0,"Saída","Categoria inválida")))</f>
        <v/>
      </c>
      <c r="D447" s="31" t="n"/>
      <c r="E447" s="33" t="n"/>
      <c r="F447" s="36" t="n"/>
      <c r="G447" s="31" t="n"/>
      <c r="H447" s="37">
        <f>IF(A447="","",(YEAR(A447)-YEAR(Config!$B$6))*12+MONTH(A447)-MONTH(Config!$B$6)+1)</f>
        <v/>
      </c>
      <c r="I447" s="19">
        <f>IF(AND(A447="",B447="",E447=""),"",IF(A447="","Falta data",IF(B447="","Falta categoria",IF(E447="","Falta valor",IF(C447="Categoria inválida","Categoria inválida",IF(OR(H447&lt;1,H447&gt;12),"Fora dos 12 meses","OK"))))))</f>
        <v/>
      </c>
    </row>
    <row r="448">
      <c r="A448" s="35" t="n"/>
      <c r="B448" s="31" t="n"/>
      <c r="C448" s="19">
        <f>IF(B448="","",IF(COUNTIF(Config!$D$6:$D$15,B448)&gt;0,"Entrada",IF(COUNTIF(Config!$F$6:$F$25,B448)&gt;0,"Saída","Categoria inválida")))</f>
        <v/>
      </c>
      <c r="D448" s="31" t="n"/>
      <c r="E448" s="33" t="n"/>
      <c r="F448" s="36" t="n"/>
      <c r="G448" s="31" t="n"/>
      <c r="H448" s="37">
        <f>IF(A448="","",(YEAR(A448)-YEAR(Config!$B$6))*12+MONTH(A448)-MONTH(Config!$B$6)+1)</f>
        <v/>
      </c>
      <c r="I448" s="19">
        <f>IF(AND(A448="",B448="",E448=""),"",IF(A448="","Falta data",IF(B448="","Falta categoria",IF(E448="","Falta valor",IF(C448="Categoria inválida","Categoria inválida",IF(OR(H448&lt;1,H448&gt;12),"Fora dos 12 meses","OK"))))))</f>
        <v/>
      </c>
    </row>
    <row r="449">
      <c r="A449" s="35" t="n"/>
      <c r="B449" s="31" t="n"/>
      <c r="C449" s="19">
        <f>IF(B449="","",IF(COUNTIF(Config!$D$6:$D$15,B449)&gt;0,"Entrada",IF(COUNTIF(Config!$F$6:$F$25,B449)&gt;0,"Saída","Categoria inválida")))</f>
        <v/>
      </c>
      <c r="D449" s="31" t="n"/>
      <c r="E449" s="33" t="n"/>
      <c r="F449" s="36" t="n"/>
      <c r="G449" s="31" t="n"/>
      <c r="H449" s="37">
        <f>IF(A449="","",(YEAR(A449)-YEAR(Config!$B$6))*12+MONTH(A449)-MONTH(Config!$B$6)+1)</f>
        <v/>
      </c>
      <c r="I449" s="19">
        <f>IF(AND(A449="",B449="",E449=""),"",IF(A449="","Falta data",IF(B449="","Falta categoria",IF(E449="","Falta valor",IF(C449="Categoria inválida","Categoria inválida",IF(OR(H449&lt;1,H449&gt;12),"Fora dos 12 meses","OK"))))))</f>
        <v/>
      </c>
    </row>
    <row r="450">
      <c r="A450" s="35" t="n"/>
      <c r="B450" s="31" t="n"/>
      <c r="C450" s="19">
        <f>IF(B450="","",IF(COUNTIF(Config!$D$6:$D$15,B450)&gt;0,"Entrada",IF(COUNTIF(Config!$F$6:$F$25,B450)&gt;0,"Saída","Categoria inválida")))</f>
        <v/>
      </c>
      <c r="D450" s="31" t="n"/>
      <c r="E450" s="33" t="n"/>
      <c r="F450" s="36" t="n"/>
      <c r="G450" s="31" t="n"/>
      <c r="H450" s="37">
        <f>IF(A450="","",(YEAR(A450)-YEAR(Config!$B$6))*12+MONTH(A450)-MONTH(Config!$B$6)+1)</f>
        <v/>
      </c>
      <c r="I450" s="19">
        <f>IF(AND(A450="",B450="",E450=""),"",IF(A450="","Falta data",IF(B450="","Falta categoria",IF(E450="","Falta valor",IF(C450="Categoria inválida","Categoria inválida",IF(OR(H450&lt;1,H450&gt;12),"Fora dos 12 meses","OK"))))))</f>
        <v/>
      </c>
    </row>
    <row r="451">
      <c r="A451" s="35" t="n"/>
      <c r="B451" s="31" t="n"/>
      <c r="C451" s="19">
        <f>IF(B451="","",IF(COUNTIF(Config!$D$6:$D$15,B451)&gt;0,"Entrada",IF(COUNTIF(Config!$F$6:$F$25,B451)&gt;0,"Saída","Categoria inválida")))</f>
        <v/>
      </c>
      <c r="D451" s="31" t="n"/>
      <c r="E451" s="33" t="n"/>
      <c r="F451" s="36" t="n"/>
      <c r="G451" s="31" t="n"/>
      <c r="H451" s="37">
        <f>IF(A451="","",(YEAR(A451)-YEAR(Config!$B$6))*12+MONTH(A451)-MONTH(Config!$B$6)+1)</f>
        <v/>
      </c>
      <c r="I451" s="19">
        <f>IF(AND(A451="",B451="",E451=""),"",IF(A451="","Falta data",IF(B451="","Falta categoria",IF(E451="","Falta valor",IF(C451="Categoria inválida","Categoria inválida",IF(OR(H451&lt;1,H451&gt;12),"Fora dos 12 meses","OK"))))))</f>
        <v/>
      </c>
    </row>
    <row r="452">
      <c r="A452" s="35" t="n"/>
      <c r="B452" s="31" t="n"/>
      <c r="C452" s="19">
        <f>IF(B452="","",IF(COUNTIF(Config!$D$6:$D$15,B452)&gt;0,"Entrada",IF(COUNTIF(Config!$F$6:$F$25,B452)&gt;0,"Saída","Categoria inválida")))</f>
        <v/>
      </c>
      <c r="D452" s="31" t="n"/>
      <c r="E452" s="33" t="n"/>
      <c r="F452" s="36" t="n"/>
      <c r="G452" s="31" t="n"/>
      <c r="H452" s="37">
        <f>IF(A452="","",(YEAR(A452)-YEAR(Config!$B$6))*12+MONTH(A452)-MONTH(Config!$B$6)+1)</f>
        <v/>
      </c>
      <c r="I452" s="19">
        <f>IF(AND(A452="",B452="",E452=""),"",IF(A452="","Falta data",IF(B452="","Falta categoria",IF(E452="","Falta valor",IF(C452="Categoria inválida","Categoria inválida",IF(OR(H452&lt;1,H452&gt;12),"Fora dos 12 meses","OK"))))))</f>
        <v/>
      </c>
    </row>
    <row r="453">
      <c r="A453" s="35" t="n"/>
      <c r="B453" s="31" t="n"/>
      <c r="C453" s="19">
        <f>IF(B453="","",IF(COUNTIF(Config!$D$6:$D$15,B453)&gt;0,"Entrada",IF(COUNTIF(Config!$F$6:$F$25,B453)&gt;0,"Saída","Categoria inválida")))</f>
        <v/>
      </c>
      <c r="D453" s="31" t="n"/>
      <c r="E453" s="33" t="n"/>
      <c r="F453" s="36" t="n"/>
      <c r="G453" s="31" t="n"/>
      <c r="H453" s="37">
        <f>IF(A453="","",(YEAR(A453)-YEAR(Config!$B$6))*12+MONTH(A453)-MONTH(Config!$B$6)+1)</f>
        <v/>
      </c>
      <c r="I453" s="19">
        <f>IF(AND(A453="",B453="",E453=""),"",IF(A453="","Falta data",IF(B453="","Falta categoria",IF(E453="","Falta valor",IF(C453="Categoria inválida","Categoria inválida",IF(OR(H453&lt;1,H453&gt;12),"Fora dos 12 meses","OK"))))))</f>
        <v/>
      </c>
    </row>
    <row r="454">
      <c r="A454" s="35" t="n"/>
      <c r="B454" s="31" t="n"/>
      <c r="C454" s="19">
        <f>IF(B454="","",IF(COUNTIF(Config!$D$6:$D$15,B454)&gt;0,"Entrada",IF(COUNTIF(Config!$F$6:$F$25,B454)&gt;0,"Saída","Categoria inválida")))</f>
        <v/>
      </c>
      <c r="D454" s="31" t="n"/>
      <c r="E454" s="33" t="n"/>
      <c r="F454" s="36" t="n"/>
      <c r="G454" s="31" t="n"/>
      <c r="H454" s="37">
        <f>IF(A454="","",(YEAR(A454)-YEAR(Config!$B$6))*12+MONTH(A454)-MONTH(Config!$B$6)+1)</f>
        <v/>
      </c>
      <c r="I454" s="19">
        <f>IF(AND(A454="",B454="",E454=""),"",IF(A454="","Falta data",IF(B454="","Falta categoria",IF(E454="","Falta valor",IF(C454="Categoria inválida","Categoria inválida",IF(OR(H454&lt;1,H454&gt;12),"Fora dos 12 meses","OK"))))))</f>
        <v/>
      </c>
    </row>
    <row r="455">
      <c r="A455" s="35" t="n"/>
      <c r="B455" s="31" t="n"/>
      <c r="C455" s="19">
        <f>IF(B455="","",IF(COUNTIF(Config!$D$6:$D$15,B455)&gt;0,"Entrada",IF(COUNTIF(Config!$F$6:$F$25,B455)&gt;0,"Saída","Categoria inválida")))</f>
        <v/>
      </c>
      <c r="D455" s="31" t="n"/>
      <c r="E455" s="33" t="n"/>
      <c r="F455" s="36" t="n"/>
      <c r="G455" s="31" t="n"/>
      <c r="H455" s="37">
        <f>IF(A455="","",(YEAR(A455)-YEAR(Config!$B$6))*12+MONTH(A455)-MONTH(Config!$B$6)+1)</f>
        <v/>
      </c>
      <c r="I455" s="19">
        <f>IF(AND(A455="",B455="",E455=""),"",IF(A455="","Falta data",IF(B455="","Falta categoria",IF(E455="","Falta valor",IF(C455="Categoria inválida","Categoria inválida",IF(OR(H455&lt;1,H455&gt;12),"Fora dos 12 meses","OK"))))))</f>
        <v/>
      </c>
    </row>
    <row r="456">
      <c r="A456" s="35" t="n"/>
      <c r="B456" s="31" t="n"/>
      <c r="C456" s="19">
        <f>IF(B456="","",IF(COUNTIF(Config!$D$6:$D$15,B456)&gt;0,"Entrada",IF(COUNTIF(Config!$F$6:$F$25,B456)&gt;0,"Saída","Categoria inválida")))</f>
        <v/>
      </c>
      <c r="D456" s="31" t="n"/>
      <c r="E456" s="33" t="n"/>
      <c r="F456" s="36" t="n"/>
      <c r="G456" s="31" t="n"/>
      <c r="H456" s="37">
        <f>IF(A456="","",(YEAR(A456)-YEAR(Config!$B$6))*12+MONTH(A456)-MONTH(Config!$B$6)+1)</f>
        <v/>
      </c>
      <c r="I456" s="19">
        <f>IF(AND(A456="",B456="",E456=""),"",IF(A456="","Falta data",IF(B456="","Falta categoria",IF(E456="","Falta valor",IF(C456="Categoria inválida","Categoria inválida",IF(OR(H456&lt;1,H456&gt;12),"Fora dos 12 meses","OK"))))))</f>
        <v/>
      </c>
    </row>
    <row r="457">
      <c r="A457" s="35" t="n"/>
      <c r="B457" s="31" t="n"/>
      <c r="C457" s="19">
        <f>IF(B457="","",IF(COUNTIF(Config!$D$6:$D$15,B457)&gt;0,"Entrada",IF(COUNTIF(Config!$F$6:$F$25,B457)&gt;0,"Saída","Categoria inválida")))</f>
        <v/>
      </c>
      <c r="D457" s="31" t="n"/>
      <c r="E457" s="33" t="n"/>
      <c r="F457" s="36" t="n"/>
      <c r="G457" s="31" t="n"/>
      <c r="H457" s="37">
        <f>IF(A457="","",(YEAR(A457)-YEAR(Config!$B$6))*12+MONTH(A457)-MONTH(Config!$B$6)+1)</f>
        <v/>
      </c>
      <c r="I457" s="19">
        <f>IF(AND(A457="",B457="",E457=""),"",IF(A457="","Falta data",IF(B457="","Falta categoria",IF(E457="","Falta valor",IF(C457="Categoria inválida","Categoria inválida",IF(OR(H457&lt;1,H457&gt;12),"Fora dos 12 meses","OK"))))))</f>
        <v/>
      </c>
    </row>
    <row r="458">
      <c r="A458" s="35" t="n"/>
      <c r="B458" s="31" t="n"/>
      <c r="C458" s="19">
        <f>IF(B458="","",IF(COUNTIF(Config!$D$6:$D$15,B458)&gt;0,"Entrada",IF(COUNTIF(Config!$F$6:$F$25,B458)&gt;0,"Saída","Categoria inválida")))</f>
        <v/>
      </c>
      <c r="D458" s="31" t="n"/>
      <c r="E458" s="33" t="n"/>
      <c r="F458" s="36" t="n"/>
      <c r="G458" s="31" t="n"/>
      <c r="H458" s="37">
        <f>IF(A458="","",(YEAR(A458)-YEAR(Config!$B$6))*12+MONTH(A458)-MONTH(Config!$B$6)+1)</f>
        <v/>
      </c>
      <c r="I458" s="19">
        <f>IF(AND(A458="",B458="",E458=""),"",IF(A458="","Falta data",IF(B458="","Falta categoria",IF(E458="","Falta valor",IF(C458="Categoria inválida","Categoria inválida",IF(OR(H458&lt;1,H458&gt;12),"Fora dos 12 meses","OK"))))))</f>
        <v/>
      </c>
    </row>
    <row r="459">
      <c r="A459" s="35" t="n"/>
      <c r="B459" s="31" t="n"/>
      <c r="C459" s="19">
        <f>IF(B459="","",IF(COUNTIF(Config!$D$6:$D$15,B459)&gt;0,"Entrada",IF(COUNTIF(Config!$F$6:$F$25,B459)&gt;0,"Saída","Categoria inválida")))</f>
        <v/>
      </c>
      <c r="D459" s="31" t="n"/>
      <c r="E459" s="33" t="n"/>
      <c r="F459" s="36" t="n"/>
      <c r="G459" s="31" t="n"/>
      <c r="H459" s="37">
        <f>IF(A459="","",(YEAR(A459)-YEAR(Config!$B$6))*12+MONTH(A459)-MONTH(Config!$B$6)+1)</f>
        <v/>
      </c>
      <c r="I459" s="19">
        <f>IF(AND(A459="",B459="",E459=""),"",IF(A459="","Falta data",IF(B459="","Falta categoria",IF(E459="","Falta valor",IF(C459="Categoria inválida","Categoria inválida",IF(OR(H459&lt;1,H459&gt;12),"Fora dos 12 meses","OK"))))))</f>
        <v/>
      </c>
    </row>
    <row r="460">
      <c r="A460" s="35" t="n"/>
      <c r="B460" s="31" t="n"/>
      <c r="C460" s="19">
        <f>IF(B460="","",IF(COUNTIF(Config!$D$6:$D$15,B460)&gt;0,"Entrada",IF(COUNTIF(Config!$F$6:$F$25,B460)&gt;0,"Saída","Categoria inválida")))</f>
        <v/>
      </c>
      <c r="D460" s="31" t="n"/>
      <c r="E460" s="33" t="n"/>
      <c r="F460" s="36" t="n"/>
      <c r="G460" s="31" t="n"/>
      <c r="H460" s="37">
        <f>IF(A460="","",(YEAR(A460)-YEAR(Config!$B$6))*12+MONTH(A460)-MONTH(Config!$B$6)+1)</f>
        <v/>
      </c>
      <c r="I460" s="19">
        <f>IF(AND(A460="",B460="",E460=""),"",IF(A460="","Falta data",IF(B460="","Falta categoria",IF(E460="","Falta valor",IF(C460="Categoria inválida","Categoria inválida",IF(OR(H460&lt;1,H460&gt;12),"Fora dos 12 meses","OK"))))))</f>
        <v/>
      </c>
    </row>
    <row r="461">
      <c r="A461" s="35" t="n"/>
      <c r="B461" s="31" t="n"/>
      <c r="C461" s="19">
        <f>IF(B461="","",IF(COUNTIF(Config!$D$6:$D$15,B461)&gt;0,"Entrada",IF(COUNTIF(Config!$F$6:$F$25,B461)&gt;0,"Saída","Categoria inválida")))</f>
        <v/>
      </c>
      <c r="D461" s="31" t="n"/>
      <c r="E461" s="33" t="n"/>
      <c r="F461" s="36" t="n"/>
      <c r="G461" s="31" t="n"/>
      <c r="H461" s="37">
        <f>IF(A461="","",(YEAR(A461)-YEAR(Config!$B$6))*12+MONTH(A461)-MONTH(Config!$B$6)+1)</f>
        <v/>
      </c>
      <c r="I461" s="19">
        <f>IF(AND(A461="",B461="",E461=""),"",IF(A461="","Falta data",IF(B461="","Falta categoria",IF(E461="","Falta valor",IF(C461="Categoria inválida","Categoria inválida",IF(OR(H461&lt;1,H461&gt;12),"Fora dos 12 meses","OK"))))))</f>
        <v/>
      </c>
    </row>
    <row r="462">
      <c r="A462" s="35" t="n"/>
      <c r="B462" s="31" t="n"/>
      <c r="C462" s="19">
        <f>IF(B462="","",IF(COUNTIF(Config!$D$6:$D$15,B462)&gt;0,"Entrada",IF(COUNTIF(Config!$F$6:$F$25,B462)&gt;0,"Saída","Categoria inválida")))</f>
        <v/>
      </c>
      <c r="D462" s="31" t="n"/>
      <c r="E462" s="33" t="n"/>
      <c r="F462" s="36" t="n"/>
      <c r="G462" s="31" t="n"/>
      <c r="H462" s="37">
        <f>IF(A462="","",(YEAR(A462)-YEAR(Config!$B$6))*12+MONTH(A462)-MONTH(Config!$B$6)+1)</f>
        <v/>
      </c>
      <c r="I462" s="19">
        <f>IF(AND(A462="",B462="",E462=""),"",IF(A462="","Falta data",IF(B462="","Falta categoria",IF(E462="","Falta valor",IF(C462="Categoria inválida","Categoria inválida",IF(OR(H462&lt;1,H462&gt;12),"Fora dos 12 meses","OK"))))))</f>
        <v/>
      </c>
    </row>
    <row r="463">
      <c r="A463" s="35" t="n"/>
      <c r="B463" s="31" t="n"/>
      <c r="C463" s="19">
        <f>IF(B463="","",IF(COUNTIF(Config!$D$6:$D$15,B463)&gt;0,"Entrada",IF(COUNTIF(Config!$F$6:$F$25,B463)&gt;0,"Saída","Categoria inválida")))</f>
        <v/>
      </c>
      <c r="D463" s="31" t="n"/>
      <c r="E463" s="33" t="n"/>
      <c r="F463" s="36" t="n"/>
      <c r="G463" s="31" t="n"/>
      <c r="H463" s="37">
        <f>IF(A463="","",(YEAR(A463)-YEAR(Config!$B$6))*12+MONTH(A463)-MONTH(Config!$B$6)+1)</f>
        <v/>
      </c>
      <c r="I463" s="19">
        <f>IF(AND(A463="",B463="",E463=""),"",IF(A463="","Falta data",IF(B463="","Falta categoria",IF(E463="","Falta valor",IF(C463="Categoria inválida","Categoria inválida",IF(OR(H463&lt;1,H463&gt;12),"Fora dos 12 meses","OK"))))))</f>
        <v/>
      </c>
    </row>
    <row r="464">
      <c r="A464" s="35" t="n"/>
      <c r="B464" s="31" t="n"/>
      <c r="C464" s="19">
        <f>IF(B464="","",IF(COUNTIF(Config!$D$6:$D$15,B464)&gt;0,"Entrada",IF(COUNTIF(Config!$F$6:$F$25,B464)&gt;0,"Saída","Categoria inválida")))</f>
        <v/>
      </c>
      <c r="D464" s="31" t="n"/>
      <c r="E464" s="33" t="n"/>
      <c r="F464" s="36" t="n"/>
      <c r="G464" s="31" t="n"/>
      <c r="H464" s="37">
        <f>IF(A464="","",(YEAR(A464)-YEAR(Config!$B$6))*12+MONTH(A464)-MONTH(Config!$B$6)+1)</f>
        <v/>
      </c>
      <c r="I464" s="19">
        <f>IF(AND(A464="",B464="",E464=""),"",IF(A464="","Falta data",IF(B464="","Falta categoria",IF(E464="","Falta valor",IF(C464="Categoria inválida","Categoria inválida",IF(OR(H464&lt;1,H464&gt;12),"Fora dos 12 meses","OK"))))))</f>
        <v/>
      </c>
    </row>
    <row r="465">
      <c r="A465" s="35" t="n"/>
      <c r="B465" s="31" t="n"/>
      <c r="C465" s="19">
        <f>IF(B465="","",IF(COUNTIF(Config!$D$6:$D$15,B465)&gt;0,"Entrada",IF(COUNTIF(Config!$F$6:$F$25,B465)&gt;0,"Saída","Categoria inválida")))</f>
        <v/>
      </c>
      <c r="D465" s="31" t="n"/>
      <c r="E465" s="33" t="n"/>
      <c r="F465" s="36" t="n"/>
      <c r="G465" s="31" t="n"/>
      <c r="H465" s="37">
        <f>IF(A465="","",(YEAR(A465)-YEAR(Config!$B$6))*12+MONTH(A465)-MONTH(Config!$B$6)+1)</f>
        <v/>
      </c>
      <c r="I465" s="19">
        <f>IF(AND(A465="",B465="",E465=""),"",IF(A465="","Falta data",IF(B465="","Falta categoria",IF(E465="","Falta valor",IF(C465="Categoria inválida","Categoria inválida",IF(OR(H465&lt;1,H465&gt;12),"Fora dos 12 meses","OK"))))))</f>
        <v/>
      </c>
    </row>
    <row r="466">
      <c r="A466" s="35" t="n"/>
      <c r="B466" s="31" t="n"/>
      <c r="C466" s="19">
        <f>IF(B466="","",IF(COUNTIF(Config!$D$6:$D$15,B466)&gt;0,"Entrada",IF(COUNTIF(Config!$F$6:$F$25,B466)&gt;0,"Saída","Categoria inválida")))</f>
        <v/>
      </c>
      <c r="D466" s="31" t="n"/>
      <c r="E466" s="33" t="n"/>
      <c r="F466" s="36" t="n"/>
      <c r="G466" s="31" t="n"/>
      <c r="H466" s="37">
        <f>IF(A466="","",(YEAR(A466)-YEAR(Config!$B$6))*12+MONTH(A466)-MONTH(Config!$B$6)+1)</f>
        <v/>
      </c>
      <c r="I466" s="19">
        <f>IF(AND(A466="",B466="",E466=""),"",IF(A466="","Falta data",IF(B466="","Falta categoria",IF(E466="","Falta valor",IF(C466="Categoria inválida","Categoria inválida",IF(OR(H466&lt;1,H466&gt;12),"Fora dos 12 meses","OK"))))))</f>
        <v/>
      </c>
    </row>
    <row r="467">
      <c r="A467" s="35" t="n"/>
      <c r="B467" s="31" t="n"/>
      <c r="C467" s="19">
        <f>IF(B467="","",IF(COUNTIF(Config!$D$6:$D$15,B467)&gt;0,"Entrada",IF(COUNTIF(Config!$F$6:$F$25,B467)&gt;0,"Saída","Categoria inválida")))</f>
        <v/>
      </c>
      <c r="D467" s="31" t="n"/>
      <c r="E467" s="33" t="n"/>
      <c r="F467" s="36" t="n"/>
      <c r="G467" s="31" t="n"/>
      <c r="H467" s="37">
        <f>IF(A467="","",(YEAR(A467)-YEAR(Config!$B$6))*12+MONTH(A467)-MONTH(Config!$B$6)+1)</f>
        <v/>
      </c>
      <c r="I467" s="19">
        <f>IF(AND(A467="",B467="",E467=""),"",IF(A467="","Falta data",IF(B467="","Falta categoria",IF(E467="","Falta valor",IF(C467="Categoria inválida","Categoria inválida",IF(OR(H467&lt;1,H467&gt;12),"Fora dos 12 meses","OK"))))))</f>
        <v/>
      </c>
    </row>
    <row r="468">
      <c r="A468" s="35" t="n"/>
      <c r="B468" s="31" t="n"/>
      <c r="C468" s="19">
        <f>IF(B468="","",IF(COUNTIF(Config!$D$6:$D$15,B468)&gt;0,"Entrada",IF(COUNTIF(Config!$F$6:$F$25,B468)&gt;0,"Saída","Categoria inválida")))</f>
        <v/>
      </c>
      <c r="D468" s="31" t="n"/>
      <c r="E468" s="33" t="n"/>
      <c r="F468" s="36" t="n"/>
      <c r="G468" s="31" t="n"/>
      <c r="H468" s="37">
        <f>IF(A468="","",(YEAR(A468)-YEAR(Config!$B$6))*12+MONTH(A468)-MONTH(Config!$B$6)+1)</f>
        <v/>
      </c>
      <c r="I468" s="19">
        <f>IF(AND(A468="",B468="",E468=""),"",IF(A468="","Falta data",IF(B468="","Falta categoria",IF(E468="","Falta valor",IF(C468="Categoria inválida","Categoria inválida",IF(OR(H468&lt;1,H468&gt;12),"Fora dos 12 meses","OK"))))))</f>
        <v/>
      </c>
    </row>
    <row r="469">
      <c r="A469" s="35" t="n"/>
      <c r="B469" s="31" t="n"/>
      <c r="C469" s="19">
        <f>IF(B469="","",IF(COUNTIF(Config!$D$6:$D$15,B469)&gt;0,"Entrada",IF(COUNTIF(Config!$F$6:$F$25,B469)&gt;0,"Saída","Categoria inválida")))</f>
        <v/>
      </c>
      <c r="D469" s="31" t="n"/>
      <c r="E469" s="33" t="n"/>
      <c r="F469" s="36" t="n"/>
      <c r="G469" s="31" t="n"/>
      <c r="H469" s="37">
        <f>IF(A469="","",(YEAR(A469)-YEAR(Config!$B$6))*12+MONTH(A469)-MONTH(Config!$B$6)+1)</f>
        <v/>
      </c>
      <c r="I469" s="19">
        <f>IF(AND(A469="",B469="",E469=""),"",IF(A469="","Falta data",IF(B469="","Falta categoria",IF(E469="","Falta valor",IF(C469="Categoria inválida","Categoria inválida",IF(OR(H469&lt;1,H469&gt;12),"Fora dos 12 meses","OK"))))))</f>
        <v/>
      </c>
    </row>
    <row r="470">
      <c r="A470" s="35" t="n"/>
      <c r="B470" s="31" t="n"/>
      <c r="C470" s="19">
        <f>IF(B470="","",IF(COUNTIF(Config!$D$6:$D$15,B470)&gt;0,"Entrada",IF(COUNTIF(Config!$F$6:$F$25,B470)&gt;0,"Saída","Categoria inválida")))</f>
        <v/>
      </c>
      <c r="D470" s="31" t="n"/>
      <c r="E470" s="33" t="n"/>
      <c r="F470" s="36" t="n"/>
      <c r="G470" s="31" t="n"/>
      <c r="H470" s="37">
        <f>IF(A470="","",(YEAR(A470)-YEAR(Config!$B$6))*12+MONTH(A470)-MONTH(Config!$B$6)+1)</f>
        <v/>
      </c>
      <c r="I470" s="19">
        <f>IF(AND(A470="",B470="",E470=""),"",IF(A470="","Falta data",IF(B470="","Falta categoria",IF(E470="","Falta valor",IF(C470="Categoria inválida","Categoria inválida",IF(OR(H470&lt;1,H470&gt;12),"Fora dos 12 meses","OK"))))))</f>
        <v/>
      </c>
    </row>
    <row r="471">
      <c r="A471" s="35" t="n"/>
      <c r="B471" s="31" t="n"/>
      <c r="C471" s="19">
        <f>IF(B471="","",IF(COUNTIF(Config!$D$6:$D$15,B471)&gt;0,"Entrada",IF(COUNTIF(Config!$F$6:$F$25,B471)&gt;0,"Saída","Categoria inválida")))</f>
        <v/>
      </c>
      <c r="D471" s="31" t="n"/>
      <c r="E471" s="33" t="n"/>
      <c r="F471" s="36" t="n"/>
      <c r="G471" s="31" t="n"/>
      <c r="H471" s="37">
        <f>IF(A471="","",(YEAR(A471)-YEAR(Config!$B$6))*12+MONTH(A471)-MONTH(Config!$B$6)+1)</f>
        <v/>
      </c>
      <c r="I471" s="19">
        <f>IF(AND(A471="",B471="",E471=""),"",IF(A471="","Falta data",IF(B471="","Falta categoria",IF(E471="","Falta valor",IF(C471="Categoria inválida","Categoria inválida",IF(OR(H471&lt;1,H471&gt;12),"Fora dos 12 meses","OK"))))))</f>
        <v/>
      </c>
    </row>
    <row r="472">
      <c r="A472" s="35" t="n"/>
      <c r="B472" s="31" t="n"/>
      <c r="C472" s="19">
        <f>IF(B472="","",IF(COUNTIF(Config!$D$6:$D$15,B472)&gt;0,"Entrada",IF(COUNTIF(Config!$F$6:$F$25,B472)&gt;0,"Saída","Categoria inválida")))</f>
        <v/>
      </c>
      <c r="D472" s="31" t="n"/>
      <c r="E472" s="33" t="n"/>
      <c r="F472" s="36" t="n"/>
      <c r="G472" s="31" t="n"/>
      <c r="H472" s="37">
        <f>IF(A472="","",(YEAR(A472)-YEAR(Config!$B$6))*12+MONTH(A472)-MONTH(Config!$B$6)+1)</f>
        <v/>
      </c>
      <c r="I472" s="19">
        <f>IF(AND(A472="",B472="",E472=""),"",IF(A472="","Falta data",IF(B472="","Falta categoria",IF(E472="","Falta valor",IF(C472="Categoria inválida","Categoria inválida",IF(OR(H472&lt;1,H472&gt;12),"Fora dos 12 meses","OK"))))))</f>
        <v/>
      </c>
    </row>
    <row r="473">
      <c r="A473" s="35" t="n"/>
      <c r="B473" s="31" t="n"/>
      <c r="C473" s="19">
        <f>IF(B473="","",IF(COUNTIF(Config!$D$6:$D$15,B473)&gt;0,"Entrada",IF(COUNTIF(Config!$F$6:$F$25,B473)&gt;0,"Saída","Categoria inválida")))</f>
        <v/>
      </c>
      <c r="D473" s="31" t="n"/>
      <c r="E473" s="33" t="n"/>
      <c r="F473" s="36" t="n"/>
      <c r="G473" s="31" t="n"/>
      <c r="H473" s="37">
        <f>IF(A473="","",(YEAR(A473)-YEAR(Config!$B$6))*12+MONTH(A473)-MONTH(Config!$B$6)+1)</f>
        <v/>
      </c>
      <c r="I473" s="19">
        <f>IF(AND(A473="",B473="",E473=""),"",IF(A473="","Falta data",IF(B473="","Falta categoria",IF(E473="","Falta valor",IF(C473="Categoria inválida","Categoria inválida",IF(OR(H473&lt;1,H473&gt;12),"Fora dos 12 meses","OK"))))))</f>
        <v/>
      </c>
    </row>
    <row r="474">
      <c r="A474" s="35" t="n"/>
      <c r="B474" s="31" t="n"/>
      <c r="C474" s="19">
        <f>IF(B474="","",IF(COUNTIF(Config!$D$6:$D$15,B474)&gt;0,"Entrada",IF(COUNTIF(Config!$F$6:$F$25,B474)&gt;0,"Saída","Categoria inválida")))</f>
        <v/>
      </c>
      <c r="D474" s="31" t="n"/>
      <c r="E474" s="33" t="n"/>
      <c r="F474" s="36" t="n"/>
      <c r="G474" s="31" t="n"/>
      <c r="H474" s="37">
        <f>IF(A474="","",(YEAR(A474)-YEAR(Config!$B$6))*12+MONTH(A474)-MONTH(Config!$B$6)+1)</f>
        <v/>
      </c>
      <c r="I474" s="19">
        <f>IF(AND(A474="",B474="",E474=""),"",IF(A474="","Falta data",IF(B474="","Falta categoria",IF(E474="","Falta valor",IF(C474="Categoria inválida","Categoria inválida",IF(OR(H474&lt;1,H474&gt;12),"Fora dos 12 meses","OK"))))))</f>
        <v/>
      </c>
    </row>
    <row r="475">
      <c r="A475" s="35" t="n"/>
      <c r="B475" s="31" t="n"/>
      <c r="C475" s="19">
        <f>IF(B475="","",IF(COUNTIF(Config!$D$6:$D$15,B475)&gt;0,"Entrada",IF(COUNTIF(Config!$F$6:$F$25,B475)&gt;0,"Saída","Categoria inválida")))</f>
        <v/>
      </c>
      <c r="D475" s="31" t="n"/>
      <c r="E475" s="33" t="n"/>
      <c r="F475" s="36" t="n"/>
      <c r="G475" s="31" t="n"/>
      <c r="H475" s="37">
        <f>IF(A475="","",(YEAR(A475)-YEAR(Config!$B$6))*12+MONTH(A475)-MONTH(Config!$B$6)+1)</f>
        <v/>
      </c>
      <c r="I475" s="19">
        <f>IF(AND(A475="",B475="",E475=""),"",IF(A475="","Falta data",IF(B475="","Falta categoria",IF(E475="","Falta valor",IF(C475="Categoria inválida","Categoria inválida",IF(OR(H475&lt;1,H475&gt;12),"Fora dos 12 meses","OK"))))))</f>
        <v/>
      </c>
    </row>
    <row r="476">
      <c r="A476" s="35" t="n"/>
      <c r="B476" s="31" t="n"/>
      <c r="C476" s="19">
        <f>IF(B476="","",IF(COUNTIF(Config!$D$6:$D$15,B476)&gt;0,"Entrada",IF(COUNTIF(Config!$F$6:$F$25,B476)&gt;0,"Saída","Categoria inválida")))</f>
        <v/>
      </c>
      <c r="D476" s="31" t="n"/>
      <c r="E476" s="33" t="n"/>
      <c r="F476" s="36" t="n"/>
      <c r="G476" s="31" t="n"/>
      <c r="H476" s="37">
        <f>IF(A476="","",(YEAR(A476)-YEAR(Config!$B$6))*12+MONTH(A476)-MONTH(Config!$B$6)+1)</f>
        <v/>
      </c>
      <c r="I476" s="19">
        <f>IF(AND(A476="",B476="",E476=""),"",IF(A476="","Falta data",IF(B476="","Falta categoria",IF(E476="","Falta valor",IF(C476="Categoria inválida","Categoria inválida",IF(OR(H476&lt;1,H476&gt;12),"Fora dos 12 meses","OK"))))))</f>
        <v/>
      </c>
    </row>
    <row r="477">
      <c r="A477" s="35" t="n"/>
      <c r="B477" s="31" t="n"/>
      <c r="C477" s="19">
        <f>IF(B477="","",IF(COUNTIF(Config!$D$6:$D$15,B477)&gt;0,"Entrada",IF(COUNTIF(Config!$F$6:$F$25,B477)&gt;0,"Saída","Categoria inválida")))</f>
        <v/>
      </c>
      <c r="D477" s="31" t="n"/>
      <c r="E477" s="33" t="n"/>
      <c r="F477" s="36" t="n"/>
      <c r="G477" s="31" t="n"/>
      <c r="H477" s="37">
        <f>IF(A477="","",(YEAR(A477)-YEAR(Config!$B$6))*12+MONTH(A477)-MONTH(Config!$B$6)+1)</f>
        <v/>
      </c>
      <c r="I477" s="19">
        <f>IF(AND(A477="",B477="",E477=""),"",IF(A477="","Falta data",IF(B477="","Falta categoria",IF(E477="","Falta valor",IF(C477="Categoria inválida","Categoria inválida",IF(OR(H477&lt;1,H477&gt;12),"Fora dos 12 meses","OK"))))))</f>
        <v/>
      </c>
    </row>
    <row r="478">
      <c r="A478" s="35" t="n"/>
      <c r="B478" s="31" t="n"/>
      <c r="C478" s="19">
        <f>IF(B478="","",IF(COUNTIF(Config!$D$6:$D$15,B478)&gt;0,"Entrada",IF(COUNTIF(Config!$F$6:$F$25,B478)&gt;0,"Saída","Categoria inválida")))</f>
        <v/>
      </c>
      <c r="D478" s="31" t="n"/>
      <c r="E478" s="33" t="n"/>
      <c r="F478" s="36" t="n"/>
      <c r="G478" s="31" t="n"/>
      <c r="H478" s="37">
        <f>IF(A478="","",(YEAR(A478)-YEAR(Config!$B$6))*12+MONTH(A478)-MONTH(Config!$B$6)+1)</f>
        <v/>
      </c>
      <c r="I478" s="19">
        <f>IF(AND(A478="",B478="",E478=""),"",IF(A478="","Falta data",IF(B478="","Falta categoria",IF(E478="","Falta valor",IF(C478="Categoria inválida","Categoria inválida",IF(OR(H478&lt;1,H478&gt;12),"Fora dos 12 meses","OK"))))))</f>
        <v/>
      </c>
    </row>
    <row r="479">
      <c r="A479" s="35" t="n"/>
      <c r="B479" s="31" t="n"/>
      <c r="C479" s="19">
        <f>IF(B479="","",IF(COUNTIF(Config!$D$6:$D$15,B479)&gt;0,"Entrada",IF(COUNTIF(Config!$F$6:$F$25,B479)&gt;0,"Saída","Categoria inválida")))</f>
        <v/>
      </c>
      <c r="D479" s="31" t="n"/>
      <c r="E479" s="33" t="n"/>
      <c r="F479" s="36" t="n"/>
      <c r="G479" s="31" t="n"/>
      <c r="H479" s="37">
        <f>IF(A479="","",(YEAR(A479)-YEAR(Config!$B$6))*12+MONTH(A479)-MONTH(Config!$B$6)+1)</f>
        <v/>
      </c>
      <c r="I479" s="19">
        <f>IF(AND(A479="",B479="",E479=""),"",IF(A479="","Falta data",IF(B479="","Falta categoria",IF(E479="","Falta valor",IF(C479="Categoria inválida","Categoria inválida",IF(OR(H479&lt;1,H479&gt;12),"Fora dos 12 meses","OK"))))))</f>
        <v/>
      </c>
    </row>
    <row r="480">
      <c r="A480" s="35" t="n"/>
      <c r="B480" s="31" t="n"/>
      <c r="C480" s="19">
        <f>IF(B480="","",IF(COUNTIF(Config!$D$6:$D$15,B480)&gt;0,"Entrada",IF(COUNTIF(Config!$F$6:$F$25,B480)&gt;0,"Saída","Categoria inválida")))</f>
        <v/>
      </c>
      <c r="D480" s="31" t="n"/>
      <c r="E480" s="33" t="n"/>
      <c r="F480" s="36" t="n"/>
      <c r="G480" s="31" t="n"/>
      <c r="H480" s="37">
        <f>IF(A480="","",(YEAR(A480)-YEAR(Config!$B$6))*12+MONTH(A480)-MONTH(Config!$B$6)+1)</f>
        <v/>
      </c>
      <c r="I480" s="19">
        <f>IF(AND(A480="",B480="",E480=""),"",IF(A480="","Falta data",IF(B480="","Falta categoria",IF(E480="","Falta valor",IF(C480="Categoria inválida","Categoria inválida",IF(OR(H480&lt;1,H480&gt;12),"Fora dos 12 meses","OK"))))))</f>
        <v/>
      </c>
    </row>
    <row r="481">
      <c r="A481" s="35" t="n"/>
      <c r="B481" s="31" t="n"/>
      <c r="C481" s="19">
        <f>IF(B481="","",IF(COUNTIF(Config!$D$6:$D$15,B481)&gt;0,"Entrada",IF(COUNTIF(Config!$F$6:$F$25,B481)&gt;0,"Saída","Categoria inválida")))</f>
        <v/>
      </c>
      <c r="D481" s="31" t="n"/>
      <c r="E481" s="33" t="n"/>
      <c r="F481" s="36" t="n"/>
      <c r="G481" s="31" t="n"/>
      <c r="H481" s="37">
        <f>IF(A481="","",(YEAR(A481)-YEAR(Config!$B$6))*12+MONTH(A481)-MONTH(Config!$B$6)+1)</f>
        <v/>
      </c>
      <c r="I481" s="19">
        <f>IF(AND(A481="",B481="",E481=""),"",IF(A481="","Falta data",IF(B481="","Falta categoria",IF(E481="","Falta valor",IF(C481="Categoria inválida","Categoria inválida",IF(OR(H481&lt;1,H481&gt;12),"Fora dos 12 meses","OK"))))))</f>
        <v/>
      </c>
    </row>
    <row r="482">
      <c r="A482" s="35" t="n"/>
      <c r="B482" s="31" t="n"/>
      <c r="C482" s="19">
        <f>IF(B482="","",IF(COUNTIF(Config!$D$6:$D$15,B482)&gt;0,"Entrada",IF(COUNTIF(Config!$F$6:$F$25,B482)&gt;0,"Saída","Categoria inválida")))</f>
        <v/>
      </c>
      <c r="D482" s="31" t="n"/>
      <c r="E482" s="33" t="n"/>
      <c r="F482" s="36" t="n"/>
      <c r="G482" s="31" t="n"/>
      <c r="H482" s="37">
        <f>IF(A482="","",(YEAR(A482)-YEAR(Config!$B$6))*12+MONTH(A482)-MONTH(Config!$B$6)+1)</f>
        <v/>
      </c>
      <c r="I482" s="19">
        <f>IF(AND(A482="",B482="",E482=""),"",IF(A482="","Falta data",IF(B482="","Falta categoria",IF(E482="","Falta valor",IF(C482="Categoria inválida","Categoria inválida",IF(OR(H482&lt;1,H482&gt;12),"Fora dos 12 meses","OK"))))))</f>
        <v/>
      </c>
    </row>
    <row r="483">
      <c r="A483" s="35" t="n"/>
      <c r="B483" s="31" t="n"/>
      <c r="C483" s="19">
        <f>IF(B483="","",IF(COUNTIF(Config!$D$6:$D$15,B483)&gt;0,"Entrada",IF(COUNTIF(Config!$F$6:$F$25,B483)&gt;0,"Saída","Categoria inválida")))</f>
        <v/>
      </c>
      <c r="D483" s="31" t="n"/>
      <c r="E483" s="33" t="n"/>
      <c r="F483" s="36" t="n"/>
      <c r="G483" s="31" t="n"/>
      <c r="H483" s="37">
        <f>IF(A483="","",(YEAR(A483)-YEAR(Config!$B$6))*12+MONTH(A483)-MONTH(Config!$B$6)+1)</f>
        <v/>
      </c>
      <c r="I483" s="19">
        <f>IF(AND(A483="",B483="",E483=""),"",IF(A483="","Falta data",IF(B483="","Falta categoria",IF(E483="","Falta valor",IF(C483="Categoria inválida","Categoria inválida",IF(OR(H483&lt;1,H483&gt;12),"Fora dos 12 meses","OK"))))))</f>
        <v/>
      </c>
    </row>
    <row r="484">
      <c r="A484" s="35" t="n"/>
      <c r="B484" s="31" t="n"/>
      <c r="C484" s="19">
        <f>IF(B484="","",IF(COUNTIF(Config!$D$6:$D$15,B484)&gt;0,"Entrada",IF(COUNTIF(Config!$F$6:$F$25,B484)&gt;0,"Saída","Categoria inválida")))</f>
        <v/>
      </c>
      <c r="D484" s="31" t="n"/>
      <c r="E484" s="33" t="n"/>
      <c r="F484" s="36" t="n"/>
      <c r="G484" s="31" t="n"/>
      <c r="H484" s="37">
        <f>IF(A484="","",(YEAR(A484)-YEAR(Config!$B$6))*12+MONTH(A484)-MONTH(Config!$B$6)+1)</f>
        <v/>
      </c>
      <c r="I484" s="19">
        <f>IF(AND(A484="",B484="",E484=""),"",IF(A484="","Falta data",IF(B484="","Falta categoria",IF(E484="","Falta valor",IF(C484="Categoria inválida","Categoria inválida",IF(OR(H484&lt;1,H484&gt;12),"Fora dos 12 meses","OK"))))))</f>
        <v/>
      </c>
    </row>
    <row r="485">
      <c r="A485" s="35" t="n"/>
      <c r="B485" s="31" t="n"/>
      <c r="C485" s="19">
        <f>IF(B485="","",IF(COUNTIF(Config!$D$6:$D$15,B485)&gt;0,"Entrada",IF(COUNTIF(Config!$F$6:$F$25,B485)&gt;0,"Saída","Categoria inválida")))</f>
        <v/>
      </c>
      <c r="D485" s="31" t="n"/>
      <c r="E485" s="33" t="n"/>
      <c r="F485" s="36" t="n"/>
      <c r="G485" s="31" t="n"/>
      <c r="H485" s="37">
        <f>IF(A485="","",(YEAR(A485)-YEAR(Config!$B$6))*12+MONTH(A485)-MONTH(Config!$B$6)+1)</f>
        <v/>
      </c>
      <c r="I485" s="19">
        <f>IF(AND(A485="",B485="",E485=""),"",IF(A485="","Falta data",IF(B485="","Falta categoria",IF(E485="","Falta valor",IF(C485="Categoria inválida","Categoria inválida",IF(OR(H485&lt;1,H485&gt;12),"Fora dos 12 meses","OK"))))))</f>
        <v/>
      </c>
    </row>
    <row r="486">
      <c r="A486" s="35" t="n"/>
      <c r="B486" s="31" t="n"/>
      <c r="C486" s="19">
        <f>IF(B486="","",IF(COUNTIF(Config!$D$6:$D$15,B486)&gt;0,"Entrada",IF(COUNTIF(Config!$F$6:$F$25,B486)&gt;0,"Saída","Categoria inválida")))</f>
        <v/>
      </c>
      <c r="D486" s="31" t="n"/>
      <c r="E486" s="33" t="n"/>
      <c r="F486" s="36" t="n"/>
      <c r="G486" s="31" t="n"/>
      <c r="H486" s="37">
        <f>IF(A486="","",(YEAR(A486)-YEAR(Config!$B$6))*12+MONTH(A486)-MONTH(Config!$B$6)+1)</f>
        <v/>
      </c>
      <c r="I486" s="19">
        <f>IF(AND(A486="",B486="",E486=""),"",IF(A486="","Falta data",IF(B486="","Falta categoria",IF(E486="","Falta valor",IF(C486="Categoria inválida","Categoria inválida",IF(OR(H486&lt;1,H486&gt;12),"Fora dos 12 meses","OK"))))))</f>
        <v/>
      </c>
    </row>
    <row r="487">
      <c r="A487" s="35" t="n"/>
      <c r="B487" s="31" t="n"/>
      <c r="C487" s="19">
        <f>IF(B487="","",IF(COUNTIF(Config!$D$6:$D$15,B487)&gt;0,"Entrada",IF(COUNTIF(Config!$F$6:$F$25,B487)&gt;0,"Saída","Categoria inválida")))</f>
        <v/>
      </c>
      <c r="D487" s="31" t="n"/>
      <c r="E487" s="33" t="n"/>
      <c r="F487" s="36" t="n"/>
      <c r="G487" s="31" t="n"/>
      <c r="H487" s="37">
        <f>IF(A487="","",(YEAR(A487)-YEAR(Config!$B$6))*12+MONTH(A487)-MONTH(Config!$B$6)+1)</f>
        <v/>
      </c>
      <c r="I487" s="19">
        <f>IF(AND(A487="",B487="",E487=""),"",IF(A487="","Falta data",IF(B487="","Falta categoria",IF(E487="","Falta valor",IF(C487="Categoria inválida","Categoria inválida",IF(OR(H487&lt;1,H487&gt;12),"Fora dos 12 meses","OK"))))))</f>
        <v/>
      </c>
    </row>
    <row r="488">
      <c r="A488" s="35" t="n"/>
      <c r="B488" s="31" t="n"/>
      <c r="C488" s="19">
        <f>IF(B488="","",IF(COUNTIF(Config!$D$6:$D$15,B488)&gt;0,"Entrada",IF(COUNTIF(Config!$F$6:$F$25,B488)&gt;0,"Saída","Categoria inválida")))</f>
        <v/>
      </c>
      <c r="D488" s="31" t="n"/>
      <c r="E488" s="33" t="n"/>
      <c r="F488" s="36" t="n"/>
      <c r="G488" s="31" t="n"/>
      <c r="H488" s="37">
        <f>IF(A488="","",(YEAR(A488)-YEAR(Config!$B$6))*12+MONTH(A488)-MONTH(Config!$B$6)+1)</f>
        <v/>
      </c>
      <c r="I488" s="19">
        <f>IF(AND(A488="",B488="",E488=""),"",IF(A488="","Falta data",IF(B488="","Falta categoria",IF(E488="","Falta valor",IF(C488="Categoria inválida","Categoria inválida",IF(OR(H488&lt;1,H488&gt;12),"Fora dos 12 meses","OK"))))))</f>
        <v/>
      </c>
    </row>
    <row r="489">
      <c r="A489" s="35" t="n"/>
      <c r="B489" s="31" t="n"/>
      <c r="C489" s="19">
        <f>IF(B489="","",IF(COUNTIF(Config!$D$6:$D$15,B489)&gt;0,"Entrada",IF(COUNTIF(Config!$F$6:$F$25,B489)&gt;0,"Saída","Categoria inválida")))</f>
        <v/>
      </c>
      <c r="D489" s="31" t="n"/>
      <c r="E489" s="33" t="n"/>
      <c r="F489" s="36" t="n"/>
      <c r="G489" s="31" t="n"/>
      <c r="H489" s="37">
        <f>IF(A489="","",(YEAR(A489)-YEAR(Config!$B$6))*12+MONTH(A489)-MONTH(Config!$B$6)+1)</f>
        <v/>
      </c>
      <c r="I489" s="19">
        <f>IF(AND(A489="",B489="",E489=""),"",IF(A489="","Falta data",IF(B489="","Falta categoria",IF(E489="","Falta valor",IF(C489="Categoria inválida","Categoria inválida",IF(OR(H489&lt;1,H489&gt;12),"Fora dos 12 meses","OK"))))))</f>
        <v/>
      </c>
    </row>
    <row r="490">
      <c r="A490" s="35" t="n"/>
      <c r="B490" s="31" t="n"/>
      <c r="C490" s="19">
        <f>IF(B490="","",IF(COUNTIF(Config!$D$6:$D$15,B490)&gt;0,"Entrada",IF(COUNTIF(Config!$F$6:$F$25,B490)&gt;0,"Saída","Categoria inválida")))</f>
        <v/>
      </c>
      <c r="D490" s="31" t="n"/>
      <c r="E490" s="33" t="n"/>
      <c r="F490" s="36" t="n"/>
      <c r="G490" s="31" t="n"/>
      <c r="H490" s="37">
        <f>IF(A490="","",(YEAR(A490)-YEAR(Config!$B$6))*12+MONTH(A490)-MONTH(Config!$B$6)+1)</f>
        <v/>
      </c>
      <c r="I490" s="19">
        <f>IF(AND(A490="",B490="",E490=""),"",IF(A490="","Falta data",IF(B490="","Falta categoria",IF(E490="","Falta valor",IF(C490="Categoria inválida","Categoria inválida",IF(OR(H490&lt;1,H490&gt;12),"Fora dos 12 meses","OK"))))))</f>
        <v/>
      </c>
    </row>
    <row r="491">
      <c r="A491" s="35" t="n"/>
      <c r="B491" s="31" t="n"/>
      <c r="C491" s="19">
        <f>IF(B491="","",IF(COUNTIF(Config!$D$6:$D$15,B491)&gt;0,"Entrada",IF(COUNTIF(Config!$F$6:$F$25,B491)&gt;0,"Saída","Categoria inválida")))</f>
        <v/>
      </c>
      <c r="D491" s="31" t="n"/>
      <c r="E491" s="33" t="n"/>
      <c r="F491" s="36" t="n"/>
      <c r="G491" s="31" t="n"/>
      <c r="H491" s="37">
        <f>IF(A491="","",(YEAR(A491)-YEAR(Config!$B$6))*12+MONTH(A491)-MONTH(Config!$B$6)+1)</f>
        <v/>
      </c>
      <c r="I491" s="19">
        <f>IF(AND(A491="",B491="",E491=""),"",IF(A491="","Falta data",IF(B491="","Falta categoria",IF(E491="","Falta valor",IF(C491="Categoria inválida","Categoria inválida",IF(OR(H491&lt;1,H491&gt;12),"Fora dos 12 meses","OK"))))))</f>
        <v/>
      </c>
    </row>
    <row r="492">
      <c r="A492" s="35" t="n"/>
      <c r="B492" s="31" t="n"/>
      <c r="C492" s="19">
        <f>IF(B492="","",IF(COUNTIF(Config!$D$6:$D$15,B492)&gt;0,"Entrada",IF(COUNTIF(Config!$F$6:$F$25,B492)&gt;0,"Saída","Categoria inválida")))</f>
        <v/>
      </c>
      <c r="D492" s="31" t="n"/>
      <c r="E492" s="33" t="n"/>
      <c r="F492" s="36" t="n"/>
      <c r="G492" s="31" t="n"/>
      <c r="H492" s="37">
        <f>IF(A492="","",(YEAR(A492)-YEAR(Config!$B$6))*12+MONTH(A492)-MONTH(Config!$B$6)+1)</f>
        <v/>
      </c>
      <c r="I492" s="19">
        <f>IF(AND(A492="",B492="",E492=""),"",IF(A492="","Falta data",IF(B492="","Falta categoria",IF(E492="","Falta valor",IF(C492="Categoria inválida","Categoria inválida",IF(OR(H492&lt;1,H492&gt;12),"Fora dos 12 meses","OK"))))))</f>
        <v/>
      </c>
    </row>
    <row r="493">
      <c r="A493" s="35" t="n"/>
      <c r="B493" s="31" t="n"/>
      <c r="C493" s="19">
        <f>IF(B493="","",IF(COUNTIF(Config!$D$6:$D$15,B493)&gt;0,"Entrada",IF(COUNTIF(Config!$F$6:$F$25,B493)&gt;0,"Saída","Categoria inválida")))</f>
        <v/>
      </c>
      <c r="D493" s="31" t="n"/>
      <c r="E493" s="33" t="n"/>
      <c r="F493" s="36" t="n"/>
      <c r="G493" s="31" t="n"/>
      <c r="H493" s="37">
        <f>IF(A493="","",(YEAR(A493)-YEAR(Config!$B$6))*12+MONTH(A493)-MONTH(Config!$B$6)+1)</f>
        <v/>
      </c>
      <c r="I493" s="19">
        <f>IF(AND(A493="",B493="",E493=""),"",IF(A493="","Falta data",IF(B493="","Falta categoria",IF(E493="","Falta valor",IF(C493="Categoria inválida","Categoria inválida",IF(OR(H493&lt;1,H493&gt;12),"Fora dos 12 meses","OK"))))))</f>
        <v/>
      </c>
    </row>
    <row r="494">
      <c r="A494" s="35" t="n"/>
      <c r="B494" s="31" t="n"/>
      <c r="C494" s="19">
        <f>IF(B494="","",IF(COUNTIF(Config!$D$6:$D$15,B494)&gt;0,"Entrada",IF(COUNTIF(Config!$F$6:$F$25,B494)&gt;0,"Saída","Categoria inválida")))</f>
        <v/>
      </c>
      <c r="D494" s="31" t="n"/>
      <c r="E494" s="33" t="n"/>
      <c r="F494" s="36" t="n"/>
      <c r="G494" s="31" t="n"/>
      <c r="H494" s="37">
        <f>IF(A494="","",(YEAR(A494)-YEAR(Config!$B$6))*12+MONTH(A494)-MONTH(Config!$B$6)+1)</f>
        <v/>
      </c>
      <c r="I494" s="19">
        <f>IF(AND(A494="",B494="",E494=""),"",IF(A494="","Falta data",IF(B494="","Falta categoria",IF(E494="","Falta valor",IF(C494="Categoria inválida","Categoria inválida",IF(OR(H494&lt;1,H494&gt;12),"Fora dos 12 meses","OK"))))))</f>
        <v/>
      </c>
    </row>
    <row r="495">
      <c r="A495" s="35" t="n"/>
      <c r="B495" s="31" t="n"/>
      <c r="C495" s="19">
        <f>IF(B495="","",IF(COUNTIF(Config!$D$6:$D$15,B495)&gt;0,"Entrada",IF(COUNTIF(Config!$F$6:$F$25,B495)&gt;0,"Saída","Categoria inválida")))</f>
        <v/>
      </c>
      <c r="D495" s="31" t="n"/>
      <c r="E495" s="33" t="n"/>
      <c r="F495" s="36" t="n"/>
      <c r="G495" s="31" t="n"/>
      <c r="H495" s="37">
        <f>IF(A495="","",(YEAR(A495)-YEAR(Config!$B$6))*12+MONTH(A495)-MONTH(Config!$B$6)+1)</f>
        <v/>
      </c>
      <c r="I495" s="19">
        <f>IF(AND(A495="",B495="",E495=""),"",IF(A495="","Falta data",IF(B495="","Falta categoria",IF(E495="","Falta valor",IF(C495="Categoria inválida","Categoria inválida",IF(OR(H495&lt;1,H495&gt;12),"Fora dos 12 meses","OK"))))))</f>
        <v/>
      </c>
    </row>
    <row r="496">
      <c r="A496" s="35" t="n"/>
      <c r="B496" s="31" t="n"/>
      <c r="C496" s="19">
        <f>IF(B496="","",IF(COUNTIF(Config!$D$6:$D$15,B496)&gt;0,"Entrada",IF(COUNTIF(Config!$F$6:$F$25,B496)&gt;0,"Saída","Categoria inválida")))</f>
        <v/>
      </c>
      <c r="D496" s="31" t="n"/>
      <c r="E496" s="33" t="n"/>
      <c r="F496" s="36" t="n"/>
      <c r="G496" s="31" t="n"/>
      <c r="H496" s="37">
        <f>IF(A496="","",(YEAR(A496)-YEAR(Config!$B$6))*12+MONTH(A496)-MONTH(Config!$B$6)+1)</f>
        <v/>
      </c>
      <c r="I496" s="19">
        <f>IF(AND(A496="",B496="",E496=""),"",IF(A496="","Falta data",IF(B496="","Falta categoria",IF(E496="","Falta valor",IF(C496="Categoria inválida","Categoria inválida",IF(OR(H496&lt;1,H496&gt;12),"Fora dos 12 meses","OK"))))))</f>
        <v/>
      </c>
    </row>
    <row r="497">
      <c r="A497" s="35" t="n"/>
      <c r="B497" s="31" t="n"/>
      <c r="C497" s="19">
        <f>IF(B497="","",IF(COUNTIF(Config!$D$6:$D$15,B497)&gt;0,"Entrada",IF(COUNTIF(Config!$F$6:$F$25,B497)&gt;0,"Saída","Categoria inválida")))</f>
        <v/>
      </c>
      <c r="D497" s="31" t="n"/>
      <c r="E497" s="33" t="n"/>
      <c r="F497" s="36" t="n"/>
      <c r="G497" s="31" t="n"/>
      <c r="H497" s="37">
        <f>IF(A497="","",(YEAR(A497)-YEAR(Config!$B$6))*12+MONTH(A497)-MONTH(Config!$B$6)+1)</f>
        <v/>
      </c>
      <c r="I497" s="19">
        <f>IF(AND(A497="",B497="",E497=""),"",IF(A497="","Falta data",IF(B497="","Falta categoria",IF(E497="","Falta valor",IF(C497="Categoria inválida","Categoria inválida",IF(OR(H497&lt;1,H497&gt;12),"Fora dos 12 meses","OK"))))))</f>
        <v/>
      </c>
    </row>
    <row r="498">
      <c r="A498" s="35" t="n"/>
      <c r="B498" s="31" t="n"/>
      <c r="C498" s="19">
        <f>IF(B498="","",IF(COUNTIF(Config!$D$6:$D$15,B498)&gt;0,"Entrada",IF(COUNTIF(Config!$F$6:$F$25,B498)&gt;0,"Saída","Categoria inválida")))</f>
        <v/>
      </c>
      <c r="D498" s="31" t="n"/>
      <c r="E498" s="33" t="n"/>
      <c r="F498" s="36" t="n"/>
      <c r="G498" s="31" t="n"/>
      <c r="H498" s="37">
        <f>IF(A498="","",(YEAR(A498)-YEAR(Config!$B$6))*12+MONTH(A498)-MONTH(Config!$B$6)+1)</f>
        <v/>
      </c>
      <c r="I498" s="19">
        <f>IF(AND(A498="",B498="",E498=""),"",IF(A498="","Falta data",IF(B498="","Falta categoria",IF(E498="","Falta valor",IF(C498="Categoria inválida","Categoria inválida",IF(OR(H498&lt;1,H498&gt;12),"Fora dos 12 meses","OK"))))))</f>
        <v/>
      </c>
    </row>
    <row r="499">
      <c r="A499" s="35" t="n"/>
      <c r="B499" s="31" t="n"/>
      <c r="C499" s="19">
        <f>IF(B499="","",IF(COUNTIF(Config!$D$6:$D$15,B499)&gt;0,"Entrada",IF(COUNTIF(Config!$F$6:$F$25,B499)&gt;0,"Saída","Categoria inválida")))</f>
        <v/>
      </c>
      <c r="D499" s="31" t="n"/>
      <c r="E499" s="33" t="n"/>
      <c r="F499" s="36" t="n"/>
      <c r="G499" s="31" t="n"/>
      <c r="H499" s="37">
        <f>IF(A499="","",(YEAR(A499)-YEAR(Config!$B$6))*12+MONTH(A499)-MONTH(Config!$B$6)+1)</f>
        <v/>
      </c>
      <c r="I499" s="19">
        <f>IF(AND(A499="",B499="",E499=""),"",IF(A499="","Falta data",IF(B499="","Falta categoria",IF(E499="","Falta valor",IF(C499="Categoria inválida","Categoria inválida",IF(OR(H499&lt;1,H499&gt;12),"Fora dos 12 meses","OK"))))))</f>
        <v/>
      </c>
    </row>
    <row r="500">
      <c r="A500" s="35" t="n"/>
      <c r="B500" s="31" t="n"/>
      <c r="C500" s="19">
        <f>IF(B500="","",IF(COUNTIF(Config!$D$6:$D$15,B500)&gt;0,"Entrada",IF(COUNTIF(Config!$F$6:$F$25,B500)&gt;0,"Saída","Categoria inválida")))</f>
        <v/>
      </c>
      <c r="D500" s="31" t="n"/>
      <c r="E500" s="33" t="n"/>
      <c r="F500" s="36" t="n"/>
      <c r="G500" s="31" t="n"/>
      <c r="H500" s="37">
        <f>IF(A500="","",(YEAR(A500)-YEAR(Config!$B$6))*12+MONTH(A500)-MONTH(Config!$B$6)+1)</f>
        <v/>
      </c>
      <c r="I500" s="19">
        <f>IF(AND(A500="",B500="",E500=""),"",IF(A500="","Falta data",IF(B500="","Falta categoria",IF(E500="","Falta valor",IF(C500="Categoria inválida","Categoria inválida",IF(OR(H500&lt;1,H500&gt;12),"Fora dos 12 meses","OK"))))))</f>
        <v/>
      </c>
    </row>
    <row r="501">
      <c r="A501" s="35" t="n"/>
      <c r="B501" s="31" t="n"/>
      <c r="C501" s="19">
        <f>IF(B501="","",IF(COUNTIF(Config!$D$6:$D$15,B501)&gt;0,"Entrada",IF(COUNTIF(Config!$F$6:$F$25,B501)&gt;0,"Saída","Categoria inválida")))</f>
        <v/>
      </c>
      <c r="D501" s="31" t="n"/>
      <c r="E501" s="33" t="n"/>
      <c r="F501" s="36" t="n"/>
      <c r="G501" s="31" t="n"/>
      <c r="H501" s="37">
        <f>IF(A501="","",(YEAR(A501)-YEAR(Config!$B$6))*12+MONTH(A501)-MONTH(Config!$B$6)+1)</f>
        <v/>
      </c>
      <c r="I501" s="19">
        <f>IF(AND(A501="",B501="",E501=""),"",IF(A501="","Falta data",IF(B501="","Falta categoria",IF(E501="","Falta valor",IF(C501="Categoria inválida","Categoria inválida",IF(OR(H501&lt;1,H501&gt;12),"Fora dos 12 meses","OK"))))))</f>
        <v/>
      </c>
    </row>
    <row r="502">
      <c r="A502" s="35" t="n"/>
      <c r="B502" s="31" t="n"/>
      <c r="C502" s="19">
        <f>IF(B502="","",IF(COUNTIF(Config!$D$6:$D$15,B502)&gt;0,"Entrada",IF(COUNTIF(Config!$F$6:$F$25,B502)&gt;0,"Saída","Categoria inválida")))</f>
        <v/>
      </c>
      <c r="D502" s="31" t="n"/>
      <c r="E502" s="33" t="n"/>
      <c r="F502" s="36" t="n"/>
      <c r="G502" s="31" t="n"/>
      <c r="H502" s="37">
        <f>IF(A502="","",(YEAR(A502)-YEAR(Config!$B$6))*12+MONTH(A502)-MONTH(Config!$B$6)+1)</f>
        <v/>
      </c>
      <c r="I502" s="19">
        <f>IF(AND(A502="",B502="",E502=""),"",IF(A502="","Falta data",IF(B502="","Falta categoria",IF(E502="","Falta valor",IF(C502="Categoria inválida","Categoria inválida",IF(OR(H502&lt;1,H502&gt;12),"Fora dos 12 meses","OK"))))))</f>
        <v/>
      </c>
    </row>
    <row r="503">
      <c r="A503" s="35" t="n"/>
      <c r="B503" s="31" t="n"/>
      <c r="C503" s="19">
        <f>IF(B503="","",IF(COUNTIF(Config!$D$6:$D$15,B503)&gt;0,"Entrada",IF(COUNTIF(Config!$F$6:$F$25,B503)&gt;0,"Saída","Categoria inválida")))</f>
        <v/>
      </c>
      <c r="D503" s="31" t="n"/>
      <c r="E503" s="33" t="n"/>
      <c r="F503" s="36" t="n"/>
      <c r="G503" s="31" t="n"/>
      <c r="H503" s="37">
        <f>IF(A503="","",(YEAR(A503)-YEAR(Config!$B$6))*12+MONTH(A503)-MONTH(Config!$B$6)+1)</f>
        <v/>
      </c>
      <c r="I503" s="19">
        <f>IF(AND(A503="",B503="",E503=""),"",IF(A503="","Falta data",IF(B503="","Falta categoria",IF(E503="","Falta valor",IF(C503="Categoria inválida","Categoria inválida",IF(OR(H503&lt;1,H503&gt;12),"Fora dos 12 meses","OK"))))))</f>
        <v/>
      </c>
    </row>
    <row r="504">
      <c r="A504" s="35" t="n"/>
      <c r="B504" s="31" t="n"/>
      <c r="C504" s="19">
        <f>IF(B504="","",IF(COUNTIF(Config!$D$6:$D$15,B504)&gt;0,"Entrada",IF(COUNTIF(Config!$F$6:$F$25,B504)&gt;0,"Saída","Categoria inválida")))</f>
        <v/>
      </c>
      <c r="D504" s="31" t="n"/>
      <c r="E504" s="33" t="n"/>
      <c r="F504" s="36" t="n"/>
      <c r="G504" s="31" t="n"/>
      <c r="H504" s="37">
        <f>IF(A504="","",(YEAR(A504)-YEAR(Config!$B$6))*12+MONTH(A504)-MONTH(Config!$B$6)+1)</f>
        <v/>
      </c>
      <c r="I504" s="19">
        <f>IF(AND(A504="",B504="",E504=""),"",IF(A504="","Falta data",IF(B504="","Falta categoria",IF(E504="","Falta valor",IF(C504="Categoria inválida","Categoria inválida",IF(OR(H504&lt;1,H504&gt;12),"Fora dos 12 meses","OK"))))))</f>
        <v/>
      </c>
    </row>
    <row r="505">
      <c r="A505" s="35" t="n"/>
      <c r="B505" s="31" t="n"/>
      <c r="C505" s="19">
        <f>IF(B505="","",IF(COUNTIF(Config!$D$6:$D$15,B505)&gt;0,"Entrada",IF(COUNTIF(Config!$F$6:$F$25,B505)&gt;0,"Saída","Categoria inválida")))</f>
        <v/>
      </c>
      <c r="D505" s="31" t="n"/>
      <c r="E505" s="33" t="n"/>
      <c r="F505" s="36" t="n"/>
      <c r="G505" s="31" t="n"/>
      <c r="H505" s="37">
        <f>IF(A505="","",(YEAR(A505)-YEAR(Config!$B$6))*12+MONTH(A505)-MONTH(Config!$B$6)+1)</f>
        <v/>
      </c>
      <c r="I505" s="19">
        <f>IF(AND(A505="",B505="",E505=""),"",IF(A505="","Falta data",IF(B505="","Falta categoria",IF(E505="","Falta valor",IF(C505="Categoria inválida","Categoria inválida",IF(OR(H505&lt;1,H505&gt;12),"Fora dos 12 meses","OK"))))))</f>
        <v/>
      </c>
    </row>
    <row r="506">
      <c r="A506" s="35" t="n"/>
      <c r="B506" s="31" t="n"/>
      <c r="C506" s="19">
        <f>IF(B506="","",IF(COUNTIF(Config!$D$6:$D$15,B506)&gt;0,"Entrada",IF(COUNTIF(Config!$F$6:$F$25,B506)&gt;0,"Saída","Categoria inválida")))</f>
        <v/>
      </c>
      <c r="D506" s="31" t="n"/>
      <c r="E506" s="33" t="n"/>
      <c r="F506" s="36" t="n"/>
      <c r="G506" s="31" t="n"/>
      <c r="H506" s="37">
        <f>IF(A506="","",(YEAR(A506)-YEAR(Config!$B$6))*12+MONTH(A506)-MONTH(Config!$B$6)+1)</f>
        <v/>
      </c>
      <c r="I506" s="19">
        <f>IF(AND(A506="",B506="",E506=""),"",IF(A506="","Falta data",IF(B506="","Falta categoria",IF(E506="","Falta valor",IF(C506="Categoria inválida","Categoria inválida",IF(OR(H506&lt;1,H506&gt;12),"Fora dos 12 meses","OK"))))))</f>
        <v/>
      </c>
    </row>
    <row r="507">
      <c r="A507" s="35" t="n"/>
      <c r="B507" s="31" t="n"/>
      <c r="C507" s="19">
        <f>IF(B507="","",IF(COUNTIF(Config!$D$6:$D$15,B507)&gt;0,"Entrada",IF(COUNTIF(Config!$F$6:$F$25,B507)&gt;0,"Saída","Categoria inválida")))</f>
        <v/>
      </c>
      <c r="D507" s="31" t="n"/>
      <c r="E507" s="33" t="n"/>
      <c r="F507" s="36" t="n"/>
      <c r="G507" s="31" t="n"/>
      <c r="H507" s="37">
        <f>IF(A507="","",(YEAR(A507)-YEAR(Config!$B$6))*12+MONTH(A507)-MONTH(Config!$B$6)+1)</f>
        <v/>
      </c>
      <c r="I507" s="19">
        <f>IF(AND(A507="",B507="",E507=""),"",IF(A507="","Falta data",IF(B507="","Falta categoria",IF(E507="","Falta valor",IF(C507="Categoria inválida","Categoria inválida",IF(OR(H507&lt;1,H507&gt;12),"Fora dos 12 meses","OK"))))))</f>
        <v/>
      </c>
    </row>
    <row r="508">
      <c r="A508" s="35" t="n"/>
      <c r="B508" s="31" t="n"/>
      <c r="C508" s="19">
        <f>IF(B508="","",IF(COUNTIF(Config!$D$6:$D$15,B508)&gt;0,"Entrada",IF(COUNTIF(Config!$F$6:$F$25,B508)&gt;0,"Saída","Categoria inválida")))</f>
        <v/>
      </c>
      <c r="D508" s="31" t="n"/>
      <c r="E508" s="33" t="n"/>
      <c r="F508" s="36" t="n"/>
      <c r="G508" s="31" t="n"/>
      <c r="H508" s="37">
        <f>IF(A508="","",(YEAR(A508)-YEAR(Config!$B$6))*12+MONTH(A508)-MONTH(Config!$B$6)+1)</f>
        <v/>
      </c>
      <c r="I508" s="19">
        <f>IF(AND(A508="",B508="",E508=""),"",IF(A508="","Falta data",IF(B508="","Falta categoria",IF(E508="","Falta valor",IF(C508="Categoria inválida","Categoria inválida",IF(OR(H508&lt;1,H508&gt;12),"Fora dos 12 meses","OK"))))))</f>
        <v/>
      </c>
    </row>
    <row r="509">
      <c r="A509" s="35" t="n"/>
      <c r="B509" s="31" t="n"/>
      <c r="C509" s="19">
        <f>IF(B509="","",IF(COUNTIF(Config!$D$6:$D$15,B509)&gt;0,"Entrada",IF(COUNTIF(Config!$F$6:$F$25,B509)&gt;0,"Saída","Categoria inválida")))</f>
        <v/>
      </c>
      <c r="D509" s="31" t="n"/>
      <c r="E509" s="33" t="n"/>
      <c r="F509" s="36" t="n"/>
      <c r="G509" s="31" t="n"/>
      <c r="H509" s="37">
        <f>IF(A509="","",(YEAR(A509)-YEAR(Config!$B$6))*12+MONTH(A509)-MONTH(Config!$B$6)+1)</f>
        <v/>
      </c>
      <c r="I509" s="19">
        <f>IF(AND(A509="",B509="",E509=""),"",IF(A509="","Falta data",IF(B509="","Falta categoria",IF(E509="","Falta valor",IF(C509="Categoria inválida","Categoria inválida",IF(OR(H509&lt;1,H509&gt;12),"Fora dos 12 meses","OK"))))))</f>
        <v/>
      </c>
    </row>
    <row r="510">
      <c r="A510" s="35" t="n"/>
      <c r="B510" s="31" t="n"/>
      <c r="C510" s="19">
        <f>IF(B510="","",IF(COUNTIF(Config!$D$6:$D$15,B510)&gt;0,"Entrada",IF(COUNTIF(Config!$F$6:$F$25,B510)&gt;0,"Saída","Categoria inválida")))</f>
        <v/>
      </c>
      <c r="D510" s="31" t="n"/>
      <c r="E510" s="33" t="n"/>
      <c r="F510" s="36" t="n"/>
      <c r="G510" s="31" t="n"/>
      <c r="H510" s="37">
        <f>IF(A510="","",(YEAR(A510)-YEAR(Config!$B$6))*12+MONTH(A510)-MONTH(Config!$B$6)+1)</f>
        <v/>
      </c>
      <c r="I510" s="19">
        <f>IF(AND(A510="",B510="",E510=""),"",IF(A510="","Falta data",IF(B510="","Falta categoria",IF(E510="","Falta valor",IF(C510="Categoria inválida","Categoria inválida",IF(OR(H510&lt;1,H510&gt;12),"Fora dos 12 meses","OK"))))))</f>
        <v/>
      </c>
    </row>
    <row r="511">
      <c r="A511" s="35" t="n"/>
      <c r="B511" s="31" t="n"/>
      <c r="C511" s="19">
        <f>IF(B511="","",IF(COUNTIF(Config!$D$6:$D$15,B511)&gt;0,"Entrada",IF(COUNTIF(Config!$F$6:$F$25,B511)&gt;0,"Saída","Categoria inválida")))</f>
        <v/>
      </c>
      <c r="D511" s="31" t="n"/>
      <c r="E511" s="33" t="n"/>
      <c r="F511" s="36" t="n"/>
      <c r="G511" s="31" t="n"/>
      <c r="H511" s="37">
        <f>IF(A511="","",(YEAR(A511)-YEAR(Config!$B$6))*12+MONTH(A511)-MONTH(Config!$B$6)+1)</f>
        <v/>
      </c>
      <c r="I511" s="19">
        <f>IF(AND(A511="",B511="",E511=""),"",IF(A511="","Falta data",IF(B511="","Falta categoria",IF(E511="","Falta valor",IF(C511="Categoria inválida","Categoria inválida",IF(OR(H511&lt;1,H511&gt;12),"Fora dos 12 meses","OK"))))))</f>
        <v/>
      </c>
    </row>
    <row r="512">
      <c r="A512" s="35" t="n"/>
      <c r="B512" s="31" t="n"/>
      <c r="C512" s="19">
        <f>IF(B512="","",IF(COUNTIF(Config!$D$6:$D$15,B512)&gt;0,"Entrada",IF(COUNTIF(Config!$F$6:$F$25,B512)&gt;0,"Saída","Categoria inválida")))</f>
        <v/>
      </c>
      <c r="D512" s="31" t="n"/>
      <c r="E512" s="33" t="n"/>
      <c r="F512" s="36" t="n"/>
      <c r="G512" s="31" t="n"/>
      <c r="H512" s="37">
        <f>IF(A512="","",(YEAR(A512)-YEAR(Config!$B$6))*12+MONTH(A512)-MONTH(Config!$B$6)+1)</f>
        <v/>
      </c>
      <c r="I512" s="19">
        <f>IF(AND(A512="",B512="",E512=""),"",IF(A512="","Falta data",IF(B512="","Falta categoria",IF(E512="","Falta valor",IF(C512="Categoria inválida","Categoria inválida",IF(OR(H512&lt;1,H512&gt;12),"Fora dos 12 meses","OK"))))))</f>
        <v/>
      </c>
    </row>
    <row r="513">
      <c r="A513" s="35" t="n"/>
      <c r="B513" s="31" t="n"/>
      <c r="C513" s="19">
        <f>IF(B513="","",IF(COUNTIF(Config!$D$6:$D$15,B513)&gt;0,"Entrada",IF(COUNTIF(Config!$F$6:$F$25,B513)&gt;0,"Saída","Categoria inválida")))</f>
        <v/>
      </c>
      <c r="D513" s="31" t="n"/>
      <c r="E513" s="33" t="n"/>
      <c r="F513" s="36" t="n"/>
      <c r="G513" s="31" t="n"/>
      <c r="H513" s="37">
        <f>IF(A513="","",(YEAR(A513)-YEAR(Config!$B$6))*12+MONTH(A513)-MONTH(Config!$B$6)+1)</f>
        <v/>
      </c>
      <c r="I513" s="19">
        <f>IF(AND(A513="",B513="",E513=""),"",IF(A513="","Falta data",IF(B513="","Falta categoria",IF(E513="","Falta valor",IF(C513="Categoria inválida","Categoria inválida",IF(OR(H513&lt;1,H513&gt;12),"Fora dos 12 meses","OK"))))))</f>
        <v/>
      </c>
    </row>
    <row r="514">
      <c r="A514" s="35" t="n"/>
      <c r="B514" s="31" t="n"/>
      <c r="C514" s="19">
        <f>IF(B514="","",IF(COUNTIF(Config!$D$6:$D$15,B514)&gt;0,"Entrada",IF(COUNTIF(Config!$F$6:$F$25,B514)&gt;0,"Saída","Categoria inválida")))</f>
        <v/>
      </c>
      <c r="D514" s="31" t="n"/>
      <c r="E514" s="33" t="n"/>
      <c r="F514" s="36" t="n"/>
      <c r="G514" s="31" t="n"/>
      <c r="H514" s="37">
        <f>IF(A514="","",(YEAR(A514)-YEAR(Config!$B$6))*12+MONTH(A514)-MONTH(Config!$B$6)+1)</f>
        <v/>
      </c>
      <c r="I514" s="19">
        <f>IF(AND(A514="",B514="",E514=""),"",IF(A514="","Falta data",IF(B514="","Falta categoria",IF(E514="","Falta valor",IF(C514="Categoria inválida","Categoria inválida",IF(OR(H514&lt;1,H514&gt;12),"Fora dos 12 meses","OK"))))))</f>
        <v/>
      </c>
    </row>
    <row r="515">
      <c r="A515" s="35" t="n"/>
      <c r="B515" s="31" t="n"/>
      <c r="C515" s="19">
        <f>IF(B515="","",IF(COUNTIF(Config!$D$6:$D$15,B515)&gt;0,"Entrada",IF(COUNTIF(Config!$F$6:$F$25,B515)&gt;0,"Saída","Categoria inválida")))</f>
        <v/>
      </c>
      <c r="D515" s="31" t="n"/>
      <c r="E515" s="33" t="n"/>
      <c r="F515" s="36" t="n"/>
      <c r="G515" s="31" t="n"/>
      <c r="H515" s="37">
        <f>IF(A515="","",(YEAR(A515)-YEAR(Config!$B$6))*12+MONTH(A515)-MONTH(Config!$B$6)+1)</f>
        <v/>
      </c>
      <c r="I515" s="19">
        <f>IF(AND(A515="",B515="",E515=""),"",IF(A515="","Falta data",IF(B515="","Falta categoria",IF(E515="","Falta valor",IF(C515="Categoria inválida","Categoria inválida",IF(OR(H515&lt;1,H515&gt;12),"Fora dos 12 meses","OK"))))))</f>
        <v/>
      </c>
    </row>
    <row r="516">
      <c r="A516" s="35" t="n"/>
      <c r="B516" s="31" t="n"/>
      <c r="C516" s="19">
        <f>IF(B516="","",IF(COUNTIF(Config!$D$6:$D$15,B516)&gt;0,"Entrada",IF(COUNTIF(Config!$F$6:$F$25,B516)&gt;0,"Saída","Categoria inválida")))</f>
        <v/>
      </c>
      <c r="D516" s="31" t="n"/>
      <c r="E516" s="33" t="n"/>
      <c r="F516" s="36" t="n"/>
      <c r="G516" s="31" t="n"/>
      <c r="H516" s="37">
        <f>IF(A516="","",(YEAR(A516)-YEAR(Config!$B$6))*12+MONTH(A516)-MONTH(Config!$B$6)+1)</f>
        <v/>
      </c>
      <c r="I516" s="19">
        <f>IF(AND(A516="",B516="",E516=""),"",IF(A516="","Falta data",IF(B516="","Falta categoria",IF(E516="","Falta valor",IF(C516="Categoria inválida","Categoria inválida",IF(OR(H516&lt;1,H516&gt;12),"Fora dos 12 meses","OK"))))))</f>
        <v/>
      </c>
    </row>
    <row r="517">
      <c r="A517" s="35" t="n"/>
      <c r="B517" s="31" t="n"/>
      <c r="C517" s="19">
        <f>IF(B517="","",IF(COUNTIF(Config!$D$6:$D$15,B517)&gt;0,"Entrada",IF(COUNTIF(Config!$F$6:$F$25,B517)&gt;0,"Saída","Categoria inválida")))</f>
        <v/>
      </c>
      <c r="D517" s="31" t="n"/>
      <c r="E517" s="33" t="n"/>
      <c r="F517" s="36" t="n"/>
      <c r="G517" s="31" t="n"/>
      <c r="H517" s="37">
        <f>IF(A517="","",(YEAR(A517)-YEAR(Config!$B$6))*12+MONTH(A517)-MONTH(Config!$B$6)+1)</f>
        <v/>
      </c>
      <c r="I517" s="19">
        <f>IF(AND(A517="",B517="",E517=""),"",IF(A517="","Falta data",IF(B517="","Falta categoria",IF(E517="","Falta valor",IF(C517="Categoria inválida","Categoria inválida",IF(OR(H517&lt;1,H517&gt;12),"Fora dos 12 meses","OK"))))))</f>
        <v/>
      </c>
    </row>
    <row r="518">
      <c r="A518" s="35" t="n"/>
      <c r="B518" s="31" t="n"/>
      <c r="C518" s="19">
        <f>IF(B518="","",IF(COUNTIF(Config!$D$6:$D$15,B518)&gt;0,"Entrada",IF(COUNTIF(Config!$F$6:$F$25,B518)&gt;0,"Saída","Categoria inválida")))</f>
        <v/>
      </c>
      <c r="D518" s="31" t="n"/>
      <c r="E518" s="33" t="n"/>
      <c r="F518" s="36" t="n"/>
      <c r="G518" s="31" t="n"/>
      <c r="H518" s="37">
        <f>IF(A518="","",(YEAR(A518)-YEAR(Config!$B$6))*12+MONTH(A518)-MONTH(Config!$B$6)+1)</f>
        <v/>
      </c>
      <c r="I518" s="19">
        <f>IF(AND(A518="",B518="",E518=""),"",IF(A518="","Falta data",IF(B518="","Falta categoria",IF(E518="","Falta valor",IF(C518="Categoria inválida","Categoria inválida",IF(OR(H518&lt;1,H518&gt;12),"Fora dos 12 meses","OK"))))))</f>
        <v/>
      </c>
    </row>
    <row r="519">
      <c r="A519" s="35" t="n"/>
      <c r="B519" s="31" t="n"/>
      <c r="C519" s="19">
        <f>IF(B519="","",IF(COUNTIF(Config!$D$6:$D$15,B519)&gt;0,"Entrada",IF(COUNTIF(Config!$F$6:$F$25,B519)&gt;0,"Saída","Categoria inválida")))</f>
        <v/>
      </c>
      <c r="D519" s="31" t="n"/>
      <c r="E519" s="33" t="n"/>
      <c r="F519" s="36" t="n"/>
      <c r="G519" s="31" t="n"/>
      <c r="H519" s="37">
        <f>IF(A519="","",(YEAR(A519)-YEAR(Config!$B$6))*12+MONTH(A519)-MONTH(Config!$B$6)+1)</f>
        <v/>
      </c>
      <c r="I519" s="19">
        <f>IF(AND(A519="",B519="",E519=""),"",IF(A519="","Falta data",IF(B519="","Falta categoria",IF(E519="","Falta valor",IF(C519="Categoria inválida","Categoria inválida",IF(OR(H519&lt;1,H519&gt;12),"Fora dos 12 meses","OK"))))))</f>
        <v/>
      </c>
    </row>
    <row r="520">
      <c r="A520" s="35" t="n"/>
      <c r="B520" s="31" t="n"/>
      <c r="C520" s="19">
        <f>IF(B520="","",IF(COUNTIF(Config!$D$6:$D$15,B520)&gt;0,"Entrada",IF(COUNTIF(Config!$F$6:$F$25,B520)&gt;0,"Saída","Categoria inválida")))</f>
        <v/>
      </c>
      <c r="D520" s="31" t="n"/>
      <c r="E520" s="33" t="n"/>
      <c r="F520" s="36" t="n"/>
      <c r="G520" s="31" t="n"/>
      <c r="H520" s="37">
        <f>IF(A520="","",(YEAR(A520)-YEAR(Config!$B$6))*12+MONTH(A520)-MONTH(Config!$B$6)+1)</f>
        <v/>
      </c>
      <c r="I520" s="19">
        <f>IF(AND(A520="",B520="",E520=""),"",IF(A520="","Falta data",IF(B520="","Falta categoria",IF(E520="","Falta valor",IF(C520="Categoria inválida","Categoria inválida",IF(OR(H520&lt;1,H520&gt;12),"Fora dos 12 meses","OK"))))))</f>
        <v/>
      </c>
    </row>
    <row r="521">
      <c r="A521" s="35" t="n"/>
      <c r="B521" s="31" t="n"/>
      <c r="C521" s="19">
        <f>IF(B521="","",IF(COUNTIF(Config!$D$6:$D$15,B521)&gt;0,"Entrada",IF(COUNTIF(Config!$F$6:$F$25,B521)&gt;0,"Saída","Categoria inválida")))</f>
        <v/>
      </c>
      <c r="D521" s="31" t="n"/>
      <c r="E521" s="33" t="n"/>
      <c r="F521" s="36" t="n"/>
      <c r="G521" s="31" t="n"/>
      <c r="H521" s="37">
        <f>IF(A521="","",(YEAR(A521)-YEAR(Config!$B$6))*12+MONTH(A521)-MONTH(Config!$B$6)+1)</f>
        <v/>
      </c>
      <c r="I521" s="19">
        <f>IF(AND(A521="",B521="",E521=""),"",IF(A521="","Falta data",IF(B521="","Falta categoria",IF(E521="","Falta valor",IF(C521="Categoria inválida","Categoria inválida",IF(OR(H521&lt;1,H521&gt;12),"Fora dos 12 meses","OK"))))))</f>
        <v/>
      </c>
    </row>
    <row r="522">
      <c r="A522" s="35" t="n"/>
      <c r="B522" s="31" t="n"/>
      <c r="C522" s="19">
        <f>IF(B522="","",IF(COUNTIF(Config!$D$6:$D$15,B522)&gt;0,"Entrada",IF(COUNTIF(Config!$F$6:$F$25,B522)&gt;0,"Saída","Categoria inválida")))</f>
        <v/>
      </c>
      <c r="D522" s="31" t="n"/>
      <c r="E522" s="33" t="n"/>
      <c r="F522" s="36" t="n"/>
      <c r="G522" s="31" t="n"/>
      <c r="H522" s="37">
        <f>IF(A522="","",(YEAR(A522)-YEAR(Config!$B$6))*12+MONTH(A522)-MONTH(Config!$B$6)+1)</f>
        <v/>
      </c>
      <c r="I522" s="19">
        <f>IF(AND(A522="",B522="",E522=""),"",IF(A522="","Falta data",IF(B522="","Falta categoria",IF(E522="","Falta valor",IF(C522="Categoria inválida","Categoria inválida",IF(OR(H522&lt;1,H522&gt;12),"Fora dos 12 meses","OK"))))))</f>
        <v/>
      </c>
    </row>
    <row r="523">
      <c r="A523" s="35" t="n"/>
      <c r="B523" s="31" t="n"/>
      <c r="C523" s="19">
        <f>IF(B523="","",IF(COUNTIF(Config!$D$6:$D$15,B523)&gt;0,"Entrada",IF(COUNTIF(Config!$F$6:$F$25,B523)&gt;0,"Saída","Categoria inválida")))</f>
        <v/>
      </c>
      <c r="D523" s="31" t="n"/>
      <c r="E523" s="33" t="n"/>
      <c r="F523" s="36" t="n"/>
      <c r="G523" s="31" t="n"/>
      <c r="H523" s="37">
        <f>IF(A523="","",(YEAR(A523)-YEAR(Config!$B$6))*12+MONTH(A523)-MONTH(Config!$B$6)+1)</f>
        <v/>
      </c>
      <c r="I523" s="19">
        <f>IF(AND(A523="",B523="",E523=""),"",IF(A523="","Falta data",IF(B523="","Falta categoria",IF(E523="","Falta valor",IF(C523="Categoria inválida","Categoria inválida",IF(OR(H523&lt;1,H523&gt;12),"Fora dos 12 meses","OK"))))))</f>
        <v/>
      </c>
    </row>
    <row r="524">
      <c r="A524" s="35" t="n"/>
      <c r="B524" s="31" t="n"/>
      <c r="C524" s="19">
        <f>IF(B524="","",IF(COUNTIF(Config!$D$6:$D$15,B524)&gt;0,"Entrada",IF(COUNTIF(Config!$F$6:$F$25,B524)&gt;0,"Saída","Categoria inválida")))</f>
        <v/>
      </c>
      <c r="D524" s="31" t="n"/>
      <c r="E524" s="33" t="n"/>
      <c r="F524" s="36" t="n"/>
      <c r="G524" s="31" t="n"/>
      <c r="H524" s="37">
        <f>IF(A524="","",(YEAR(A524)-YEAR(Config!$B$6))*12+MONTH(A524)-MONTH(Config!$B$6)+1)</f>
        <v/>
      </c>
      <c r="I524" s="19">
        <f>IF(AND(A524="",B524="",E524=""),"",IF(A524="","Falta data",IF(B524="","Falta categoria",IF(E524="","Falta valor",IF(C524="Categoria inválida","Categoria inválida",IF(OR(H524&lt;1,H524&gt;12),"Fora dos 12 meses","OK"))))))</f>
        <v/>
      </c>
    </row>
    <row r="525">
      <c r="A525" s="35" t="n"/>
      <c r="B525" s="31" t="n"/>
      <c r="C525" s="19">
        <f>IF(B525="","",IF(COUNTIF(Config!$D$6:$D$15,B525)&gt;0,"Entrada",IF(COUNTIF(Config!$F$6:$F$25,B525)&gt;0,"Saída","Categoria inválida")))</f>
        <v/>
      </c>
      <c r="D525" s="31" t="n"/>
      <c r="E525" s="33" t="n"/>
      <c r="F525" s="36" t="n"/>
      <c r="G525" s="31" t="n"/>
      <c r="H525" s="37">
        <f>IF(A525="","",(YEAR(A525)-YEAR(Config!$B$6))*12+MONTH(A525)-MONTH(Config!$B$6)+1)</f>
        <v/>
      </c>
      <c r="I525" s="19">
        <f>IF(AND(A525="",B525="",E525=""),"",IF(A525="","Falta data",IF(B525="","Falta categoria",IF(E525="","Falta valor",IF(C525="Categoria inválida","Categoria inválida",IF(OR(H525&lt;1,H525&gt;12),"Fora dos 12 meses","OK"))))))</f>
        <v/>
      </c>
    </row>
    <row r="526">
      <c r="A526" s="35" t="n"/>
      <c r="B526" s="31" t="n"/>
      <c r="C526" s="19">
        <f>IF(B526="","",IF(COUNTIF(Config!$D$6:$D$15,B526)&gt;0,"Entrada",IF(COUNTIF(Config!$F$6:$F$25,B526)&gt;0,"Saída","Categoria inválida")))</f>
        <v/>
      </c>
      <c r="D526" s="31" t="n"/>
      <c r="E526" s="33" t="n"/>
      <c r="F526" s="36" t="n"/>
      <c r="G526" s="31" t="n"/>
      <c r="H526" s="37">
        <f>IF(A526="","",(YEAR(A526)-YEAR(Config!$B$6))*12+MONTH(A526)-MONTH(Config!$B$6)+1)</f>
        <v/>
      </c>
      <c r="I526" s="19">
        <f>IF(AND(A526="",B526="",E526=""),"",IF(A526="","Falta data",IF(B526="","Falta categoria",IF(E526="","Falta valor",IF(C526="Categoria inválida","Categoria inválida",IF(OR(H526&lt;1,H526&gt;12),"Fora dos 12 meses","OK"))))))</f>
        <v/>
      </c>
    </row>
    <row r="527">
      <c r="A527" s="35" t="n"/>
      <c r="B527" s="31" t="n"/>
      <c r="C527" s="19">
        <f>IF(B527="","",IF(COUNTIF(Config!$D$6:$D$15,B527)&gt;0,"Entrada",IF(COUNTIF(Config!$F$6:$F$25,B527)&gt;0,"Saída","Categoria inválida")))</f>
        <v/>
      </c>
      <c r="D527" s="31" t="n"/>
      <c r="E527" s="33" t="n"/>
      <c r="F527" s="36" t="n"/>
      <c r="G527" s="31" t="n"/>
      <c r="H527" s="37">
        <f>IF(A527="","",(YEAR(A527)-YEAR(Config!$B$6))*12+MONTH(A527)-MONTH(Config!$B$6)+1)</f>
        <v/>
      </c>
      <c r="I527" s="19">
        <f>IF(AND(A527="",B527="",E527=""),"",IF(A527="","Falta data",IF(B527="","Falta categoria",IF(E527="","Falta valor",IF(C527="Categoria inválida","Categoria inválida",IF(OR(H527&lt;1,H527&gt;12),"Fora dos 12 meses","OK"))))))</f>
        <v/>
      </c>
    </row>
    <row r="528">
      <c r="A528" s="35" t="n"/>
      <c r="B528" s="31" t="n"/>
      <c r="C528" s="19">
        <f>IF(B528="","",IF(COUNTIF(Config!$D$6:$D$15,B528)&gt;0,"Entrada",IF(COUNTIF(Config!$F$6:$F$25,B528)&gt;0,"Saída","Categoria inválida")))</f>
        <v/>
      </c>
      <c r="D528" s="31" t="n"/>
      <c r="E528" s="33" t="n"/>
      <c r="F528" s="36" t="n"/>
      <c r="G528" s="31" t="n"/>
      <c r="H528" s="37">
        <f>IF(A528="","",(YEAR(A528)-YEAR(Config!$B$6))*12+MONTH(A528)-MONTH(Config!$B$6)+1)</f>
        <v/>
      </c>
      <c r="I528" s="19">
        <f>IF(AND(A528="",B528="",E528=""),"",IF(A528="","Falta data",IF(B528="","Falta categoria",IF(E528="","Falta valor",IF(C528="Categoria inválida","Categoria inválida",IF(OR(H528&lt;1,H528&gt;12),"Fora dos 12 meses","OK"))))))</f>
        <v/>
      </c>
    </row>
    <row r="529">
      <c r="A529" s="35" t="n"/>
      <c r="B529" s="31" t="n"/>
      <c r="C529" s="19">
        <f>IF(B529="","",IF(COUNTIF(Config!$D$6:$D$15,B529)&gt;0,"Entrada",IF(COUNTIF(Config!$F$6:$F$25,B529)&gt;0,"Saída","Categoria inválida")))</f>
        <v/>
      </c>
      <c r="D529" s="31" t="n"/>
      <c r="E529" s="33" t="n"/>
      <c r="F529" s="36" t="n"/>
      <c r="G529" s="31" t="n"/>
      <c r="H529" s="37">
        <f>IF(A529="","",(YEAR(A529)-YEAR(Config!$B$6))*12+MONTH(A529)-MONTH(Config!$B$6)+1)</f>
        <v/>
      </c>
      <c r="I529" s="19">
        <f>IF(AND(A529="",B529="",E529=""),"",IF(A529="","Falta data",IF(B529="","Falta categoria",IF(E529="","Falta valor",IF(C529="Categoria inválida","Categoria inválida",IF(OR(H529&lt;1,H529&gt;12),"Fora dos 12 meses","OK"))))))</f>
        <v/>
      </c>
    </row>
    <row r="530">
      <c r="A530" s="35" t="n"/>
      <c r="B530" s="31" t="n"/>
      <c r="C530" s="19">
        <f>IF(B530="","",IF(COUNTIF(Config!$D$6:$D$15,B530)&gt;0,"Entrada",IF(COUNTIF(Config!$F$6:$F$25,B530)&gt;0,"Saída","Categoria inválida")))</f>
        <v/>
      </c>
      <c r="D530" s="31" t="n"/>
      <c r="E530" s="33" t="n"/>
      <c r="F530" s="36" t="n"/>
      <c r="G530" s="31" t="n"/>
      <c r="H530" s="37">
        <f>IF(A530="","",(YEAR(A530)-YEAR(Config!$B$6))*12+MONTH(A530)-MONTH(Config!$B$6)+1)</f>
        <v/>
      </c>
      <c r="I530" s="19">
        <f>IF(AND(A530="",B530="",E530=""),"",IF(A530="","Falta data",IF(B530="","Falta categoria",IF(E530="","Falta valor",IF(C530="Categoria inválida","Categoria inválida",IF(OR(H530&lt;1,H530&gt;12),"Fora dos 12 meses","OK"))))))</f>
        <v/>
      </c>
    </row>
    <row r="531">
      <c r="A531" s="35" t="n"/>
      <c r="B531" s="31" t="n"/>
      <c r="C531" s="19">
        <f>IF(B531="","",IF(COUNTIF(Config!$D$6:$D$15,B531)&gt;0,"Entrada",IF(COUNTIF(Config!$F$6:$F$25,B531)&gt;0,"Saída","Categoria inválida")))</f>
        <v/>
      </c>
      <c r="D531" s="31" t="n"/>
      <c r="E531" s="33" t="n"/>
      <c r="F531" s="36" t="n"/>
      <c r="G531" s="31" t="n"/>
      <c r="H531" s="37">
        <f>IF(A531="","",(YEAR(A531)-YEAR(Config!$B$6))*12+MONTH(A531)-MONTH(Config!$B$6)+1)</f>
        <v/>
      </c>
      <c r="I531" s="19">
        <f>IF(AND(A531="",B531="",E531=""),"",IF(A531="","Falta data",IF(B531="","Falta categoria",IF(E531="","Falta valor",IF(C531="Categoria inválida","Categoria inválida",IF(OR(H531&lt;1,H531&gt;12),"Fora dos 12 meses","OK"))))))</f>
        <v/>
      </c>
    </row>
    <row r="532">
      <c r="A532" s="35" t="n"/>
      <c r="B532" s="31" t="n"/>
      <c r="C532" s="19">
        <f>IF(B532="","",IF(COUNTIF(Config!$D$6:$D$15,B532)&gt;0,"Entrada",IF(COUNTIF(Config!$F$6:$F$25,B532)&gt;0,"Saída","Categoria inválida")))</f>
        <v/>
      </c>
      <c r="D532" s="31" t="n"/>
      <c r="E532" s="33" t="n"/>
      <c r="F532" s="36" t="n"/>
      <c r="G532" s="31" t="n"/>
      <c r="H532" s="37">
        <f>IF(A532="","",(YEAR(A532)-YEAR(Config!$B$6))*12+MONTH(A532)-MONTH(Config!$B$6)+1)</f>
        <v/>
      </c>
      <c r="I532" s="19">
        <f>IF(AND(A532="",B532="",E532=""),"",IF(A532="","Falta data",IF(B532="","Falta categoria",IF(E532="","Falta valor",IF(C532="Categoria inválida","Categoria inválida",IF(OR(H532&lt;1,H532&gt;12),"Fora dos 12 meses","OK"))))))</f>
        <v/>
      </c>
    </row>
    <row r="533">
      <c r="A533" s="35" t="n"/>
      <c r="B533" s="31" t="n"/>
      <c r="C533" s="19">
        <f>IF(B533="","",IF(COUNTIF(Config!$D$6:$D$15,B533)&gt;0,"Entrada",IF(COUNTIF(Config!$F$6:$F$25,B533)&gt;0,"Saída","Categoria inválida")))</f>
        <v/>
      </c>
      <c r="D533" s="31" t="n"/>
      <c r="E533" s="33" t="n"/>
      <c r="F533" s="36" t="n"/>
      <c r="G533" s="31" t="n"/>
      <c r="H533" s="37">
        <f>IF(A533="","",(YEAR(A533)-YEAR(Config!$B$6))*12+MONTH(A533)-MONTH(Config!$B$6)+1)</f>
        <v/>
      </c>
      <c r="I533" s="19">
        <f>IF(AND(A533="",B533="",E533=""),"",IF(A533="","Falta data",IF(B533="","Falta categoria",IF(E533="","Falta valor",IF(C533="Categoria inválida","Categoria inválida",IF(OR(H533&lt;1,H533&gt;12),"Fora dos 12 meses","OK"))))))</f>
        <v/>
      </c>
    </row>
    <row r="534">
      <c r="A534" s="35" t="n"/>
      <c r="B534" s="31" t="n"/>
      <c r="C534" s="19">
        <f>IF(B534="","",IF(COUNTIF(Config!$D$6:$D$15,B534)&gt;0,"Entrada",IF(COUNTIF(Config!$F$6:$F$25,B534)&gt;0,"Saída","Categoria inválida")))</f>
        <v/>
      </c>
      <c r="D534" s="31" t="n"/>
      <c r="E534" s="33" t="n"/>
      <c r="F534" s="36" t="n"/>
      <c r="G534" s="31" t="n"/>
      <c r="H534" s="37">
        <f>IF(A534="","",(YEAR(A534)-YEAR(Config!$B$6))*12+MONTH(A534)-MONTH(Config!$B$6)+1)</f>
        <v/>
      </c>
      <c r="I534" s="19">
        <f>IF(AND(A534="",B534="",E534=""),"",IF(A534="","Falta data",IF(B534="","Falta categoria",IF(E534="","Falta valor",IF(C534="Categoria inválida","Categoria inválida",IF(OR(H534&lt;1,H534&gt;12),"Fora dos 12 meses","OK"))))))</f>
        <v/>
      </c>
    </row>
    <row r="535">
      <c r="A535" s="35" t="n"/>
      <c r="B535" s="31" t="n"/>
      <c r="C535" s="19">
        <f>IF(B535="","",IF(COUNTIF(Config!$D$6:$D$15,B535)&gt;0,"Entrada",IF(COUNTIF(Config!$F$6:$F$25,B535)&gt;0,"Saída","Categoria inválida")))</f>
        <v/>
      </c>
      <c r="D535" s="31" t="n"/>
      <c r="E535" s="33" t="n"/>
      <c r="F535" s="36" t="n"/>
      <c r="G535" s="31" t="n"/>
      <c r="H535" s="37">
        <f>IF(A535="","",(YEAR(A535)-YEAR(Config!$B$6))*12+MONTH(A535)-MONTH(Config!$B$6)+1)</f>
        <v/>
      </c>
      <c r="I535" s="19">
        <f>IF(AND(A535="",B535="",E535=""),"",IF(A535="","Falta data",IF(B535="","Falta categoria",IF(E535="","Falta valor",IF(C535="Categoria inválida","Categoria inválida",IF(OR(H535&lt;1,H535&gt;12),"Fora dos 12 meses","OK"))))))</f>
        <v/>
      </c>
    </row>
    <row r="536">
      <c r="A536" s="35" t="n"/>
      <c r="B536" s="31" t="n"/>
      <c r="C536" s="19">
        <f>IF(B536="","",IF(COUNTIF(Config!$D$6:$D$15,B536)&gt;0,"Entrada",IF(COUNTIF(Config!$F$6:$F$25,B536)&gt;0,"Saída","Categoria inválida")))</f>
        <v/>
      </c>
      <c r="D536" s="31" t="n"/>
      <c r="E536" s="33" t="n"/>
      <c r="F536" s="36" t="n"/>
      <c r="G536" s="31" t="n"/>
      <c r="H536" s="37">
        <f>IF(A536="","",(YEAR(A536)-YEAR(Config!$B$6))*12+MONTH(A536)-MONTH(Config!$B$6)+1)</f>
        <v/>
      </c>
      <c r="I536" s="19">
        <f>IF(AND(A536="",B536="",E536=""),"",IF(A536="","Falta data",IF(B536="","Falta categoria",IF(E536="","Falta valor",IF(C536="Categoria inválida","Categoria inválida",IF(OR(H536&lt;1,H536&gt;12),"Fora dos 12 meses","OK"))))))</f>
        <v/>
      </c>
    </row>
    <row r="537">
      <c r="A537" s="35" t="n"/>
      <c r="B537" s="31" t="n"/>
      <c r="C537" s="19">
        <f>IF(B537="","",IF(COUNTIF(Config!$D$6:$D$15,B537)&gt;0,"Entrada",IF(COUNTIF(Config!$F$6:$F$25,B537)&gt;0,"Saída","Categoria inválida")))</f>
        <v/>
      </c>
      <c r="D537" s="31" t="n"/>
      <c r="E537" s="33" t="n"/>
      <c r="F537" s="36" t="n"/>
      <c r="G537" s="31" t="n"/>
      <c r="H537" s="37">
        <f>IF(A537="","",(YEAR(A537)-YEAR(Config!$B$6))*12+MONTH(A537)-MONTH(Config!$B$6)+1)</f>
        <v/>
      </c>
      <c r="I537" s="19">
        <f>IF(AND(A537="",B537="",E537=""),"",IF(A537="","Falta data",IF(B537="","Falta categoria",IF(E537="","Falta valor",IF(C537="Categoria inválida","Categoria inválida",IF(OR(H537&lt;1,H537&gt;12),"Fora dos 12 meses","OK"))))))</f>
        <v/>
      </c>
    </row>
    <row r="538">
      <c r="A538" s="35" t="n"/>
      <c r="B538" s="31" t="n"/>
      <c r="C538" s="19">
        <f>IF(B538="","",IF(COUNTIF(Config!$D$6:$D$15,B538)&gt;0,"Entrada",IF(COUNTIF(Config!$F$6:$F$25,B538)&gt;0,"Saída","Categoria inválida")))</f>
        <v/>
      </c>
      <c r="D538" s="31" t="n"/>
      <c r="E538" s="33" t="n"/>
      <c r="F538" s="36" t="n"/>
      <c r="G538" s="31" t="n"/>
      <c r="H538" s="37">
        <f>IF(A538="","",(YEAR(A538)-YEAR(Config!$B$6))*12+MONTH(A538)-MONTH(Config!$B$6)+1)</f>
        <v/>
      </c>
      <c r="I538" s="19">
        <f>IF(AND(A538="",B538="",E538=""),"",IF(A538="","Falta data",IF(B538="","Falta categoria",IF(E538="","Falta valor",IF(C538="Categoria inválida","Categoria inválida",IF(OR(H538&lt;1,H538&gt;12),"Fora dos 12 meses","OK"))))))</f>
        <v/>
      </c>
    </row>
    <row r="539">
      <c r="A539" s="35" t="n"/>
      <c r="B539" s="31" t="n"/>
      <c r="C539" s="19">
        <f>IF(B539="","",IF(COUNTIF(Config!$D$6:$D$15,B539)&gt;0,"Entrada",IF(COUNTIF(Config!$F$6:$F$25,B539)&gt;0,"Saída","Categoria inválida")))</f>
        <v/>
      </c>
      <c r="D539" s="31" t="n"/>
      <c r="E539" s="33" t="n"/>
      <c r="F539" s="36" t="n"/>
      <c r="G539" s="31" t="n"/>
      <c r="H539" s="37">
        <f>IF(A539="","",(YEAR(A539)-YEAR(Config!$B$6))*12+MONTH(A539)-MONTH(Config!$B$6)+1)</f>
        <v/>
      </c>
      <c r="I539" s="19">
        <f>IF(AND(A539="",B539="",E539=""),"",IF(A539="","Falta data",IF(B539="","Falta categoria",IF(E539="","Falta valor",IF(C539="Categoria inválida","Categoria inválida",IF(OR(H539&lt;1,H539&gt;12),"Fora dos 12 meses","OK"))))))</f>
        <v/>
      </c>
    </row>
    <row r="540">
      <c r="A540" s="35" t="n"/>
      <c r="B540" s="31" t="n"/>
      <c r="C540" s="19">
        <f>IF(B540="","",IF(COUNTIF(Config!$D$6:$D$15,B540)&gt;0,"Entrada",IF(COUNTIF(Config!$F$6:$F$25,B540)&gt;0,"Saída","Categoria inválida")))</f>
        <v/>
      </c>
      <c r="D540" s="31" t="n"/>
      <c r="E540" s="33" t="n"/>
      <c r="F540" s="36" t="n"/>
      <c r="G540" s="31" t="n"/>
      <c r="H540" s="37">
        <f>IF(A540="","",(YEAR(A540)-YEAR(Config!$B$6))*12+MONTH(A540)-MONTH(Config!$B$6)+1)</f>
        <v/>
      </c>
      <c r="I540" s="19">
        <f>IF(AND(A540="",B540="",E540=""),"",IF(A540="","Falta data",IF(B540="","Falta categoria",IF(E540="","Falta valor",IF(C540="Categoria inválida","Categoria inválida",IF(OR(H540&lt;1,H540&gt;12),"Fora dos 12 meses","OK"))))))</f>
        <v/>
      </c>
    </row>
    <row r="541">
      <c r="A541" s="35" t="n"/>
      <c r="B541" s="31" t="n"/>
      <c r="C541" s="19">
        <f>IF(B541="","",IF(COUNTIF(Config!$D$6:$D$15,B541)&gt;0,"Entrada",IF(COUNTIF(Config!$F$6:$F$25,B541)&gt;0,"Saída","Categoria inválida")))</f>
        <v/>
      </c>
      <c r="D541" s="31" t="n"/>
      <c r="E541" s="33" t="n"/>
      <c r="F541" s="36" t="n"/>
      <c r="G541" s="31" t="n"/>
      <c r="H541" s="37">
        <f>IF(A541="","",(YEAR(A541)-YEAR(Config!$B$6))*12+MONTH(A541)-MONTH(Config!$B$6)+1)</f>
        <v/>
      </c>
      <c r="I541" s="19">
        <f>IF(AND(A541="",B541="",E541=""),"",IF(A541="","Falta data",IF(B541="","Falta categoria",IF(E541="","Falta valor",IF(C541="Categoria inválida","Categoria inválida",IF(OR(H541&lt;1,H541&gt;12),"Fora dos 12 meses","OK"))))))</f>
        <v/>
      </c>
    </row>
    <row r="542">
      <c r="A542" s="35" t="n"/>
      <c r="B542" s="31" t="n"/>
      <c r="C542" s="19">
        <f>IF(B542="","",IF(COUNTIF(Config!$D$6:$D$15,B542)&gt;0,"Entrada",IF(COUNTIF(Config!$F$6:$F$25,B542)&gt;0,"Saída","Categoria inválida")))</f>
        <v/>
      </c>
      <c r="D542" s="31" t="n"/>
      <c r="E542" s="33" t="n"/>
      <c r="F542" s="36" t="n"/>
      <c r="G542" s="31" t="n"/>
      <c r="H542" s="37">
        <f>IF(A542="","",(YEAR(A542)-YEAR(Config!$B$6))*12+MONTH(A542)-MONTH(Config!$B$6)+1)</f>
        <v/>
      </c>
      <c r="I542" s="19">
        <f>IF(AND(A542="",B542="",E542=""),"",IF(A542="","Falta data",IF(B542="","Falta categoria",IF(E542="","Falta valor",IF(C542="Categoria inválida","Categoria inválida",IF(OR(H542&lt;1,H542&gt;12),"Fora dos 12 meses","OK"))))))</f>
        <v/>
      </c>
    </row>
    <row r="543">
      <c r="A543" s="35" t="n"/>
      <c r="B543" s="31" t="n"/>
      <c r="C543" s="19">
        <f>IF(B543="","",IF(COUNTIF(Config!$D$6:$D$15,B543)&gt;0,"Entrada",IF(COUNTIF(Config!$F$6:$F$25,B543)&gt;0,"Saída","Categoria inválida")))</f>
        <v/>
      </c>
      <c r="D543" s="31" t="n"/>
      <c r="E543" s="33" t="n"/>
      <c r="F543" s="36" t="n"/>
      <c r="G543" s="31" t="n"/>
      <c r="H543" s="37">
        <f>IF(A543="","",(YEAR(A543)-YEAR(Config!$B$6))*12+MONTH(A543)-MONTH(Config!$B$6)+1)</f>
        <v/>
      </c>
      <c r="I543" s="19">
        <f>IF(AND(A543="",B543="",E543=""),"",IF(A543="","Falta data",IF(B543="","Falta categoria",IF(E543="","Falta valor",IF(C543="Categoria inválida","Categoria inválida",IF(OR(H543&lt;1,H543&gt;12),"Fora dos 12 meses","OK"))))))</f>
        <v/>
      </c>
    </row>
    <row r="544">
      <c r="A544" s="35" t="n"/>
      <c r="B544" s="31" t="n"/>
      <c r="C544" s="19">
        <f>IF(B544="","",IF(COUNTIF(Config!$D$6:$D$15,B544)&gt;0,"Entrada",IF(COUNTIF(Config!$F$6:$F$25,B544)&gt;0,"Saída","Categoria inválida")))</f>
        <v/>
      </c>
      <c r="D544" s="31" t="n"/>
      <c r="E544" s="33" t="n"/>
      <c r="F544" s="36" t="n"/>
      <c r="G544" s="31" t="n"/>
      <c r="H544" s="37">
        <f>IF(A544="","",(YEAR(A544)-YEAR(Config!$B$6))*12+MONTH(A544)-MONTH(Config!$B$6)+1)</f>
        <v/>
      </c>
      <c r="I544" s="19">
        <f>IF(AND(A544="",B544="",E544=""),"",IF(A544="","Falta data",IF(B544="","Falta categoria",IF(E544="","Falta valor",IF(C544="Categoria inválida","Categoria inválida",IF(OR(H544&lt;1,H544&gt;12),"Fora dos 12 meses","OK"))))))</f>
        <v/>
      </c>
    </row>
    <row r="545">
      <c r="A545" s="35" t="n"/>
      <c r="B545" s="31" t="n"/>
      <c r="C545" s="19">
        <f>IF(B545="","",IF(COUNTIF(Config!$D$6:$D$15,B545)&gt;0,"Entrada",IF(COUNTIF(Config!$F$6:$F$25,B545)&gt;0,"Saída","Categoria inválida")))</f>
        <v/>
      </c>
      <c r="D545" s="31" t="n"/>
      <c r="E545" s="33" t="n"/>
      <c r="F545" s="36" t="n"/>
      <c r="G545" s="31" t="n"/>
      <c r="H545" s="37">
        <f>IF(A545="","",(YEAR(A545)-YEAR(Config!$B$6))*12+MONTH(A545)-MONTH(Config!$B$6)+1)</f>
        <v/>
      </c>
      <c r="I545" s="19">
        <f>IF(AND(A545="",B545="",E545=""),"",IF(A545="","Falta data",IF(B545="","Falta categoria",IF(E545="","Falta valor",IF(C545="Categoria inválida","Categoria inválida",IF(OR(H545&lt;1,H545&gt;12),"Fora dos 12 meses","OK"))))))</f>
        <v/>
      </c>
    </row>
    <row r="546">
      <c r="A546" s="35" t="n"/>
      <c r="B546" s="31" t="n"/>
      <c r="C546" s="19">
        <f>IF(B546="","",IF(COUNTIF(Config!$D$6:$D$15,B546)&gt;0,"Entrada",IF(COUNTIF(Config!$F$6:$F$25,B546)&gt;0,"Saída","Categoria inválida")))</f>
        <v/>
      </c>
      <c r="D546" s="31" t="n"/>
      <c r="E546" s="33" t="n"/>
      <c r="F546" s="36" t="n"/>
      <c r="G546" s="31" t="n"/>
      <c r="H546" s="37">
        <f>IF(A546="","",(YEAR(A546)-YEAR(Config!$B$6))*12+MONTH(A546)-MONTH(Config!$B$6)+1)</f>
        <v/>
      </c>
      <c r="I546" s="19">
        <f>IF(AND(A546="",B546="",E546=""),"",IF(A546="","Falta data",IF(B546="","Falta categoria",IF(E546="","Falta valor",IF(C546="Categoria inválida","Categoria inválida",IF(OR(H546&lt;1,H546&gt;12),"Fora dos 12 meses","OK"))))))</f>
        <v/>
      </c>
    </row>
    <row r="547">
      <c r="A547" s="35" t="n"/>
      <c r="B547" s="31" t="n"/>
      <c r="C547" s="19">
        <f>IF(B547="","",IF(COUNTIF(Config!$D$6:$D$15,B547)&gt;0,"Entrada",IF(COUNTIF(Config!$F$6:$F$25,B547)&gt;0,"Saída","Categoria inválida")))</f>
        <v/>
      </c>
      <c r="D547" s="31" t="n"/>
      <c r="E547" s="33" t="n"/>
      <c r="F547" s="36" t="n"/>
      <c r="G547" s="31" t="n"/>
      <c r="H547" s="37">
        <f>IF(A547="","",(YEAR(A547)-YEAR(Config!$B$6))*12+MONTH(A547)-MONTH(Config!$B$6)+1)</f>
        <v/>
      </c>
      <c r="I547" s="19">
        <f>IF(AND(A547="",B547="",E547=""),"",IF(A547="","Falta data",IF(B547="","Falta categoria",IF(E547="","Falta valor",IF(C547="Categoria inválida","Categoria inválida",IF(OR(H547&lt;1,H547&gt;12),"Fora dos 12 meses","OK"))))))</f>
        <v/>
      </c>
    </row>
    <row r="548">
      <c r="A548" s="35" t="n"/>
      <c r="B548" s="31" t="n"/>
      <c r="C548" s="19">
        <f>IF(B548="","",IF(COUNTIF(Config!$D$6:$D$15,B548)&gt;0,"Entrada",IF(COUNTIF(Config!$F$6:$F$25,B548)&gt;0,"Saída","Categoria inválida")))</f>
        <v/>
      </c>
      <c r="D548" s="31" t="n"/>
      <c r="E548" s="33" t="n"/>
      <c r="F548" s="36" t="n"/>
      <c r="G548" s="31" t="n"/>
      <c r="H548" s="37">
        <f>IF(A548="","",(YEAR(A548)-YEAR(Config!$B$6))*12+MONTH(A548)-MONTH(Config!$B$6)+1)</f>
        <v/>
      </c>
      <c r="I548" s="19">
        <f>IF(AND(A548="",B548="",E548=""),"",IF(A548="","Falta data",IF(B548="","Falta categoria",IF(E548="","Falta valor",IF(C548="Categoria inválida","Categoria inválida",IF(OR(H548&lt;1,H548&gt;12),"Fora dos 12 meses","OK"))))))</f>
        <v/>
      </c>
    </row>
    <row r="549">
      <c r="A549" s="35" t="n"/>
      <c r="B549" s="31" t="n"/>
      <c r="C549" s="19">
        <f>IF(B549="","",IF(COUNTIF(Config!$D$6:$D$15,B549)&gt;0,"Entrada",IF(COUNTIF(Config!$F$6:$F$25,B549)&gt;0,"Saída","Categoria inválida")))</f>
        <v/>
      </c>
      <c r="D549" s="31" t="n"/>
      <c r="E549" s="33" t="n"/>
      <c r="F549" s="36" t="n"/>
      <c r="G549" s="31" t="n"/>
      <c r="H549" s="37">
        <f>IF(A549="","",(YEAR(A549)-YEAR(Config!$B$6))*12+MONTH(A549)-MONTH(Config!$B$6)+1)</f>
        <v/>
      </c>
      <c r="I549" s="19">
        <f>IF(AND(A549="",B549="",E549=""),"",IF(A549="","Falta data",IF(B549="","Falta categoria",IF(E549="","Falta valor",IF(C549="Categoria inválida","Categoria inválida",IF(OR(H549&lt;1,H549&gt;12),"Fora dos 12 meses","OK"))))))</f>
        <v/>
      </c>
    </row>
    <row r="550">
      <c r="A550" s="35" t="n"/>
      <c r="B550" s="31" t="n"/>
      <c r="C550" s="19">
        <f>IF(B550="","",IF(COUNTIF(Config!$D$6:$D$15,B550)&gt;0,"Entrada",IF(COUNTIF(Config!$F$6:$F$25,B550)&gt;0,"Saída","Categoria inválida")))</f>
        <v/>
      </c>
      <c r="D550" s="31" t="n"/>
      <c r="E550" s="33" t="n"/>
      <c r="F550" s="36" t="n"/>
      <c r="G550" s="31" t="n"/>
      <c r="H550" s="37">
        <f>IF(A550="","",(YEAR(A550)-YEAR(Config!$B$6))*12+MONTH(A550)-MONTH(Config!$B$6)+1)</f>
        <v/>
      </c>
      <c r="I550" s="19">
        <f>IF(AND(A550="",B550="",E550=""),"",IF(A550="","Falta data",IF(B550="","Falta categoria",IF(E550="","Falta valor",IF(C550="Categoria inválida","Categoria inválida",IF(OR(H550&lt;1,H550&gt;12),"Fora dos 12 meses","OK"))))))</f>
        <v/>
      </c>
    </row>
    <row r="551">
      <c r="A551" s="35" t="n"/>
      <c r="B551" s="31" t="n"/>
      <c r="C551" s="19">
        <f>IF(B551="","",IF(COUNTIF(Config!$D$6:$D$15,B551)&gt;0,"Entrada",IF(COUNTIF(Config!$F$6:$F$25,B551)&gt;0,"Saída","Categoria inválida")))</f>
        <v/>
      </c>
      <c r="D551" s="31" t="n"/>
      <c r="E551" s="33" t="n"/>
      <c r="F551" s="36" t="n"/>
      <c r="G551" s="31" t="n"/>
      <c r="H551" s="37">
        <f>IF(A551="","",(YEAR(A551)-YEAR(Config!$B$6))*12+MONTH(A551)-MONTH(Config!$B$6)+1)</f>
        <v/>
      </c>
      <c r="I551" s="19">
        <f>IF(AND(A551="",B551="",E551=""),"",IF(A551="","Falta data",IF(B551="","Falta categoria",IF(E551="","Falta valor",IF(C551="Categoria inválida","Categoria inválida",IF(OR(H551&lt;1,H551&gt;12),"Fora dos 12 meses","OK"))))))</f>
        <v/>
      </c>
    </row>
    <row r="552">
      <c r="A552" s="35" t="n"/>
      <c r="B552" s="31" t="n"/>
      <c r="C552" s="19">
        <f>IF(B552="","",IF(COUNTIF(Config!$D$6:$D$15,B552)&gt;0,"Entrada",IF(COUNTIF(Config!$F$6:$F$25,B552)&gt;0,"Saída","Categoria inválida")))</f>
        <v/>
      </c>
      <c r="D552" s="31" t="n"/>
      <c r="E552" s="33" t="n"/>
      <c r="F552" s="36" t="n"/>
      <c r="G552" s="31" t="n"/>
      <c r="H552" s="37">
        <f>IF(A552="","",(YEAR(A552)-YEAR(Config!$B$6))*12+MONTH(A552)-MONTH(Config!$B$6)+1)</f>
        <v/>
      </c>
      <c r="I552" s="19">
        <f>IF(AND(A552="",B552="",E552=""),"",IF(A552="","Falta data",IF(B552="","Falta categoria",IF(E552="","Falta valor",IF(C552="Categoria inválida","Categoria inválida",IF(OR(H552&lt;1,H552&gt;12),"Fora dos 12 meses","OK"))))))</f>
        <v/>
      </c>
    </row>
    <row r="553">
      <c r="A553" s="35" t="n"/>
      <c r="B553" s="31" t="n"/>
      <c r="C553" s="19">
        <f>IF(B553="","",IF(COUNTIF(Config!$D$6:$D$15,B553)&gt;0,"Entrada",IF(COUNTIF(Config!$F$6:$F$25,B553)&gt;0,"Saída","Categoria inválida")))</f>
        <v/>
      </c>
      <c r="D553" s="31" t="n"/>
      <c r="E553" s="33" t="n"/>
      <c r="F553" s="36" t="n"/>
      <c r="G553" s="31" t="n"/>
      <c r="H553" s="37">
        <f>IF(A553="","",(YEAR(A553)-YEAR(Config!$B$6))*12+MONTH(A553)-MONTH(Config!$B$6)+1)</f>
        <v/>
      </c>
      <c r="I553" s="19">
        <f>IF(AND(A553="",B553="",E553=""),"",IF(A553="","Falta data",IF(B553="","Falta categoria",IF(E553="","Falta valor",IF(C553="Categoria inválida","Categoria inválida",IF(OR(H553&lt;1,H553&gt;12),"Fora dos 12 meses","OK"))))))</f>
        <v/>
      </c>
    </row>
    <row r="554">
      <c r="A554" s="35" t="n"/>
      <c r="B554" s="31" t="n"/>
      <c r="C554" s="19">
        <f>IF(B554="","",IF(COUNTIF(Config!$D$6:$D$15,B554)&gt;0,"Entrada",IF(COUNTIF(Config!$F$6:$F$25,B554)&gt;0,"Saída","Categoria inválida")))</f>
        <v/>
      </c>
      <c r="D554" s="31" t="n"/>
      <c r="E554" s="33" t="n"/>
      <c r="F554" s="36" t="n"/>
      <c r="G554" s="31" t="n"/>
      <c r="H554" s="37">
        <f>IF(A554="","",(YEAR(A554)-YEAR(Config!$B$6))*12+MONTH(A554)-MONTH(Config!$B$6)+1)</f>
        <v/>
      </c>
      <c r="I554" s="19">
        <f>IF(AND(A554="",B554="",E554=""),"",IF(A554="","Falta data",IF(B554="","Falta categoria",IF(E554="","Falta valor",IF(C554="Categoria inválida","Categoria inválida",IF(OR(H554&lt;1,H554&gt;12),"Fora dos 12 meses","OK"))))))</f>
        <v/>
      </c>
    </row>
    <row r="555">
      <c r="A555" s="35" t="n"/>
      <c r="B555" s="31" t="n"/>
      <c r="C555" s="19">
        <f>IF(B555="","",IF(COUNTIF(Config!$D$6:$D$15,B555)&gt;0,"Entrada",IF(COUNTIF(Config!$F$6:$F$25,B555)&gt;0,"Saída","Categoria inválida")))</f>
        <v/>
      </c>
      <c r="D555" s="31" t="n"/>
      <c r="E555" s="33" t="n"/>
      <c r="F555" s="36" t="n"/>
      <c r="G555" s="31" t="n"/>
      <c r="H555" s="37">
        <f>IF(A555="","",(YEAR(A555)-YEAR(Config!$B$6))*12+MONTH(A555)-MONTH(Config!$B$6)+1)</f>
        <v/>
      </c>
      <c r="I555" s="19">
        <f>IF(AND(A555="",B555="",E555=""),"",IF(A555="","Falta data",IF(B555="","Falta categoria",IF(E555="","Falta valor",IF(C555="Categoria inválida","Categoria inválida",IF(OR(H555&lt;1,H555&gt;12),"Fora dos 12 meses","OK"))))))</f>
        <v/>
      </c>
    </row>
    <row r="556">
      <c r="A556" s="35" t="n"/>
      <c r="B556" s="31" t="n"/>
      <c r="C556" s="19">
        <f>IF(B556="","",IF(COUNTIF(Config!$D$6:$D$15,B556)&gt;0,"Entrada",IF(COUNTIF(Config!$F$6:$F$25,B556)&gt;0,"Saída","Categoria inválida")))</f>
        <v/>
      </c>
      <c r="D556" s="31" t="n"/>
      <c r="E556" s="33" t="n"/>
      <c r="F556" s="36" t="n"/>
      <c r="G556" s="31" t="n"/>
      <c r="H556" s="37">
        <f>IF(A556="","",(YEAR(A556)-YEAR(Config!$B$6))*12+MONTH(A556)-MONTH(Config!$B$6)+1)</f>
        <v/>
      </c>
      <c r="I556" s="19">
        <f>IF(AND(A556="",B556="",E556=""),"",IF(A556="","Falta data",IF(B556="","Falta categoria",IF(E556="","Falta valor",IF(C556="Categoria inválida","Categoria inválida",IF(OR(H556&lt;1,H556&gt;12),"Fora dos 12 meses","OK"))))))</f>
        <v/>
      </c>
    </row>
    <row r="557">
      <c r="A557" s="35" t="n"/>
      <c r="B557" s="31" t="n"/>
      <c r="C557" s="19">
        <f>IF(B557="","",IF(COUNTIF(Config!$D$6:$D$15,B557)&gt;0,"Entrada",IF(COUNTIF(Config!$F$6:$F$25,B557)&gt;0,"Saída","Categoria inválida")))</f>
        <v/>
      </c>
      <c r="D557" s="31" t="n"/>
      <c r="E557" s="33" t="n"/>
      <c r="F557" s="36" t="n"/>
      <c r="G557" s="31" t="n"/>
      <c r="H557" s="37">
        <f>IF(A557="","",(YEAR(A557)-YEAR(Config!$B$6))*12+MONTH(A557)-MONTH(Config!$B$6)+1)</f>
        <v/>
      </c>
      <c r="I557" s="19">
        <f>IF(AND(A557="",B557="",E557=""),"",IF(A557="","Falta data",IF(B557="","Falta categoria",IF(E557="","Falta valor",IF(C557="Categoria inválida","Categoria inválida",IF(OR(H557&lt;1,H557&gt;12),"Fora dos 12 meses","OK"))))))</f>
        <v/>
      </c>
    </row>
    <row r="558">
      <c r="A558" s="35" t="n"/>
      <c r="B558" s="31" t="n"/>
      <c r="C558" s="19">
        <f>IF(B558="","",IF(COUNTIF(Config!$D$6:$D$15,B558)&gt;0,"Entrada",IF(COUNTIF(Config!$F$6:$F$25,B558)&gt;0,"Saída","Categoria inválida")))</f>
        <v/>
      </c>
      <c r="D558" s="31" t="n"/>
      <c r="E558" s="33" t="n"/>
      <c r="F558" s="36" t="n"/>
      <c r="G558" s="31" t="n"/>
      <c r="H558" s="37">
        <f>IF(A558="","",(YEAR(A558)-YEAR(Config!$B$6))*12+MONTH(A558)-MONTH(Config!$B$6)+1)</f>
        <v/>
      </c>
      <c r="I558" s="19">
        <f>IF(AND(A558="",B558="",E558=""),"",IF(A558="","Falta data",IF(B558="","Falta categoria",IF(E558="","Falta valor",IF(C558="Categoria inválida","Categoria inválida",IF(OR(H558&lt;1,H558&gt;12),"Fora dos 12 meses","OK"))))))</f>
        <v/>
      </c>
    </row>
    <row r="559">
      <c r="A559" s="35" t="n"/>
      <c r="B559" s="31" t="n"/>
      <c r="C559" s="19">
        <f>IF(B559="","",IF(COUNTIF(Config!$D$6:$D$15,B559)&gt;0,"Entrada",IF(COUNTIF(Config!$F$6:$F$25,B559)&gt;0,"Saída","Categoria inválida")))</f>
        <v/>
      </c>
      <c r="D559" s="31" t="n"/>
      <c r="E559" s="33" t="n"/>
      <c r="F559" s="36" t="n"/>
      <c r="G559" s="31" t="n"/>
      <c r="H559" s="37">
        <f>IF(A559="","",(YEAR(A559)-YEAR(Config!$B$6))*12+MONTH(A559)-MONTH(Config!$B$6)+1)</f>
        <v/>
      </c>
      <c r="I559" s="19">
        <f>IF(AND(A559="",B559="",E559=""),"",IF(A559="","Falta data",IF(B559="","Falta categoria",IF(E559="","Falta valor",IF(C559="Categoria inválida","Categoria inválida",IF(OR(H559&lt;1,H559&gt;12),"Fora dos 12 meses","OK"))))))</f>
        <v/>
      </c>
    </row>
    <row r="560">
      <c r="A560" s="35" t="n"/>
      <c r="B560" s="31" t="n"/>
      <c r="C560" s="19">
        <f>IF(B560="","",IF(COUNTIF(Config!$D$6:$D$15,B560)&gt;0,"Entrada",IF(COUNTIF(Config!$F$6:$F$25,B560)&gt;0,"Saída","Categoria inválida")))</f>
        <v/>
      </c>
      <c r="D560" s="31" t="n"/>
      <c r="E560" s="33" t="n"/>
      <c r="F560" s="36" t="n"/>
      <c r="G560" s="31" t="n"/>
      <c r="H560" s="37">
        <f>IF(A560="","",(YEAR(A560)-YEAR(Config!$B$6))*12+MONTH(A560)-MONTH(Config!$B$6)+1)</f>
        <v/>
      </c>
      <c r="I560" s="19">
        <f>IF(AND(A560="",B560="",E560=""),"",IF(A560="","Falta data",IF(B560="","Falta categoria",IF(E560="","Falta valor",IF(C560="Categoria inválida","Categoria inválida",IF(OR(H560&lt;1,H560&gt;12),"Fora dos 12 meses","OK"))))))</f>
        <v/>
      </c>
    </row>
    <row r="561">
      <c r="A561" s="35" t="n"/>
      <c r="B561" s="31" t="n"/>
      <c r="C561" s="19">
        <f>IF(B561="","",IF(COUNTIF(Config!$D$6:$D$15,B561)&gt;0,"Entrada",IF(COUNTIF(Config!$F$6:$F$25,B561)&gt;0,"Saída","Categoria inválida")))</f>
        <v/>
      </c>
      <c r="D561" s="31" t="n"/>
      <c r="E561" s="33" t="n"/>
      <c r="F561" s="36" t="n"/>
      <c r="G561" s="31" t="n"/>
      <c r="H561" s="37">
        <f>IF(A561="","",(YEAR(A561)-YEAR(Config!$B$6))*12+MONTH(A561)-MONTH(Config!$B$6)+1)</f>
        <v/>
      </c>
      <c r="I561" s="19">
        <f>IF(AND(A561="",B561="",E561=""),"",IF(A561="","Falta data",IF(B561="","Falta categoria",IF(E561="","Falta valor",IF(C561="Categoria inválida","Categoria inválida",IF(OR(H561&lt;1,H561&gt;12),"Fora dos 12 meses","OK"))))))</f>
        <v/>
      </c>
    </row>
    <row r="562">
      <c r="A562" s="35" t="n"/>
      <c r="B562" s="31" t="n"/>
      <c r="C562" s="19">
        <f>IF(B562="","",IF(COUNTIF(Config!$D$6:$D$15,B562)&gt;0,"Entrada",IF(COUNTIF(Config!$F$6:$F$25,B562)&gt;0,"Saída","Categoria inválida")))</f>
        <v/>
      </c>
      <c r="D562" s="31" t="n"/>
      <c r="E562" s="33" t="n"/>
      <c r="F562" s="36" t="n"/>
      <c r="G562" s="31" t="n"/>
      <c r="H562" s="37">
        <f>IF(A562="","",(YEAR(A562)-YEAR(Config!$B$6))*12+MONTH(A562)-MONTH(Config!$B$6)+1)</f>
        <v/>
      </c>
      <c r="I562" s="19">
        <f>IF(AND(A562="",B562="",E562=""),"",IF(A562="","Falta data",IF(B562="","Falta categoria",IF(E562="","Falta valor",IF(C562="Categoria inválida","Categoria inválida",IF(OR(H562&lt;1,H562&gt;12),"Fora dos 12 meses","OK"))))))</f>
        <v/>
      </c>
    </row>
    <row r="563">
      <c r="A563" s="35" t="n"/>
      <c r="B563" s="31" t="n"/>
      <c r="C563" s="19">
        <f>IF(B563="","",IF(COUNTIF(Config!$D$6:$D$15,B563)&gt;0,"Entrada",IF(COUNTIF(Config!$F$6:$F$25,B563)&gt;0,"Saída","Categoria inválida")))</f>
        <v/>
      </c>
      <c r="D563" s="31" t="n"/>
      <c r="E563" s="33" t="n"/>
      <c r="F563" s="36" t="n"/>
      <c r="G563" s="31" t="n"/>
      <c r="H563" s="37">
        <f>IF(A563="","",(YEAR(A563)-YEAR(Config!$B$6))*12+MONTH(A563)-MONTH(Config!$B$6)+1)</f>
        <v/>
      </c>
      <c r="I563" s="19">
        <f>IF(AND(A563="",B563="",E563=""),"",IF(A563="","Falta data",IF(B563="","Falta categoria",IF(E563="","Falta valor",IF(C563="Categoria inválida","Categoria inválida",IF(OR(H563&lt;1,H563&gt;12),"Fora dos 12 meses","OK"))))))</f>
        <v/>
      </c>
    </row>
    <row r="564">
      <c r="A564" s="35" t="n"/>
      <c r="B564" s="31" t="n"/>
      <c r="C564" s="19">
        <f>IF(B564="","",IF(COUNTIF(Config!$D$6:$D$15,B564)&gt;0,"Entrada",IF(COUNTIF(Config!$F$6:$F$25,B564)&gt;0,"Saída","Categoria inválida")))</f>
        <v/>
      </c>
      <c r="D564" s="31" t="n"/>
      <c r="E564" s="33" t="n"/>
      <c r="F564" s="36" t="n"/>
      <c r="G564" s="31" t="n"/>
      <c r="H564" s="37">
        <f>IF(A564="","",(YEAR(A564)-YEAR(Config!$B$6))*12+MONTH(A564)-MONTH(Config!$B$6)+1)</f>
        <v/>
      </c>
      <c r="I564" s="19">
        <f>IF(AND(A564="",B564="",E564=""),"",IF(A564="","Falta data",IF(B564="","Falta categoria",IF(E564="","Falta valor",IF(C564="Categoria inválida","Categoria inválida",IF(OR(H564&lt;1,H564&gt;12),"Fora dos 12 meses","OK"))))))</f>
        <v/>
      </c>
    </row>
    <row r="565">
      <c r="A565" s="35" t="n"/>
      <c r="B565" s="31" t="n"/>
      <c r="C565" s="19">
        <f>IF(B565="","",IF(COUNTIF(Config!$D$6:$D$15,B565)&gt;0,"Entrada",IF(COUNTIF(Config!$F$6:$F$25,B565)&gt;0,"Saída","Categoria inválida")))</f>
        <v/>
      </c>
      <c r="D565" s="31" t="n"/>
      <c r="E565" s="33" t="n"/>
      <c r="F565" s="36" t="n"/>
      <c r="G565" s="31" t="n"/>
      <c r="H565" s="37">
        <f>IF(A565="","",(YEAR(A565)-YEAR(Config!$B$6))*12+MONTH(A565)-MONTH(Config!$B$6)+1)</f>
        <v/>
      </c>
      <c r="I565" s="19">
        <f>IF(AND(A565="",B565="",E565=""),"",IF(A565="","Falta data",IF(B565="","Falta categoria",IF(E565="","Falta valor",IF(C565="Categoria inválida","Categoria inválida",IF(OR(H565&lt;1,H565&gt;12),"Fora dos 12 meses","OK"))))))</f>
        <v/>
      </c>
    </row>
    <row r="566">
      <c r="A566" s="35" t="n"/>
      <c r="B566" s="31" t="n"/>
      <c r="C566" s="19">
        <f>IF(B566="","",IF(COUNTIF(Config!$D$6:$D$15,B566)&gt;0,"Entrada",IF(COUNTIF(Config!$F$6:$F$25,B566)&gt;0,"Saída","Categoria inválida")))</f>
        <v/>
      </c>
      <c r="D566" s="31" t="n"/>
      <c r="E566" s="33" t="n"/>
      <c r="F566" s="36" t="n"/>
      <c r="G566" s="31" t="n"/>
      <c r="H566" s="37">
        <f>IF(A566="","",(YEAR(A566)-YEAR(Config!$B$6))*12+MONTH(A566)-MONTH(Config!$B$6)+1)</f>
        <v/>
      </c>
      <c r="I566" s="19">
        <f>IF(AND(A566="",B566="",E566=""),"",IF(A566="","Falta data",IF(B566="","Falta categoria",IF(E566="","Falta valor",IF(C566="Categoria inválida","Categoria inválida",IF(OR(H566&lt;1,H566&gt;12),"Fora dos 12 meses","OK"))))))</f>
        <v/>
      </c>
    </row>
    <row r="567">
      <c r="A567" s="35" t="n"/>
      <c r="B567" s="31" t="n"/>
      <c r="C567" s="19">
        <f>IF(B567="","",IF(COUNTIF(Config!$D$6:$D$15,B567)&gt;0,"Entrada",IF(COUNTIF(Config!$F$6:$F$25,B567)&gt;0,"Saída","Categoria inválida")))</f>
        <v/>
      </c>
      <c r="D567" s="31" t="n"/>
      <c r="E567" s="33" t="n"/>
      <c r="F567" s="36" t="n"/>
      <c r="G567" s="31" t="n"/>
      <c r="H567" s="37">
        <f>IF(A567="","",(YEAR(A567)-YEAR(Config!$B$6))*12+MONTH(A567)-MONTH(Config!$B$6)+1)</f>
        <v/>
      </c>
      <c r="I567" s="19">
        <f>IF(AND(A567="",B567="",E567=""),"",IF(A567="","Falta data",IF(B567="","Falta categoria",IF(E567="","Falta valor",IF(C567="Categoria inválida","Categoria inválida",IF(OR(H567&lt;1,H567&gt;12),"Fora dos 12 meses","OK"))))))</f>
        <v/>
      </c>
    </row>
    <row r="568">
      <c r="A568" s="35" t="n"/>
      <c r="B568" s="31" t="n"/>
      <c r="C568" s="19">
        <f>IF(B568="","",IF(COUNTIF(Config!$D$6:$D$15,B568)&gt;0,"Entrada",IF(COUNTIF(Config!$F$6:$F$25,B568)&gt;0,"Saída","Categoria inválida")))</f>
        <v/>
      </c>
      <c r="D568" s="31" t="n"/>
      <c r="E568" s="33" t="n"/>
      <c r="F568" s="36" t="n"/>
      <c r="G568" s="31" t="n"/>
      <c r="H568" s="37">
        <f>IF(A568="","",(YEAR(A568)-YEAR(Config!$B$6))*12+MONTH(A568)-MONTH(Config!$B$6)+1)</f>
        <v/>
      </c>
      <c r="I568" s="19">
        <f>IF(AND(A568="",B568="",E568=""),"",IF(A568="","Falta data",IF(B568="","Falta categoria",IF(E568="","Falta valor",IF(C568="Categoria inválida","Categoria inválida",IF(OR(H568&lt;1,H568&gt;12),"Fora dos 12 meses","OK"))))))</f>
        <v/>
      </c>
    </row>
    <row r="569">
      <c r="A569" s="35" t="n"/>
      <c r="B569" s="31" t="n"/>
      <c r="C569" s="19">
        <f>IF(B569="","",IF(COUNTIF(Config!$D$6:$D$15,B569)&gt;0,"Entrada",IF(COUNTIF(Config!$F$6:$F$25,B569)&gt;0,"Saída","Categoria inválida")))</f>
        <v/>
      </c>
      <c r="D569" s="31" t="n"/>
      <c r="E569" s="33" t="n"/>
      <c r="F569" s="36" t="n"/>
      <c r="G569" s="31" t="n"/>
      <c r="H569" s="37">
        <f>IF(A569="","",(YEAR(A569)-YEAR(Config!$B$6))*12+MONTH(A569)-MONTH(Config!$B$6)+1)</f>
        <v/>
      </c>
      <c r="I569" s="19">
        <f>IF(AND(A569="",B569="",E569=""),"",IF(A569="","Falta data",IF(B569="","Falta categoria",IF(E569="","Falta valor",IF(C569="Categoria inválida","Categoria inválida",IF(OR(H569&lt;1,H569&gt;12),"Fora dos 12 meses","OK"))))))</f>
        <v/>
      </c>
    </row>
    <row r="570">
      <c r="A570" s="35" t="n"/>
      <c r="B570" s="31" t="n"/>
      <c r="C570" s="19">
        <f>IF(B570="","",IF(COUNTIF(Config!$D$6:$D$15,B570)&gt;0,"Entrada",IF(COUNTIF(Config!$F$6:$F$25,B570)&gt;0,"Saída","Categoria inválida")))</f>
        <v/>
      </c>
      <c r="D570" s="31" t="n"/>
      <c r="E570" s="33" t="n"/>
      <c r="F570" s="36" t="n"/>
      <c r="G570" s="31" t="n"/>
      <c r="H570" s="37">
        <f>IF(A570="","",(YEAR(A570)-YEAR(Config!$B$6))*12+MONTH(A570)-MONTH(Config!$B$6)+1)</f>
        <v/>
      </c>
      <c r="I570" s="19">
        <f>IF(AND(A570="",B570="",E570=""),"",IF(A570="","Falta data",IF(B570="","Falta categoria",IF(E570="","Falta valor",IF(C570="Categoria inválida","Categoria inválida",IF(OR(H570&lt;1,H570&gt;12),"Fora dos 12 meses","OK"))))))</f>
        <v/>
      </c>
    </row>
    <row r="571">
      <c r="A571" s="35" t="n"/>
      <c r="B571" s="31" t="n"/>
      <c r="C571" s="19">
        <f>IF(B571="","",IF(COUNTIF(Config!$D$6:$D$15,B571)&gt;0,"Entrada",IF(COUNTIF(Config!$F$6:$F$25,B571)&gt;0,"Saída","Categoria inválida")))</f>
        <v/>
      </c>
      <c r="D571" s="31" t="n"/>
      <c r="E571" s="33" t="n"/>
      <c r="F571" s="36" t="n"/>
      <c r="G571" s="31" t="n"/>
      <c r="H571" s="37">
        <f>IF(A571="","",(YEAR(A571)-YEAR(Config!$B$6))*12+MONTH(A571)-MONTH(Config!$B$6)+1)</f>
        <v/>
      </c>
      <c r="I571" s="19">
        <f>IF(AND(A571="",B571="",E571=""),"",IF(A571="","Falta data",IF(B571="","Falta categoria",IF(E571="","Falta valor",IF(C571="Categoria inválida","Categoria inválida",IF(OR(H571&lt;1,H571&gt;12),"Fora dos 12 meses","OK"))))))</f>
        <v/>
      </c>
    </row>
    <row r="572">
      <c r="A572" s="35" t="n"/>
      <c r="B572" s="31" t="n"/>
      <c r="C572" s="19">
        <f>IF(B572="","",IF(COUNTIF(Config!$D$6:$D$15,B572)&gt;0,"Entrada",IF(COUNTIF(Config!$F$6:$F$25,B572)&gt;0,"Saída","Categoria inválida")))</f>
        <v/>
      </c>
      <c r="D572" s="31" t="n"/>
      <c r="E572" s="33" t="n"/>
      <c r="F572" s="36" t="n"/>
      <c r="G572" s="31" t="n"/>
      <c r="H572" s="37">
        <f>IF(A572="","",(YEAR(A572)-YEAR(Config!$B$6))*12+MONTH(A572)-MONTH(Config!$B$6)+1)</f>
        <v/>
      </c>
      <c r="I572" s="19">
        <f>IF(AND(A572="",B572="",E572=""),"",IF(A572="","Falta data",IF(B572="","Falta categoria",IF(E572="","Falta valor",IF(C572="Categoria inválida","Categoria inválida",IF(OR(H572&lt;1,H572&gt;12),"Fora dos 12 meses","OK"))))))</f>
        <v/>
      </c>
    </row>
    <row r="573">
      <c r="A573" s="35" t="n"/>
      <c r="B573" s="31" t="n"/>
      <c r="C573" s="19">
        <f>IF(B573="","",IF(COUNTIF(Config!$D$6:$D$15,B573)&gt;0,"Entrada",IF(COUNTIF(Config!$F$6:$F$25,B573)&gt;0,"Saída","Categoria inválida")))</f>
        <v/>
      </c>
      <c r="D573" s="31" t="n"/>
      <c r="E573" s="33" t="n"/>
      <c r="F573" s="36" t="n"/>
      <c r="G573" s="31" t="n"/>
      <c r="H573" s="37">
        <f>IF(A573="","",(YEAR(A573)-YEAR(Config!$B$6))*12+MONTH(A573)-MONTH(Config!$B$6)+1)</f>
        <v/>
      </c>
      <c r="I573" s="19">
        <f>IF(AND(A573="",B573="",E573=""),"",IF(A573="","Falta data",IF(B573="","Falta categoria",IF(E573="","Falta valor",IF(C573="Categoria inválida","Categoria inválida",IF(OR(H573&lt;1,H573&gt;12),"Fora dos 12 meses","OK"))))))</f>
        <v/>
      </c>
    </row>
    <row r="574">
      <c r="A574" s="35" t="n"/>
      <c r="B574" s="31" t="n"/>
      <c r="C574" s="19">
        <f>IF(B574="","",IF(COUNTIF(Config!$D$6:$D$15,B574)&gt;0,"Entrada",IF(COUNTIF(Config!$F$6:$F$25,B574)&gt;0,"Saída","Categoria inválida")))</f>
        <v/>
      </c>
      <c r="D574" s="31" t="n"/>
      <c r="E574" s="33" t="n"/>
      <c r="F574" s="36" t="n"/>
      <c r="G574" s="31" t="n"/>
      <c r="H574" s="37">
        <f>IF(A574="","",(YEAR(A574)-YEAR(Config!$B$6))*12+MONTH(A574)-MONTH(Config!$B$6)+1)</f>
        <v/>
      </c>
      <c r="I574" s="19">
        <f>IF(AND(A574="",B574="",E574=""),"",IF(A574="","Falta data",IF(B574="","Falta categoria",IF(E574="","Falta valor",IF(C574="Categoria inválida","Categoria inválida",IF(OR(H574&lt;1,H574&gt;12),"Fora dos 12 meses","OK"))))))</f>
        <v/>
      </c>
    </row>
    <row r="575">
      <c r="A575" s="35" t="n"/>
      <c r="B575" s="31" t="n"/>
      <c r="C575" s="19">
        <f>IF(B575="","",IF(COUNTIF(Config!$D$6:$D$15,B575)&gt;0,"Entrada",IF(COUNTIF(Config!$F$6:$F$25,B575)&gt;0,"Saída","Categoria inválida")))</f>
        <v/>
      </c>
      <c r="D575" s="31" t="n"/>
      <c r="E575" s="33" t="n"/>
      <c r="F575" s="36" t="n"/>
      <c r="G575" s="31" t="n"/>
      <c r="H575" s="37">
        <f>IF(A575="","",(YEAR(A575)-YEAR(Config!$B$6))*12+MONTH(A575)-MONTH(Config!$B$6)+1)</f>
        <v/>
      </c>
      <c r="I575" s="19">
        <f>IF(AND(A575="",B575="",E575=""),"",IF(A575="","Falta data",IF(B575="","Falta categoria",IF(E575="","Falta valor",IF(C575="Categoria inválida","Categoria inválida",IF(OR(H575&lt;1,H575&gt;12),"Fora dos 12 meses","OK"))))))</f>
        <v/>
      </c>
    </row>
    <row r="576">
      <c r="A576" s="35" t="n"/>
      <c r="B576" s="31" t="n"/>
      <c r="C576" s="19">
        <f>IF(B576="","",IF(COUNTIF(Config!$D$6:$D$15,B576)&gt;0,"Entrada",IF(COUNTIF(Config!$F$6:$F$25,B576)&gt;0,"Saída","Categoria inválida")))</f>
        <v/>
      </c>
      <c r="D576" s="31" t="n"/>
      <c r="E576" s="33" t="n"/>
      <c r="F576" s="36" t="n"/>
      <c r="G576" s="31" t="n"/>
      <c r="H576" s="37">
        <f>IF(A576="","",(YEAR(A576)-YEAR(Config!$B$6))*12+MONTH(A576)-MONTH(Config!$B$6)+1)</f>
        <v/>
      </c>
      <c r="I576" s="19">
        <f>IF(AND(A576="",B576="",E576=""),"",IF(A576="","Falta data",IF(B576="","Falta categoria",IF(E576="","Falta valor",IF(C576="Categoria inválida","Categoria inválida",IF(OR(H576&lt;1,H576&gt;12),"Fora dos 12 meses","OK"))))))</f>
        <v/>
      </c>
    </row>
    <row r="577">
      <c r="A577" s="35" t="n"/>
      <c r="B577" s="31" t="n"/>
      <c r="C577" s="19">
        <f>IF(B577="","",IF(COUNTIF(Config!$D$6:$D$15,B577)&gt;0,"Entrada",IF(COUNTIF(Config!$F$6:$F$25,B577)&gt;0,"Saída","Categoria inválida")))</f>
        <v/>
      </c>
      <c r="D577" s="31" t="n"/>
      <c r="E577" s="33" t="n"/>
      <c r="F577" s="36" t="n"/>
      <c r="G577" s="31" t="n"/>
      <c r="H577" s="37">
        <f>IF(A577="","",(YEAR(A577)-YEAR(Config!$B$6))*12+MONTH(A577)-MONTH(Config!$B$6)+1)</f>
        <v/>
      </c>
      <c r="I577" s="19">
        <f>IF(AND(A577="",B577="",E577=""),"",IF(A577="","Falta data",IF(B577="","Falta categoria",IF(E577="","Falta valor",IF(C577="Categoria inválida","Categoria inválida",IF(OR(H577&lt;1,H577&gt;12),"Fora dos 12 meses","OK"))))))</f>
        <v/>
      </c>
    </row>
    <row r="578">
      <c r="A578" s="35" t="n"/>
      <c r="B578" s="31" t="n"/>
      <c r="C578" s="19">
        <f>IF(B578="","",IF(COUNTIF(Config!$D$6:$D$15,B578)&gt;0,"Entrada",IF(COUNTIF(Config!$F$6:$F$25,B578)&gt;0,"Saída","Categoria inválida")))</f>
        <v/>
      </c>
      <c r="D578" s="31" t="n"/>
      <c r="E578" s="33" t="n"/>
      <c r="F578" s="36" t="n"/>
      <c r="G578" s="31" t="n"/>
      <c r="H578" s="37">
        <f>IF(A578="","",(YEAR(A578)-YEAR(Config!$B$6))*12+MONTH(A578)-MONTH(Config!$B$6)+1)</f>
        <v/>
      </c>
      <c r="I578" s="19">
        <f>IF(AND(A578="",B578="",E578=""),"",IF(A578="","Falta data",IF(B578="","Falta categoria",IF(E578="","Falta valor",IF(C578="Categoria inválida","Categoria inválida",IF(OR(H578&lt;1,H578&gt;12),"Fora dos 12 meses","OK"))))))</f>
        <v/>
      </c>
    </row>
    <row r="579">
      <c r="A579" s="35" t="n"/>
      <c r="B579" s="31" t="n"/>
      <c r="C579" s="19">
        <f>IF(B579="","",IF(COUNTIF(Config!$D$6:$D$15,B579)&gt;0,"Entrada",IF(COUNTIF(Config!$F$6:$F$25,B579)&gt;0,"Saída","Categoria inválida")))</f>
        <v/>
      </c>
      <c r="D579" s="31" t="n"/>
      <c r="E579" s="33" t="n"/>
      <c r="F579" s="36" t="n"/>
      <c r="G579" s="31" t="n"/>
      <c r="H579" s="37">
        <f>IF(A579="","",(YEAR(A579)-YEAR(Config!$B$6))*12+MONTH(A579)-MONTH(Config!$B$6)+1)</f>
        <v/>
      </c>
      <c r="I579" s="19">
        <f>IF(AND(A579="",B579="",E579=""),"",IF(A579="","Falta data",IF(B579="","Falta categoria",IF(E579="","Falta valor",IF(C579="Categoria inválida","Categoria inválida",IF(OR(H579&lt;1,H579&gt;12),"Fora dos 12 meses","OK"))))))</f>
        <v/>
      </c>
    </row>
    <row r="580">
      <c r="A580" s="35" t="n"/>
      <c r="B580" s="31" t="n"/>
      <c r="C580" s="19">
        <f>IF(B580="","",IF(COUNTIF(Config!$D$6:$D$15,B580)&gt;0,"Entrada",IF(COUNTIF(Config!$F$6:$F$25,B580)&gt;0,"Saída","Categoria inválida")))</f>
        <v/>
      </c>
      <c r="D580" s="31" t="n"/>
      <c r="E580" s="33" t="n"/>
      <c r="F580" s="36" t="n"/>
      <c r="G580" s="31" t="n"/>
      <c r="H580" s="37">
        <f>IF(A580="","",(YEAR(A580)-YEAR(Config!$B$6))*12+MONTH(A580)-MONTH(Config!$B$6)+1)</f>
        <v/>
      </c>
      <c r="I580" s="19">
        <f>IF(AND(A580="",B580="",E580=""),"",IF(A580="","Falta data",IF(B580="","Falta categoria",IF(E580="","Falta valor",IF(C580="Categoria inválida","Categoria inválida",IF(OR(H580&lt;1,H580&gt;12),"Fora dos 12 meses","OK"))))))</f>
        <v/>
      </c>
    </row>
    <row r="581">
      <c r="A581" s="35" t="n"/>
      <c r="B581" s="31" t="n"/>
      <c r="C581" s="19">
        <f>IF(B581="","",IF(COUNTIF(Config!$D$6:$D$15,B581)&gt;0,"Entrada",IF(COUNTIF(Config!$F$6:$F$25,B581)&gt;0,"Saída","Categoria inválida")))</f>
        <v/>
      </c>
      <c r="D581" s="31" t="n"/>
      <c r="E581" s="33" t="n"/>
      <c r="F581" s="36" t="n"/>
      <c r="G581" s="31" t="n"/>
      <c r="H581" s="37">
        <f>IF(A581="","",(YEAR(A581)-YEAR(Config!$B$6))*12+MONTH(A581)-MONTH(Config!$B$6)+1)</f>
        <v/>
      </c>
      <c r="I581" s="19">
        <f>IF(AND(A581="",B581="",E581=""),"",IF(A581="","Falta data",IF(B581="","Falta categoria",IF(E581="","Falta valor",IF(C581="Categoria inválida","Categoria inválida",IF(OR(H581&lt;1,H581&gt;12),"Fora dos 12 meses","OK"))))))</f>
        <v/>
      </c>
    </row>
    <row r="582">
      <c r="A582" s="35" t="n"/>
      <c r="B582" s="31" t="n"/>
      <c r="C582" s="19">
        <f>IF(B582="","",IF(COUNTIF(Config!$D$6:$D$15,B582)&gt;0,"Entrada",IF(COUNTIF(Config!$F$6:$F$25,B582)&gt;0,"Saída","Categoria inválida")))</f>
        <v/>
      </c>
      <c r="D582" s="31" t="n"/>
      <c r="E582" s="33" t="n"/>
      <c r="F582" s="36" t="n"/>
      <c r="G582" s="31" t="n"/>
      <c r="H582" s="37">
        <f>IF(A582="","",(YEAR(A582)-YEAR(Config!$B$6))*12+MONTH(A582)-MONTH(Config!$B$6)+1)</f>
        <v/>
      </c>
      <c r="I582" s="19">
        <f>IF(AND(A582="",B582="",E582=""),"",IF(A582="","Falta data",IF(B582="","Falta categoria",IF(E582="","Falta valor",IF(C582="Categoria inválida","Categoria inválida",IF(OR(H582&lt;1,H582&gt;12),"Fora dos 12 meses","OK"))))))</f>
        <v/>
      </c>
    </row>
    <row r="583">
      <c r="A583" s="35" t="n"/>
      <c r="B583" s="31" t="n"/>
      <c r="C583" s="19">
        <f>IF(B583="","",IF(COUNTIF(Config!$D$6:$D$15,B583)&gt;0,"Entrada",IF(COUNTIF(Config!$F$6:$F$25,B583)&gt;0,"Saída","Categoria inválida")))</f>
        <v/>
      </c>
      <c r="D583" s="31" t="n"/>
      <c r="E583" s="33" t="n"/>
      <c r="F583" s="36" t="n"/>
      <c r="G583" s="31" t="n"/>
      <c r="H583" s="37">
        <f>IF(A583="","",(YEAR(A583)-YEAR(Config!$B$6))*12+MONTH(A583)-MONTH(Config!$B$6)+1)</f>
        <v/>
      </c>
      <c r="I583" s="19">
        <f>IF(AND(A583="",B583="",E583=""),"",IF(A583="","Falta data",IF(B583="","Falta categoria",IF(E583="","Falta valor",IF(C583="Categoria inválida","Categoria inválida",IF(OR(H583&lt;1,H583&gt;12),"Fora dos 12 meses","OK"))))))</f>
        <v/>
      </c>
    </row>
    <row r="584">
      <c r="A584" s="35" t="n"/>
      <c r="B584" s="31" t="n"/>
      <c r="C584" s="19">
        <f>IF(B584="","",IF(COUNTIF(Config!$D$6:$D$15,B584)&gt;0,"Entrada",IF(COUNTIF(Config!$F$6:$F$25,B584)&gt;0,"Saída","Categoria inválida")))</f>
        <v/>
      </c>
      <c r="D584" s="31" t="n"/>
      <c r="E584" s="33" t="n"/>
      <c r="F584" s="36" t="n"/>
      <c r="G584" s="31" t="n"/>
      <c r="H584" s="37">
        <f>IF(A584="","",(YEAR(A584)-YEAR(Config!$B$6))*12+MONTH(A584)-MONTH(Config!$B$6)+1)</f>
        <v/>
      </c>
      <c r="I584" s="19">
        <f>IF(AND(A584="",B584="",E584=""),"",IF(A584="","Falta data",IF(B584="","Falta categoria",IF(E584="","Falta valor",IF(C584="Categoria inválida","Categoria inválida",IF(OR(H584&lt;1,H584&gt;12),"Fora dos 12 meses","OK"))))))</f>
        <v/>
      </c>
    </row>
    <row r="585">
      <c r="A585" s="35" t="n"/>
      <c r="B585" s="31" t="n"/>
      <c r="C585" s="19">
        <f>IF(B585="","",IF(COUNTIF(Config!$D$6:$D$15,B585)&gt;0,"Entrada",IF(COUNTIF(Config!$F$6:$F$25,B585)&gt;0,"Saída","Categoria inválida")))</f>
        <v/>
      </c>
      <c r="D585" s="31" t="n"/>
      <c r="E585" s="33" t="n"/>
      <c r="F585" s="36" t="n"/>
      <c r="G585" s="31" t="n"/>
      <c r="H585" s="37">
        <f>IF(A585="","",(YEAR(A585)-YEAR(Config!$B$6))*12+MONTH(A585)-MONTH(Config!$B$6)+1)</f>
        <v/>
      </c>
      <c r="I585" s="19">
        <f>IF(AND(A585="",B585="",E585=""),"",IF(A585="","Falta data",IF(B585="","Falta categoria",IF(E585="","Falta valor",IF(C585="Categoria inválida","Categoria inválida",IF(OR(H585&lt;1,H585&gt;12),"Fora dos 12 meses","OK"))))))</f>
        <v/>
      </c>
    </row>
    <row r="586">
      <c r="A586" s="35" t="n"/>
      <c r="B586" s="31" t="n"/>
      <c r="C586" s="19">
        <f>IF(B586="","",IF(COUNTIF(Config!$D$6:$D$15,B586)&gt;0,"Entrada",IF(COUNTIF(Config!$F$6:$F$25,B586)&gt;0,"Saída","Categoria inválida")))</f>
        <v/>
      </c>
      <c r="D586" s="31" t="n"/>
      <c r="E586" s="33" t="n"/>
      <c r="F586" s="36" t="n"/>
      <c r="G586" s="31" t="n"/>
      <c r="H586" s="37">
        <f>IF(A586="","",(YEAR(A586)-YEAR(Config!$B$6))*12+MONTH(A586)-MONTH(Config!$B$6)+1)</f>
        <v/>
      </c>
      <c r="I586" s="19">
        <f>IF(AND(A586="",B586="",E586=""),"",IF(A586="","Falta data",IF(B586="","Falta categoria",IF(E586="","Falta valor",IF(C586="Categoria inválida","Categoria inválida",IF(OR(H586&lt;1,H586&gt;12),"Fora dos 12 meses","OK"))))))</f>
        <v/>
      </c>
    </row>
    <row r="587">
      <c r="A587" s="35" t="n"/>
      <c r="B587" s="31" t="n"/>
      <c r="C587" s="19">
        <f>IF(B587="","",IF(COUNTIF(Config!$D$6:$D$15,B587)&gt;0,"Entrada",IF(COUNTIF(Config!$F$6:$F$25,B587)&gt;0,"Saída","Categoria inválida")))</f>
        <v/>
      </c>
      <c r="D587" s="31" t="n"/>
      <c r="E587" s="33" t="n"/>
      <c r="F587" s="36" t="n"/>
      <c r="G587" s="31" t="n"/>
      <c r="H587" s="37">
        <f>IF(A587="","",(YEAR(A587)-YEAR(Config!$B$6))*12+MONTH(A587)-MONTH(Config!$B$6)+1)</f>
        <v/>
      </c>
      <c r="I587" s="19">
        <f>IF(AND(A587="",B587="",E587=""),"",IF(A587="","Falta data",IF(B587="","Falta categoria",IF(E587="","Falta valor",IF(C587="Categoria inválida","Categoria inválida",IF(OR(H587&lt;1,H587&gt;12),"Fora dos 12 meses","OK"))))))</f>
        <v/>
      </c>
    </row>
    <row r="588">
      <c r="A588" s="35" t="n"/>
      <c r="B588" s="31" t="n"/>
      <c r="C588" s="19">
        <f>IF(B588="","",IF(COUNTIF(Config!$D$6:$D$15,B588)&gt;0,"Entrada",IF(COUNTIF(Config!$F$6:$F$25,B588)&gt;0,"Saída","Categoria inválida")))</f>
        <v/>
      </c>
      <c r="D588" s="31" t="n"/>
      <c r="E588" s="33" t="n"/>
      <c r="F588" s="36" t="n"/>
      <c r="G588" s="31" t="n"/>
      <c r="H588" s="37">
        <f>IF(A588="","",(YEAR(A588)-YEAR(Config!$B$6))*12+MONTH(A588)-MONTH(Config!$B$6)+1)</f>
        <v/>
      </c>
      <c r="I588" s="19">
        <f>IF(AND(A588="",B588="",E588=""),"",IF(A588="","Falta data",IF(B588="","Falta categoria",IF(E588="","Falta valor",IF(C588="Categoria inválida","Categoria inválida",IF(OR(H588&lt;1,H588&gt;12),"Fora dos 12 meses","OK"))))))</f>
        <v/>
      </c>
    </row>
    <row r="589">
      <c r="A589" s="35" t="n"/>
      <c r="B589" s="31" t="n"/>
      <c r="C589" s="19">
        <f>IF(B589="","",IF(COUNTIF(Config!$D$6:$D$15,B589)&gt;0,"Entrada",IF(COUNTIF(Config!$F$6:$F$25,B589)&gt;0,"Saída","Categoria inválida")))</f>
        <v/>
      </c>
      <c r="D589" s="31" t="n"/>
      <c r="E589" s="33" t="n"/>
      <c r="F589" s="36" t="n"/>
      <c r="G589" s="31" t="n"/>
      <c r="H589" s="37">
        <f>IF(A589="","",(YEAR(A589)-YEAR(Config!$B$6))*12+MONTH(A589)-MONTH(Config!$B$6)+1)</f>
        <v/>
      </c>
      <c r="I589" s="19">
        <f>IF(AND(A589="",B589="",E589=""),"",IF(A589="","Falta data",IF(B589="","Falta categoria",IF(E589="","Falta valor",IF(C589="Categoria inválida","Categoria inválida",IF(OR(H589&lt;1,H589&gt;12),"Fora dos 12 meses","OK"))))))</f>
        <v/>
      </c>
    </row>
    <row r="590">
      <c r="A590" s="35" t="n"/>
      <c r="B590" s="31" t="n"/>
      <c r="C590" s="19">
        <f>IF(B590="","",IF(COUNTIF(Config!$D$6:$D$15,B590)&gt;0,"Entrada",IF(COUNTIF(Config!$F$6:$F$25,B590)&gt;0,"Saída","Categoria inválida")))</f>
        <v/>
      </c>
      <c r="D590" s="31" t="n"/>
      <c r="E590" s="33" t="n"/>
      <c r="F590" s="36" t="n"/>
      <c r="G590" s="31" t="n"/>
      <c r="H590" s="37">
        <f>IF(A590="","",(YEAR(A590)-YEAR(Config!$B$6))*12+MONTH(A590)-MONTH(Config!$B$6)+1)</f>
        <v/>
      </c>
      <c r="I590" s="19">
        <f>IF(AND(A590="",B590="",E590=""),"",IF(A590="","Falta data",IF(B590="","Falta categoria",IF(E590="","Falta valor",IF(C590="Categoria inválida","Categoria inválida",IF(OR(H590&lt;1,H590&gt;12),"Fora dos 12 meses","OK"))))))</f>
        <v/>
      </c>
    </row>
    <row r="591">
      <c r="A591" s="35" t="n"/>
      <c r="B591" s="31" t="n"/>
      <c r="C591" s="19">
        <f>IF(B591="","",IF(COUNTIF(Config!$D$6:$D$15,B591)&gt;0,"Entrada",IF(COUNTIF(Config!$F$6:$F$25,B591)&gt;0,"Saída","Categoria inválida")))</f>
        <v/>
      </c>
      <c r="D591" s="31" t="n"/>
      <c r="E591" s="33" t="n"/>
      <c r="F591" s="36" t="n"/>
      <c r="G591" s="31" t="n"/>
      <c r="H591" s="37">
        <f>IF(A591="","",(YEAR(A591)-YEAR(Config!$B$6))*12+MONTH(A591)-MONTH(Config!$B$6)+1)</f>
        <v/>
      </c>
      <c r="I591" s="19">
        <f>IF(AND(A591="",B591="",E591=""),"",IF(A591="","Falta data",IF(B591="","Falta categoria",IF(E591="","Falta valor",IF(C591="Categoria inválida","Categoria inválida",IF(OR(H591&lt;1,H591&gt;12),"Fora dos 12 meses","OK"))))))</f>
        <v/>
      </c>
    </row>
    <row r="592">
      <c r="A592" s="35" t="n"/>
      <c r="B592" s="31" t="n"/>
      <c r="C592" s="19">
        <f>IF(B592="","",IF(COUNTIF(Config!$D$6:$D$15,B592)&gt;0,"Entrada",IF(COUNTIF(Config!$F$6:$F$25,B592)&gt;0,"Saída","Categoria inválida")))</f>
        <v/>
      </c>
      <c r="D592" s="31" t="n"/>
      <c r="E592" s="33" t="n"/>
      <c r="F592" s="36" t="n"/>
      <c r="G592" s="31" t="n"/>
      <c r="H592" s="37">
        <f>IF(A592="","",(YEAR(A592)-YEAR(Config!$B$6))*12+MONTH(A592)-MONTH(Config!$B$6)+1)</f>
        <v/>
      </c>
      <c r="I592" s="19">
        <f>IF(AND(A592="",B592="",E592=""),"",IF(A592="","Falta data",IF(B592="","Falta categoria",IF(E592="","Falta valor",IF(C592="Categoria inválida","Categoria inválida",IF(OR(H592&lt;1,H592&gt;12),"Fora dos 12 meses","OK"))))))</f>
        <v/>
      </c>
    </row>
    <row r="593">
      <c r="A593" s="35" t="n"/>
      <c r="B593" s="31" t="n"/>
      <c r="C593" s="19">
        <f>IF(B593="","",IF(COUNTIF(Config!$D$6:$D$15,B593)&gt;0,"Entrada",IF(COUNTIF(Config!$F$6:$F$25,B593)&gt;0,"Saída","Categoria inválida")))</f>
        <v/>
      </c>
      <c r="D593" s="31" t="n"/>
      <c r="E593" s="33" t="n"/>
      <c r="F593" s="36" t="n"/>
      <c r="G593" s="31" t="n"/>
      <c r="H593" s="37">
        <f>IF(A593="","",(YEAR(A593)-YEAR(Config!$B$6))*12+MONTH(A593)-MONTH(Config!$B$6)+1)</f>
        <v/>
      </c>
      <c r="I593" s="19">
        <f>IF(AND(A593="",B593="",E593=""),"",IF(A593="","Falta data",IF(B593="","Falta categoria",IF(E593="","Falta valor",IF(C593="Categoria inválida","Categoria inválida",IF(OR(H593&lt;1,H593&gt;12),"Fora dos 12 meses","OK"))))))</f>
        <v/>
      </c>
    </row>
    <row r="594">
      <c r="A594" s="35" t="n"/>
      <c r="B594" s="31" t="n"/>
      <c r="C594" s="19">
        <f>IF(B594="","",IF(COUNTIF(Config!$D$6:$D$15,B594)&gt;0,"Entrada",IF(COUNTIF(Config!$F$6:$F$25,B594)&gt;0,"Saída","Categoria inválida")))</f>
        <v/>
      </c>
      <c r="D594" s="31" t="n"/>
      <c r="E594" s="33" t="n"/>
      <c r="F594" s="36" t="n"/>
      <c r="G594" s="31" t="n"/>
      <c r="H594" s="37">
        <f>IF(A594="","",(YEAR(A594)-YEAR(Config!$B$6))*12+MONTH(A594)-MONTH(Config!$B$6)+1)</f>
        <v/>
      </c>
      <c r="I594" s="19">
        <f>IF(AND(A594="",B594="",E594=""),"",IF(A594="","Falta data",IF(B594="","Falta categoria",IF(E594="","Falta valor",IF(C594="Categoria inválida","Categoria inválida",IF(OR(H594&lt;1,H594&gt;12),"Fora dos 12 meses","OK"))))))</f>
        <v/>
      </c>
    </row>
    <row r="595">
      <c r="A595" s="35" t="n"/>
      <c r="B595" s="31" t="n"/>
      <c r="C595" s="19">
        <f>IF(B595="","",IF(COUNTIF(Config!$D$6:$D$15,B595)&gt;0,"Entrada",IF(COUNTIF(Config!$F$6:$F$25,B595)&gt;0,"Saída","Categoria inválida")))</f>
        <v/>
      </c>
      <c r="D595" s="31" t="n"/>
      <c r="E595" s="33" t="n"/>
      <c r="F595" s="36" t="n"/>
      <c r="G595" s="31" t="n"/>
      <c r="H595" s="37">
        <f>IF(A595="","",(YEAR(A595)-YEAR(Config!$B$6))*12+MONTH(A595)-MONTH(Config!$B$6)+1)</f>
        <v/>
      </c>
      <c r="I595" s="19">
        <f>IF(AND(A595="",B595="",E595=""),"",IF(A595="","Falta data",IF(B595="","Falta categoria",IF(E595="","Falta valor",IF(C595="Categoria inválida","Categoria inválida",IF(OR(H595&lt;1,H595&gt;12),"Fora dos 12 meses","OK"))))))</f>
        <v/>
      </c>
    </row>
    <row r="596">
      <c r="A596" s="35" t="n"/>
      <c r="B596" s="31" t="n"/>
      <c r="C596" s="19">
        <f>IF(B596="","",IF(COUNTIF(Config!$D$6:$D$15,B596)&gt;0,"Entrada",IF(COUNTIF(Config!$F$6:$F$25,B596)&gt;0,"Saída","Categoria inválida")))</f>
        <v/>
      </c>
      <c r="D596" s="31" t="n"/>
      <c r="E596" s="33" t="n"/>
      <c r="F596" s="36" t="n"/>
      <c r="G596" s="31" t="n"/>
      <c r="H596" s="37">
        <f>IF(A596="","",(YEAR(A596)-YEAR(Config!$B$6))*12+MONTH(A596)-MONTH(Config!$B$6)+1)</f>
        <v/>
      </c>
      <c r="I596" s="19">
        <f>IF(AND(A596="",B596="",E596=""),"",IF(A596="","Falta data",IF(B596="","Falta categoria",IF(E596="","Falta valor",IF(C596="Categoria inválida","Categoria inválida",IF(OR(H596&lt;1,H596&gt;12),"Fora dos 12 meses","OK"))))))</f>
        <v/>
      </c>
    </row>
    <row r="597">
      <c r="A597" s="35" t="n"/>
      <c r="B597" s="31" t="n"/>
      <c r="C597" s="19">
        <f>IF(B597="","",IF(COUNTIF(Config!$D$6:$D$15,B597)&gt;0,"Entrada",IF(COUNTIF(Config!$F$6:$F$25,B597)&gt;0,"Saída","Categoria inválida")))</f>
        <v/>
      </c>
      <c r="D597" s="31" t="n"/>
      <c r="E597" s="33" t="n"/>
      <c r="F597" s="36" t="n"/>
      <c r="G597" s="31" t="n"/>
      <c r="H597" s="37">
        <f>IF(A597="","",(YEAR(A597)-YEAR(Config!$B$6))*12+MONTH(A597)-MONTH(Config!$B$6)+1)</f>
        <v/>
      </c>
      <c r="I597" s="19">
        <f>IF(AND(A597="",B597="",E597=""),"",IF(A597="","Falta data",IF(B597="","Falta categoria",IF(E597="","Falta valor",IF(C597="Categoria inválida","Categoria inválida",IF(OR(H597&lt;1,H597&gt;12),"Fora dos 12 meses","OK"))))))</f>
        <v/>
      </c>
    </row>
    <row r="598">
      <c r="A598" s="35" t="n"/>
      <c r="B598" s="31" t="n"/>
      <c r="C598" s="19">
        <f>IF(B598="","",IF(COUNTIF(Config!$D$6:$D$15,B598)&gt;0,"Entrada",IF(COUNTIF(Config!$F$6:$F$25,B598)&gt;0,"Saída","Categoria inválida")))</f>
        <v/>
      </c>
      <c r="D598" s="31" t="n"/>
      <c r="E598" s="33" t="n"/>
      <c r="F598" s="36" t="n"/>
      <c r="G598" s="31" t="n"/>
      <c r="H598" s="37">
        <f>IF(A598="","",(YEAR(A598)-YEAR(Config!$B$6))*12+MONTH(A598)-MONTH(Config!$B$6)+1)</f>
        <v/>
      </c>
      <c r="I598" s="19">
        <f>IF(AND(A598="",B598="",E598=""),"",IF(A598="","Falta data",IF(B598="","Falta categoria",IF(E598="","Falta valor",IF(C598="Categoria inválida","Categoria inválida",IF(OR(H598&lt;1,H598&gt;12),"Fora dos 12 meses","OK"))))))</f>
        <v/>
      </c>
    </row>
    <row r="599">
      <c r="A599" s="35" t="n"/>
      <c r="B599" s="31" t="n"/>
      <c r="C599" s="19">
        <f>IF(B599="","",IF(COUNTIF(Config!$D$6:$D$15,B599)&gt;0,"Entrada",IF(COUNTIF(Config!$F$6:$F$25,B599)&gt;0,"Saída","Categoria inválida")))</f>
        <v/>
      </c>
      <c r="D599" s="31" t="n"/>
      <c r="E599" s="33" t="n"/>
      <c r="F599" s="36" t="n"/>
      <c r="G599" s="31" t="n"/>
      <c r="H599" s="37">
        <f>IF(A599="","",(YEAR(A599)-YEAR(Config!$B$6))*12+MONTH(A599)-MONTH(Config!$B$6)+1)</f>
        <v/>
      </c>
      <c r="I599" s="19">
        <f>IF(AND(A599="",B599="",E599=""),"",IF(A599="","Falta data",IF(B599="","Falta categoria",IF(E599="","Falta valor",IF(C599="Categoria inválida","Categoria inválida",IF(OR(H599&lt;1,H599&gt;12),"Fora dos 12 meses","OK"))))))</f>
        <v/>
      </c>
    </row>
    <row r="600">
      <c r="A600" s="35" t="n"/>
      <c r="B600" s="31" t="n"/>
      <c r="C600" s="19">
        <f>IF(B600="","",IF(COUNTIF(Config!$D$6:$D$15,B600)&gt;0,"Entrada",IF(COUNTIF(Config!$F$6:$F$25,B600)&gt;0,"Saída","Categoria inválida")))</f>
        <v/>
      </c>
      <c r="D600" s="31" t="n"/>
      <c r="E600" s="33" t="n"/>
      <c r="F600" s="36" t="n"/>
      <c r="G600" s="31" t="n"/>
      <c r="H600" s="37">
        <f>IF(A600="","",(YEAR(A600)-YEAR(Config!$B$6))*12+MONTH(A600)-MONTH(Config!$B$6)+1)</f>
        <v/>
      </c>
      <c r="I600" s="19">
        <f>IF(AND(A600="",B600="",E600=""),"",IF(A600="","Falta data",IF(B600="","Falta categoria",IF(E600="","Falta valor",IF(C600="Categoria inválida","Categoria inválida",IF(OR(H600&lt;1,H600&gt;12),"Fora dos 12 meses","OK"))))))</f>
        <v/>
      </c>
    </row>
    <row r="601">
      <c r="A601" s="35" t="n"/>
      <c r="B601" s="31" t="n"/>
      <c r="C601" s="19">
        <f>IF(B601="","",IF(COUNTIF(Config!$D$6:$D$15,B601)&gt;0,"Entrada",IF(COUNTIF(Config!$F$6:$F$25,B601)&gt;0,"Saída","Categoria inválida")))</f>
        <v/>
      </c>
      <c r="D601" s="31" t="n"/>
      <c r="E601" s="33" t="n"/>
      <c r="F601" s="36" t="n"/>
      <c r="G601" s="31" t="n"/>
      <c r="H601" s="37">
        <f>IF(A601="","",(YEAR(A601)-YEAR(Config!$B$6))*12+MONTH(A601)-MONTH(Config!$B$6)+1)</f>
        <v/>
      </c>
      <c r="I601" s="19">
        <f>IF(AND(A601="",B601="",E601=""),"",IF(A601="","Falta data",IF(B601="","Falta categoria",IF(E601="","Falta valor",IF(C601="Categoria inválida","Categoria inválida",IF(OR(H601&lt;1,H601&gt;12),"Fora dos 12 meses","OK"))))))</f>
        <v/>
      </c>
    </row>
    <row r="602">
      <c r="A602" s="35" t="n"/>
      <c r="B602" s="31" t="n"/>
      <c r="C602" s="19">
        <f>IF(B602="","",IF(COUNTIF(Config!$D$6:$D$15,B602)&gt;0,"Entrada",IF(COUNTIF(Config!$F$6:$F$25,B602)&gt;0,"Saída","Categoria inválida")))</f>
        <v/>
      </c>
      <c r="D602" s="31" t="n"/>
      <c r="E602" s="33" t="n"/>
      <c r="F602" s="36" t="n"/>
      <c r="G602" s="31" t="n"/>
      <c r="H602" s="37">
        <f>IF(A602="","",(YEAR(A602)-YEAR(Config!$B$6))*12+MONTH(A602)-MONTH(Config!$B$6)+1)</f>
        <v/>
      </c>
      <c r="I602" s="19">
        <f>IF(AND(A602="",B602="",E602=""),"",IF(A602="","Falta data",IF(B602="","Falta categoria",IF(E602="","Falta valor",IF(C602="Categoria inválida","Categoria inválida",IF(OR(H602&lt;1,H602&gt;12),"Fora dos 12 meses","OK"))))))</f>
        <v/>
      </c>
    </row>
    <row r="603">
      <c r="A603" s="35" t="n"/>
      <c r="B603" s="31" t="n"/>
      <c r="C603" s="19">
        <f>IF(B603="","",IF(COUNTIF(Config!$D$6:$D$15,B603)&gt;0,"Entrada",IF(COUNTIF(Config!$F$6:$F$25,B603)&gt;0,"Saída","Categoria inválida")))</f>
        <v/>
      </c>
      <c r="D603" s="31" t="n"/>
      <c r="E603" s="33" t="n"/>
      <c r="F603" s="36" t="n"/>
      <c r="G603" s="31" t="n"/>
      <c r="H603" s="37">
        <f>IF(A603="","",(YEAR(A603)-YEAR(Config!$B$6))*12+MONTH(A603)-MONTH(Config!$B$6)+1)</f>
        <v/>
      </c>
      <c r="I603" s="19">
        <f>IF(AND(A603="",B603="",E603=""),"",IF(A603="","Falta data",IF(B603="","Falta categoria",IF(E603="","Falta valor",IF(C603="Categoria inválida","Categoria inválida",IF(OR(H603&lt;1,H603&gt;12),"Fora dos 12 meses","OK"))))))</f>
        <v/>
      </c>
    </row>
    <row r="604">
      <c r="A604" s="35" t="n"/>
      <c r="B604" s="31" t="n"/>
      <c r="C604" s="19">
        <f>IF(B604="","",IF(COUNTIF(Config!$D$6:$D$15,B604)&gt;0,"Entrada",IF(COUNTIF(Config!$F$6:$F$25,B604)&gt;0,"Saída","Categoria inválida")))</f>
        <v/>
      </c>
      <c r="D604" s="31" t="n"/>
      <c r="E604" s="33" t="n"/>
      <c r="F604" s="36" t="n"/>
      <c r="G604" s="31" t="n"/>
      <c r="H604" s="37">
        <f>IF(A604="","",(YEAR(A604)-YEAR(Config!$B$6))*12+MONTH(A604)-MONTH(Config!$B$6)+1)</f>
        <v/>
      </c>
      <c r="I604" s="19">
        <f>IF(AND(A604="",B604="",E604=""),"",IF(A604="","Falta data",IF(B604="","Falta categoria",IF(E604="","Falta valor",IF(C604="Categoria inválida","Categoria inválida",IF(OR(H604&lt;1,H604&gt;12),"Fora dos 12 meses","OK"))))))</f>
        <v/>
      </c>
    </row>
    <row r="605">
      <c r="A605" s="35" t="n"/>
      <c r="B605" s="31" t="n"/>
      <c r="C605" s="19">
        <f>IF(B605="","",IF(COUNTIF(Config!$D$6:$D$15,B605)&gt;0,"Entrada",IF(COUNTIF(Config!$F$6:$F$25,B605)&gt;0,"Saída","Categoria inválida")))</f>
        <v/>
      </c>
      <c r="D605" s="31" t="n"/>
      <c r="E605" s="33" t="n"/>
      <c r="F605" s="36" t="n"/>
      <c r="G605" s="31" t="n"/>
      <c r="H605" s="37">
        <f>IF(A605="","",(YEAR(A605)-YEAR(Config!$B$6))*12+MONTH(A605)-MONTH(Config!$B$6)+1)</f>
        <v/>
      </c>
      <c r="I605" s="19">
        <f>IF(AND(A605="",B605="",E605=""),"",IF(A605="","Falta data",IF(B605="","Falta categoria",IF(E605="","Falta valor",IF(C605="Categoria inválida","Categoria inválida",IF(OR(H605&lt;1,H605&gt;12),"Fora dos 12 meses","OK"))))))</f>
        <v/>
      </c>
    </row>
    <row r="606">
      <c r="A606" s="35" t="n"/>
      <c r="B606" s="31" t="n"/>
      <c r="C606" s="19">
        <f>IF(B606="","",IF(COUNTIF(Config!$D$6:$D$15,B606)&gt;0,"Entrada",IF(COUNTIF(Config!$F$6:$F$25,B606)&gt;0,"Saída","Categoria inválida")))</f>
        <v/>
      </c>
      <c r="D606" s="31" t="n"/>
      <c r="E606" s="33" t="n"/>
      <c r="F606" s="36" t="n"/>
      <c r="G606" s="31" t="n"/>
      <c r="H606" s="37">
        <f>IF(A606="","",(YEAR(A606)-YEAR(Config!$B$6))*12+MONTH(A606)-MONTH(Config!$B$6)+1)</f>
        <v/>
      </c>
      <c r="I606" s="19">
        <f>IF(AND(A606="",B606="",E606=""),"",IF(A606="","Falta data",IF(B606="","Falta categoria",IF(E606="","Falta valor",IF(C606="Categoria inválida","Categoria inválida",IF(OR(H606&lt;1,H606&gt;12),"Fora dos 12 meses","OK"))))))</f>
        <v/>
      </c>
    </row>
    <row r="607">
      <c r="A607" s="35" t="n"/>
      <c r="B607" s="31" t="n"/>
      <c r="C607" s="19">
        <f>IF(B607="","",IF(COUNTIF(Config!$D$6:$D$15,B607)&gt;0,"Entrada",IF(COUNTIF(Config!$F$6:$F$25,B607)&gt;0,"Saída","Categoria inválida")))</f>
        <v/>
      </c>
      <c r="D607" s="31" t="n"/>
      <c r="E607" s="33" t="n"/>
      <c r="F607" s="36" t="n"/>
      <c r="G607" s="31" t="n"/>
      <c r="H607" s="37">
        <f>IF(A607="","",(YEAR(A607)-YEAR(Config!$B$6))*12+MONTH(A607)-MONTH(Config!$B$6)+1)</f>
        <v/>
      </c>
      <c r="I607" s="19">
        <f>IF(AND(A607="",B607="",E607=""),"",IF(A607="","Falta data",IF(B607="","Falta categoria",IF(E607="","Falta valor",IF(C607="Categoria inválida","Categoria inválida",IF(OR(H607&lt;1,H607&gt;12),"Fora dos 12 meses","OK"))))))</f>
        <v/>
      </c>
    </row>
    <row r="608">
      <c r="A608" s="35" t="n"/>
      <c r="B608" s="31" t="n"/>
      <c r="C608" s="19">
        <f>IF(B608="","",IF(COUNTIF(Config!$D$6:$D$15,B608)&gt;0,"Entrada",IF(COUNTIF(Config!$F$6:$F$25,B608)&gt;0,"Saída","Categoria inválida")))</f>
        <v/>
      </c>
      <c r="D608" s="31" t="n"/>
      <c r="E608" s="33" t="n"/>
      <c r="F608" s="36" t="n"/>
      <c r="G608" s="31" t="n"/>
      <c r="H608" s="37">
        <f>IF(A608="","",(YEAR(A608)-YEAR(Config!$B$6))*12+MONTH(A608)-MONTH(Config!$B$6)+1)</f>
        <v/>
      </c>
      <c r="I608" s="19">
        <f>IF(AND(A608="",B608="",E608=""),"",IF(A608="","Falta data",IF(B608="","Falta categoria",IF(E608="","Falta valor",IF(C608="Categoria inválida","Categoria inválida",IF(OR(H608&lt;1,H608&gt;12),"Fora dos 12 meses","OK"))))))</f>
        <v/>
      </c>
    </row>
    <row r="609">
      <c r="A609" s="35" t="n"/>
      <c r="B609" s="31" t="n"/>
      <c r="C609" s="19">
        <f>IF(B609="","",IF(COUNTIF(Config!$D$6:$D$15,B609)&gt;0,"Entrada",IF(COUNTIF(Config!$F$6:$F$25,B609)&gt;0,"Saída","Categoria inválida")))</f>
        <v/>
      </c>
      <c r="D609" s="31" t="n"/>
      <c r="E609" s="33" t="n"/>
      <c r="F609" s="36" t="n"/>
      <c r="G609" s="31" t="n"/>
      <c r="H609" s="37">
        <f>IF(A609="","",(YEAR(A609)-YEAR(Config!$B$6))*12+MONTH(A609)-MONTH(Config!$B$6)+1)</f>
        <v/>
      </c>
      <c r="I609" s="19">
        <f>IF(AND(A609="",B609="",E609=""),"",IF(A609="","Falta data",IF(B609="","Falta categoria",IF(E609="","Falta valor",IF(C609="Categoria inválida","Categoria inválida",IF(OR(H609&lt;1,H609&gt;12),"Fora dos 12 meses","OK"))))))</f>
        <v/>
      </c>
    </row>
    <row r="610">
      <c r="A610" s="35" t="n"/>
      <c r="B610" s="31" t="n"/>
      <c r="C610" s="19">
        <f>IF(B610="","",IF(COUNTIF(Config!$D$6:$D$15,B610)&gt;0,"Entrada",IF(COUNTIF(Config!$F$6:$F$25,B610)&gt;0,"Saída","Categoria inválida")))</f>
        <v/>
      </c>
      <c r="D610" s="31" t="n"/>
      <c r="E610" s="33" t="n"/>
      <c r="F610" s="36" t="n"/>
      <c r="G610" s="31" t="n"/>
      <c r="H610" s="37">
        <f>IF(A610="","",(YEAR(A610)-YEAR(Config!$B$6))*12+MONTH(A610)-MONTH(Config!$B$6)+1)</f>
        <v/>
      </c>
      <c r="I610" s="19">
        <f>IF(AND(A610="",B610="",E610=""),"",IF(A610="","Falta data",IF(B610="","Falta categoria",IF(E610="","Falta valor",IF(C610="Categoria inválida","Categoria inválida",IF(OR(H610&lt;1,H610&gt;12),"Fora dos 12 meses","OK"))))))</f>
        <v/>
      </c>
    </row>
    <row r="611">
      <c r="A611" s="35" t="n"/>
      <c r="B611" s="31" t="n"/>
      <c r="C611" s="19">
        <f>IF(B611="","",IF(COUNTIF(Config!$D$6:$D$15,B611)&gt;0,"Entrada",IF(COUNTIF(Config!$F$6:$F$25,B611)&gt;0,"Saída","Categoria inválida")))</f>
        <v/>
      </c>
      <c r="D611" s="31" t="n"/>
      <c r="E611" s="33" t="n"/>
      <c r="F611" s="36" t="n"/>
      <c r="G611" s="31" t="n"/>
      <c r="H611" s="37">
        <f>IF(A611="","",(YEAR(A611)-YEAR(Config!$B$6))*12+MONTH(A611)-MONTH(Config!$B$6)+1)</f>
        <v/>
      </c>
      <c r="I611" s="19">
        <f>IF(AND(A611="",B611="",E611=""),"",IF(A611="","Falta data",IF(B611="","Falta categoria",IF(E611="","Falta valor",IF(C611="Categoria inválida","Categoria inválida",IF(OR(H611&lt;1,H611&gt;12),"Fora dos 12 meses","OK"))))))</f>
        <v/>
      </c>
    </row>
    <row r="612">
      <c r="A612" s="35" t="n"/>
      <c r="B612" s="31" t="n"/>
      <c r="C612" s="19">
        <f>IF(B612="","",IF(COUNTIF(Config!$D$6:$D$15,B612)&gt;0,"Entrada",IF(COUNTIF(Config!$F$6:$F$25,B612)&gt;0,"Saída","Categoria inválida")))</f>
        <v/>
      </c>
      <c r="D612" s="31" t="n"/>
      <c r="E612" s="33" t="n"/>
      <c r="F612" s="36" t="n"/>
      <c r="G612" s="31" t="n"/>
      <c r="H612" s="37">
        <f>IF(A612="","",(YEAR(A612)-YEAR(Config!$B$6))*12+MONTH(A612)-MONTH(Config!$B$6)+1)</f>
        <v/>
      </c>
      <c r="I612" s="19">
        <f>IF(AND(A612="",B612="",E612=""),"",IF(A612="","Falta data",IF(B612="","Falta categoria",IF(E612="","Falta valor",IF(C612="Categoria inválida","Categoria inválida",IF(OR(H612&lt;1,H612&gt;12),"Fora dos 12 meses","OK"))))))</f>
        <v/>
      </c>
    </row>
    <row r="613">
      <c r="A613" s="35" t="n"/>
      <c r="B613" s="31" t="n"/>
      <c r="C613" s="19">
        <f>IF(B613="","",IF(COUNTIF(Config!$D$6:$D$15,B613)&gt;0,"Entrada",IF(COUNTIF(Config!$F$6:$F$25,B613)&gt;0,"Saída","Categoria inválida")))</f>
        <v/>
      </c>
      <c r="D613" s="31" t="n"/>
      <c r="E613" s="33" t="n"/>
      <c r="F613" s="36" t="n"/>
      <c r="G613" s="31" t="n"/>
      <c r="H613" s="37">
        <f>IF(A613="","",(YEAR(A613)-YEAR(Config!$B$6))*12+MONTH(A613)-MONTH(Config!$B$6)+1)</f>
        <v/>
      </c>
      <c r="I613" s="19">
        <f>IF(AND(A613="",B613="",E613=""),"",IF(A613="","Falta data",IF(B613="","Falta categoria",IF(E613="","Falta valor",IF(C613="Categoria inválida","Categoria inválida",IF(OR(H613&lt;1,H613&gt;12),"Fora dos 12 meses","OK"))))))</f>
        <v/>
      </c>
    </row>
    <row r="614">
      <c r="A614" s="35" t="n"/>
      <c r="B614" s="31" t="n"/>
      <c r="C614" s="19">
        <f>IF(B614="","",IF(COUNTIF(Config!$D$6:$D$15,B614)&gt;0,"Entrada",IF(COUNTIF(Config!$F$6:$F$25,B614)&gt;0,"Saída","Categoria inválida")))</f>
        <v/>
      </c>
      <c r="D614" s="31" t="n"/>
      <c r="E614" s="33" t="n"/>
      <c r="F614" s="36" t="n"/>
      <c r="G614" s="31" t="n"/>
      <c r="H614" s="37">
        <f>IF(A614="","",(YEAR(A614)-YEAR(Config!$B$6))*12+MONTH(A614)-MONTH(Config!$B$6)+1)</f>
        <v/>
      </c>
      <c r="I614" s="19">
        <f>IF(AND(A614="",B614="",E614=""),"",IF(A614="","Falta data",IF(B614="","Falta categoria",IF(E614="","Falta valor",IF(C614="Categoria inválida","Categoria inválida",IF(OR(H614&lt;1,H614&gt;12),"Fora dos 12 meses","OK"))))))</f>
        <v/>
      </c>
    </row>
    <row r="615">
      <c r="A615" s="35" t="n"/>
      <c r="B615" s="31" t="n"/>
      <c r="C615" s="19">
        <f>IF(B615="","",IF(COUNTIF(Config!$D$6:$D$15,B615)&gt;0,"Entrada",IF(COUNTIF(Config!$F$6:$F$25,B615)&gt;0,"Saída","Categoria inválida")))</f>
        <v/>
      </c>
      <c r="D615" s="31" t="n"/>
      <c r="E615" s="33" t="n"/>
      <c r="F615" s="36" t="n"/>
      <c r="G615" s="31" t="n"/>
      <c r="H615" s="37">
        <f>IF(A615="","",(YEAR(A615)-YEAR(Config!$B$6))*12+MONTH(A615)-MONTH(Config!$B$6)+1)</f>
        <v/>
      </c>
      <c r="I615" s="19">
        <f>IF(AND(A615="",B615="",E615=""),"",IF(A615="","Falta data",IF(B615="","Falta categoria",IF(E615="","Falta valor",IF(C615="Categoria inválida","Categoria inválida",IF(OR(H615&lt;1,H615&gt;12),"Fora dos 12 meses","OK"))))))</f>
        <v/>
      </c>
    </row>
    <row r="616">
      <c r="A616" s="35" t="n"/>
      <c r="B616" s="31" t="n"/>
      <c r="C616" s="19">
        <f>IF(B616="","",IF(COUNTIF(Config!$D$6:$D$15,B616)&gt;0,"Entrada",IF(COUNTIF(Config!$F$6:$F$25,B616)&gt;0,"Saída","Categoria inválida")))</f>
        <v/>
      </c>
      <c r="D616" s="31" t="n"/>
      <c r="E616" s="33" t="n"/>
      <c r="F616" s="36" t="n"/>
      <c r="G616" s="31" t="n"/>
      <c r="H616" s="37">
        <f>IF(A616="","",(YEAR(A616)-YEAR(Config!$B$6))*12+MONTH(A616)-MONTH(Config!$B$6)+1)</f>
        <v/>
      </c>
      <c r="I616" s="19">
        <f>IF(AND(A616="",B616="",E616=""),"",IF(A616="","Falta data",IF(B616="","Falta categoria",IF(E616="","Falta valor",IF(C616="Categoria inválida","Categoria inválida",IF(OR(H616&lt;1,H616&gt;12),"Fora dos 12 meses","OK"))))))</f>
        <v/>
      </c>
    </row>
    <row r="617">
      <c r="A617" s="35" t="n"/>
      <c r="B617" s="31" t="n"/>
      <c r="C617" s="19">
        <f>IF(B617="","",IF(COUNTIF(Config!$D$6:$D$15,B617)&gt;0,"Entrada",IF(COUNTIF(Config!$F$6:$F$25,B617)&gt;0,"Saída","Categoria inválida")))</f>
        <v/>
      </c>
      <c r="D617" s="31" t="n"/>
      <c r="E617" s="33" t="n"/>
      <c r="F617" s="36" t="n"/>
      <c r="G617" s="31" t="n"/>
      <c r="H617" s="37">
        <f>IF(A617="","",(YEAR(A617)-YEAR(Config!$B$6))*12+MONTH(A617)-MONTH(Config!$B$6)+1)</f>
        <v/>
      </c>
      <c r="I617" s="19">
        <f>IF(AND(A617="",B617="",E617=""),"",IF(A617="","Falta data",IF(B617="","Falta categoria",IF(E617="","Falta valor",IF(C617="Categoria inválida","Categoria inválida",IF(OR(H617&lt;1,H617&gt;12),"Fora dos 12 meses","OK"))))))</f>
        <v/>
      </c>
    </row>
    <row r="618">
      <c r="A618" s="35" t="n"/>
      <c r="B618" s="31" t="n"/>
      <c r="C618" s="19">
        <f>IF(B618="","",IF(COUNTIF(Config!$D$6:$D$15,B618)&gt;0,"Entrada",IF(COUNTIF(Config!$F$6:$F$25,B618)&gt;0,"Saída","Categoria inválida")))</f>
        <v/>
      </c>
      <c r="D618" s="31" t="n"/>
      <c r="E618" s="33" t="n"/>
      <c r="F618" s="36" t="n"/>
      <c r="G618" s="31" t="n"/>
      <c r="H618" s="37">
        <f>IF(A618="","",(YEAR(A618)-YEAR(Config!$B$6))*12+MONTH(A618)-MONTH(Config!$B$6)+1)</f>
        <v/>
      </c>
      <c r="I618" s="19">
        <f>IF(AND(A618="",B618="",E618=""),"",IF(A618="","Falta data",IF(B618="","Falta categoria",IF(E618="","Falta valor",IF(C618="Categoria inválida","Categoria inválida",IF(OR(H618&lt;1,H618&gt;12),"Fora dos 12 meses","OK"))))))</f>
        <v/>
      </c>
    </row>
    <row r="619">
      <c r="A619" s="35" t="n"/>
      <c r="B619" s="31" t="n"/>
      <c r="C619" s="19">
        <f>IF(B619="","",IF(COUNTIF(Config!$D$6:$D$15,B619)&gt;0,"Entrada",IF(COUNTIF(Config!$F$6:$F$25,B619)&gt;0,"Saída","Categoria inválida")))</f>
        <v/>
      </c>
      <c r="D619" s="31" t="n"/>
      <c r="E619" s="33" t="n"/>
      <c r="F619" s="36" t="n"/>
      <c r="G619" s="31" t="n"/>
      <c r="H619" s="37">
        <f>IF(A619="","",(YEAR(A619)-YEAR(Config!$B$6))*12+MONTH(A619)-MONTH(Config!$B$6)+1)</f>
        <v/>
      </c>
      <c r="I619" s="19">
        <f>IF(AND(A619="",B619="",E619=""),"",IF(A619="","Falta data",IF(B619="","Falta categoria",IF(E619="","Falta valor",IF(C619="Categoria inválida","Categoria inválida",IF(OR(H619&lt;1,H619&gt;12),"Fora dos 12 meses","OK"))))))</f>
        <v/>
      </c>
    </row>
    <row r="620">
      <c r="A620" s="35" t="n"/>
      <c r="B620" s="31" t="n"/>
      <c r="C620" s="19">
        <f>IF(B620="","",IF(COUNTIF(Config!$D$6:$D$15,B620)&gt;0,"Entrada",IF(COUNTIF(Config!$F$6:$F$25,B620)&gt;0,"Saída","Categoria inválida")))</f>
        <v/>
      </c>
      <c r="D620" s="31" t="n"/>
      <c r="E620" s="33" t="n"/>
      <c r="F620" s="36" t="n"/>
      <c r="G620" s="31" t="n"/>
      <c r="H620" s="37">
        <f>IF(A620="","",(YEAR(A620)-YEAR(Config!$B$6))*12+MONTH(A620)-MONTH(Config!$B$6)+1)</f>
        <v/>
      </c>
      <c r="I620" s="19">
        <f>IF(AND(A620="",B620="",E620=""),"",IF(A620="","Falta data",IF(B620="","Falta categoria",IF(E620="","Falta valor",IF(C620="Categoria inválida","Categoria inválida",IF(OR(H620&lt;1,H620&gt;12),"Fora dos 12 meses","OK"))))))</f>
        <v/>
      </c>
    </row>
    <row r="621">
      <c r="A621" s="35" t="n"/>
      <c r="B621" s="31" t="n"/>
      <c r="C621" s="19">
        <f>IF(B621="","",IF(COUNTIF(Config!$D$6:$D$15,B621)&gt;0,"Entrada",IF(COUNTIF(Config!$F$6:$F$25,B621)&gt;0,"Saída","Categoria inválida")))</f>
        <v/>
      </c>
      <c r="D621" s="31" t="n"/>
      <c r="E621" s="33" t="n"/>
      <c r="F621" s="36" t="n"/>
      <c r="G621" s="31" t="n"/>
      <c r="H621" s="37">
        <f>IF(A621="","",(YEAR(A621)-YEAR(Config!$B$6))*12+MONTH(A621)-MONTH(Config!$B$6)+1)</f>
        <v/>
      </c>
      <c r="I621" s="19">
        <f>IF(AND(A621="",B621="",E621=""),"",IF(A621="","Falta data",IF(B621="","Falta categoria",IF(E621="","Falta valor",IF(C621="Categoria inválida","Categoria inválida",IF(OR(H621&lt;1,H621&gt;12),"Fora dos 12 meses","OK"))))))</f>
        <v/>
      </c>
    </row>
    <row r="622">
      <c r="A622" s="35" t="n"/>
      <c r="B622" s="31" t="n"/>
      <c r="C622" s="19">
        <f>IF(B622="","",IF(COUNTIF(Config!$D$6:$D$15,B622)&gt;0,"Entrada",IF(COUNTIF(Config!$F$6:$F$25,B622)&gt;0,"Saída","Categoria inválida")))</f>
        <v/>
      </c>
      <c r="D622" s="31" t="n"/>
      <c r="E622" s="33" t="n"/>
      <c r="F622" s="36" t="n"/>
      <c r="G622" s="31" t="n"/>
      <c r="H622" s="37">
        <f>IF(A622="","",(YEAR(A622)-YEAR(Config!$B$6))*12+MONTH(A622)-MONTH(Config!$B$6)+1)</f>
        <v/>
      </c>
      <c r="I622" s="19">
        <f>IF(AND(A622="",B622="",E622=""),"",IF(A622="","Falta data",IF(B622="","Falta categoria",IF(E622="","Falta valor",IF(C622="Categoria inválida","Categoria inválida",IF(OR(H622&lt;1,H622&gt;12),"Fora dos 12 meses","OK"))))))</f>
        <v/>
      </c>
    </row>
    <row r="623">
      <c r="A623" s="35" t="n"/>
      <c r="B623" s="31" t="n"/>
      <c r="C623" s="19">
        <f>IF(B623="","",IF(COUNTIF(Config!$D$6:$D$15,B623)&gt;0,"Entrada",IF(COUNTIF(Config!$F$6:$F$25,B623)&gt;0,"Saída","Categoria inválida")))</f>
        <v/>
      </c>
      <c r="D623" s="31" t="n"/>
      <c r="E623" s="33" t="n"/>
      <c r="F623" s="36" t="n"/>
      <c r="G623" s="31" t="n"/>
      <c r="H623" s="37">
        <f>IF(A623="","",(YEAR(A623)-YEAR(Config!$B$6))*12+MONTH(A623)-MONTH(Config!$B$6)+1)</f>
        <v/>
      </c>
      <c r="I623" s="19">
        <f>IF(AND(A623="",B623="",E623=""),"",IF(A623="","Falta data",IF(B623="","Falta categoria",IF(E623="","Falta valor",IF(C623="Categoria inválida","Categoria inválida",IF(OR(H623&lt;1,H623&gt;12),"Fora dos 12 meses","OK"))))))</f>
        <v/>
      </c>
    </row>
    <row r="624">
      <c r="A624" s="35" t="n"/>
      <c r="B624" s="31" t="n"/>
      <c r="C624" s="19">
        <f>IF(B624="","",IF(COUNTIF(Config!$D$6:$D$15,B624)&gt;0,"Entrada",IF(COUNTIF(Config!$F$6:$F$25,B624)&gt;0,"Saída","Categoria inválida")))</f>
        <v/>
      </c>
      <c r="D624" s="31" t="n"/>
      <c r="E624" s="33" t="n"/>
      <c r="F624" s="36" t="n"/>
      <c r="G624" s="31" t="n"/>
      <c r="H624" s="37">
        <f>IF(A624="","",(YEAR(A624)-YEAR(Config!$B$6))*12+MONTH(A624)-MONTH(Config!$B$6)+1)</f>
        <v/>
      </c>
      <c r="I624" s="19">
        <f>IF(AND(A624="",B624="",E624=""),"",IF(A624="","Falta data",IF(B624="","Falta categoria",IF(E624="","Falta valor",IF(C624="Categoria inválida","Categoria inválida",IF(OR(H624&lt;1,H624&gt;12),"Fora dos 12 meses","OK"))))))</f>
        <v/>
      </c>
    </row>
    <row r="625">
      <c r="A625" s="35" t="n"/>
      <c r="B625" s="31" t="n"/>
      <c r="C625" s="19">
        <f>IF(B625="","",IF(COUNTIF(Config!$D$6:$D$15,B625)&gt;0,"Entrada",IF(COUNTIF(Config!$F$6:$F$25,B625)&gt;0,"Saída","Categoria inválida")))</f>
        <v/>
      </c>
      <c r="D625" s="31" t="n"/>
      <c r="E625" s="33" t="n"/>
      <c r="F625" s="36" t="n"/>
      <c r="G625" s="31" t="n"/>
      <c r="H625" s="37">
        <f>IF(A625="","",(YEAR(A625)-YEAR(Config!$B$6))*12+MONTH(A625)-MONTH(Config!$B$6)+1)</f>
        <v/>
      </c>
      <c r="I625" s="19">
        <f>IF(AND(A625="",B625="",E625=""),"",IF(A625="","Falta data",IF(B625="","Falta categoria",IF(E625="","Falta valor",IF(C625="Categoria inválida","Categoria inválida",IF(OR(H625&lt;1,H625&gt;12),"Fora dos 12 meses","OK"))))))</f>
        <v/>
      </c>
    </row>
    <row r="626">
      <c r="A626" s="35" t="n"/>
      <c r="B626" s="31" t="n"/>
      <c r="C626" s="19">
        <f>IF(B626="","",IF(COUNTIF(Config!$D$6:$D$15,B626)&gt;0,"Entrada",IF(COUNTIF(Config!$F$6:$F$25,B626)&gt;0,"Saída","Categoria inválida")))</f>
        <v/>
      </c>
      <c r="D626" s="31" t="n"/>
      <c r="E626" s="33" t="n"/>
      <c r="F626" s="36" t="n"/>
      <c r="G626" s="31" t="n"/>
      <c r="H626" s="37">
        <f>IF(A626="","",(YEAR(A626)-YEAR(Config!$B$6))*12+MONTH(A626)-MONTH(Config!$B$6)+1)</f>
        <v/>
      </c>
      <c r="I626" s="19">
        <f>IF(AND(A626="",B626="",E626=""),"",IF(A626="","Falta data",IF(B626="","Falta categoria",IF(E626="","Falta valor",IF(C626="Categoria inválida","Categoria inválida",IF(OR(H626&lt;1,H626&gt;12),"Fora dos 12 meses","OK"))))))</f>
        <v/>
      </c>
    </row>
    <row r="627">
      <c r="A627" s="35" t="n"/>
      <c r="B627" s="31" t="n"/>
      <c r="C627" s="19">
        <f>IF(B627="","",IF(COUNTIF(Config!$D$6:$D$15,B627)&gt;0,"Entrada",IF(COUNTIF(Config!$F$6:$F$25,B627)&gt;0,"Saída","Categoria inválida")))</f>
        <v/>
      </c>
      <c r="D627" s="31" t="n"/>
      <c r="E627" s="33" t="n"/>
      <c r="F627" s="36" t="n"/>
      <c r="G627" s="31" t="n"/>
      <c r="H627" s="37">
        <f>IF(A627="","",(YEAR(A627)-YEAR(Config!$B$6))*12+MONTH(A627)-MONTH(Config!$B$6)+1)</f>
        <v/>
      </c>
      <c r="I627" s="19">
        <f>IF(AND(A627="",B627="",E627=""),"",IF(A627="","Falta data",IF(B627="","Falta categoria",IF(E627="","Falta valor",IF(C627="Categoria inválida","Categoria inválida",IF(OR(H627&lt;1,H627&gt;12),"Fora dos 12 meses","OK"))))))</f>
        <v/>
      </c>
    </row>
    <row r="628">
      <c r="A628" s="35" t="n"/>
      <c r="B628" s="31" t="n"/>
      <c r="C628" s="19">
        <f>IF(B628="","",IF(COUNTIF(Config!$D$6:$D$15,B628)&gt;0,"Entrada",IF(COUNTIF(Config!$F$6:$F$25,B628)&gt;0,"Saída","Categoria inválida")))</f>
        <v/>
      </c>
      <c r="D628" s="31" t="n"/>
      <c r="E628" s="33" t="n"/>
      <c r="F628" s="36" t="n"/>
      <c r="G628" s="31" t="n"/>
      <c r="H628" s="37">
        <f>IF(A628="","",(YEAR(A628)-YEAR(Config!$B$6))*12+MONTH(A628)-MONTH(Config!$B$6)+1)</f>
        <v/>
      </c>
      <c r="I628" s="19">
        <f>IF(AND(A628="",B628="",E628=""),"",IF(A628="","Falta data",IF(B628="","Falta categoria",IF(E628="","Falta valor",IF(C628="Categoria inválida","Categoria inválida",IF(OR(H628&lt;1,H628&gt;12),"Fora dos 12 meses","OK"))))))</f>
        <v/>
      </c>
    </row>
    <row r="629">
      <c r="A629" s="35" t="n"/>
      <c r="B629" s="31" t="n"/>
      <c r="C629" s="19">
        <f>IF(B629="","",IF(COUNTIF(Config!$D$6:$D$15,B629)&gt;0,"Entrada",IF(COUNTIF(Config!$F$6:$F$25,B629)&gt;0,"Saída","Categoria inválida")))</f>
        <v/>
      </c>
      <c r="D629" s="31" t="n"/>
      <c r="E629" s="33" t="n"/>
      <c r="F629" s="36" t="n"/>
      <c r="G629" s="31" t="n"/>
      <c r="H629" s="37">
        <f>IF(A629="","",(YEAR(A629)-YEAR(Config!$B$6))*12+MONTH(A629)-MONTH(Config!$B$6)+1)</f>
        <v/>
      </c>
      <c r="I629" s="19">
        <f>IF(AND(A629="",B629="",E629=""),"",IF(A629="","Falta data",IF(B629="","Falta categoria",IF(E629="","Falta valor",IF(C629="Categoria inválida","Categoria inválida",IF(OR(H629&lt;1,H629&gt;12),"Fora dos 12 meses","OK"))))))</f>
        <v/>
      </c>
    </row>
    <row r="630">
      <c r="A630" s="35" t="n"/>
      <c r="B630" s="31" t="n"/>
      <c r="C630" s="19">
        <f>IF(B630="","",IF(COUNTIF(Config!$D$6:$D$15,B630)&gt;0,"Entrada",IF(COUNTIF(Config!$F$6:$F$25,B630)&gt;0,"Saída","Categoria inválida")))</f>
        <v/>
      </c>
      <c r="D630" s="31" t="n"/>
      <c r="E630" s="33" t="n"/>
      <c r="F630" s="36" t="n"/>
      <c r="G630" s="31" t="n"/>
      <c r="H630" s="37">
        <f>IF(A630="","",(YEAR(A630)-YEAR(Config!$B$6))*12+MONTH(A630)-MONTH(Config!$B$6)+1)</f>
        <v/>
      </c>
      <c r="I630" s="19">
        <f>IF(AND(A630="",B630="",E630=""),"",IF(A630="","Falta data",IF(B630="","Falta categoria",IF(E630="","Falta valor",IF(C630="Categoria inválida","Categoria inválida",IF(OR(H630&lt;1,H630&gt;12),"Fora dos 12 meses","OK"))))))</f>
        <v/>
      </c>
    </row>
    <row r="631">
      <c r="A631" s="35" t="n"/>
      <c r="B631" s="31" t="n"/>
      <c r="C631" s="19">
        <f>IF(B631="","",IF(COUNTIF(Config!$D$6:$D$15,B631)&gt;0,"Entrada",IF(COUNTIF(Config!$F$6:$F$25,B631)&gt;0,"Saída","Categoria inválida")))</f>
        <v/>
      </c>
      <c r="D631" s="31" t="n"/>
      <c r="E631" s="33" t="n"/>
      <c r="F631" s="36" t="n"/>
      <c r="G631" s="31" t="n"/>
      <c r="H631" s="37">
        <f>IF(A631="","",(YEAR(A631)-YEAR(Config!$B$6))*12+MONTH(A631)-MONTH(Config!$B$6)+1)</f>
        <v/>
      </c>
      <c r="I631" s="19">
        <f>IF(AND(A631="",B631="",E631=""),"",IF(A631="","Falta data",IF(B631="","Falta categoria",IF(E631="","Falta valor",IF(C631="Categoria inválida","Categoria inválida",IF(OR(H631&lt;1,H631&gt;12),"Fora dos 12 meses","OK"))))))</f>
        <v/>
      </c>
    </row>
    <row r="632">
      <c r="A632" s="35" t="n"/>
      <c r="B632" s="31" t="n"/>
      <c r="C632" s="19">
        <f>IF(B632="","",IF(COUNTIF(Config!$D$6:$D$15,B632)&gt;0,"Entrada",IF(COUNTIF(Config!$F$6:$F$25,B632)&gt;0,"Saída","Categoria inválida")))</f>
        <v/>
      </c>
      <c r="D632" s="31" t="n"/>
      <c r="E632" s="33" t="n"/>
      <c r="F632" s="36" t="n"/>
      <c r="G632" s="31" t="n"/>
      <c r="H632" s="37">
        <f>IF(A632="","",(YEAR(A632)-YEAR(Config!$B$6))*12+MONTH(A632)-MONTH(Config!$B$6)+1)</f>
        <v/>
      </c>
      <c r="I632" s="19">
        <f>IF(AND(A632="",B632="",E632=""),"",IF(A632="","Falta data",IF(B632="","Falta categoria",IF(E632="","Falta valor",IF(C632="Categoria inválida","Categoria inválida",IF(OR(H632&lt;1,H632&gt;12),"Fora dos 12 meses","OK"))))))</f>
        <v/>
      </c>
    </row>
    <row r="633">
      <c r="A633" s="35" t="n"/>
      <c r="B633" s="31" t="n"/>
      <c r="C633" s="19">
        <f>IF(B633="","",IF(COUNTIF(Config!$D$6:$D$15,B633)&gt;0,"Entrada",IF(COUNTIF(Config!$F$6:$F$25,B633)&gt;0,"Saída","Categoria inválida")))</f>
        <v/>
      </c>
      <c r="D633" s="31" t="n"/>
      <c r="E633" s="33" t="n"/>
      <c r="F633" s="36" t="n"/>
      <c r="G633" s="31" t="n"/>
      <c r="H633" s="37">
        <f>IF(A633="","",(YEAR(A633)-YEAR(Config!$B$6))*12+MONTH(A633)-MONTH(Config!$B$6)+1)</f>
        <v/>
      </c>
      <c r="I633" s="19">
        <f>IF(AND(A633="",B633="",E633=""),"",IF(A633="","Falta data",IF(B633="","Falta categoria",IF(E633="","Falta valor",IF(C633="Categoria inválida","Categoria inválida",IF(OR(H633&lt;1,H633&gt;12),"Fora dos 12 meses","OK"))))))</f>
        <v/>
      </c>
    </row>
    <row r="634">
      <c r="A634" s="35" t="n"/>
      <c r="B634" s="31" t="n"/>
      <c r="C634" s="19">
        <f>IF(B634="","",IF(COUNTIF(Config!$D$6:$D$15,B634)&gt;0,"Entrada",IF(COUNTIF(Config!$F$6:$F$25,B634)&gt;0,"Saída","Categoria inválida")))</f>
        <v/>
      </c>
      <c r="D634" s="31" t="n"/>
      <c r="E634" s="33" t="n"/>
      <c r="F634" s="36" t="n"/>
      <c r="G634" s="31" t="n"/>
      <c r="H634" s="37">
        <f>IF(A634="","",(YEAR(A634)-YEAR(Config!$B$6))*12+MONTH(A634)-MONTH(Config!$B$6)+1)</f>
        <v/>
      </c>
      <c r="I634" s="19">
        <f>IF(AND(A634="",B634="",E634=""),"",IF(A634="","Falta data",IF(B634="","Falta categoria",IF(E634="","Falta valor",IF(C634="Categoria inválida","Categoria inválida",IF(OR(H634&lt;1,H634&gt;12),"Fora dos 12 meses","OK"))))))</f>
        <v/>
      </c>
    </row>
    <row r="635">
      <c r="A635" s="35" t="n"/>
      <c r="B635" s="31" t="n"/>
      <c r="C635" s="19">
        <f>IF(B635="","",IF(COUNTIF(Config!$D$6:$D$15,B635)&gt;0,"Entrada",IF(COUNTIF(Config!$F$6:$F$25,B635)&gt;0,"Saída","Categoria inválida")))</f>
        <v/>
      </c>
      <c r="D635" s="31" t="n"/>
      <c r="E635" s="33" t="n"/>
      <c r="F635" s="36" t="n"/>
      <c r="G635" s="31" t="n"/>
      <c r="H635" s="37">
        <f>IF(A635="","",(YEAR(A635)-YEAR(Config!$B$6))*12+MONTH(A635)-MONTH(Config!$B$6)+1)</f>
        <v/>
      </c>
      <c r="I635" s="19">
        <f>IF(AND(A635="",B635="",E635=""),"",IF(A635="","Falta data",IF(B635="","Falta categoria",IF(E635="","Falta valor",IF(C635="Categoria inválida","Categoria inválida",IF(OR(H635&lt;1,H635&gt;12),"Fora dos 12 meses","OK"))))))</f>
        <v/>
      </c>
    </row>
    <row r="636">
      <c r="A636" s="35" t="n"/>
      <c r="B636" s="31" t="n"/>
      <c r="C636" s="19">
        <f>IF(B636="","",IF(COUNTIF(Config!$D$6:$D$15,B636)&gt;0,"Entrada",IF(COUNTIF(Config!$F$6:$F$25,B636)&gt;0,"Saída","Categoria inválida")))</f>
        <v/>
      </c>
      <c r="D636" s="31" t="n"/>
      <c r="E636" s="33" t="n"/>
      <c r="F636" s="36" t="n"/>
      <c r="G636" s="31" t="n"/>
      <c r="H636" s="37">
        <f>IF(A636="","",(YEAR(A636)-YEAR(Config!$B$6))*12+MONTH(A636)-MONTH(Config!$B$6)+1)</f>
        <v/>
      </c>
      <c r="I636" s="19">
        <f>IF(AND(A636="",B636="",E636=""),"",IF(A636="","Falta data",IF(B636="","Falta categoria",IF(E636="","Falta valor",IF(C636="Categoria inválida","Categoria inválida",IF(OR(H636&lt;1,H636&gt;12),"Fora dos 12 meses","OK"))))))</f>
        <v/>
      </c>
    </row>
    <row r="637">
      <c r="A637" s="35" t="n"/>
      <c r="B637" s="31" t="n"/>
      <c r="C637" s="19">
        <f>IF(B637="","",IF(COUNTIF(Config!$D$6:$D$15,B637)&gt;0,"Entrada",IF(COUNTIF(Config!$F$6:$F$25,B637)&gt;0,"Saída","Categoria inválida")))</f>
        <v/>
      </c>
      <c r="D637" s="31" t="n"/>
      <c r="E637" s="33" t="n"/>
      <c r="F637" s="36" t="n"/>
      <c r="G637" s="31" t="n"/>
      <c r="H637" s="37">
        <f>IF(A637="","",(YEAR(A637)-YEAR(Config!$B$6))*12+MONTH(A637)-MONTH(Config!$B$6)+1)</f>
        <v/>
      </c>
      <c r="I637" s="19">
        <f>IF(AND(A637="",B637="",E637=""),"",IF(A637="","Falta data",IF(B637="","Falta categoria",IF(E637="","Falta valor",IF(C637="Categoria inválida","Categoria inválida",IF(OR(H637&lt;1,H637&gt;12),"Fora dos 12 meses","OK"))))))</f>
        <v/>
      </c>
    </row>
    <row r="638">
      <c r="A638" s="35" t="n"/>
      <c r="B638" s="31" t="n"/>
      <c r="C638" s="19">
        <f>IF(B638="","",IF(COUNTIF(Config!$D$6:$D$15,B638)&gt;0,"Entrada",IF(COUNTIF(Config!$F$6:$F$25,B638)&gt;0,"Saída","Categoria inválida")))</f>
        <v/>
      </c>
      <c r="D638" s="31" t="n"/>
      <c r="E638" s="33" t="n"/>
      <c r="F638" s="36" t="n"/>
      <c r="G638" s="31" t="n"/>
      <c r="H638" s="37">
        <f>IF(A638="","",(YEAR(A638)-YEAR(Config!$B$6))*12+MONTH(A638)-MONTH(Config!$B$6)+1)</f>
        <v/>
      </c>
      <c r="I638" s="19">
        <f>IF(AND(A638="",B638="",E638=""),"",IF(A638="","Falta data",IF(B638="","Falta categoria",IF(E638="","Falta valor",IF(C638="Categoria inválida","Categoria inválida",IF(OR(H638&lt;1,H638&gt;12),"Fora dos 12 meses","OK"))))))</f>
        <v/>
      </c>
    </row>
    <row r="639">
      <c r="A639" s="35" t="n"/>
      <c r="B639" s="31" t="n"/>
      <c r="C639" s="19">
        <f>IF(B639="","",IF(COUNTIF(Config!$D$6:$D$15,B639)&gt;0,"Entrada",IF(COUNTIF(Config!$F$6:$F$25,B639)&gt;0,"Saída","Categoria inválida")))</f>
        <v/>
      </c>
      <c r="D639" s="31" t="n"/>
      <c r="E639" s="33" t="n"/>
      <c r="F639" s="36" t="n"/>
      <c r="G639" s="31" t="n"/>
      <c r="H639" s="37">
        <f>IF(A639="","",(YEAR(A639)-YEAR(Config!$B$6))*12+MONTH(A639)-MONTH(Config!$B$6)+1)</f>
        <v/>
      </c>
      <c r="I639" s="19">
        <f>IF(AND(A639="",B639="",E639=""),"",IF(A639="","Falta data",IF(B639="","Falta categoria",IF(E639="","Falta valor",IF(C639="Categoria inválida","Categoria inválida",IF(OR(H639&lt;1,H639&gt;12),"Fora dos 12 meses","OK"))))))</f>
        <v/>
      </c>
    </row>
    <row r="640">
      <c r="A640" s="35" t="n"/>
      <c r="B640" s="31" t="n"/>
      <c r="C640" s="19">
        <f>IF(B640="","",IF(COUNTIF(Config!$D$6:$D$15,B640)&gt;0,"Entrada",IF(COUNTIF(Config!$F$6:$F$25,B640)&gt;0,"Saída","Categoria inválida")))</f>
        <v/>
      </c>
      <c r="D640" s="31" t="n"/>
      <c r="E640" s="33" t="n"/>
      <c r="F640" s="36" t="n"/>
      <c r="G640" s="31" t="n"/>
      <c r="H640" s="37">
        <f>IF(A640="","",(YEAR(A640)-YEAR(Config!$B$6))*12+MONTH(A640)-MONTH(Config!$B$6)+1)</f>
        <v/>
      </c>
      <c r="I640" s="19">
        <f>IF(AND(A640="",B640="",E640=""),"",IF(A640="","Falta data",IF(B640="","Falta categoria",IF(E640="","Falta valor",IF(C640="Categoria inválida","Categoria inválida",IF(OR(H640&lt;1,H640&gt;12),"Fora dos 12 meses","OK"))))))</f>
        <v/>
      </c>
    </row>
    <row r="641">
      <c r="A641" s="35" t="n"/>
      <c r="B641" s="31" t="n"/>
      <c r="C641" s="19">
        <f>IF(B641="","",IF(COUNTIF(Config!$D$6:$D$15,B641)&gt;0,"Entrada",IF(COUNTIF(Config!$F$6:$F$25,B641)&gt;0,"Saída","Categoria inválida")))</f>
        <v/>
      </c>
      <c r="D641" s="31" t="n"/>
      <c r="E641" s="33" t="n"/>
      <c r="F641" s="36" t="n"/>
      <c r="G641" s="31" t="n"/>
      <c r="H641" s="37">
        <f>IF(A641="","",(YEAR(A641)-YEAR(Config!$B$6))*12+MONTH(A641)-MONTH(Config!$B$6)+1)</f>
        <v/>
      </c>
      <c r="I641" s="19">
        <f>IF(AND(A641="",B641="",E641=""),"",IF(A641="","Falta data",IF(B641="","Falta categoria",IF(E641="","Falta valor",IF(C641="Categoria inválida","Categoria inválida",IF(OR(H641&lt;1,H641&gt;12),"Fora dos 12 meses","OK"))))))</f>
        <v/>
      </c>
    </row>
    <row r="642">
      <c r="A642" s="35" t="n"/>
      <c r="B642" s="31" t="n"/>
      <c r="C642" s="19">
        <f>IF(B642="","",IF(COUNTIF(Config!$D$6:$D$15,B642)&gt;0,"Entrada",IF(COUNTIF(Config!$F$6:$F$25,B642)&gt;0,"Saída","Categoria inválida")))</f>
        <v/>
      </c>
      <c r="D642" s="31" t="n"/>
      <c r="E642" s="33" t="n"/>
      <c r="F642" s="36" t="n"/>
      <c r="G642" s="31" t="n"/>
      <c r="H642" s="37">
        <f>IF(A642="","",(YEAR(A642)-YEAR(Config!$B$6))*12+MONTH(A642)-MONTH(Config!$B$6)+1)</f>
        <v/>
      </c>
      <c r="I642" s="19">
        <f>IF(AND(A642="",B642="",E642=""),"",IF(A642="","Falta data",IF(B642="","Falta categoria",IF(E642="","Falta valor",IF(C642="Categoria inválida","Categoria inválida",IF(OR(H642&lt;1,H642&gt;12),"Fora dos 12 meses","OK"))))))</f>
        <v/>
      </c>
    </row>
    <row r="643">
      <c r="A643" s="35" t="n"/>
      <c r="B643" s="31" t="n"/>
      <c r="C643" s="19">
        <f>IF(B643="","",IF(COUNTIF(Config!$D$6:$D$15,B643)&gt;0,"Entrada",IF(COUNTIF(Config!$F$6:$F$25,B643)&gt;0,"Saída","Categoria inválida")))</f>
        <v/>
      </c>
      <c r="D643" s="31" t="n"/>
      <c r="E643" s="33" t="n"/>
      <c r="F643" s="36" t="n"/>
      <c r="G643" s="31" t="n"/>
      <c r="H643" s="37">
        <f>IF(A643="","",(YEAR(A643)-YEAR(Config!$B$6))*12+MONTH(A643)-MONTH(Config!$B$6)+1)</f>
        <v/>
      </c>
      <c r="I643" s="19">
        <f>IF(AND(A643="",B643="",E643=""),"",IF(A643="","Falta data",IF(B643="","Falta categoria",IF(E643="","Falta valor",IF(C643="Categoria inválida","Categoria inválida",IF(OR(H643&lt;1,H643&gt;12),"Fora dos 12 meses","OK"))))))</f>
        <v/>
      </c>
    </row>
    <row r="644">
      <c r="A644" s="35" t="n"/>
      <c r="B644" s="31" t="n"/>
      <c r="C644" s="19">
        <f>IF(B644="","",IF(COUNTIF(Config!$D$6:$D$15,B644)&gt;0,"Entrada",IF(COUNTIF(Config!$F$6:$F$25,B644)&gt;0,"Saída","Categoria inválida")))</f>
        <v/>
      </c>
      <c r="D644" s="31" t="n"/>
      <c r="E644" s="33" t="n"/>
      <c r="F644" s="36" t="n"/>
      <c r="G644" s="31" t="n"/>
      <c r="H644" s="37">
        <f>IF(A644="","",(YEAR(A644)-YEAR(Config!$B$6))*12+MONTH(A644)-MONTH(Config!$B$6)+1)</f>
        <v/>
      </c>
      <c r="I644" s="19">
        <f>IF(AND(A644="",B644="",E644=""),"",IF(A644="","Falta data",IF(B644="","Falta categoria",IF(E644="","Falta valor",IF(C644="Categoria inválida","Categoria inválida",IF(OR(H644&lt;1,H644&gt;12),"Fora dos 12 meses","OK"))))))</f>
        <v/>
      </c>
    </row>
    <row r="645">
      <c r="A645" s="35" t="n"/>
      <c r="B645" s="31" t="n"/>
      <c r="C645" s="19">
        <f>IF(B645="","",IF(COUNTIF(Config!$D$6:$D$15,B645)&gt;0,"Entrada",IF(COUNTIF(Config!$F$6:$F$25,B645)&gt;0,"Saída","Categoria inválida")))</f>
        <v/>
      </c>
      <c r="D645" s="31" t="n"/>
      <c r="E645" s="33" t="n"/>
      <c r="F645" s="36" t="n"/>
      <c r="G645" s="31" t="n"/>
      <c r="H645" s="37">
        <f>IF(A645="","",(YEAR(A645)-YEAR(Config!$B$6))*12+MONTH(A645)-MONTH(Config!$B$6)+1)</f>
        <v/>
      </c>
      <c r="I645" s="19">
        <f>IF(AND(A645="",B645="",E645=""),"",IF(A645="","Falta data",IF(B645="","Falta categoria",IF(E645="","Falta valor",IF(C645="Categoria inválida","Categoria inválida",IF(OR(H645&lt;1,H645&gt;12),"Fora dos 12 meses","OK"))))))</f>
        <v/>
      </c>
    </row>
    <row r="646">
      <c r="A646" s="35" t="n"/>
      <c r="B646" s="31" t="n"/>
      <c r="C646" s="19">
        <f>IF(B646="","",IF(COUNTIF(Config!$D$6:$D$15,B646)&gt;0,"Entrada",IF(COUNTIF(Config!$F$6:$F$25,B646)&gt;0,"Saída","Categoria inválida")))</f>
        <v/>
      </c>
      <c r="D646" s="31" t="n"/>
      <c r="E646" s="33" t="n"/>
      <c r="F646" s="36" t="n"/>
      <c r="G646" s="31" t="n"/>
      <c r="H646" s="37">
        <f>IF(A646="","",(YEAR(A646)-YEAR(Config!$B$6))*12+MONTH(A646)-MONTH(Config!$B$6)+1)</f>
        <v/>
      </c>
      <c r="I646" s="19">
        <f>IF(AND(A646="",B646="",E646=""),"",IF(A646="","Falta data",IF(B646="","Falta categoria",IF(E646="","Falta valor",IF(C646="Categoria inválida","Categoria inválida",IF(OR(H646&lt;1,H646&gt;12),"Fora dos 12 meses","OK"))))))</f>
        <v/>
      </c>
    </row>
    <row r="647">
      <c r="A647" s="35" t="n"/>
      <c r="B647" s="31" t="n"/>
      <c r="C647" s="19">
        <f>IF(B647="","",IF(COUNTIF(Config!$D$6:$D$15,B647)&gt;0,"Entrada",IF(COUNTIF(Config!$F$6:$F$25,B647)&gt;0,"Saída","Categoria inválida")))</f>
        <v/>
      </c>
      <c r="D647" s="31" t="n"/>
      <c r="E647" s="33" t="n"/>
      <c r="F647" s="36" t="n"/>
      <c r="G647" s="31" t="n"/>
      <c r="H647" s="37">
        <f>IF(A647="","",(YEAR(A647)-YEAR(Config!$B$6))*12+MONTH(A647)-MONTH(Config!$B$6)+1)</f>
        <v/>
      </c>
      <c r="I647" s="19">
        <f>IF(AND(A647="",B647="",E647=""),"",IF(A647="","Falta data",IF(B647="","Falta categoria",IF(E647="","Falta valor",IF(C647="Categoria inválida","Categoria inválida",IF(OR(H647&lt;1,H647&gt;12),"Fora dos 12 meses","OK"))))))</f>
        <v/>
      </c>
    </row>
    <row r="648">
      <c r="A648" s="35" t="n"/>
      <c r="B648" s="31" t="n"/>
      <c r="C648" s="19">
        <f>IF(B648="","",IF(COUNTIF(Config!$D$6:$D$15,B648)&gt;0,"Entrada",IF(COUNTIF(Config!$F$6:$F$25,B648)&gt;0,"Saída","Categoria inválida")))</f>
        <v/>
      </c>
      <c r="D648" s="31" t="n"/>
      <c r="E648" s="33" t="n"/>
      <c r="F648" s="36" t="n"/>
      <c r="G648" s="31" t="n"/>
      <c r="H648" s="37">
        <f>IF(A648="","",(YEAR(A648)-YEAR(Config!$B$6))*12+MONTH(A648)-MONTH(Config!$B$6)+1)</f>
        <v/>
      </c>
      <c r="I648" s="19">
        <f>IF(AND(A648="",B648="",E648=""),"",IF(A648="","Falta data",IF(B648="","Falta categoria",IF(E648="","Falta valor",IF(C648="Categoria inválida","Categoria inválida",IF(OR(H648&lt;1,H648&gt;12),"Fora dos 12 meses","OK"))))))</f>
        <v/>
      </c>
    </row>
    <row r="649">
      <c r="A649" s="35" t="n"/>
      <c r="B649" s="31" t="n"/>
      <c r="C649" s="19">
        <f>IF(B649="","",IF(COUNTIF(Config!$D$6:$D$15,B649)&gt;0,"Entrada",IF(COUNTIF(Config!$F$6:$F$25,B649)&gt;0,"Saída","Categoria inválida")))</f>
        <v/>
      </c>
      <c r="D649" s="31" t="n"/>
      <c r="E649" s="33" t="n"/>
      <c r="F649" s="36" t="n"/>
      <c r="G649" s="31" t="n"/>
      <c r="H649" s="37">
        <f>IF(A649="","",(YEAR(A649)-YEAR(Config!$B$6))*12+MONTH(A649)-MONTH(Config!$B$6)+1)</f>
        <v/>
      </c>
      <c r="I649" s="19">
        <f>IF(AND(A649="",B649="",E649=""),"",IF(A649="","Falta data",IF(B649="","Falta categoria",IF(E649="","Falta valor",IF(C649="Categoria inválida","Categoria inválida",IF(OR(H649&lt;1,H649&gt;12),"Fora dos 12 meses","OK"))))))</f>
        <v/>
      </c>
    </row>
    <row r="650">
      <c r="A650" s="35" t="n"/>
      <c r="B650" s="31" t="n"/>
      <c r="C650" s="19">
        <f>IF(B650="","",IF(COUNTIF(Config!$D$6:$D$15,B650)&gt;0,"Entrada",IF(COUNTIF(Config!$F$6:$F$25,B650)&gt;0,"Saída","Categoria inválida")))</f>
        <v/>
      </c>
      <c r="D650" s="31" t="n"/>
      <c r="E650" s="33" t="n"/>
      <c r="F650" s="36" t="n"/>
      <c r="G650" s="31" t="n"/>
      <c r="H650" s="37">
        <f>IF(A650="","",(YEAR(A650)-YEAR(Config!$B$6))*12+MONTH(A650)-MONTH(Config!$B$6)+1)</f>
        <v/>
      </c>
      <c r="I650" s="19">
        <f>IF(AND(A650="",B650="",E650=""),"",IF(A650="","Falta data",IF(B650="","Falta categoria",IF(E650="","Falta valor",IF(C650="Categoria inválida","Categoria inválida",IF(OR(H650&lt;1,H650&gt;12),"Fora dos 12 meses","OK"))))))</f>
        <v/>
      </c>
    </row>
    <row r="651">
      <c r="A651" s="35" t="n"/>
      <c r="B651" s="31" t="n"/>
      <c r="C651" s="19">
        <f>IF(B651="","",IF(COUNTIF(Config!$D$6:$D$15,B651)&gt;0,"Entrada",IF(COUNTIF(Config!$F$6:$F$25,B651)&gt;0,"Saída","Categoria inválida")))</f>
        <v/>
      </c>
      <c r="D651" s="31" t="n"/>
      <c r="E651" s="33" t="n"/>
      <c r="F651" s="36" t="n"/>
      <c r="G651" s="31" t="n"/>
      <c r="H651" s="37">
        <f>IF(A651="","",(YEAR(A651)-YEAR(Config!$B$6))*12+MONTH(A651)-MONTH(Config!$B$6)+1)</f>
        <v/>
      </c>
      <c r="I651" s="19">
        <f>IF(AND(A651="",B651="",E651=""),"",IF(A651="","Falta data",IF(B651="","Falta categoria",IF(E651="","Falta valor",IF(C651="Categoria inválida","Categoria inválida",IF(OR(H651&lt;1,H651&gt;12),"Fora dos 12 meses","OK"))))))</f>
        <v/>
      </c>
    </row>
    <row r="652">
      <c r="A652" s="35" t="n"/>
      <c r="B652" s="31" t="n"/>
      <c r="C652" s="19">
        <f>IF(B652="","",IF(COUNTIF(Config!$D$6:$D$15,B652)&gt;0,"Entrada",IF(COUNTIF(Config!$F$6:$F$25,B652)&gt;0,"Saída","Categoria inválida")))</f>
        <v/>
      </c>
      <c r="D652" s="31" t="n"/>
      <c r="E652" s="33" t="n"/>
      <c r="F652" s="36" t="n"/>
      <c r="G652" s="31" t="n"/>
      <c r="H652" s="37">
        <f>IF(A652="","",(YEAR(A652)-YEAR(Config!$B$6))*12+MONTH(A652)-MONTH(Config!$B$6)+1)</f>
        <v/>
      </c>
      <c r="I652" s="19">
        <f>IF(AND(A652="",B652="",E652=""),"",IF(A652="","Falta data",IF(B652="","Falta categoria",IF(E652="","Falta valor",IF(C652="Categoria inválida","Categoria inválida",IF(OR(H652&lt;1,H652&gt;12),"Fora dos 12 meses","OK"))))))</f>
        <v/>
      </c>
    </row>
    <row r="653">
      <c r="A653" s="35" t="n"/>
      <c r="B653" s="31" t="n"/>
      <c r="C653" s="19">
        <f>IF(B653="","",IF(COUNTIF(Config!$D$6:$D$15,B653)&gt;0,"Entrada",IF(COUNTIF(Config!$F$6:$F$25,B653)&gt;0,"Saída","Categoria inválida")))</f>
        <v/>
      </c>
      <c r="D653" s="31" t="n"/>
      <c r="E653" s="33" t="n"/>
      <c r="F653" s="36" t="n"/>
      <c r="G653" s="31" t="n"/>
      <c r="H653" s="37">
        <f>IF(A653="","",(YEAR(A653)-YEAR(Config!$B$6))*12+MONTH(A653)-MONTH(Config!$B$6)+1)</f>
        <v/>
      </c>
      <c r="I653" s="19">
        <f>IF(AND(A653="",B653="",E653=""),"",IF(A653="","Falta data",IF(B653="","Falta categoria",IF(E653="","Falta valor",IF(C653="Categoria inválida","Categoria inválida",IF(OR(H653&lt;1,H653&gt;12),"Fora dos 12 meses","OK"))))))</f>
        <v/>
      </c>
    </row>
    <row r="654">
      <c r="A654" s="35" t="n"/>
      <c r="B654" s="31" t="n"/>
      <c r="C654" s="19">
        <f>IF(B654="","",IF(COUNTIF(Config!$D$6:$D$15,B654)&gt;0,"Entrada",IF(COUNTIF(Config!$F$6:$F$25,B654)&gt;0,"Saída","Categoria inválida")))</f>
        <v/>
      </c>
      <c r="D654" s="31" t="n"/>
      <c r="E654" s="33" t="n"/>
      <c r="F654" s="36" t="n"/>
      <c r="G654" s="31" t="n"/>
      <c r="H654" s="37">
        <f>IF(A654="","",(YEAR(A654)-YEAR(Config!$B$6))*12+MONTH(A654)-MONTH(Config!$B$6)+1)</f>
        <v/>
      </c>
      <c r="I654" s="19">
        <f>IF(AND(A654="",B654="",E654=""),"",IF(A654="","Falta data",IF(B654="","Falta categoria",IF(E654="","Falta valor",IF(C654="Categoria inválida","Categoria inválida",IF(OR(H654&lt;1,H654&gt;12),"Fora dos 12 meses","OK"))))))</f>
        <v/>
      </c>
    </row>
    <row r="655">
      <c r="A655" s="35" t="n"/>
      <c r="B655" s="31" t="n"/>
      <c r="C655" s="19">
        <f>IF(B655="","",IF(COUNTIF(Config!$D$6:$D$15,B655)&gt;0,"Entrada",IF(COUNTIF(Config!$F$6:$F$25,B655)&gt;0,"Saída","Categoria inválida")))</f>
        <v/>
      </c>
      <c r="D655" s="31" t="n"/>
      <c r="E655" s="33" t="n"/>
      <c r="F655" s="36" t="n"/>
      <c r="G655" s="31" t="n"/>
      <c r="H655" s="37">
        <f>IF(A655="","",(YEAR(A655)-YEAR(Config!$B$6))*12+MONTH(A655)-MONTH(Config!$B$6)+1)</f>
        <v/>
      </c>
      <c r="I655" s="19">
        <f>IF(AND(A655="",B655="",E655=""),"",IF(A655="","Falta data",IF(B655="","Falta categoria",IF(E655="","Falta valor",IF(C655="Categoria inválida","Categoria inválida",IF(OR(H655&lt;1,H655&gt;12),"Fora dos 12 meses","OK"))))))</f>
        <v/>
      </c>
    </row>
    <row r="656">
      <c r="A656" s="35" t="n"/>
      <c r="B656" s="31" t="n"/>
      <c r="C656" s="19">
        <f>IF(B656="","",IF(COUNTIF(Config!$D$6:$D$15,B656)&gt;0,"Entrada",IF(COUNTIF(Config!$F$6:$F$25,B656)&gt;0,"Saída","Categoria inválida")))</f>
        <v/>
      </c>
      <c r="D656" s="31" t="n"/>
      <c r="E656" s="33" t="n"/>
      <c r="F656" s="36" t="n"/>
      <c r="G656" s="31" t="n"/>
      <c r="H656" s="37">
        <f>IF(A656="","",(YEAR(A656)-YEAR(Config!$B$6))*12+MONTH(A656)-MONTH(Config!$B$6)+1)</f>
        <v/>
      </c>
      <c r="I656" s="19">
        <f>IF(AND(A656="",B656="",E656=""),"",IF(A656="","Falta data",IF(B656="","Falta categoria",IF(E656="","Falta valor",IF(C656="Categoria inválida","Categoria inválida",IF(OR(H656&lt;1,H656&gt;12),"Fora dos 12 meses","OK"))))))</f>
        <v/>
      </c>
    </row>
    <row r="657">
      <c r="A657" s="35" t="n"/>
      <c r="B657" s="31" t="n"/>
      <c r="C657" s="19">
        <f>IF(B657="","",IF(COUNTIF(Config!$D$6:$D$15,B657)&gt;0,"Entrada",IF(COUNTIF(Config!$F$6:$F$25,B657)&gt;0,"Saída","Categoria inválida")))</f>
        <v/>
      </c>
      <c r="D657" s="31" t="n"/>
      <c r="E657" s="33" t="n"/>
      <c r="F657" s="36" t="n"/>
      <c r="G657" s="31" t="n"/>
      <c r="H657" s="37">
        <f>IF(A657="","",(YEAR(A657)-YEAR(Config!$B$6))*12+MONTH(A657)-MONTH(Config!$B$6)+1)</f>
        <v/>
      </c>
      <c r="I657" s="19">
        <f>IF(AND(A657="",B657="",E657=""),"",IF(A657="","Falta data",IF(B657="","Falta categoria",IF(E657="","Falta valor",IF(C657="Categoria inválida","Categoria inválida",IF(OR(H657&lt;1,H657&gt;12),"Fora dos 12 meses","OK"))))))</f>
        <v/>
      </c>
    </row>
    <row r="658">
      <c r="A658" s="35" t="n"/>
      <c r="B658" s="31" t="n"/>
      <c r="C658" s="19">
        <f>IF(B658="","",IF(COUNTIF(Config!$D$6:$D$15,B658)&gt;0,"Entrada",IF(COUNTIF(Config!$F$6:$F$25,B658)&gt;0,"Saída","Categoria inválida")))</f>
        <v/>
      </c>
      <c r="D658" s="31" t="n"/>
      <c r="E658" s="33" t="n"/>
      <c r="F658" s="36" t="n"/>
      <c r="G658" s="31" t="n"/>
      <c r="H658" s="37">
        <f>IF(A658="","",(YEAR(A658)-YEAR(Config!$B$6))*12+MONTH(A658)-MONTH(Config!$B$6)+1)</f>
        <v/>
      </c>
      <c r="I658" s="19">
        <f>IF(AND(A658="",B658="",E658=""),"",IF(A658="","Falta data",IF(B658="","Falta categoria",IF(E658="","Falta valor",IF(C658="Categoria inválida","Categoria inválida",IF(OR(H658&lt;1,H658&gt;12),"Fora dos 12 meses","OK"))))))</f>
        <v/>
      </c>
    </row>
    <row r="659">
      <c r="A659" s="35" t="n"/>
      <c r="B659" s="31" t="n"/>
      <c r="C659" s="19">
        <f>IF(B659="","",IF(COUNTIF(Config!$D$6:$D$15,B659)&gt;0,"Entrada",IF(COUNTIF(Config!$F$6:$F$25,B659)&gt;0,"Saída","Categoria inválida")))</f>
        <v/>
      </c>
      <c r="D659" s="31" t="n"/>
      <c r="E659" s="33" t="n"/>
      <c r="F659" s="36" t="n"/>
      <c r="G659" s="31" t="n"/>
      <c r="H659" s="37">
        <f>IF(A659="","",(YEAR(A659)-YEAR(Config!$B$6))*12+MONTH(A659)-MONTH(Config!$B$6)+1)</f>
        <v/>
      </c>
      <c r="I659" s="19">
        <f>IF(AND(A659="",B659="",E659=""),"",IF(A659="","Falta data",IF(B659="","Falta categoria",IF(E659="","Falta valor",IF(C659="Categoria inválida","Categoria inválida",IF(OR(H659&lt;1,H659&gt;12),"Fora dos 12 meses","OK"))))))</f>
        <v/>
      </c>
    </row>
    <row r="660">
      <c r="A660" s="35" t="n"/>
      <c r="B660" s="31" t="n"/>
      <c r="C660" s="19">
        <f>IF(B660="","",IF(COUNTIF(Config!$D$6:$D$15,B660)&gt;0,"Entrada",IF(COUNTIF(Config!$F$6:$F$25,B660)&gt;0,"Saída","Categoria inválida")))</f>
        <v/>
      </c>
      <c r="D660" s="31" t="n"/>
      <c r="E660" s="33" t="n"/>
      <c r="F660" s="36" t="n"/>
      <c r="G660" s="31" t="n"/>
      <c r="H660" s="37">
        <f>IF(A660="","",(YEAR(A660)-YEAR(Config!$B$6))*12+MONTH(A660)-MONTH(Config!$B$6)+1)</f>
        <v/>
      </c>
      <c r="I660" s="19">
        <f>IF(AND(A660="",B660="",E660=""),"",IF(A660="","Falta data",IF(B660="","Falta categoria",IF(E660="","Falta valor",IF(C660="Categoria inválida","Categoria inválida",IF(OR(H660&lt;1,H660&gt;12),"Fora dos 12 meses","OK"))))))</f>
        <v/>
      </c>
    </row>
    <row r="661">
      <c r="A661" s="35" t="n"/>
      <c r="B661" s="31" t="n"/>
      <c r="C661" s="19">
        <f>IF(B661="","",IF(COUNTIF(Config!$D$6:$D$15,B661)&gt;0,"Entrada",IF(COUNTIF(Config!$F$6:$F$25,B661)&gt;0,"Saída","Categoria inválida")))</f>
        <v/>
      </c>
      <c r="D661" s="31" t="n"/>
      <c r="E661" s="33" t="n"/>
      <c r="F661" s="36" t="n"/>
      <c r="G661" s="31" t="n"/>
      <c r="H661" s="37">
        <f>IF(A661="","",(YEAR(A661)-YEAR(Config!$B$6))*12+MONTH(A661)-MONTH(Config!$B$6)+1)</f>
        <v/>
      </c>
      <c r="I661" s="19">
        <f>IF(AND(A661="",B661="",E661=""),"",IF(A661="","Falta data",IF(B661="","Falta categoria",IF(E661="","Falta valor",IF(C661="Categoria inválida","Categoria inválida",IF(OR(H661&lt;1,H661&gt;12),"Fora dos 12 meses","OK"))))))</f>
        <v/>
      </c>
    </row>
    <row r="662">
      <c r="A662" s="35" t="n"/>
      <c r="B662" s="31" t="n"/>
      <c r="C662" s="19">
        <f>IF(B662="","",IF(COUNTIF(Config!$D$6:$D$15,B662)&gt;0,"Entrada",IF(COUNTIF(Config!$F$6:$F$25,B662)&gt;0,"Saída","Categoria inválida")))</f>
        <v/>
      </c>
      <c r="D662" s="31" t="n"/>
      <c r="E662" s="33" t="n"/>
      <c r="F662" s="36" t="n"/>
      <c r="G662" s="31" t="n"/>
      <c r="H662" s="37">
        <f>IF(A662="","",(YEAR(A662)-YEAR(Config!$B$6))*12+MONTH(A662)-MONTH(Config!$B$6)+1)</f>
        <v/>
      </c>
      <c r="I662" s="19">
        <f>IF(AND(A662="",B662="",E662=""),"",IF(A662="","Falta data",IF(B662="","Falta categoria",IF(E662="","Falta valor",IF(C662="Categoria inválida","Categoria inválida",IF(OR(H662&lt;1,H662&gt;12),"Fora dos 12 meses","OK"))))))</f>
        <v/>
      </c>
    </row>
    <row r="663">
      <c r="A663" s="35" t="n"/>
      <c r="B663" s="31" t="n"/>
      <c r="C663" s="19">
        <f>IF(B663="","",IF(COUNTIF(Config!$D$6:$D$15,B663)&gt;0,"Entrada",IF(COUNTIF(Config!$F$6:$F$25,B663)&gt;0,"Saída","Categoria inválida")))</f>
        <v/>
      </c>
      <c r="D663" s="31" t="n"/>
      <c r="E663" s="33" t="n"/>
      <c r="F663" s="36" t="n"/>
      <c r="G663" s="31" t="n"/>
      <c r="H663" s="37">
        <f>IF(A663="","",(YEAR(A663)-YEAR(Config!$B$6))*12+MONTH(A663)-MONTH(Config!$B$6)+1)</f>
        <v/>
      </c>
      <c r="I663" s="19">
        <f>IF(AND(A663="",B663="",E663=""),"",IF(A663="","Falta data",IF(B663="","Falta categoria",IF(E663="","Falta valor",IF(C663="Categoria inválida","Categoria inválida",IF(OR(H663&lt;1,H663&gt;12),"Fora dos 12 meses","OK"))))))</f>
        <v/>
      </c>
    </row>
    <row r="664">
      <c r="A664" s="35" t="n"/>
      <c r="B664" s="31" t="n"/>
      <c r="C664" s="19">
        <f>IF(B664="","",IF(COUNTIF(Config!$D$6:$D$15,B664)&gt;0,"Entrada",IF(COUNTIF(Config!$F$6:$F$25,B664)&gt;0,"Saída","Categoria inválida")))</f>
        <v/>
      </c>
      <c r="D664" s="31" t="n"/>
      <c r="E664" s="33" t="n"/>
      <c r="F664" s="36" t="n"/>
      <c r="G664" s="31" t="n"/>
      <c r="H664" s="37">
        <f>IF(A664="","",(YEAR(A664)-YEAR(Config!$B$6))*12+MONTH(A664)-MONTH(Config!$B$6)+1)</f>
        <v/>
      </c>
      <c r="I664" s="19">
        <f>IF(AND(A664="",B664="",E664=""),"",IF(A664="","Falta data",IF(B664="","Falta categoria",IF(E664="","Falta valor",IF(C664="Categoria inválida","Categoria inválida",IF(OR(H664&lt;1,H664&gt;12),"Fora dos 12 meses","OK"))))))</f>
        <v/>
      </c>
    </row>
    <row r="665">
      <c r="A665" s="35" t="n"/>
      <c r="B665" s="31" t="n"/>
      <c r="C665" s="19">
        <f>IF(B665="","",IF(COUNTIF(Config!$D$6:$D$15,B665)&gt;0,"Entrada",IF(COUNTIF(Config!$F$6:$F$25,B665)&gt;0,"Saída","Categoria inválida")))</f>
        <v/>
      </c>
      <c r="D665" s="31" t="n"/>
      <c r="E665" s="33" t="n"/>
      <c r="F665" s="36" t="n"/>
      <c r="G665" s="31" t="n"/>
      <c r="H665" s="37">
        <f>IF(A665="","",(YEAR(A665)-YEAR(Config!$B$6))*12+MONTH(A665)-MONTH(Config!$B$6)+1)</f>
        <v/>
      </c>
      <c r="I665" s="19">
        <f>IF(AND(A665="",B665="",E665=""),"",IF(A665="","Falta data",IF(B665="","Falta categoria",IF(E665="","Falta valor",IF(C665="Categoria inválida","Categoria inválida",IF(OR(H665&lt;1,H665&gt;12),"Fora dos 12 meses","OK"))))))</f>
        <v/>
      </c>
    </row>
    <row r="666">
      <c r="A666" s="35" t="n"/>
      <c r="B666" s="31" t="n"/>
      <c r="C666" s="19">
        <f>IF(B666="","",IF(COUNTIF(Config!$D$6:$D$15,B666)&gt;0,"Entrada",IF(COUNTIF(Config!$F$6:$F$25,B666)&gt;0,"Saída","Categoria inválida")))</f>
        <v/>
      </c>
      <c r="D666" s="31" t="n"/>
      <c r="E666" s="33" t="n"/>
      <c r="F666" s="36" t="n"/>
      <c r="G666" s="31" t="n"/>
      <c r="H666" s="37">
        <f>IF(A666="","",(YEAR(A666)-YEAR(Config!$B$6))*12+MONTH(A666)-MONTH(Config!$B$6)+1)</f>
        <v/>
      </c>
      <c r="I666" s="19">
        <f>IF(AND(A666="",B666="",E666=""),"",IF(A666="","Falta data",IF(B666="","Falta categoria",IF(E666="","Falta valor",IF(C666="Categoria inválida","Categoria inválida",IF(OR(H666&lt;1,H666&gt;12),"Fora dos 12 meses","OK"))))))</f>
        <v/>
      </c>
    </row>
    <row r="667">
      <c r="A667" s="35" t="n"/>
      <c r="B667" s="31" t="n"/>
      <c r="C667" s="19">
        <f>IF(B667="","",IF(COUNTIF(Config!$D$6:$D$15,B667)&gt;0,"Entrada",IF(COUNTIF(Config!$F$6:$F$25,B667)&gt;0,"Saída","Categoria inválida")))</f>
        <v/>
      </c>
      <c r="D667" s="31" t="n"/>
      <c r="E667" s="33" t="n"/>
      <c r="F667" s="36" t="n"/>
      <c r="G667" s="31" t="n"/>
      <c r="H667" s="37">
        <f>IF(A667="","",(YEAR(A667)-YEAR(Config!$B$6))*12+MONTH(A667)-MONTH(Config!$B$6)+1)</f>
        <v/>
      </c>
      <c r="I667" s="19">
        <f>IF(AND(A667="",B667="",E667=""),"",IF(A667="","Falta data",IF(B667="","Falta categoria",IF(E667="","Falta valor",IF(C667="Categoria inválida","Categoria inválida",IF(OR(H667&lt;1,H667&gt;12),"Fora dos 12 meses","OK"))))))</f>
        <v/>
      </c>
    </row>
    <row r="668">
      <c r="A668" s="35" t="n"/>
      <c r="B668" s="31" t="n"/>
      <c r="C668" s="19">
        <f>IF(B668="","",IF(COUNTIF(Config!$D$6:$D$15,B668)&gt;0,"Entrada",IF(COUNTIF(Config!$F$6:$F$25,B668)&gt;0,"Saída","Categoria inválida")))</f>
        <v/>
      </c>
      <c r="D668" s="31" t="n"/>
      <c r="E668" s="33" t="n"/>
      <c r="F668" s="36" t="n"/>
      <c r="G668" s="31" t="n"/>
      <c r="H668" s="37">
        <f>IF(A668="","",(YEAR(A668)-YEAR(Config!$B$6))*12+MONTH(A668)-MONTH(Config!$B$6)+1)</f>
        <v/>
      </c>
      <c r="I668" s="19">
        <f>IF(AND(A668="",B668="",E668=""),"",IF(A668="","Falta data",IF(B668="","Falta categoria",IF(E668="","Falta valor",IF(C668="Categoria inválida","Categoria inválida",IF(OR(H668&lt;1,H668&gt;12),"Fora dos 12 meses","OK"))))))</f>
        <v/>
      </c>
    </row>
    <row r="669">
      <c r="A669" s="35" t="n"/>
      <c r="B669" s="31" t="n"/>
      <c r="C669" s="19">
        <f>IF(B669="","",IF(COUNTIF(Config!$D$6:$D$15,B669)&gt;0,"Entrada",IF(COUNTIF(Config!$F$6:$F$25,B669)&gt;0,"Saída","Categoria inválida")))</f>
        <v/>
      </c>
      <c r="D669" s="31" t="n"/>
      <c r="E669" s="33" t="n"/>
      <c r="F669" s="36" t="n"/>
      <c r="G669" s="31" t="n"/>
      <c r="H669" s="37">
        <f>IF(A669="","",(YEAR(A669)-YEAR(Config!$B$6))*12+MONTH(A669)-MONTH(Config!$B$6)+1)</f>
        <v/>
      </c>
      <c r="I669" s="19">
        <f>IF(AND(A669="",B669="",E669=""),"",IF(A669="","Falta data",IF(B669="","Falta categoria",IF(E669="","Falta valor",IF(C669="Categoria inválida","Categoria inválida",IF(OR(H669&lt;1,H669&gt;12),"Fora dos 12 meses","OK"))))))</f>
        <v/>
      </c>
    </row>
    <row r="670">
      <c r="A670" s="35" t="n"/>
      <c r="B670" s="31" t="n"/>
      <c r="C670" s="19">
        <f>IF(B670="","",IF(COUNTIF(Config!$D$6:$D$15,B670)&gt;0,"Entrada",IF(COUNTIF(Config!$F$6:$F$25,B670)&gt;0,"Saída","Categoria inválida")))</f>
        <v/>
      </c>
      <c r="D670" s="31" t="n"/>
      <c r="E670" s="33" t="n"/>
      <c r="F670" s="36" t="n"/>
      <c r="G670" s="31" t="n"/>
      <c r="H670" s="37">
        <f>IF(A670="","",(YEAR(A670)-YEAR(Config!$B$6))*12+MONTH(A670)-MONTH(Config!$B$6)+1)</f>
        <v/>
      </c>
      <c r="I670" s="19">
        <f>IF(AND(A670="",B670="",E670=""),"",IF(A670="","Falta data",IF(B670="","Falta categoria",IF(E670="","Falta valor",IF(C670="Categoria inválida","Categoria inválida",IF(OR(H670&lt;1,H670&gt;12),"Fora dos 12 meses","OK"))))))</f>
        <v/>
      </c>
    </row>
    <row r="671">
      <c r="A671" s="35" t="n"/>
      <c r="B671" s="31" t="n"/>
      <c r="C671" s="19">
        <f>IF(B671="","",IF(COUNTIF(Config!$D$6:$D$15,B671)&gt;0,"Entrada",IF(COUNTIF(Config!$F$6:$F$25,B671)&gt;0,"Saída","Categoria inválida")))</f>
        <v/>
      </c>
      <c r="D671" s="31" t="n"/>
      <c r="E671" s="33" t="n"/>
      <c r="F671" s="36" t="n"/>
      <c r="G671" s="31" t="n"/>
      <c r="H671" s="37">
        <f>IF(A671="","",(YEAR(A671)-YEAR(Config!$B$6))*12+MONTH(A671)-MONTH(Config!$B$6)+1)</f>
        <v/>
      </c>
      <c r="I671" s="19">
        <f>IF(AND(A671="",B671="",E671=""),"",IF(A671="","Falta data",IF(B671="","Falta categoria",IF(E671="","Falta valor",IF(C671="Categoria inválida","Categoria inválida",IF(OR(H671&lt;1,H671&gt;12),"Fora dos 12 meses","OK"))))))</f>
        <v/>
      </c>
    </row>
    <row r="672">
      <c r="A672" s="35" t="n"/>
      <c r="B672" s="31" t="n"/>
      <c r="C672" s="19">
        <f>IF(B672="","",IF(COUNTIF(Config!$D$6:$D$15,B672)&gt;0,"Entrada",IF(COUNTIF(Config!$F$6:$F$25,B672)&gt;0,"Saída","Categoria inválida")))</f>
        <v/>
      </c>
      <c r="D672" s="31" t="n"/>
      <c r="E672" s="33" t="n"/>
      <c r="F672" s="36" t="n"/>
      <c r="G672" s="31" t="n"/>
      <c r="H672" s="37">
        <f>IF(A672="","",(YEAR(A672)-YEAR(Config!$B$6))*12+MONTH(A672)-MONTH(Config!$B$6)+1)</f>
        <v/>
      </c>
      <c r="I672" s="19">
        <f>IF(AND(A672="",B672="",E672=""),"",IF(A672="","Falta data",IF(B672="","Falta categoria",IF(E672="","Falta valor",IF(C672="Categoria inválida","Categoria inválida",IF(OR(H672&lt;1,H672&gt;12),"Fora dos 12 meses","OK"))))))</f>
        <v/>
      </c>
    </row>
    <row r="673">
      <c r="A673" s="35" t="n"/>
      <c r="B673" s="31" t="n"/>
      <c r="C673" s="19">
        <f>IF(B673="","",IF(COUNTIF(Config!$D$6:$D$15,B673)&gt;0,"Entrada",IF(COUNTIF(Config!$F$6:$F$25,B673)&gt;0,"Saída","Categoria inválida")))</f>
        <v/>
      </c>
      <c r="D673" s="31" t="n"/>
      <c r="E673" s="33" t="n"/>
      <c r="F673" s="36" t="n"/>
      <c r="G673" s="31" t="n"/>
      <c r="H673" s="37">
        <f>IF(A673="","",(YEAR(A673)-YEAR(Config!$B$6))*12+MONTH(A673)-MONTH(Config!$B$6)+1)</f>
        <v/>
      </c>
      <c r="I673" s="19">
        <f>IF(AND(A673="",B673="",E673=""),"",IF(A673="","Falta data",IF(B673="","Falta categoria",IF(E673="","Falta valor",IF(C673="Categoria inválida","Categoria inválida",IF(OR(H673&lt;1,H673&gt;12),"Fora dos 12 meses","OK"))))))</f>
        <v/>
      </c>
    </row>
    <row r="674">
      <c r="A674" s="35" t="n"/>
      <c r="B674" s="31" t="n"/>
      <c r="C674" s="19">
        <f>IF(B674="","",IF(COUNTIF(Config!$D$6:$D$15,B674)&gt;0,"Entrada",IF(COUNTIF(Config!$F$6:$F$25,B674)&gt;0,"Saída","Categoria inválida")))</f>
        <v/>
      </c>
      <c r="D674" s="31" t="n"/>
      <c r="E674" s="33" t="n"/>
      <c r="F674" s="36" t="n"/>
      <c r="G674" s="31" t="n"/>
      <c r="H674" s="37">
        <f>IF(A674="","",(YEAR(A674)-YEAR(Config!$B$6))*12+MONTH(A674)-MONTH(Config!$B$6)+1)</f>
        <v/>
      </c>
      <c r="I674" s="19">
        <f>IF(AND(A674="",B674="",E674=""),"",IF(A674="","Falta data",IF(B674="","Falta categoria",IF(E674="","Falta valor",IF(C674="Categoria inválida","Categoria inválida",IF(OR(H674&lt;1,H674&gt;12),"Fora dos 12 meses","OK"))))))</f>
        <v/>
      </c>
    </row>
    <row r="675">
      <c r="A675" s="35" t="n"/>
      <c r="B675" s="31" t="n"/>
      <c r="C675" s="19">
        <f>IF(B675="","",IF(COUNTIF(Config!$D$6:$D$15,B675)&gt;0,"Entrada",IF(COUNTIF(Config!$F$6:$F$25,B675)&gt;0,"Saída","Categoria inválida")))</f>
        <v/>
      </c>
      <c r="D675" s="31" t="n"/>
      <c r="E675" s="33" t="n"/>
      <c r="F675" s="36" t="n"/>
      <c r="G675" s="31" t="n"/>
      <c r="H675" s="37">
        <f>IF(A675="","",(YEAR(A675)-YEAR(Config!$B$6))*12+MONTH(A675)-MONTH(Config!$B$6)+1)</f>
        <v/>
      </c>
      <c r="I675" s="19">
        <f>IF(AND(A675="",B675="",E675=""),"",IF(A675="","Falta data",IF(B675="","Falta categoria",IF(E675="","Falta valor",IF(C675="Categoria inválida","Categoria inválida",IF(OR(H675&lt;1,H675&gt;12),"Fora dos 12 meses","OK"))))))</f>
        <v/>
      </c>
    </row>
    <row r="676">
      <c r="A676" s="35" t="n"/>
      <c r="B676" s="31" t="n"/>
      <c r="C676" s="19">
        <f>IF(B676="","",IF(COUNTIF(Config!$D$6:$D$15,B676)&gt;0,"Entrada",IF(COUNTIF(Config!$F$6:$F$25,B676)&gt;0,"Saída","Categoria inválida")))</f>
        <v/>
      </c>
      <c r="D676" s="31" t="n"/>
      <c r="E676" s="33" t="n"/>
      <c r="F676" s="36" t="n"/>
      <c r="G676" s="31" t="n"/>
      <c r="H676" s="37">
        <f>IF(A676="","",(YEAR(A676)-YEAR(Config!$B$6))*12+MONTH(A676)-MONTH(Config!$B$6)+1)</f>
        <v/>
      </c>
      <c r="I676" s="19">
        <f>IF(AND(A676="",B676="",E676=""),"",IF(A676="","Falta data",IF(B676="","Falta categoria",IF(E676="","Falta valor",IF(C676="Categoria inválida","Categoria inválida",IF(OR(H676&lt;1,H676&gt;12),"Fora dos 12 meses","OK"))))))</f>
        <v/>
      </c>
    </row>
    <row r="677">
      <c r="A677" s="35" t="n"/>
      <c r="B677" s="31" t="n"/>
      <c r="C677" s="19">
        <f>IF(B677="","",IF(COUNTIF(Config!$D$6:$D$15,B677)&gt;0,"Entrada",IF(COUNTIF(Config!$F$6:$F$25,B677)&gt;0,"Saída","Categoria inválida")))</f>
        <v/>
      </c>
      <c r="D677" s="31" t="n"/>
      <c r="E677" s="33" t="n"/>
      <c r="F677" s="36" t="n"/>
      <c r="G677" s="31" t="n"/>
      <c r="H677" s="37">
        <f>IF(A677="","",(YEAR(A677)-YEAR(Config!$B$6))*12+MONTH(A677)-MONTH(Config!$B$6)+1)</f>
        <v/>
      </c>
      <c r="I677" s="19">
        <f>IF(AND(A677="",B677="",E677=""),"",IF(A677="","Falta data",IF(B677="","Falta categoria",IF(E677="","Falta valor",IF(C677="Categoria inválida","Categoria inválida",IF(OR(H677&lt;1,H677&gt;12),"Fora dos 12 meses","OK"))))))</f>
        <v/>
      </c>
    </row>
    <row r="678">
      <c r="A678" s="35" t="n"/>
      <c r="B678" s="31" t="n"/>
      <c r="C678" s="19">
        <f>IF(B678="","",IF(COUNTIF(Config!$D$6:$D$15,B678)&gt;0,"Entrada",IF(COUNTIF(Config!$F$6:$F$25,B678)&gt;0,"Saída","Categoria inválida")))</f>
        <v/>
      </c>
      <c r="D678" s="31" t="n"/>
      <c r="E678" s="33" t="n"/>
      <c r="F678" s="36" t="n"/>
      <c r="G678" s="31" t="n"/>
      <c r="H678" s="37">
        <f>IF(A678="","",(YEAR(A678)-YEAR(Config!$B$6))*12+MONTH(A678)-MONTH(Config!$B$6)+1)</f>
        <v/>
      </c>
      <c r="I678" s="19">
        <f>IF(AND(A678="",B678="",E678=""),"",IF(A678="","Falta data",IF(B678="","Falta categoria",IF(E678="","Falta valor",IF(C678="Categoria inválida","Categoria inválida",IF(OR(H678&lt;1,H678&gt;12),"Fora dos 12 meses","OK"))))))</f>
        <v/>
      </c>
    </row>
    <row r="679">
      <c r="A679" s="35" t="n"/>
      <c r="B679" s="31" t="n"/>
      <c r="C679" s="19">
        <f>IF(B679="","",IF(COUNTIF(Config!$D$6:$D$15,B679)&gt;0,"Entrada",IF(COUNTIF(Config!$F$6:$F$25,B679)&gt;0,"Saída","Categoria inválida")))</f>
        <v/>
      </c>
      <c r="D679" s="31" t="n"/>
      <c r="E679" s="33" t="n"/>
      <c r="F679" s="36" t="n"/>
      <c r="G679" s="31" t="n"/>
      <c r="H679" s="37">
        <f>IF(A679="","",(YEAR(A679)-YEAR(Config!$B$6))*12+MONTH(A679)-MONTH(Config!$B$6)+1)</f>
        <v/>
      </c>
      <c r="I679" s="19">
        <f>IF(AND(A679="",B679="",E679=""),"",IF(A679="","Falta data",IF(B679="","Falta categoria",IF(E679="","Falta valor",IF(C679="Categoria inválida","Categoria inválida",IF(OR(H679&lt;1,H679&gt;12),"Fora dos 12 meses","OK"))))))</f>
        <v/>
      </c>
    </row>
    <row r="680">
      <c r="A680" s="35" t="n"/>
      <c r="B680" s="31" t="n"/>
      <c r="C680" s="19">
        <f>IF(B680="","",IF(COUNTIF(Config!$D$6:$D$15,B680)&gt;0,"Entrada",IF(COUNTIF(Config!$F$6:$F$25,B680)&gt;0,"Saída","Categoria inválida")))</f>
        <v/>
      </c>
      <c r="D680" s="31" t="n"/>
      <c r="E680" s="33" t="n"/>
      <c r="F680" s="36" t="n"/>
      <c r="G680" s="31" t="n"/>
      <c r="H680" s="37">
        <f>IF(A680="","",(YEAR(A680)-YEAR(Config!$B$6))*12+MONTH(A680)-MONTH(Config!$B$6)+1)</f>
        <v/>
      </c>
      <c r="I680" s="19">
        <f>IF(AND(A680="",B680="",E680=""),"",IF(A680="","Falta data",IF(B680="","Falta categoria",IF(E680="","Falta valor",IF(C680="Categoria inválida","Categoria inválida",IF(OR(H680&lt;1,H680&gt;12),"Fora dos 12 meses","OK"))))))</f>
        <v/>
      </c>
    </row>
    <row r="681">
      <c r="A681" s="35" t="n"/>
      <c r="B681" s="31" t="n"/>
      <c r="C681" s="19">
        <f>IF(B681="","",IF(COUNTIF(Config!$D$6:$D$15,B681)&gt;0,"Entrada",IF(COUNTIF(Config!$F$6:$F$25,B681)&gt;0,"Saída","Categoria inválida")))</f>
        <v/>
      </c>
      <c r="D681" s="31" t="n"/>
      <c r="E681" s="33" t="n"/>
      <c r="F681" s="36" t="n"/>
      <c r="G681" s="31" t="n"/>
      <c r="H681" s="37">
        <f>IF(A681="","",(YEAR(A681)-YEAR(Config!$B$6))*12+MONTH(A681)-MONTH(Config!$B$6)+1)</f>
        <v/>
      </c>
      <c r="I681" s="19">
        <f>IF(AND(A681="",B681="",E681=""),"",IF(A681="","Falta data",IF(B681="","Falta categoria",IF(E681="","Falta valor",IF(C681="Categoria inválida","Categoria inválida",IF(OR(H681&lt;1,H681&gt;12),"Fora dos 12 meses","OK"))))))</f>
        <v/>
      </c>
    </row>
    <row r="682">
      <c r="A682" s="35" t="n"/>
      <c r="B682" s="31" t="n"/>
      <c r="C682" s="19">
        <f>IF(B682="","",IF(COUNTIF(Config!$D$6:$D$15,B682)&gt;0,"Entrada",IF(COUNTIF(Config!$F$6:$F$25,B682)&gt;0,"Saída","Categoria inválida")))</f>
        <v/>
      </c>
      <c r="D682" s="31" t="n"/>
      <c r="E682" s="33" t="n"/>
      <c r="F682" s="36" t="n"/>
      <c r="G682" s="31" t="n"/>
      <c r="H682" s="37">
        <f>IF(A682="","",(YEAR(A682)-YEAR(Config!$B$6))*12+MONTH(A682)-MONTH(Config!$B$6)+1)</f>
        <v/>
      </c>
      <c r="I682" s="19">
        <f>IF(AND(A682="",B682="",E682=""),"",IF(A682="","Falta data",IF(B682="","Falta categoria",IF(E682="","Falta valor",IF(C682="Categoria inválida","Categoria inválida",IF(OR(H682&lt;1,H682&gt;12),"Fora dos 12 meses","OK"))))))</f>
        <v/>
      </c>
    </row>
    <row r="683">
      <c r="A683" s="35" t="n"/>
      <c r="B683" s="31" t="n"/>
      <c r="C683" s="19">
        <f>IF(B683="","",IF(COUNTIF(Config!$D$6:$D$15,B683)&gt;0,"Entrada",IF(COUNTIF(Config!$F$6:$F$25,B683)&gt;0,"Saída","Categoria inválida")))</f>
        <v/>
      </c>
      <c r="D683" s="31" t="n"/>
      <c r="E683" s="33" t="n"/>
      <c r="F683" s="36" t="n"/>
      <c r="G683" s="31" t="n"/>
      <c r="H683" s="37">
        <f>IF(A683="","",(YEAR(A683)-YEAR(Config!$B$6))*12+MONTH(A683)-MONTH(Config!$B$6)+1)</f>
        <v/>
      </c>
      <c r="I683" s="19">
        <f>IF(AND(A683="",B683="",E683=""),"",IF(A683="","Falta data",IF(B683="","Falta categoria",IF(E683="","Falta valor",IF(C683="Categoria inválida","Categoria inválida",IF(OR(H683&lt;1,H683&gt;12),"Fora dos 12 meses","OK"))))))</f>
        <v/>
      </c>
    </row>
    <row r="684">
      <c r="A684" s="35" t="n"/>
      <c r="B684" s="31" t="n"/>
      <c r="C684" s="19">
        <f>IF(B684="","",IF(COUNTIF(Config!$D$6:$D$15,B684)&gt;0,"Entrada",IF(COUNTIF(Config!$F$6:$F$25,B684)&gt;0,"Saída","Categoria inválida")))</f>
        <v/>
      </c>
      <c r="D684" s="31" t="n"/>
      <c r="E684" s="33" t="n"/>
      <c r="F684" s="36" t="n"/>
      <c r="G684" s="31" t="n"/>
      <c r="H684" s="37">
        <f>IF(A684="","",(YEAR(A684)-YEAR(Config!$B$6))*12+MONTH(A684)-MONTH(Config!$B$6)+1)</f>
        <v/>
      </c>
      <c r="I684" s="19">
        <f>IF(AND(A684="",B684="",E684=""),"",IF(A684="","Falta data",IF(B684="","Falta categoria",IF(E684="","Falta valor",IF(C684="Categoria inválida","Categoria inválida",IF(OR(H684&lt;1,H684&gt;12),"Fora dos 12 meses","OK"))))))</f>
        <v/>
      </c>
    </row>
    <row r="685">
      <c r="A685" s="35" t="n"/>
      <c r="B685" s="31" t="n"/>
      <c r="C685" s="19">
        <f>IF(B685="","",IF(COUNTIF(Config!$D$6:$D$15,B685)&gt;0,"Entrada",IF(COUNTIF(Config!$F$6:$F$25,B685)&gt;0,"Saída","Categoria inválida")))</f>
        <v/>
      </c>
      <c r="D685" s="31" t="n"/>
      <c r="E685" s="33" t="n"/>
      <c r="F685" s="36" t="n"/>
      <c r="G685" s="31" t="n"/>
      <c r="H685" s="37">
        <f>IF(A685="","",(YEAR(A685)-YEAR(Config!$B$6))*12+MONTH(A685)-MONTH(Config!$B$6)+1)</f>
        <v/>
      </c>
      <c r="I685" s="19">
        <f>IF(AND(A685="",B685="",E685=""),"",IF(A685="","Falta data",IF(B685="","Falta categoria",IF(E685="","Falta valor",IF(C685="Categoria inválida","Categoria inválida",IF(OR(H685&lt;1,H685&gt;12),"Fora dos 12 meses","OK"))))))</f>
        <v/>
      </c>
    </row>
    <row r="686">
      <c r="A686" s="35" t="n"/>
      <c r="B686" s="31" t="n"/>
      <c r="C686" s="19">
        <f>IF(B686="","",IF(COUNTIF(Config!$D$6:$D$15,B686)&gt;0,"Entrada",IF(COUNTIF(Config!$F$6:$F$25,B686)&gt;0,"Saída","Categoria inválida")))</f>
        <v/>
      </c>
      <c r="D686" s="31" t="n"/>
      <c r="E686" s="33" t="n"/>
      <c r="F686" s="36" t="n"/>
      <c r="G686" s="31" t="n"/>
      <c r="H686" s="37">
        <f>IF(A686="","",(YEAR(A686)-YEAR(Config!$B$6))*12+MONTH(A686)-MONTH(Config!$B$6)+1)</f>
        <v/>
      </c>
      <c r="I686" s="19">
        <f>IF(AND(A686="",B686="",E686=""),"",IF(A686="","Falta data",IF(B686="","Falta categoria",IF(E686="","Falta valor",IF(C686="Categoria inválida","Categoria inválida",IF(OR(H686&lt;1,H686&gt;12),"Fora dos 12 meses","OK"))))))</f>
        <v/>
      </c>
    </row>
    <row r="687">
      <c r="A687" s="35" t="n"/>
      <c r="B687" s="31" t="n"/>
      <c r="C687" s="19">
        <f>IF(B687="","",IF(COUNTIF(Config!$D$6:$D$15,B687)&gt;0,"Entrada",IF(COUNTIF(Config!$F$6:$F$25,B687)&gt;0,"Saída","Categoria inválida")))</f>
        <v/>
      </c>
      <c r="D687" s="31" t="n"/>
      <c r="E687" s="33" t="n"/>
      <c r="F687" s="36" t="n"/>
      <c r="G687" s="31" t="n"/>
      <c r="H687" s="37">
        <f>IF(A687="","",(YEAR(A687)-YEAR(Config!$B$6))*12+MONTH(A687)-MONTH(Config!$B$6)+1)</f>
        <v/>
      </c>
      <c r="I687" s="19">
        <f>IF(AND(A687="",B687="",E687=""),"",IF(A687="","Falta data",IF(B687="","Falta categoria",IF(E687="","Falta valor",IF(C687="Categoria inválida","Categoria inválida",IF(OR(H687&lt;1,H687&gt;12),"Fora dos 12 meses","OK"))))))</f>
        <v/>
      </c>
    </row>
    <row r="688">
      <c r="A688" s="35" t="n"/>
      <c r="B688" s="31" t="n"/>
      <c r="C688" s="19">
        <f>IF(B688="","",IF(COUNTIF(Config!$D$6:$D$15,B688)&gt;0,"Entrada",IF(COUNTIF(Config!$F$6:$F$25,B688)&gt;0,"Saída","Categoria inválida")))</f>
        <v/>
      </c>
      <c r="D688" s="31" t="n"/>
      <c r="E688" s="33" t="n"/>
      <c r="F688" s="36" t="n"/>
      <c r="G688" s="31" t="n"/>
      <c r="H688" s="37">
        <f>IF(A688="","",(YEAR(A688)-YEAR(Config!$B$6))*12+MONTH(A688)-MONTH(Config!$B$6)+1)</f>
        <v/>
      </c>
      <c r="I688" s="19">
        <f>IF(AND(A688="",B688="",E688=""),"",IF(A688="","Falta data",IF(B688="","Falta categoria",IF(E688="","Falta valor",IF(C688="Categoria inválida","Categoria inválida",IF(OR(H688&lt;1,H688&gt;12),"Fora dos 12 meses","OK"))))))</f>
        <v/>
      </c>
    </row>
    <row r="689">
      <c r="A689" s="35" t="n"/>
      <c r="B689" s="31" t="n"/>
      <c r="C689" s="19">
        <f>IF(B689="","",IF(COUNTIF(Config!$D$6:$D$15,B689)&gt;0,"Entrada",IF(COUNTIF(Config!$F$6:$F$25,B689)&gt;0,"Saída","Categoria inválida")))</f>
        <v/>
      </c>
      <c r="D689" s="31" t="n"/>
      <c r="E689" s="33" t="n"/>
      <c r="F689" s="36" t="n"/>
      <c r="G689" s="31" t="n"/>
      <c r="H689" s="37">
        <f>IF(A689="","",(YEAR(A689)-YEAR(Config!$B$6))*12+MONTH(A689)-MONTH(Config!$B$6)+1)</f>
        <v/>
      </c>
      <c r="I689" s="19">
        <f>IF(AND(A689="",B689="",E689=""),"",IF(A689="","Falta data",IF(B689="","Falta categoria",IF(E689="","Falta valor",IF(C689="Categoria inválida","Categoria inválida",IF(OR(H689&lt;1,H689&gt;12),"Fora dos 12 meses","OK"))))))</f>
        <v/>
      </c>
    </row>
    <row r="690">
      <c r="A690" s="35" t="n"/>
      <c r="B690" s="31" t="n"/>
      <c r="C690" s="19">
        <f>IF(B690="","",IF(COUNTIF(Config!$D$6:$D$15,B690)&gt;0,"Entrada",IF(COUNTIF(Config!$F$6:$F$25,B690)&gt;0,"Saída","Categoria inválida")))</f>
        <v/>
      </c>
      <c r="D690" s="31" t="n"/>
      <c r="E690" s="33" t="n"/>
      <c r="F690" s="36" t="n"/>
      <c r="G690" s="31" t="n"/>
      <c r="H690" s="37">
        <f>IF(A690="","",(YEAR(A690)-YEAR(Config!$B$6))*12+MONTH(A690)-MONTH(Config!$B$6)+1)</f>
        <v/>
      </c>
      <c r="I690" s="19">
        <f>IF(AND(A690="",B690="",E690=""),"",IF(A690="","Falta data",IF(B690="","Falta categoria",IF(E690="","Falta valor",IF(C690="Categoria inválida","Categoria inválida",IF(OR(H690&lt;1,H690&gt;12),"Fora dos 12 meses","OK"))))))</f>
        <v/>
      </c>
    </row>
    <row r="691">
      <c r="A691" s="35" t="n"/>
      <c r="B691" s="31" t="n"/>
      <c r="C691" s="19">
        <f>IF(B691="","",IF(COUNTIF(Config!$D$6:$D$15,B691)&gt;0,"Entrada",IF(COUNTIF(Config!$F$6:$F$25,B691)&gt;0,"Saída","Categoria inválida")))</f>
        <v/>
      </c>
      <c r="D691" s="31" t="n"/>
      <c r="E691" s="33" t="n"/>
      <c r="F691" s="36" t="n"/>
      <c r="G691" s="31" t="n"/>
      <c r="H691" s="37">
        <f>IF(A691="","",(YEAR(A691)-YEAR(Config!$B$6))*12+MONTH(A691)-MONTH(Config!$B$6)+1)</f>
        <v/>
      </c>
      <c r="I691" s="19">
        <f>IF(AND(A691="",B691="",E691=""),"",IF(A691="","Falta data",IF(B691="","Falta categoria",IF(E691="","Falta valor",IF(C691="Categoria inválida","Categoria inválida",IF(OR(H691&lt;1,H691&gt;12),"Fora dos 12 meses","OK"))))))</f>
        <v/>
      </c>
    </row>
    <row r="692">
      <c r="A692" s="35" t="n"/>
      <c r="B692" s="31" t="n"/>
      <c r="C692" s="19">
        <f>IF(B692="","",IF(COUNTIF(Config!$D$6:$D$15,B692)&gt;0,"Entrada",IF(COUNTIF(Config!$F$6:$F$25,B692)&gt;0,"Saída","Categoria inválida")))</f>
        <v/>
      </c>
      <c r="D692" s="31" t="n"/>
      <c r="E692" s="33" t="n"/>
      <c r="F692" s="36" t="n"/>
      <c r="G692" s="31" t="n"/>
      <c r="H692" s="37">
        <f>IF(A692="","",(YEAR(A692)-YEAR(Config!$B$6))*12+MONTH(A692)-MONTH(Config!$B$6)+1)</f>
        <v/>
      </c>
      <c r="I692" s="19">
        <f>IF(AND(A692="",B692="",E692=""),"",IF(A692="","Falta data",IF(B692="","Falta categoria",IF(E692="","Falta valor",IF(C692="Categoria inválida","Categoria inválida",IF(OR(H692&lt;1,H692&gt;12),"Fora dos 12 meses","OK"))))))</f>
        <v/>
      </c>
    </row>
    <row r="693">
      <c r="A693" s="35" t="n"/>
      <c r="B693" s="31" t="n"/>
      <c r="C693" s="19">
        <f>IF(B693="","",IF(COUNTIF(Config!$D$6:$D$15,B693)&gt;0,"Entrada",IF(COUNTIF(Config!$F$6:$F$25,B693)&gt;0,"Saída","Categoria inválida")))</f>
        <v/>
      </c>
      <c r="D693" s="31" t="n"/>
      <c r="E693" s="33" t="n"/>
      <c r="F693" s="36" t="n"/>
      <c r="G693" s="31" t="n"/>
      <c r="H693" s="37">
        <f>IF(A693="","",(YEAR(A693)-YEAR(Config!$B$6))*12+MONTH(A693)-MONTH(Config!$B$6)+1)</f>
        <v/>
      </c>
      <c r="I693" s="19">
        <f>IF(AND(A693="",B693="",E693=""),"",IF(A693="","Falta data",IF(B693="","Falta categoria",IF(E693="","Falta valor",IF(C693="Categoria inválida","Categoria inválida",IF(OR(H693&lt;1,H693&gt;12),"Fora dos 12 meses","OK"))))))</f>
        <v/>
      </c>
    </row>
    <row r="694">
      <c r="A694" s="35" t="n"/>
      <c r="B694" s="31" t="n"/>
      <c r="C694" s="19">
        <f>IF(B694="","",IF(COUNTIF(Config!$D$6:$D$15,B694)&gt;0,"Entrada",IF(COUNTIF(Config!$F$6:$F$25,B694)&gt;0,"Saída","Categoria inválida")))</f>
        <v/>
      </c>
      <c r="D694" s="31" t="n"/>
      <c r="E694" s="33" t="n"/>
      <c r="F694" s="36" t="n"/>
      <c r="G694" s="31" t="n"/>
      <c r="H694" s="37">
        <f>IF(A694="","",(YEAR(A694)-YEAR(Config!$B$6))*12+MONTH(A694)-MONTH(Config!$B$6)+1)</f>
        <v/>
      </c>
      <c r="I694" s="19">
        <f>IF(AND(A694="",B694="",E694=""),"",IF(A694="","Falta data",IF(B694="","Falta categoria",IF(E694="","Falta valor",IF(C694="Categoria inválida","Categoria inválida",IF(OR(H694&lt;1,H694&gt;12),"Fora dos 12 meses","OK"))))))</f>
        <v/>
      </c>
    </row>
    <row r="695">
      <c r="A695" s="35" t="n"/>
      <c r="B695" s="31" t="n"/>
      <c r="C695" s="19">
        <f>IF(B695="","",IF(COUNTIF(Config!$D$6:$D$15,B695)&gt;0,"Entrada",IF(COUNTIF(Config!$F$6:$F$25,B695)&gt;0,"Saída","Categoria inválida")))</f>
        <v/>
      </c>
      <c r="D695" s="31" t="n"/>
      <c r="E695" s="33" t="n"/>
      <c r="F695" s="36" t="n"/>
      <c r="G695" s="31" t="n"/>
      <c r="H695" s="37">
        <f>IF(A695="","",(YEAR(A695)-YEAR(Config!$B$6))*12+MONTH(A695)-MONTH(Config!$B$6)+1)</f>
        <v/>
      </c>
      <c r="I695" s="19">
        <f>IF(AND(A695="",B695="",E695=""),"",IF(A695="","Falta data",IF(B695="","Falta categoria",IF(E695="","Falta valor",IF(C695="Categoria inválida","Categoria inválida",IF(OR(H695&lt;1,H695&gt;12),"Fora dos 12 meses","OK"))))))</f>
        <v/>
      </c>
    </row>
    <row r="696">
      <c r="A696" s="35" t="n"/>
      <c r="B696" s="31" t="n"/>
      <c r="C696" s="19">
        <f>IF(B696="","",IF(COUNTIF(Config!$D$6:$D$15,B696)&gt;0,"Entrada",IF(COUNTIF(Config!$F$6:$F$25,B696)&gt;0,"Saída","Categoria inválida")))</f>
        <v/>
      </c>
      <c r="D696" s="31" t="n"/>
      <c r="E696" s="33" t="n"/>
      <c r="F696" s="36" t="n"/>
      <c r="G696" s="31" t="n"/>
      <c r="H696" s="37">
        <f>IF(A696="","",(YEAR(A696)-YEAR(Config!$B$6))*12+MONTH(A696)-MONTH(Config!$B$6)+1)</f>
        <v/>
      </c>
      <c r="I696" s="19">
        <f>IF(AND(A696="",B696="",E696=""),"",IF(A696="","Falta data",IF(B696="","Falta categoria",IF(E696="","Falta valor",IF(C696="Categoria inválida","Categoria inválida",IF(OR(H696&lt;1,H696&gt;12),"Fora dos 12 meses","OK"))))))</f>
        <v/>
      </c>
    </row>
    <row r="697">
      <c r="A697" s="35" t="n"/>
      <c r="B697" s="31" t="n"/>
      <c r="C697" s="19">
        <f>IF(B697="","",IF(COUNTIF(Config!$D$6:$D$15,B697)&gt;0,"Entrada",IF(COUNTIF(Config!$F$6:$F$25,B697)&gt;0,"Saída","Categoria inválida")))</f>
        <v/>
      </c>
      <c r="D697" s="31" t="n"/>
      <c r="E697" s="33" t="n"/>
      <c r="F697" s="36" t="n"/>
      <c r="G697" s="31" t="n"/>
      <c r="H697" s="37">
        <f>IF(A697="","",(YEAR(A697)-YEAR(Config!$B$6))*12+MONTH(A697)-MONTH(Config!$B$6)+1)</f>
        <v/>
      </c>
      <c r="I697" s="19">
        <f>IF(AND(A697="",B697="",E697=""),"",IF(A697="","Falta data",IF(B697="","Falta categoria",IF(E697="","Falta valor",IF(C697="Categoria inválida","Categoria inválida",IF(OR(H697&lt;1,H697&gt;12),"Fora dos 12 meses","OK"))))))</f>
        <v/>
      </c>
    </row>
    <row r="698">
      <c r="A698" s="35" t="n"/>
      <c r="B698" s="31" t="n"/>
      <c r="C698" s="19">
        <f>IF(B698="","",IF(COUNTIF(Config!$D$6:$D$15,B698)&gt;0,"Entrada",IF(COUNTIF(Config!$F$6:$F$25,B698)&gt;0,"Saída","Categoria inválida")))</f>
        <v/>
      </c>
      <c r="D698" s="31" t="n"/>
      <c r="E698" s="33" t="n"/>
      <c r="F698" s="36" t="n"/>
      <c r="G698" s="31" t="n"/>
      <c r="H698" s="37">
        <f>IF(A698="","",(YEAR(A698)-YEAR(Config!$B$6))*12+MONTH(A698)-MONTH(Config!$B$6)+1)</f>
        <v/>
      </c>
      <c r="I698" s="19">
        <f>IF(AND(A698="",B698="",E698=""),"",IF(A698="","Falta data",IF(B698="","Falta categoria",IF(E698="","Falta valor",IF(C698="Categoria inválida","Categoria inválida",IF(OR(H698&lt;1,H698&gt;12),"Fora dos 12 meses","OK"))))))</f>
        <v/>
      </c>
    </row>
    <row r="699">
      <c r="A699" s="35" t="n"/>
      <c r="B699" s="31" t="n"/>
      <c r="C699" s="19">
        <f>IF(B699="","",IF(COUNTIF(Config!$D$6:$D$15,B699)&gt;0,"Entrada",IF(COUNTIF(Config!$F$6:$F$25,B699)&gt;0,"Saída","Categoria inválida")))</f>
        <v/>
      </c>
      <c r="D699" s="31" t="n"/>
      <c r="E699" s="33" t="n"/>
      <c r="F699" s="36" t="n"/>
      <c r="G699" s="31" t="n"/>
      <c r="H699" s="37">
        <f>IF(A699="","",(YEAR(A699)-YEAR(Config!$B$6))*12+MONTH(A699)-MONTH(Config!$B$6)+1)</f>
        <v/>
      </c>
      <c r="I699" s="19">
        <f>IF(AND(A699="",B699="",E699=""),"",IF(A699="","Falta data",IF(B699="","Falta categoria",IF(E699="","Falta valor",IF(C699="Categoria inválida","Categoria inválida",IF(OR(H699&lt;1,H699&gt;12),"Fora dos 12 meses","OK"))))))</f>
        <v/>
      </c>
    </row>
    <row r="700">
      <c r="A700" s="35" t="n"/>
      <c r="B700" s="31" t="n"/>
      <c r="C700" s="19">
        <f>IF(B700="","",IF(COUNTIF(Config!$D$6:$D$15,B700)&gt;0,"Entrada",IF(COUNTIF(Config!$F$6:$F$25,B700)&gt;0,"Saída","Categoria inválida")))</f>
        <v/>
      </c>
      <c r="D700" s="31" t="n"/>
      <c r="E700" s="33" t="n"/>
      <c r="F700" s="36" t="n"/>
      <c r="G700" s="31" t="n"/>
      <c r="H700" s="37">
        <f>IF(A700="","",(YEAR(A700)-YEAR(Config!$B$6))*12+MONTH(A700)-MONTH(Config!$B$6)+1)</f>
        <v/>
      </c>
      <c r="I700" s="19">
        <f>IF(AND(A700="",B700="",E700=""),"",IF(A700="","Falta data",IF(B700="","Falta categoria",IF(E700="","Falta valor",IF(C700="Categoria inválida","Categoria inválida",IF(OR(H700&lt;1,H700&gt;12),"Fora dos 12 meses","OK"))))))</f>
        <v/>
      </c>
    </row>
    <row r="701">
      <c r="A701" s="35" t="n"/>
      <c r="B701" s="31" t="n"/>
      <c r="C701" s="19">
        <f>IF(B701="","",IF(COUNTIF(Config!$D$6:$D$15,B701)&gt;0,"Entrada",IF(COUNTIF(Config!$F$6:$F$25,B701)&gt;0,"Saída","Categoria inválida")))</f>
        <v/>
      </c>
      <c r="D701" s="31" t="n"/>
      <c r="E701" s="33" t="n"/>
      <c r="F701" s="36" t="n"/>
      <c r="G701" s="31" t="n"/>
      <c r="H701" s="37">
        <f>IF(A701="","",(YEAR(A701)-YEAR(Config!$B$6))*12+MONTH(A701)-MONTH(Config!$B$6)+1)</f>
        <v/>
      </c>
      <c r="I701" s="19">
        <f>IF(AND(A701="",B701="",E701=""),"",IF(A701="","Falta data",IF(B701="","Falta categoria",IF(E701="","Falta valor",IF(C701="Categoria inválida","Categoria inválida",IF(OR(H701&lt;1,H701&gt;12),"Fora dos 12 meses","OK"))))))</f>
        <v/>
      </c>
    </row>
    <row r="702">
      <c r="A702" s="35" t="n"/>
      <c r="B702" s="31" t="n"/>
      <c r="C702" s="19">
        <f>IF(B702="","",IF(COUNTIF(Config!$D$6:$D$15,B702)&gt;0,"Entrada",IF(COUNTIF(Config!$F$6:$F$25,B702)&gt;0,"Saída","Categoria inválida")))</f>
        <v/>
      </c>
      <c r="D702" s="31" t="n"/>
      <c r="E702" s="33" t="n"/>
      <c r="F702" s="36" t="n"/>
      <c r="G702" s="31" t="n"/>
      <c r="H702" s="37">
        <f>IF(A702="","",(YEAR(A702)-YEAR(Config!$B$6))*12+MONTH(A702)-MONTH(Config!$B$6)+1)</f>
        <v/>
      </c>
      <c r="I702" s="19">
        <f>IF(AND(A702="",B702="",E702=""),"",IF(A702="","Falta data",IF(B702="","Falta categoria",IF(E702="","Falta valor",IF(C702="Categoria inválida","Categoria inválida",IF(OR(H702&lt;1,H702&gt;12),"Fora dos 12 meses","OK"))))))</f>
        <v/>
      </c>
    </row>
    <row r="703">
      <c r="A703" s="35" t="n"/>
      <c r="B703" s="31" t="n"/>
      <c r="C703" s="19">
        <f>IF(B703="","",IF(COUNTIF(Config!$D$6:$D$15,B703)&gt;0,"Entrada",IF(COUNTIF(Config!$F$6:$F$25,B703)&gt;0,"Saída","Categoria inválida")))</f>
        <v/>
      </c>
      <c r="D703" s="31" t="n"/>
      <c r="E703" s="33" t="n"/>
      <c r="F703" s="36" t="n"/>
      <c r="G703" s="31" t="n"/>
      <c r="H703" s="37">
        <f>IF(A703="","",(YEAR(A703)-YEAR(Config!$B$6))*12+MONTH(A703)-MONTH(Config!$B$6)+1)</f>
        <v/>
      </c>
      <c r="I703" s="19">
        <f>IF(AND(A703="",B703="",E703=""),"",IF(A703="","Falta data",IF(B703="","Falta categoria",IF(E703="","Falta valor",IF(C703="Categoria inválida","Categoria inválida",IF(OR(H703&lt;1,H703&gt;12),"Fora dos 12 meses","OK"))))))</f>
        <v/>
      </c>
    </row>
    <row r="704">
      <c r="A704" s="35" t="n"/>
      <c r="B704" s="31" t="n"/>
      <c r="C704" s="19">
        <f>IF(B704="","",IF(COUNTIF(Config!$D$6:$D$15,B704)&gt;0,"Entrada",IF(COUNTIF(Config!$F$6:$F$25,B704)&gt;0,"Saída","Categoria inválida")))</f>
        <v/>
      </c>
      <c r="D704" s="31" t="n"/>
      <c r="E704" s="33" t="n"/>
      <c r="F704" s="36" t="n"/>
      <c r="G704" s="31" t="n"/>
      <c r="H704" s="37">
        <f>IF(A704="","",(YEAR(A704)-YEAR(Config!$B$6))*12+MONTH(A704)-MONTH(Config!$B$6)+1)</f>
        <v/>
      </c>
      <c r="I704" s="19">
        <f>IF(AND(A704="",B704="",E704=""),"",IF(A704="","Falta data",IF(B704="","Falta categoria",IF(E704="","Falta valor",IF(C704="Categoria inválida","Categoria inválida",IF(OR(H704&lt;1,H704&gt;12),"Fora dos 12 meses","OK"))))))</f>
        <v/>
      </c>
    </row>
    <row r="705">
      <c r="A705" s="35" t="n"/>
      <c r="B705" s="31" t="n"/>
      <c r="C705" s="19">
        <f>IF(B705="","",IF(COUNTIF(Config!$D$6:$D$15,B705)&gt;0,"Entrada",IF(COUNTIF(Config!$F$6:$F$25,B705)&gt;0,"Saída","Categoria inválida")))</f>
        <v/>
      </c>
      <c r="D705" s="31" t="n"/>
      <c r="E705" s="33" t="n"/>
      <c r="F705" s="36" t="n"/>
      <c r="G705" s="31" t="n"/>
      <c r="H705" s="37">
        <f>IF(A705="","",(YEAR(A705)-YEAR(Config!$B$6))*12+MONTH(A705)-MONTH(Config!$B$6)+1)</f>
        <v/>
      </c>
      <c r="I705" s="19">
        <f>IF(AND(A705="",B705="",E705=""),"",IF(A705="","Falta data",IF(B705="","Falta categoria",IF(E705="","Falta valor",IF(C705="Categoria inválida","Categoria inválida",IF(OR(H705&lt;1,H705&gt;12),"Fora dos 12 meses","OK"))))))</f>
        <v/>
      </c>
    </row>
    <row r="706">
      <c r="A706" s="35" t="n"/>
      <c r="B706" s="31" t="n"/>
      <c r="C706" s="19">
        <f>IF(B706="","",IF(COUNTIF(Config!$D$6:$D$15,B706)&gt;0,"Entrada",IF(COUNTIF(Config!$F$6:$F$25,B706)&gt;0,"Saída","Categoria inválida")))</f>
        <v/>
      </c>
      <c r="D706" s="31" t="n"/>
      <c r="E706" s="33" t="n"/>
      <c r="F706" s="36" t="n"/>
      <c r="G706" s="31" t="n"/>
      <c r="H706" s="37">
        <f>IF(A706="","",(YEAR(A706)-YEAR(Config!$B$6))*12+MONTH(A706)-MONTH(Config!$B$6)+1)</f>
        <v/>
      </c>
      <c r="I706" s="19">
        <f>IF(AND(A706="",B706="",E706=""),"",IF(A706="","Falta data",IF(B706="","Falta categoria",IF(E706="","Falta valor",IF(C706="Categoria inválida","Categoria inválida",IF(OR(H706&lt;1,H706&gt;12),"Fora dos 12 meses","OK"))))))</f>
        <v/>
      </c>
    </row>
    <row r="707">
      <c r="A707" s="35" t="n"/>
      <c r="B707" s="31" t="n"/>
      <c r="C707" s="19">
        <f>IF(B707="","",IF(COUNTIF(Config!$D$6:$D$15,B707)&gt;0,"Entrada",IF(COUNTIF(Config!$F$6:$F$25,B707)&gt;0,"Saída","Categoria inválida")))</f>
        <v/>
      </c>
      <c r="D707" s="31" t="n"/>
      <c r="E707" s="33" t="n"/>
      <c r="F707" s="36" t="n"/>
      <c r="G707" s="31" t="n"/>
      <c r="H707" s="37">
        <f>IF(A707="","",(YEAR(A707)-YEAR(Config!$B$6))*12+MONTH(A707)-MONTH(Config!$B$6)+1)</f>
        <v/>
      </c>
      <c r="I707" s="19">
        <f>IF(AND(A707="",B707="",E707=""),"",IF(A707="","Falta data",IF(B707="","Falta categoria",IF(E707="","Falta valor",IF(C707="Categoria inválida","Categoria inválida",IF(OR(H707&lt;1,H707&gt;12),"Fora dos 12 meses","OK"))))))</f>
        <v/>
      </c>
    </row>
    <row r="708">
      <c r="A708" s="35" t="n"/>
      <c r="B708" s="31" t="n"/>
      <c r="C708" s="19">
        <f>IF(B708="","",IF(COUNTIF(Config!$D$6:$D$15,B708)&gt;0,"Entrada",IF(COUNTIF(Config!$F$6:$F$25,B708)&gt;0,"Saída","Categoria inválida")))</f>
        <v/>
      </c>
      <c r="D708" s="31" t="n"/>
      <c r="E708" s="33" t="n"/>
      <c r="F708" s="36" t="n"/>
      <c r="G708" s="31" t="n"/>
      <c r="H708" s="37">
        <f>IF(A708="","",(YEAR(A708)-YEAR(Config!$B$6))*12+MONTH(A708)-MONTH(Config!$B$6)+1)</f>
        <v/>
      </c>
      <c r="I708" s="19">
        <f>IF(AND(A708="",B708="",E708=""),"",IF(A708="","Falta data",IF(B708="","Falta categoria",IF(E708="","Falta valor",IF(C708="Categoria inválida","Categoria inválida",IF(OR(H708&lt;1,H708&gt;12),"Fora dos 12 meses","OK"))))))</f>
        <v/>
      </c>
    </row>
    <row r="709">
      <c r="A709" s="35" t="n"/>
      <c r="B709" s="31" t="n"/>
      <c r="C709" s="19">
        <f>IF(B709="","",IF(COUNTIF(Config!$D$6:$D$15,B709)&gt;0,"Entrada",IF(COUNTIF(Config!$F$6:$F$25,B709)&gt;0,"Saída","Categoria inválida")))</f>
        <v/>
      </c>
      <c r="D709" s="31" t="n"/>
      <c r="E709" s="33" t="n"/>
      <c r="F709" s="36" t="n"/>
      <c r="G709" s="31" t="n"/>
      <c r="H709" s="37">
        <f>IF(A709="","",(YEAR(A709)-YEAR(Config!$B$6))*12+MONTH(A709)-MONTH(Config!$B$6)+1)</f>
        <v/>
      </c>
      <c r="I709" s="19">
        <f>IF(AND(A709="",B709="",E709=""),"",IF(A709="","Falta data",IF(B709="","Falta categoria",IF(E709="","Falta valor",IF(C709="Categoria inválida","Categoria inválida",IF(OR(H709&lt;1,H709&gt;12),"Fora dos 12 meses","OK"))))))</f>
        <v/>
      </c>
    </row>
    <row r="710">
      <c r="A710" s="35" t="n"/>
      <c r="B710" s="31" t="n"/>
      <c r="C710" s="19">
        <f>IF(B710="","",IF(COUNTIF(Config!$D$6:$D$15,B710)&gt;0,"Entrada",IF(COUNTIF(Config!$F$6:$F$25,B710)&gt;0,"Saída","Categoria inválida")))</f>
        <v/>
      </c>
      <c r="D710" s="31" t="n"/>
      <c r="E710" s="33" t="n"/>
      <c r="F710" s="36" t="n"/>
      <c r="G710" s="31" t="n"/>
      <c r="H710" s="37">
        <f>IF(A710="","",(YEAR(A710)-YEAR(Config!$B$6))*12+MONTH(A710)-MONTH(Config!$B$6)+1)</f>
        <v/>
      </c>
      <c r="I710" s="19">
        <f>IF(AND(A710="",B710="",E710=""),"",IF(A710="","Falta data",IF(B710="","Falta categoria",IF(E710="","Falta valor",IF(C710="Categoria inválida","Categoria inválida",IF(OR(H710&lt;1,H710&gt;12),"Fora dos 12 meses","OK"))))))</f>
        <v/>
      </c>
    </row>
    <row r="711">
      <c r="A711" s="35" t="n"/>
      <c r="B711" s="31" t="n"/>
      <c r="C711" s="19">
        <f>IF(B711="","",IF(COUNTIF(Config!$D$6:$D$15,B711)&gt;0,"Entrada",IF(COUNTIF(Config!$F$6:$F$25,B711)&gt;0,"Saída","Categoria inválida")))</f>
        <v/>
      </c>
      <c r="D711" s="31" t="n"/>
      <c r="E711" s="33" t="n"/>
      <c r="F711" s="36" t="n"/>
      <c r="G711" s="31" t="n"/>
      <c r="H711" s="37">
        <f>IF(A711="","",(YEAR(A711)-YEAR(Config!$B$6))*12+MONTH(A711)-MONTH(Config!$B$6)+1)</f>
        <v/>
      </c>
      <c r="I711" s="19">
        <f>IF(AND(A711="",B711="",E711=""),"",IF(A711="","Falta data",IF(B711="","Falta categoria",IF(E711="","Falta valor",IF(C711="Categoria inválida","Categoria inválida",IF(OR(H711&lt;1,H711&gt;12),"Fora dos 12 meses","OK"))))))</f>
        <v/>
      </c>
    </row>
    <row r="712">
      <c r="A712" s="35" t="n"/>
      <c r="B712" s="31" t="n"/>
      <c r="C712" s="19">
        <f>IF(B712="","",IF(COUNTIF(Config!$D$6:$D$15,B712)&gt;0,"Entrada",IF(COUNTIF(Config!$F$6:$F$25,B712)&gt;0,"Saída","Categoria inválida")))</f>
        <v/>
      </c>
      <c r="D712" s="31" t="n"/>
      <c r="E712" s="33" t="n"/>
      <c r="F712" s="36" t="n"/>
      <c r="G712" s="31" t="n"/>
      <c r="H712" s="37">
        <f>IF(A712="","",(YEAR(A712)-YEAR(Config!$B$6))*12+MONTH(A712)-MONTH(Config!$B$6)+1)</f>
        <v/>
      </c>
      <c r="I712" s="19">
        <f>IF(AND(A712="",B712="",E712=""),"",IF(A712="","Falta data",IF(B712="","Falta categoria",IF(E712="","Falta valor",IF(C712="Categoria inválida","Categoria inválida",IF(OR(H712&lt;1,H712&gt;12),"Fora dos 12 meses","OK"))))))</f>
        <v/>
      </c>
    </row>
    <row r="713">
      <c r="A713" s="35" t="n"/>
      <c r="B713" s="31" t="n"/>
      <c r="C713" s="19">
        <f>IF(B713="","",IF(COUNTIF(Config!$D$6:$D$15,B713)&gt;0,"Entrada",IF(COUNTIF(Config!$F$6:$F$25,B713)&gt;0,"Saída","Categoria inválida")))</f>
        <v/>
      </c>
      <c r="D713" s="31" t="n"/>
      <c r="E713" s="33" t="n"/>
      <c r="F713" s="36" t="n"/>
      <c r="G713" s="31" t="n"/>
      <c r="H713" s="37">
        <f>IF(A713="","",(YEAR(A713)-YEAR(Config!$B$6))*12+MONTH(A713)-MONTH(Config!$B$6)+1)</f>
        <v/>
      </c>
      <c r="I713" s="19">
        <f>IF(AND(A713="",B713="",E713=""),"",IF(A713="","Falta data",IF(B713="","Falta categoria",IF(E713="","Falta valor",IF(C713="Categoria inválida","Categoria inválida",IF(OR(H713&lt;1,H713&gt;12),"Fora dos 12 meses","OK"))))))</f>
        <v/>
      </c>
    </row>
    <row r="714">
      <c r="A714" s="35" t="n"/>
      <c r="B714" s="31" t="n"/>
      <c r="C714" s="19">
        <f>IF(B714="","",IF(COUNTIF(Config!$D$6:$D$15,B714)&gt;0,"Entrada",IF(COUNTIF(Config!$F$6:$F$25,B714)&gt;0,"Saída","Categoria inválida")))</f>
        <v/>
      </c>
      <c r="D714" s="31" t="n"/>
      <c r="E714" s="33" t="n"/>
      <c r="F714" s="36" t="n"/>
      <c r="G714" s="31" t="n"/>
      <c r="H714" s="37">
        <f>IF(A714="","",(YEAR(A714)-YEAR(Config!$B$6))*12+MONTH(A714)-MONTH(Config!$B$6)+1)</f>
        <v/>
      </c>
      <c r="I714" s="19">
        <f>IF(AND(A714="",B714="",E714=""),"",IF(A714="","Falta data",IF(B714="","Falta categoria",IF(E714="","Falta valor",IF(C714="Categoria inválida","Categoria inválida",IF(OR(H714&lt;1,H714&gt;12),"Fora dos 12 meses","OK"))))))</f>
        <v/>
      </c>
    </row>
    <row r="715">
      <c r="A715" s="35" t="n"/>
      <c r="B715" s="31" t="n"/>
      <c r="C715" s="19">
        <f>IF(B715="","",IF(COUNTIF(Config!$D$6:$D$15,B715)&gt;0,"Entrada",IF(COUNTIF(Config!$F$6:$F$25,B715)&gt;0,"Saída","Categoria inválida")))</f>
        <v/>
      </c>
      <c r="D715" s="31" t="n"/>
      <c r="E715" s="33" t="n"/>
      <c r="F715" s="36" t="n"/>
      <c r="G715" s="31" t="n"/>
      <c r="H715" s="37">
        <f>IF(A715="","",(YEAR(A715)-YEAR(Config!$B$6))*12+MONTH(A715)-MONTH(Config!$B$6)+1)</f>
        <v/>
      </c>
      <c r="I715" s="19">
        <f>IF(AND(A715="",B715="",E715=""),"",IF(A715="","Falta data",IF(B715="","Falta categoria",IF(E715="","Falta valor",IF(C715="Categoria inválida","Categoria inválida",IF(OR(H715&lt;1,H715&gt;12),"Fora dos 12 meses","OK"))))))</f>
        <v/>
      </c>
    </row>
    <row r="716">
      <c r="A716" s="35" t="n"/>
      <c r="B716" s="31" t="n"/>
      <c r="C716" s="19">
        <f>IF(B716="","",IF(COUNTIF(Config!$D$6:$D$15,B716)&gt;0,"Entrada",IF(COUNTIF(Config!$F$6:$F$25,B716)&gt;0,"Saída","Categoria inválida")))</f>
        <v/>
      </c>
      <c r="D716" s="31" t="n"/>
      <c r="E716" s="33" t="n"/>
      <c r="F716" s="36" t="n"/>
      <c r="G716" s="31" t="n"/>
      <c r="H716" s="37">
        <f>IF(A716="","",(YEAR(A716)-YEAR(Config!$B$6))*12+MONTH(A716)-MONTH(Config!$B$6)+1)</f>
        <v/>
      </c>
      <c r="I716" s="19">
        <f>IF(AND(A716="",B716="",E716=""),"",IF(A716="","Falta data",IF(B716="","Falta categoria",IF(E716="","Falta valor",IF(C716="Categoria inválida","Categoria inválida",IF(OR(H716&lt;1,H716&gt;12),"Fora dos 12 meses","OK"))))))</f>
        <v/>
      </c>
    </row>
    <row r="717">
      <c r="A717" s="35" t="n"/>
      <c r="B717" s="31" t="n"/>
      <c r="C717" s="19">
        <f>IF(B717="","",IF(COUNTIF(Config!$D$6:$D$15,B717)&gt;0,"Entrada",IF(COUNTIF(Config!$F$6:$F$25,B717)&gt;0,"Saída","Categoria inválida")))</f>
        <v/>
      </c>
      <c r="D717" s="31" t="n"/>
      <c r="E717" s="33" t="n"/>
      <c r="F717" s="36" t="n"/>
      <c r="G717" s="31" t="n"/>
      <c r="H717" s="37">
        <f>IF(A717="","",(YEAR(A717)-YEAR(Config!$B$6))*12+MONTH(A717)-MONTH(Config!$B$6)+1)</f>
        <v/>
      </c>
      <c r="I717" s="19">
        <f>IF(AND(A717="",B717="",E717=""),"",IF(A717="","Falta data",IF(B717="","Falta categoria",IF(E717="","Falta valor",IF(C717="Categoria inválida","Categoria inválida",IF(OR(H717&lt;1,H717&gt;12),"Fora dos 12 meses","OK"))))))</f>
        <v/>
      </c>
    </row>
    <row r="718">
      <c r="A718" s="35" t="n"/>
      <c r="B718" s="31" t="n"/>
      <c r="C718" s="19">
        <f>IF(B718="","",IF(COUNTIF(Config!$D$6:$D$15,B718)&gt;0,"Entrada",IF(COUNTIF(Config!$F$6:$F$25,B718)&gt;0,"Saída","Categoria inválida")))</f>
        <v/>
      </c>
      <c r="D718" s="31" t="n"/>
      <c r="E718" s="33" t="n"/>
      <c r="F718" s="36" t="n"/>
      <c r="G718" s="31" t="n"/>
      <c r="H718" s="37">
        <f>IF(A718="","",(YEAR(A718)-YEAR(Config!$B$6))*12+MONTH(A718)-MONTH(Config!$B$6)+1)</f>
        <v/>
      </c>
      <c r="I718" s="19">
        <f>IF(AND(A718="",B718="",E718=""),"",IF(A718="","Falta data",IF(B718="","Falta categoria",IF(E718="","Falta valor",IF(C718="Categoria inválida","Categoria inválida",IF(OR(H718&lt;1,H718&gt;12),"Fora dos 12 meses","OK"))))))</f>
        <v/>
      </c>
    </row>
    <row r="719">
      <c r="A719" s="35" t="n"/>
      <c r="B719" s="31" t="n"/>
      <c r="C719" s="19">
        <f>IF(B719="","",IF(COUNTIF(Config!$D$6:$D$15,B719)&gt;0,"Entrada",IF(COUNTIF(Config!$F$6:$F$25,B719)&gt;0,"Saída","Categoria inválida")))</f>
        <v/>
      </c>
      <c r="D719" s="31" t="n"/>
      <c r="E719" s="33" t="n"/>
      <c r="F719" s="36" t="n"/>
      <c r="G719" s="31" t="n"/>
      <c r="H719" s="37">
        <f>IF(A719="","",(YEAR(A719)-YEAR(Config!$B$6))*12+MONTH(A719)-MONTH(Config!$B$6)+1)</f>
        <v/>
      </c>
      <c r="I719" s="19">
        <f>IF(AND(A719="",B719="",E719=""),"",IF(A719="","Falta data",IF(B719="","Falta categoria",IF(E719="","Falta valor",IF(C719="Categoria inválida","Categoria inválida",IF(OR(H719&lt;1,H719&gt;12),"Fora dos 12 meses","OK"))))))</f>
        <v/>
      </c>
    </row>
    <row r="720">
      <c r="A720" s="35" t="n"/>
      <c r="B720" s="31" t="n"/>
      <c r="C720" s="19">
        <f>IF(B720="","",IF(COUNTIF(Config!$D$6:$D$15,B720)&gt;0,"Entrada",IF(COUNTIF(Config!$F$6:$F$25,B720)&gt;0,"Saída","Categoria inválida")))</f>
        <v/>
      </c>
      <c r="D720" s="31" t="n"/>
      <c r="E720" s="33" t="n"/>
      <c r="F720" s="36" t="n"/>
      <c r="G720" s="31" t="n"/>
      <c r="H720" s="37">
        <f>IF(A720="","",(YEAR(A720)-YEAR(Config!$B$6))*12+MONTH(A720)-MONTH(Config!$B$6)+1)</f>
        <v/>
      </c>
      <c r="I720" s="19">
        <f>IF(AND(A720="",B720="",E720=""),"",IF(A720="","Falta data",IF(B720="","Falta categoria",IF(E720="","Falta valor",IF(C720="Categoria inválida","Categoria inválida",IF(OR(H720&lt;1,H720&gt;12),"Fora dos 12 meses","OK"))))))</f>
        <v/>
      </c>
    </row>
    <row r="721">
      <c r="A721" s="35" t="n"/>
      <c r="B721" s="31" t="n"/>
      <c r="C721" s="19">
        <f>IF(B721="","",IF(COUNTIF(Config!$D$6:$D$15,B721)&gt;0,"Entrada",IF(COUNTIF(Config!$F$6:$F$25,B721)&gt;0,"Saída","Categoria inválida")))</f>
        <v/>
      </c>
      <c r="D721" s="31" t="n"/>
      <c r="E721" s="33" t="n"/>
      <c r="F721" s="36" t="n"/>
      <c r="G721" s="31" t="n"/>
      <c r="H721" s="37">
        <f>IF(A721="","",(YEAR(A721)-YEAR(Config!$B$6))*12+MONTH(A721)-MONTH(Config!$B$6)+1)</f>
        <v/>
      </c>
      <c r="I721" s="19">
        <f>IF(AND(A721="",B721="",E721=""),"",IF(A721="","Falta data",IF(B721="","Falta categoria",IF(E721="","Falta valor",IF(C721="Categoria inválida","Categoria inválida",IF(OR(H721&lt;1,H721&gt;12),"Fora dos 12 meses","OK"))))))</f>
        <v/>
      </c>
    </row>
    <row r="722">
      <c r="A722" s="35" t="n"/>
      <c r="B722" s="31" t="n"/>
      <c r="C722" s="19">
        <f>IF(B722="","",IF(COUNTIF(Config!$D$6:$D$15,B722)&gt;0,"Entrada",IF(COUNTIF(Config!$F$6:$F$25,B722)&gt;0,"Saída","Categoria inválida")))</f>
        <v/>
      </c>
      <c r="D722" s="31" t="n"/>
      <c r="E722" s="33" t="n"/>
      <c r="F722" s="36" t="n"/>
      <c r="G722" s="31" t="n"/>
      <c r="H722" s="37">
        <f>IF(A722="","",(YEAR(A722)-YEAR(Config!$B$6))*12+MONTH(A722)-MONTH(Config!$B$6)+1)</f>
        <v/>
      </c>
      <c r="I722" s="19">
        <f>IF(AND(A722="",B722="",E722=""),"",IF(A722="","Falta data",IF(B722="","Falta categoria",IF(E722="","Falta valor",IF(C722="Categoria inválida","Categoria inválida",IF(OR(H722&lt;1,H722&gt;12),"Fora dos 12 meses","OK"))))))</f>
        <v/>
      </c>
    </row>
    <row r="723">
      <c r="A723" s="35" t="n"/>
      <c r="B723" s="31" t="n"/>
      <c r="C723" s="19">
        <f>IF(B723="","",IF(COUNTIF(Config!$D$6:$D$15,B723)&gt;0,"Entrada",IF(COUNTIF(Config!$F$6:$F$25,B723)&gt;0,"Saída","Categoria inválida")))</f>
        <v/>
      </c>
      <c r="D723" s="31" t="n"/>
      <c r="E723" s="33" t="n"/>
      <c r="F723" s="36" t="n"/>
      <c r="G723" s="31" t="n"/>
      <c r="H723" s="37">
        <f>IF(A723="","",(YEAR(A723)-YEAR(Config!$B$6))*12+MONTH(A723)-MONTH(Config!$B$6)+1)</f>
        <v/>
      </c>
      <c r="I723" s="19">
        <f>IF(AND(A723="",B723="",E723=""),"",IF(A723="","Falta data",IF(B723="","Falta categoria",IF(E723="","Falta valor",IF(C723="Categoria inválida","Categoria inválida",IF(OR(H723&lt;1,H723&gt;12),"Fora dos 12 meses","OK"))))))</f>
        <v/>
      </c>
    </row>
    <row r="724">
      <c r="A724" s="35" t="n"/>
      <c r="B724" s="31" t="n"/>
      <c r="C724" s="19">
        <f>IF(B724="","",IF(COUNTIF(Config!$D$6:$D$15,B724)&gt;0,"Entrada",IF(COUNTIF(Config!$F$6:$F$25,B724)&gt;0,"Saída","Categoria inválida")))</f>
        <v/>
      </c>
      <c r="D724" s="31" t="n"/>
      <c r="E724" s="33" t="n"/>
      <c r="F724" s="36" t="n"/>
      <c r="G724" s="31" t="n"/>
      <c r="H724" s="37">
        <f>IF(A724="","",(YEAR(A724)-YEAR(Config!$B$6))*12+MONTH(A724)-MONTH(Config!$B$6)+1)</f>
        <v/>
      </c>
      <c r="I724" s="19">
        <f>IF(AND(A724="",B724="",E724=""),"",IF(A724="","Falta data",IF(B724="","Falta categoria",IF(E724="","Falta valor",IF(C724="Categoria inválida","Categoria inválida",IF(OR(H724&lt;1,H724&gt;12),"Fora dos 12 meses","OK"))))))</f>
        <v/>
      </c>
    </row>
    <row r="725">
      <c r="A725" s="35" t="n"/>
      <c r="B725" s="31" t="n"/>
      <c r="C725" s="19">
        <f>IF(B725="","",IF(COUNTIF(Config!$D$6:$D$15,B725)&gt;0,"Entrada",IF(COUNTIF(Config!$F$6:$F$25,B725)&gt;0,"Saída","Categoria inválida")))</f>
        <v/>
      </c>
      <c r="D725" s="31" t="n"/>
      <c r="E725" s="33" t="n"/>
      <c r="F725" s="36" t="n"/>
      <c r="G725" s="31" t="n"/>
      <c r="H725" s="37">
        <f>IF(A725="","",(YEAR(A725)-YEAR(Config!$B$6))*12+MONTH(A725)-MONTH(Config!$B$6)+1)</f>
        <v/>
      </c>
      <c r="I725" s="19">
        <f>IF(AND(A725="",B725="",E725=""),"",IF(A725="","Falta data",IF(B725="","Falta categoria",IF(E725="","Falta valor",IF(C725="Categoria inválida","Categoria inválida",IF(OR(H725&lt;1,H725&gt;12),"Fora dos 12 meses","OK"))))))</f>
        <v/>
      </c>
    </row>
    <row r="726">
      <c r="A726" s="35" t="n"/>
      <c r="B726" s="31" t="n"/>
      <c r="C726" s="19">
        <f>IF(B726="","",IF(COUNTIF(Config!$D$6:$D$15,B726)&gt;0,"Entrada",IF(COUNTIF(Config!$F$6:$F$25,B726)&gt;0,"Saída","Categoria inválida")))</f>
        <v/>
      </c>
      <c r="D726" s="31" t="n"/>
      <c r="E726" s="33" t="n"/>
      <c r="F726" s="36" t="n"/>
      <c r="G726" s="31" t="n"/>
      <c r="H726" s="37">
        <f>IF(A726="","",(YEAR(A726)-YEAR(Config!$B$6))*12+MONTH(A726)-MONTH(Config!$B$6)+1)</f>
        <v/>
      </c>
      <c r="I726" s="19">
        <f>IF(AND(A726="",B726="",E726=""),"",IF(A726="","Falta data",IF(B726="","Falta categoria",IF(E726="","Falta valor",IF(C726="Categoria inválida","Categoria inválida",IF(OR(H726&lt;1,H726&gt;12),"Fora dos 12 meses","OK"))))))</f>
        <v/>
      </c>
    </row>
    <row r="727">
      <c r="A727" s="35" t="n"/>
      <c r="B727" s="31" t="n"/>
      <c r="C727" s="19">
        <f>IF(B727="","",IF(COUNTIF(Config!$D$6:$D$15,B727)&gt;0,"Entrada",IF(COUNTIF(Config!$F$6:$F$25,B727)&gt;0,"Saída","Categoria inválida")))</f>
        <v/>
      </c>
      <c r="D727" s="31" t="n"/>
      <c r="E727" s="33" t="n"/>
      <c r="F727" s="36" t="n"/>
      <c r="G727" s="31" t="n"/>
      <c r="H727" s="37">
        <f>IF(A727="","",(YEAR(A727)-YEAR(Config!$B$6))*12+MONTH(A727)-MONTH(Config!$B$6)+1)</f>
        <v/>
      </c>
      <c r="I727" s="19">
        <f>IF(AND(A727="",B727="",E727=""),"",IF(A727="","Falta data",IF(B727="","Falta categoria",IF(E727="","Falta valor",IF(C727="Categoria inválida","Categoria inválida",IF(OR(H727&lt;1,H727&gt;12),"Fora dos 12 meses","OK"))))))</f>
        <v/>
      </c>
    </row>
    <row r="728">
      <c r="A728" s="35" t="n"/>
      <c r="B728" s="31" t="n"/>
      <c r="C728" s="19">
        <f>IF(B728="","",IF(COUNTIF(Config!$D$6:$D$15,B728)&gt;0,"Entrada",IF(COUNTIF(Config!$F$6:$F$25,B728)&gt;0,"Saída","Categoria inválida")))</f>
        <v/>
      </c>
      <c r="D728" s="31" t="n"/>
      <c r="E728" s="33" t="n"/>
      <c r="F728" s="36" t="n"/>
      <c r="G728" s="31" t="n"/>
      <c r="H728" s="37">
        <f>IF(A728="","",(YEAR(A728)-YEAR(Config!$B$6))*12+MONTH(A728)-MONTH(Config!$B$6)+1)</f>
        <v/>
      </c>
      <c r="I728" s="19">
        <f>IF(AND(A728="",B728="",E728=""),"",IF(A728="","Falta data",IF(B728="","Falta categoria",IF(E728="","Falta valor",IF(C728="Categoria inválida","Categoria inválida",IF(OR(H728&lt;1,H728&gt;12),"Fora dos 12 meses","OK"))))))</f>
        <v/>
      </c>
    </row>
    <row r="729">
      <c r="A729" s="35" t="n"/>
      <c r="B729" s="31" t="n"/>
      <c r="C729" s="19">
        <f>IF(B729="","",IF(COUNTIF(Config!$D$6:$D$15,B729)&gt;0,"Entrada",IF(COUNTIF(Config!$F$6:$F$25,B729)&gt;0,"Saída","Categoria inválida")))</f>
        <v/>
      </c>
      <c r="D729" s="31" t="n"/>
      <c r="E729" s="33" t="n"/>
      <c r="F729" s="36" t="n"/>
      <c r="G729" s="31" t="n"/>
      <c r="H729" s="37">
        <f>IF(A729="","",(YEAR(A729)-YEAR(Config!$B$6))*12+MONTH(A729)-MONTH(Config!$B$6)+1)</f>
        <v/>
      </c>
      <c r="I729" s="19">
        <f>IF(AND(A729="",B729="",E729=""),"",IF(A729="","Falta data",IF(B729="","Falta categoria",IF(E729="","Falta valor",IF(C729="Categoria inválida","Categoria inválida",IF(OR(H729&lt;1,H729&gt;12),"Fora dos 12 meses","OK"))))))</f>
        <v/>
      </c>
    </row>
    <row r="730">
      <c r="A730" s="35" t="n"/>
      <c r="B730" s="31" t="n"/>
      <c r="C730" s="19">
        <f>IF(B730="","",IF(COUNTIF(Config!$D$6:$D$15,B730)&gt;0,"Entrada",IF(COUNTIF(Config!$F$6:$F$25,B730)&gt;0,"Saída","Categoria inválida")))</f>
        <v/>
      </c>
      <c r="D730" s="31" t="n"/>
      <c r="E730" s="33" t="n"/>
      <c r="F730" s="36" t="n"/>
      <c r="G730" s="31" t="n"/>
      <c r="H730" s="37">
        <f>IF(A730="","",(YEAR(A730)-YEAR(Config!$B$6))*12+MONTH(A730)-MONTH(Config!$B$6)+1)</f>
        <v/>
      </c>
      <c r="I730" s="19">
        <f>IF(AND(A730="",B730="",E730=""),"",IF(A730="","Falta data",IF(B730="","Falta categoria",IF(E730="","Falta valor",IF(C730="Categoria inválida","Categoria inválida",IF(OR(H730&lt;1,H730&gt;12),"Fora dos 12 meses","OK"))))))</f>
        <v/>
      </c>
    </row>
    <row r="731">
      <c r="A731" s="35" t="n"/>
      <c r="B731" s="31" t="n"/>
      <c r="C731" s="19">
        <f>IF(B731="","",IF(COUNTIF(Config!$D$6:$D$15,B731)&gt;0,"Entrada",IF(COUNTIF(Config!$F$6:$F$25,B731)&gt;0,"Saída","Categoria inválida")))</f>
        <v/>
      </c>
      <c r="D731" s="31" t="n"/>
      <c r="E731" s="33" t="n"/>
      <c r="F731" s="36" t="n"/>
      <c r="G731" s="31" t="n"/>
      <c r="H731" s="37">
        <f>IF(A731="","",(YEAR(A731)-YEAR(Config!$B$6))*12+MONTH(A731)-MONTH(Config!$B$6)+1)</f>
        <v/>
      </c>
      <c r="I731" s="19">
        <f>IF(AND(A731="",B731="",E731=""),"",IF(A731="","Falta data",IF(B731="","Falta categoria",IF(E731="","Falta valor",IF(C731="Categoria inválida","Categoria inválida",IF(OR(H731&lt;1,H731&gt;12),"Fora dos 12 meses","OK"))))))</f>
        <v/>
      </c>
    </row>
    <row r="732">
      <c r="A732" s="35" t="n"/>
      <c r="B732" s="31" t="n"/>
      <c r="C732" s="19">
        <f>IF(B732="","",IF(COUNTIF(Config!$D$6:$D$15,B732)&gt;0,"Entrada",IF(COUNTIF(Config!$F$6:$F$25,B732)&gt;0,"Saída","Categoria inválida")))</f>
        <v/>
      </c>
      <c r="D732" s="31" t="n"/>
      <c r="E732" s="33" t="n"/>
      <c r="F732" s="36" t="n"/>
      <c r="G732" s="31" t="n"/>
      <c r="H732" s="37">
        <f>IF(A732="","",(YEAR(A732)-YEAR(Config!$B$6))*12+MONTH(A732)-MONTH(Config!$B$6)+1)</f>
        <v/>
      </c>
      <c r="I732" s="19">
        <f>IF(AND(A732="",B732="",E732=""),"",IF(A732="","Falta data",IF(B732="","Falta categoria",IF(E732="","Falta valor",IF(C732="Categoria inválida","Categoria inválida",IF(OR(H732&lt;1,H732&gt;12),"Fora dos 12 meses","OK"))))))</f>
        <v/>
      </c>
    </row>
    <row r="733">
      <c r="A733" s="35" t="n"/>
      <c r="B733" s="31" t="n"/>
      <c r="C733" s="19">
        <f>IF(B733="","",IF(COUNTIF(Config!$D$6:$D$15,B733)&gt;0,"Entrada",IF(COUNTIF(Config!$F$6:$F$25,B733)&gt;0,"Saída","Categoria inválida")))</f>
        <v/>
      </c>
      <c r="D733" s="31" t="n"/>
      <c r="E733" s="33" t="n"/>
      <c r="F733" s="36" t="n"/>
      <c r="G733" s="31" t="n"/>
      <c r="H733" s="37">
        <f>IF(A733="","",(YEAR(A733)-YEAR(Config!$B$6))*12+MONTH(A733)-MONTH(Config!$B$6)+1)</f>
        <v/>
      </c>
      <c r="I733" s="19">
        <f>IF(AND(A733="",B733="",E733=""),"",IF(A733="","Falta data",IF(B733="","Falta categoria",IF(E733="","Falta valor",IF(C733="Categoria inválida","Categoria inválida",IF(OR(H733&lt;1,H733&gt;12),"Fora dos 12 meses","OK"))))))</f>
        <v/>
      </c>
    </row>
    <row r="734">
      <c r="A734" s="35" t="n"/>
      <c r="B734" s="31" t="n"/>
      <c r="C734" s="19">
        <f>IF(B734="","",IF(COUNTIF(Config!$D$6:$D$15,B734)&gt;0,"Entrada",IF(COUNTIF(Config!$F$6:$F$25,B734)&gt;0,"Saída","Categoria inválida")))</f>
        <v/>
      </c>
      <c r="D734" s="31" t="n"/>
      <c r="E734" s="33" t="n"/>
      <c r="F734" s="36" t="n"/>
      <c r="G734" s="31" t="n"/>
      <c r="H734" s="37">
        <f>IF(A734="","",(YEAR(A734)-YEAR(Config!$B$6))*12+MONTH(A734)-MONTH(Config!$B$6)+1)</f>
        <v/>
      </c>
      <c r="I734" s="19">
        <f>IF(AND(A734="",B734="",E734=""),"",IF(A734="","Falta data",IF(B734="","Falta categoria",IF(E734="","Falta valor",IF(C734="Categoria inválida","Categoria inválida",IF(OR(H734&lt;1,H734&gt;12),"Fora dos 12 meses","OK"))))))</f>
        <v/>
      </c>
    </row>
    <row r="735">
      <c r="A735" s="35" t="n"/>
      <c r="B735" s="31" t="n"/>
      <c r="C735" s="19">
        <f>IF(B735="","",IF(COUNTIF(Config!$D$6:$D$15,B735)&gt;0,"Entrada",IF(COUNTIF(Config!$F$6:$F$25,B735)&gt;0,"Saída","Categoria inválida")))</f>
        <v/>
      </c>
      <c r="D735" s="31" t="n"/>
      <c r="E735" s="33" t="n"/>
      <c r="F735" s="36" t="n"/>
      <c r="G735" s="31" t="n"/>
      <c r="H735" s="37">
        <f>IF(A735="","",(YEAR(A735)-YEAR(Config!$B$6))*12+MONTH(A735)-MONTH(Config!$B$6)+1)</f>
        <v/>
      </c>
      <c r="I735" s="19">
        <f>IF(AND(A735="",B735="",E735=""),"",IF(A735="","Falta data",IF(B735="","Falta categoria",IF(E735="","Falta valor",IF(C735="Categoria inválida","Categoria inválida",IF(OR(H735&lt;1,H735&gt;12),"Fora dos 12 meses","OK"))))))</f>
        <v/>
      </c>
    </row>
    <row r="736">
      <c r="A736" s="35" t="n"/>
      <c r="B736" s="31" t="n"/>
      <c r="C736" s="19">
        <f>IF(B736="","",IF(COUNTIF(Config!$D$6:$D$15,B736)&gt;0,"Entrada",IF(COUNTIF(Config!$F$6:$F$25,B736)&gt;0,"Saída","Categoria inválida")))</f>
        <v/>
      </c>
      <c r="D736" s="31" t="n"/>
      <c r="E736" s="33" t="n"/>
      <c r="F736" s="36" t="n"/>
      <c r="G736" s="31" t="n"/>
      <c r="H736" s="37">
        <f>IF(A736="","",(YEAR(A736)-YEAR(Config!$B$6))*12+MONTH(A736)-MONTH(Config!$B$6)+1)</f>
        <v/>
      </c>
      <c r="I736" s="19">
        <f>IF(AND(A736="",B736="",E736=""),"",IF(A736="","Falta data",IF(B736="","Falta categoria",IF(E736="","Falta valor",IF(C736="Categoria inválida","Categoria inválida",IF(OR(H736&lt;1,H736&gt;12),"Fora dos 12 meses","OK"))))))</f>
        <v/>
      </c>
    </row>
    <row r="737">
      <c r="A737" s="35" t="n"/>
      <c r="B737" s="31" t="n"/>
      <c r="C737" s="19">
        <f>IF(B737="","",IF(COUNTIF(Config!$D$6:$D$15,B737)&gt;0,"Entrada",IF(COUNTIF(Config!$F$6:$F$25,B737)&gt;0,"Saída","Categoria inválida")))</f>
        <v/>
      </c>
      <c r="D737" s="31" t="n"/>
      <c r="E737" s="33" t="n"/>
      <c r="F737" s="36" t="n"/>
      <c r="G737" s="31" t="n"/>
      <c r="H737" s="37">
        <f>IF(A737="","",(YEAR(A737)-YEAR(Config!$B$6))*12+MONTH(A737)-MONTH(Config!$B$6)+1)</f>
        <v/>
      </c>
      <c r="I737" s="19">
        <f>IF(AND(A737="",B737="",E737=""),"",IF(A737="","Falta data",IF(B737="","Falta categoria",IF(E737="","Falta valor",IF(C737="Categoria inválida","Categoria inválida",IF(OR(H737&lt;1,H737&gt;12),"Fora dos 12 meses","OK"))))))</f>
        <v/>
      </c>
    </row>
    <row r="738">
      <c r="A738" s="35" t="n"/>
      <c r="B738" s="31" t="n"/>
      <c r="C738" s="19">
        <f>IF(B738="","",IF(COUNTIF(Config!$D$6:$D$15,B738)&gt;0,"Entrada",IF(COUNTIF(Config!$F$6:$F$25,B738)&gt;0,"Saída","Categoria inválida")))</f>
        <v/>
      </c>
      <c r="D738" s="31" t="n"/>
      <c r="E738" s="33" t="n"/>
      <c r="F738" s="36" t="n"/>
      <c r="G738" s="31" t="n"/>
      <c r="H738" s="37">
        <f>IF(A738="","",(YEAR(A738)-YEAR(Config!$B$6))*12+MONTH(A738)-MONTH(Config!$B$6)+1)</f>
        <v/>
      </c>
      <c r="I738" s="19">
        <f>IF(AND(A738="",B738="",E738=""),"",IF(A738="","Falta data",IF(B738="","Falta categoria",IF(E738="","Falta valor",IF(C738="Categoria inválida","Categoria inválida",IF(OR(H738&lt;1,H738&gt;12),"Fora dos 12 meses","OK"))))))</f>
        <v/>
      </c>
    </row>
    <row r="739">
      <c r="A739" s="35" t="n"/>
      <c r="B739" s="31" t="n"/>
      <c r="C739" s="19">
        <f>IF(B739="","",IF(COUNTIF(Config!$D$6:$D$15,B739)&gt;0,"Entrada",IF(COUNTIF(Config!$F$6:$F$25,B739)&gt;0,"Saída","Categoria inválida")))</f>
        <v/>
      </c>
      <c r="D739" s="31" t="n"/>
      <c r="E739" s="33" t="n"/>
      <c r="F739" s="36" t="n"/>
      <c r="G739" s="31" t="n"/>
      <c r="H739" s="37">
        <f>IF(A739="","",(YEAR(A739)-YEAR(Config!$B$6))*12+MONTH(A739)-MONTH(Config!$B$6)+1)</f>
        <v/>
      </c>
      <c r="I739" s="19">
        <f>IF(AND(A739="",B739="",E739=""),"",IF(A739="","Falta data",IF(B739="","Falta categoria",IF(E739="","Falta valor",IF(C739="Categoria inválida","Categoria inválida",IF(OR(H739&lt;1,H739&gt;12),"Fora dos 12 meses","OK"))))))</f>
        <v/>
      </c>
    </row>
    <row r="740">
      <c r="A740" s="35" t="n"/>
      <c r="B740" s="31" t="n"/>
      <c r="C740" s="19">
        <f>IF(B740="","",IF(COUNTIF(Config!$D$6:$D$15,B740)&gt;0,"Entrada",IF(COUNTIF(Config!$F$6:$F$25,B740)&gt;0,"Saída","Categoria inválida")))</f>
        <v/>
      </c>
      <c r="D740" s="31" t="n"/>
      <c r="E740" s="33" t="n"/>
      <c r="F740" s="36" t="n"/>
      <c r="G740" s="31" t="n"/>
      <c r="H740" s="37">
        <f>IF(A740="","",(YEAR(A740)-YEAR(Config!$B$6))*12+MONTH(A740)-MONTH(Config!$B$6)+1)</f>
        <v/>
      </c>
      <c r="I740" s="19">
        <f>IF(AND(A740="",B740="",E740=""),"",IF(A740="","Falta data",IF(B740="","Falta categoria",IF(E740="","Falta valor",IF(C740="Categoria inválida","Categoria inválida",IF(OR(H740&lt;1,H740&gt;12),"Fora dos 12 meses","OK"))))))</f>
        <v/>
      </c>
    </row>
    <row r="741">
      <c r="A741" s="35" t="n"/>
      <c r="B741" s="31" t="n"/>
      <c r="C741" s="19">
        <f>IF(B741="","",IF(COUNTIF(Config!$D$6:$D$15,B741)&gt;0,"Entrada",IF(COUNTIF(Config!$F$6:$F$25,B741)&gt;0,"Saída","Categoria inválida")))</f>
        <v/>
      </c>
      <c r="D741" s="31" t="n"/>
      <c r="E741" s="33" t="n"/>
      <c r="F741" s="36" t="n"/>
      <c r="G741" s="31" t="n"/>
      <c r="H741" s="37">
        <f>IF(A741="","",(YEAR(A741)-YEAR(Config!$B$6))*12+MONTH(A741)-MONTH(Config!$B$6)+1)</f>
        <v/>
      </c>
      <c r="I741" s="19">
        <f>IF(AND(A741="",B741="",E741=""),"",IF(A741="","Falta data",IF(B741="","Falta categoria",IF(E741="","Falta valor",IF(C741="Categoria inválida","Categoria inválida",IF(OR(H741&lt;1,H741&gt;12),"Fora dos 12 meses","OK"))))))</f>
        <v/>
      </c>
    </row>
    <row r="742">
      <c r="A742" s="35" t="n"/>
      <c r="B742" s="31" t="n"/>
      <c r="C742" s="19">
        <f>IF(B742="","",IF(COUNTIF(Config!$D$6:$D$15,B742)&gt;0,"Entrada",IF(COUNTIF(Config!$F$6:$F$25,B742)&gt;0,"Saída","Categoria inválida")))</f>
        <v/>
      </c>
      <c r="D742" s="31" t="n"/>
      <c r="E742" s="33" t="n"/>
      <c r="F742" s="36" t="n"/>
      <c r="G742" s="31" t="n"/>
      <c r="H742" s="37">
        <f>IF(A742="","",(YEAR(A742)-YEAR(Config!$B$6))*12+MONTH(A742)-MONTH(Config!$B$6)+1)</f>
        <v/>
      </c>
      <c r="I742" s="19">
        <f>IF(AND(A742="",B742="",E742=""),"",IF(A742="","Falta data",IF(B742="","Falta categoria",IF(E742="","Falta valor",IF(C742="Categoria inválida","Categoria inválida",IF(OR(H742&lt;1,H742&gt;12),"Fora dos 12 meses","OK"))))))</f>
        <v/>
      </c>
    </row>
    <row r="743">
      <c r="A743" s="35" t="n"/>
      <c r="B743" s="31" t="n"/>
      <c r="C743" s="19">
        <f>IF(B743="","",IF(COUNTIF(Config!$D$6:$D$15,B743)&gt;0,"Entrada",IF(COUNTIF(Config!$F$6:$F$25,B743)&gt;0,"Saída","Categoria inválida")))</f>
        <v/>
      </c>
      <c r="D743" s="31" t="n"/>
      <c r="E743" s="33" t="n"/>
      <c r="F743" s="36" t="n"/>
      <c r="G743" s="31" t="n"/>
      <c r="H743" s="37">
        <f>IF(A743="","",(YEAR(A743)-YEAR(Config!$B$6))*12+MONTH(A743)-MONTH(Config!$B$6)+1)</f>
        <v/>
      </c>
      <c r="I743" s="19">
        <f>IF(AND(A743="",B743="",E743=""),"",IF(A743="","Falta data",IF(B743="","Falta categoria",IF(E743="","Falta valor",IF(C743="Categoria inválida","Categoria inválida",IF(OR(H743&lt;1,H743&gt;12),"Fora dos 12 meses","OK"))))))</f>
        <v/>
      </c>
    </row>
    <row r="744">
      <c r="A744" s="35" t="n"/>
      <c r="B744" s="31" t="n"/>
      <c r="C744" s="19">
        <f>IF(B744="","",IF(COUNTIF(Config!$D$6:$D$15,B744)&gt;0,"Entrada",IF(COUNTIF(Config!$F$6:$F$25,B744)&gt;0,"Saída","Categoria inválida")))</f>
        <v/>
      </c>
      <c r="D744" s="31" t="n"/>
      <c r="E744" s="33" t="n"/>
      <c r="F744" s="36" t="n"/>
      <c r="G744" s="31" t="n"/>
      <c r="H744" s="37">
        <f>IF(A744="","",(YEAR(A744)-YEAR(Config!$B$6))*12+MONTH(A744)-MONTH(Config!$B$6)+1)</f>
        <v/>
      </c>
      <c r="I744" s="19">
        <f>IF(AND(A744="",B744="",E744=""),"",IF(A744="","Falta data",IF(B744="","Falta categoria",IF(E744="","Falta valor",IF(C744="Categoria inválida","Categoria inválida",IF(OR(H744&lt;1,H744&gt;12),"Fora dos 12 meses","OK"))))))</f>
        <v/>
      </c>
    </row>
    <row r="745">
      <c r="A745" s="35" t="n"/>
      <c r="B745" s="31" t="n"/>
      <c r="C745" s="19">
        <f>IF(B745="","",IF(COUNTIF(Config!$D$6:$D$15,B745)&gt;0,"Entrada",IF(COUNTIF(Config!$F$6:$F$25,B745)&gt;0,"Saída","Categoria inválida")))</f>
        <v/>
      </c>
      <c r="D745" s="31" t="n"/>
      <c r="E745" s="33" t="n"/>
      <c r="F745" s="36" t="n"/>
      <c r="G745" s="31" t="n"/>
      <c r="H745" s="37">
        <f>IF(A745="","",(YEAR(A745)-YEAR(Config!$B$6))*12+MONTH(A745)-MONTH(Config!$B$6)+1)</f>
        <v/>
      </c>
      <c r="I745" s="19">
        <f>IF(AND(A745="",B745="",E745=""),"",IF(A745="","Falta data",IF(B745="","Falta categoria",IF(E745="","Falta valor",IF(C745="Categoria inválida","Categoria inválida",IF(OR(H745&lt;1,H745&gt;12),"Fora dos 12 meses","OK"))))))</f>
        <v/>
      </c>
    </row>
    <row r="746">
      <c r="A746" s="35" t="n"/>
      <c r="B746" s="31" t="n"/>
      <c r="C746" s="19">
        <f>IF(B746="","",IF(COUNTIF(Config!$D$6:$D$15,B746)&gt;0,"Entrada",IF(COUNTIF(Config!$F$6:$F$25,B746)&gt;0,"Saída","Categoria inválida")))</f>
        <v/>
      </c>
      <c r="D746" s="31" t="n"/>
      <c r="E746" s="33" t="n"/>
      <c r="F746" s="36" t="n"/>
      <c r="G746" s="31" t="n"/>
      <c r="H746" s="37">
        <f>IF(A746="","",(YEAR(A746)-YEAR(Config!$B$6))*12+MONTH(A746)-MONTH(Config!$B$6)+1)</f>
        <v/>
      </c>
      <c r="I746" s="19">
        <f>IF(AND(A746="",B746="",E746=""),"",IF(A746="","Falta data",IF(B746="","Falta categoria",IF(E746="","Falta valor",IF(C746="Categoria inválida","Categoria inválida",IF(OR(H746&lt;1,H746&gt;12),"Fora dos 12 meses","OK"))))))</f>
        <v/>
      </c>
    </row>
    <row r="747">
      <c r="A747" s="35" t="n"/>
      <c r="B747" s="31" t="n"/>
      <c r="C747" s="19">
        <f>IF(B747="","",IF(COUNTIF(Config!$D$6:$D$15,B747)&gt;0,"Entrada",IF(COUNTIF(Config!$F$6:$F$25,B747)&gt;0,"Saída","Categoria inválida")))</f>
        <v/>
      </c>
      <c r="D747" s="31" t="n"/>
      <c r="E747" s="33" t="n"/>
      <c r="F747" s="36" t="n"/>
      <c r="G747" s="31" t="n"/>
      <c r="H747" s="37">
        <f>IF(A747="","",(YEAR(A747)-YEAR(Config!$B$6))*12+MONTH(A747)-MONTH(Config!$B$6)+1)</f>
        <v/>
      </c>
      <c r="I747" s="19">
        <f>IF(AND(A747="",B747="",E747=""),"",IF(A747="","Falta data",IF(B747="","Falta categoria",IF(E747="","Falta valor",IF(C747="Categoria inválida","Categoria inválida",IF(OR(H747&lt;1,H747&gt;12),"Fora dos 12 meses","OK"))))))</f>
        <v/>
      </c>
    </row>
    <row r="748">
      <c r="A748" s="35" t="n"/>
      <c r="B748" s="31" t="n"/>
      <c r="C748" s="19">
        <f>IF(B748="","",IF(COUNTIF(Config!$D$6:$D$15,B748)&gt;0,"Entrada",IF(COUNTIF(Config!$F$6:$F$25,B748)&gt;0,"Saída","Categoria inválida")))</f>
        <v/>
      </c>
      <c r="D748" s="31" t="n"/>
      <c r="E748" s="33" t="n"/>
      <c r="F748" s="36" t="n"/>
      <c r="G748" s="31" t="n"/>
      <c r="H748" s="37">
        <f>IF(A748="","",(YEAR(A748)-YEAR(Config!$B$6))*12+MONTH(A748)-MONTH(Config!$B$6)+1)</f>
        <v/>
      </c>
      <c r="I748" s="19">
        <f>IF(AND(A748="",B748="",E748=""),"",IF(A748="","Falta data",IF(B748="","Falta categoria",IF(E748="","Falta valor",IF(C748="Categoria inválida","Categoria inválida",IF(OR(H748&lt;1,H748&gt;12),"Fora dos 12 meses","OK"))))))</f>
        <v/>
      </c>
    </row>
    <row r="749">
      <c r="A749" s="35" t="n"/>
      <c r="B749" s="31" t="n"/>
      <c r="C749" s="19">
        <f>IF(B749="","",IF(COUNTIF(Config!$D$6:$D$15,B749)&gt;0,"Entrada",IF(COUNTIF(Config!$F$6:$F$25,B749)&gt;0,"Saída","Categoria inválida")))</f>
        <v/>
      </c>
      <c r="D749" s="31" t="n"/>
      <c r="E749" s="33" t="n"/>
      <c r="F749" s="36" t="n"/>
      <c r="G749" s="31" t="n"/>
      <c r="H749" s="37">
        <f>IF(A749="","",(YEAR(A749)-YEAR(Config!$B$6))*12+MONTH(A749)-MONTH(Config!$B$6)+1)</f>
        <v/>
      </c>
      <c r="I749" s="19">
        <f>IF(AND(A749="",B749="",E749=""),"",IF(A749="","Falta data",IF(B749="","Falta categoria",IF(E749="","Falta valor",IF(C749="Categoria inválida","Categoria inválida",IF(OR(H749&lt;1,H749&gt;12),"Fora dos 12 meses","OK"))))))</f>
        <v/>
      </c>
    </row>
    <row r="750">
      <c r="A750" s="35" t="n"/>
      <c r="B750" s="31" t="n"/>
      <c r="C750" s="19">
        <f>IF(B750="","",IF(COUNTIF(Config!$D$6:$D$15,B750)&gt;0,"Entrada",IF(COUNTIF(Config!$F$6:$F$25,B750)&gt;0,"Saída","Categoria inválida")))</f>
        <v/>
      </c>
      <c r="D750" s="31" t="n"/>
      <c r="E750" s="33" t="n"/>
      <c r="F750" s="36" t="n"/>
      <c r="G750" s="31" t="n"/>
      <c r="H750" s="37">
        <f>IF(A750="","",(YEAR(A750)-YEAR(Config!$B$6))*12+MONTH(A750)-MONTH(Config!$B$6)+1)</f>
        <v/>
      </c>
      <c r="I750" s="19">
        <f>IF(AND(A750="",B750="",E750=""),"",IF(A750="","Falta data",IF(B750="","Falta categoria",IF(E750="","Falta valor",IF(C750="Categoria inválida","Categoria inválida",IF(OR(H750&lt;1,H750&gt;12),"Fora dos 12 meses","OK"))))))</f>
        <v/>
      </c>
    </row>
    <row r="751">
      <c r="A751" s="35" t="n"/>
      <c r="B751" s="31" t="n"/>
      <c r="C751" s="19">
        <f>IF(B751="","",IF(COUNTIF(Config!$D$6:$D$15,B751)&gt;0,"Entrada",IF(COUNTIF(Config!$F$6:$F$25,B751)&gt;0,"Saída","Categoria inválida")))</f>
        <v/>
      </c>
      <c r="D751" s="31" t="n"/>
      <c r="E751" s="33" t="n"/>
      <c r="F751" s="36" t="n"/>
      <c r="G751" s="31" t="n"/>
      <c r="H751" s="37">
        <f>IF(A751="","",(YEAR(A751)-YEAR(Config!$B$6))*12+MONTH(A751)-MONTH(Config!$B$6)+1)</f>
        <v/>
      </c>
      <c r="I751" s="19">
        <f>IF(AND(A751="",B751="",E751=""),"",IF(A751="","Falta data",IF(B751="","Falta categoria",IF(E751="","Falta valor",IF(C751="Categoria inválida","Categoria inválida",IF(OR(H751&lt;1,H751&gt;12),"Fora dos 12 meses","OK"))))))</f>
        <v/>
      </c>
    </row>
    <row r="752">
      <c r="A752" s="35" t="n"/>
      <c r="B752" s="31" t="n"/>
      <c r="C752" s="19">
        <f>IF(B752="","",IF(COUNTIF(Config!$D$6:$D$15,B752)&gt;0,"Entrada",IF(COUNTIF(Config!$F$6:$F$25,B752)&gt;0,"Saída","Categoria inválida")))</f>
        <v/>
      </c>
      <c r="D752" s="31" t="n"/>
      <c r="E752" s="33" t="n"/>
      <c r="F752" s="36" t="n"/>
      <c r="G752" s="31" t="n"/>
      <c r="H752" s="37">
        <f>IF(A752="","",(YEAR(A752)-YEAR(Config!$B$6))*12+MONTH(A752)-MONTH(Config!$B$6)+1)</f>
        <v/>
      </c>
      <c r="I752" s="19">
        <f>IF(AND(A752="",B752="",E752=""),"",IF(A752="","Falta data",IF(B752="","Falta categoria",IF(E752="","Falta valor",IF(C752="Categoria inválida","Categoria inválida",IF(OR(H752&lt;1,H752&gt;12),"Fora dos 12 meses","OK"))))))</f>
        <v/>
      </c>
    </row>
    <row r="753">
      <c r="A753" s="35" t="n"/>
      <c r="B753" s="31" t="n"/>
      <c r="C753" s="19">
        <f>IF(B753="","",IF(COUNTIF(Config!$D$6:$D$15,B753)&gt;0,"Entrada",IF(COUNTIF(Config!$F$6:$F$25,B753)&gt;0,"Saída","Categoria inválida")))</f>
        <v/>
      </c>
      <c r="D753" s="31" t="n"/>
      <c r="E753" s="33" t="n"/>
      <c r="F753" s="36" t="n"/>
      <c r="G753" s="31" t="n"/>
      <c r="H753" s="37">
        <f>IF(A753="","",(YEAR(A753)-YEAR(Config!$B$6))*12+MONTH(A753)-MONTH(Config!$B$6)+1)</f>
        <v/>
      </c>
      <c r="I753" s="19">
        <f>IF(AND(A753="",B753="",E753=""),"",IF(A753="","Falta data",IF(B753="","Falta categoria",IF(E753="","Falta valor",IF(C753="Categoria inválida","Categoria inválida",IF(OR(H753&lt;1,H753&gt;12),"Fora dos 12 meses","OK"))))))</f>
        <v/>
      </c>
    </row>
    <row r="754">
      <c r="A754" s="35" t="n"/>
      <c r="B754" s="31" t="n"/>
      <c r="C754" s="19">
        <f>IF(B754="","",IF(COUNTIF(Config!$D$6:$D$15,B754)&gt;0,"Entrada",IF(COUNTIF(Config!$F$6:$F$25,B754)&gt;0,"Saída","Categoria inválida")))</f>
        <v/>
      </c>
      <c r="D754" s="31" t="n"/>
      <c r="E754" s="33" t="n"/>
      <c r="F754" s="36" t="n"/>
      <c r="G754" s="31" t="n"/>
      <c r="H754" s="37">
        <f>IF(A754="","",(YEAR(A754)-YEAR(Config!$B$6))*12+MONTH(A754)-MONTH(Config!$B$6)+1)</f>
        <v/>
      </c>
      <c r="I754" s="19">
        <f>IF(AND(A754="",B754="",E754=""),"",IF(A754="","Falta data",IF(B754="","Falta categoria",IF(E754="","Falta valor",IF(C754="Categoria inválida","Categoria inválida",IF(OR(H754&lt;1,H754&gt;12),"Fora dos 12 meses","OK"))))))</f>
        <v/>
      </c>
    </row>
    <row r="755">
      <c r="A755" s="35" t="n"/>
      <c r="B755" s="31" t="n"/>
      <c r="C755" s="19">
        <f>IF(B755="","",IF(COUNTIF(Config!$D$6:$D$15,B755)&gt;0,"Entrada",IF(COUNTIF(Config!$F$6:$F$25,B755)&gt;0,"Saída","Categoria inválida")))</f>
        <v/>
      </c>
      <c r="D755" s="31" t="n"/>
      <c r="E755" s="33" t="n"/>
      <c r="F755" s="36" t="n"/>
      <c r="G755" s="31" t="n"/>
      <c r="H755" s="37">
        <f>IF(A755="","",(YEAR(A755)-YEAR(Config!$B$6))*12+MONTH(A755)-MONTH(Config!$B$6)+1)</f>
        <v/>
      </c>
      <c r="I755" s="19">
        <f>IF(AND(A755="",B755="",E755=""),"",IF(A755="","Falta data",IF(B755="","Falta categoria",IF(E755="","Falta valor",IF(C755="Categoria inválida","Categoria inválida",IF(OR(H755&lt;1,H755&gt;12),"Fora dos 12 meses","OK"))))))</f>
        <v/>
      </c>
    </row>
    <row r="756">
      <c r="A756" s="35" t="n"/>
      <c r="B756" s="31" t="n"/>
      <c r="C756" s="19">
        <f>IF(B756="","",IF(COUNTIF(Config!$D$6:$D$15,B756)&gt;0,"Entrada",IF(COUNTIF(Config!$F$6:$F$25,B756)&gt;0,"Saída","Categoria inválida")))</f>
        <v/>
      </c>
      <c r="D756" s="31" t="n"/>
      <c r="E756" s="33" t="n"/>
      <c r="F756" s="36" t="n"/>
      <c r="G756" s="31" t="n"/>
      <c r="H756" s="37">
        <f>IF(A756="","",(YEAR(A756)-YEAR(Config!$B$6))*12+MONTH(A756)-MONTH(Config!$B$6)+1)</f>
        <v/>
      </c>
      <c r="I756" s="19">
        <f>IF(AND(A756="",B756="",E756=""),"",IF(A756="","Falta data",IF(B756="","Falta categoria",IF(E756="","Falta valor",IF(C756="Categoria inválida","Categoria inválida",IF(OR(H756&lt;1,H756&gt;12),"Fora dos 12 meses","OK"))))))</f>
        <v/>
      </c>
    </row>
    <row r="757">
      <c r="A757" s="35" t="n"/>
      <c r="B757" s="31" t="n"/>
      <c r="C757" s="19">
        <f>IF(B757="","",IF(COUNTIF(Config!$D$6:$D$15,B757)&gt;0,"Entrada",IF(COUNTIF(Config!$F$6:$F$25,B757)&gt;0,"Saída","Categoria inválida")))</f>
        <v/>
      </c>
      <c r="D757" s="31" t="n"/>
      <c r="E757" s="33" t="n"/>
      <c r="F757" s="36" t="n"/>
      <c r="G757" s="31" t="n"/>
      <c r="H757" s="37">
        <f>IF(A757="","",(YEAR(A757)-YEAR(Config!$B$6))*12+MONTH(A757)-MONTH(Config!$B$6)+1)</f>
        <v/>
      </c>
      <c r="I757" s="19">
        <f>IF(AND(A757="",B757="",E757=""),"",IF(A757="","Falta data",IF(B757="","Falta categoria",IF(E757="","Falta valor",IF(C757="Categoria inválida","Categoria inválida",IF(OR(H757&lt;1,H757&gt;12),"Fora dos 12 meses","OK"))))))</f>
        <v/>
      </c>
    </row>
    <row r="758">
      <c r="A758" s="35" t="n"/>
      <c r="B758" s="31" t="n"/>
      <c r="C758" s="19">
        <f>IF(B758="","",IF(COUNTIF(Config!$D$6:$D$15,B758)&gt;0,"Entrada",IF(COUNTIF(Config!$F$6:$F$25,B758)&gt;0,"Saída","Categoria inválida")))</f>
        <v/>
      </c>
      <c r="D758" s="31" t="n"/>
      <c r="E758" s="33" t="n"/>
      <c r="F758" s="36" t="n"/>
      <c r="G758" s="31" t="n"/>
      <c r="H758" s="37">
        <f>IF(A758="","",(YEAR(A758)-YEAR(Config!$B$6))*12+MONTH(A758)-MONTH(Config!$B$6)+1)</f>
        <v/>
      </c>
      <c r="I758" s="19">
        <f>IF(AND(A758="",B758="",E758=""),"",IF(A758="","Falta data",IF(B758="","Falta categoria",IF(E758="","Falta valor",IF(C758="Categoria inválida","Categoria inválida",IF(OR(H758&lt;1,H758&gt;12),"Fora dos 12 meses","OK"))))))</f>
        <v/>
      </c>
    </row>
    <row r="759">
      <c r="A759" s="35" t="n"/>
      <c r="B759" s="31" t="n"/>
      <c r="C759" s="19">
        <f>IF(B759="","",IF(COUNTIF(Config!$D$6:$D$15,B759)&gt;0,"Entrada",IF(COUNTIF(Config!$F$6:$F$25,B759)&gt;0,"Saída","Categoria inválida")))</f>
        <v/>
      </c>
      <c r="D759" s="31" t="n"/>
      <c r="E759" s="33" t="n"/>
      <c r="F759" s="36" t="n"/>
      <c r="G759" s="31" t="n"/>
      <c r="H759" s="37">
        <f>IF(A759="","",(YEAR(A759)-YEAR(Config!$B$6))*12+MONTH(A759)-MONTH(Config!$B$6)+1)</f>
        <v/>
      </c>
      <c r="I759" s="19">
        <f>IF(AND(A759="",B759="",E759=""),"",IF(A759="","Falta data",IF(B759="","Falta categoria",IF(E759="","Falta valor",IF(C759="Categoria inválida","Categoria inválida",IF(OR(H759&lt;1,H759&gt;12),"Fora dos 12 meses","OK"))))))</f>
        <v/>
      </c>
    </row>
    <row r="760">
      <c r="A760" s="35" t="n"/>
      <c r="B760" s="31" t="n"/>
      <c r="C760" s="19">
        <f>IF(B760="","",IF(COUNTIF(Config!$D$6:$D$15,B760)&gt;0,"Entrada",IF(COUNTIF(Config!$F$6:$F$25,B760)&gt;0,"Saída","Categoria inválida")))</f>
        <v/>
      </c>
      <c r="D760" s="31" t="n"/>
      <c r="E760" s="33" t="n"/>
      <c r="F760" s="36" t="n"/>
      <c r="G760" s="31" t="n"/>
      <c r="H760" s="37">
        <f>IF(A760="","",(YEAR(A760)-YEAR(Config!$B$6))*12+MONTH(A760)-MONTH(Config!$B$6)+1)</f>
        <v/>
      </c>
      <c r="I760" s="19">
        <f>IF(AND(A760="",B760="",E760=""),"",IF(A760="","Falta data",IF(B760="","Falta categoria",IF(E760="","Falta valor",IF(C760="Categoria inválida","Categoria inválida",IF(OR(H760&lt;1,H760&gt;12),"Fora dos 12 meses","OK"))))))</f>
        <v/>
      </c>
    </row>
    <row r="761">
      <c r="A761" s="35" t="n"/>
      <c r="B761" s="31" t="n"/>
      <c r="C761" s="19">
        <f>IF(B761="","",IF(COUNTIF(Config!$D$6:$D$15,B761)&gt;0,"Entrada",IF(COUNTIF(Config!$F$6:$F$25,B761)&gt;0,"Saída","Categoria inválida")))</f>
        <v/>
      </c>
      <c r="D761" s="31" t="n"/>
      <c r="E761" s="33" t="n"/>
      <c r="F761" s="36" t="n"/>
      <c r="G761" s="31" t="n"/>
      <c r="H761" s="37">
        <f>IF(A761="","",(YEAR(A761)-YEAR(Config!$B$6))*12+MONTH(A761)-MONTH(Config!$B$6)+1)</f>
        <v/>
      </c>
      <c r="I761" s="19">
        <f>IF(AND(A761="",B761="",E761=""),"",IF(A761="","Falta data",IF(B761="","Falta categoria",IF(E761="","Falta valor",IF(C761="Categoria inválida","Categoria inválida",IF(OR(H761&lt;1,H761&gt;12),"Fora dos 12 meses","OK"))))))</f>
        <v/>
      </c>
    </row>
    <row r="762">
      <c r="A762" s="35" t="n"/>
      <c r="B762" s="31" t="n"/>
      <c r="C762" s="19">
        <f>IF(B762="","",IF(COUNTIF(Config!$D$6:$D$15,B762)&gt;0,"Entrada",IF(COUNTIF(Config!$F$6:$F$25,B762)&gt;0,"Saída","Categoria inválida")))</f>
        <v/>
      </c>
      <c r="D762" s="31" t="n"/>
      <c r="E762" s="33" t="n"/>
      <c r="F762" s="36" t="n"/>
      <c r="G762" s="31" t="n"/>
      <c r="H762" s="37">
        <f>IF(A762="","",(YEAR(A762)-YEAR(Config!$B$6))*12+MONTH(A762)-MONTH(Config!$B$6)+1)</f>
        <v/>
      </c>
      <c r="I762" s="19">
        <f>IF(AND(A762="",B762="",E762=""),"",IF(A762="","Falta data",IF(B762="","Falta categoria",IF(E762="","Falta valor",IF(C762="Categoria inválida","Categoria inválida",IF(OR(H762&lt;1,H762&gt;12),"Fora dos 12 meses","OK"))))))</f>
        <v/>
      </c>
    </row>
    <row r="763">
      <c r="A763" s="35" t="n"/>
      <c r="B763" s="31" t="n"/>
      <c r="C763" s="19">
        <f>IF(B763="","",IF(COUNTIF(Config!$D$6:$D$15,B763)&gt;0,"Entrada",IF(COUNTIF(Config!$F$6:$F$25,B763)&gt;0,"Saída","Categoria inválida")))</f>
        <v/>
      </c>
      <c r="D763" s="31" t="n"/>
      <c r="E763" s="33" t="n"/>
      <c r="F763" s="36" t="n"/>
      <c r="G763" s="31" t="n"/>
      <c r="H763" s="37">
        <f>IF(A763="","",(YEAR(A763)-YEAR(Config!$B$6))*12+MONTH(A763)-MONTH(Config!$B$6)+1)</f>
        <v/>
      </c>
      <c r="I763" s="19">
        <f>IF(AND(A763="",B763="",E763=""),"",IF(A763="","Falta data",IF(B763="","Falta categoria",IF(E763="","Falta valor",IF(C763="Categoria inválida","Categoria inválida",IF(OR(H763&lt;1,H763&gt;12),"Fora dos 12 meses","OK"))))))</f>
        <v/>
      </c>
    </row>
    <row r="764">
      <c r="A764" s="35" t="n"/>
      <c r="B764" s="31" t="n"/>
      <c r="C764" s="19">
        <f>IF(B764="","",IF(COUNTIF(Config!$D$6:$D$15,B764)&gt;0,"Entrada",IF(COUNTIF(Config!$F$6:$F$25,B764)&gt;0,"Saída","Categoria inválida")))</f>
        <v/>
      </c>
      <c r="D764" s="31" t="n"/>
      <c r="E764" s="33" t="n"/>
      <c r="F764" s="36" t="n"/>
      <c r="G764" s="31" t="n"/>
      <c r="H764" s="37">
        <f>IF(A764="","",(YEAR(A764)-YEAR(Config!$B$6))*12+MONTH(A764)-MONTH(Config!$B$6)+1)</f>
        <v/>
      </c>
      <c r="I764" s="19">
        <f>IF(AND(A764="",B764="",E764=""),"",IF(A764="","Falta data",IF(B764="","Falta categoria",IF(E764="","Falta valor",IF(C764="Categoria inválida","Categoria inválida",IF(OR(H764&lt;1,H764&gt;12),"Fora dos 12 meses","OK"))))))</f>
        <v/>
      </c>
    </row>
    <row r="765">
      <c r="A765" s="35" t="n"/>
      <c r="B765" s="31" t="n"/>
      <c r="C765" s="19">
        <f>IF(B765="","",IF(COUNTIF(Config!$D$6:$D$15,B765)&gt;0,"Entrada",IF(COUNTIF(Config!$F$6:$F$25,B765)&gt;0,"Saída","Categoria inválida")))</f>
        <v/>
      </c>
      <c r="D765" s="31" t="n"/>
      <c r="E765" s="33" t="n"/>
      <c r="F765" s="36" t="n"/>
      <c r="G765" s="31" t="n"/>
      <c r="H765" s="37">
        <f>IF(A765="","",(YEAR(A765)-YEAR(Config!$B$6))*12+MONTH(A765)-MONTH(Config!$B$6)+1)</f>
        <v/>
      </c>
      <c r="I765" s="19">
        <f>IF(AND(A765="",B765="",E765=""),"",IF(A765="","Falta data",IF(B765="","Falta categoria",IF(E765="","Falta valor",IF(C765="Categoria inválida","Categoria inválida",IF(OR(H765&lt;1,H765&gt;12),"Fora dos 12 meses","OK"))))))</f>
        <v/>
      </c>
    </row>
    <row r="766">
      <c r="A766" s="35" t="n"/>
      <c r="B766" s="31" t="n"/>
      <c r="C766" s="19">
        <f>IF(B766="","",IF(COUNTIF(Config!$D$6:$D$15,B766)&gt;0,"Entrada",IF(COUNTIF(Config!$F$6:$F$25,B766)&gt;0,"Saída","Categoria inválida")))</f>
        <v/>
      </c>
      <c r="D766" s="31" t="n"/>
      <c r="E766" s="33" t="n"/>
      <c r="F766" s="36" t="n"/>
      <c r="G766" s="31" t="n"/>
      <c r="H766" s="37">
        <f>IF(A766="","",(YEAR(A766)-YEAR(Config!$B$6))*12+MONTH(A766)-MONTH(Config!$B$6)+1)</f>
        <v/>
      </c>
      <c r="I766" s="19">
        <f>IF(AND(A766="",B766="",E766=""),"",IF(A766="","Falta data",IF(B766="","Falta categoria",IF(E766="","Falta valor",IF(C766="Categoria inválida","Categoria inválida",IF(OR(H766&lt;1,H766&gt;12),"Fora dos 12 meses","OK"))))))</f>
        <v/>
      </c>
    </row>
    <row r="767">
      <c r="A767" s="35" t="n"/>
      <c r="B767" s="31" t="n"/>
      <c r="C767" s="19">
        <f>IF(B767="","",IF(COUNTIF(Config!$D$6:$D$15,B767)&gt;0,"Entrada",IF(COUNTIF(Config!$F$6:$F$25,B767)&gt;0,"Saída","Categoria inválida")))</f>
        <v/>
      </c>
      <c r="D767" s="31" t="n"/>
      <c r="E767" s="33" t="n"/>
      <c r="F767" s="36" t="n"/>
      <c r="G767" s="31" t="n"/>
      <c r="H767" s="37">
        <f>IF(A767="","",(YEAR(A767)-YEAR(Config!$B$6))*12+MONTH(A767)-MONTH(Config!$B$6)+1)</f>
        <v/>
      </c>
      <c r="I767" s="19">
        <f>IF(AND(A767="",B767="",E767=""),"",IF(A767="","Falta data",IF(B767="","Falta categoria",IF(E767="","Falta valor",IF(C767="Categoria inválida","Categoria inválida",IF(OR(H767&lt;1,H767&gt;12),"Fora dos 12 meses","OK"))))))</f>
        <v/>
      </c>
    </row>
    <row r="768">
      <c r="A768" s="35" t="n"/>
      <c r="B768" s="31" t="n"/>
      <c r="C768" s="19">
        <f>IF(B768="","",IF(COUNTIF(Config!$D$6:$D$15,B768)&gt;0,"Entrada",IF(COUNTIF(Config!$F$6:$F$25,B768)&gt;0,"Saída","Categoria inválida")))</f>
        <v/>
      </c>
      <c r="D768" s="31" t="n"/>
      <c r="E768" s="33" t="n"/>
      <c r="F768" s="36" t="n"/>
      <c r="G768" s="31" t="n"/>
      <c r="H768" s="37">
        <f>IF(A768="","",(YEAR(A768)-YEAR(Config!$B$6))*12+MONTH(A768)-MONTH(Config!$B$6)+1)</f>
        <v/>
      </c>
      <c r="I768" s="19">
        <f>IF(AND(A768="",B768="",E768=""),"",IF(A768="","Falta data",IF(B768="","Falta categoria",IF(E768="","Falta valor",IF(C768="Categoria inválida","Categoria inválida",IF(OR(H768&lt;1,H768&gt;12),"Fora dos 12 meses","OK"))))))</f>
        <v/>
      </c>
    </row>
    <row r="769">
      <c r="A769" s="35" t="n"/>
      <c r="B769" s="31" t="n"/>
      <c r="C769" s="19">
        <f>IF(B769="","",IF(COUNTIF(Config!$D$6:$D$15,B769)&gt;0,"Entrada",IF(COUNTIF(Config!$F$6:$F$25,B769)&gt;0,"Saída","Categoria inválida")))</f>
        <v/>
      </c>
      <c r="D769" s="31" t="n"/>
      <c r="E769" s="33" t="n"/>
      <c r="F769" s="36" t="n"/>
      <c r="G769" s="31" t="n"/>
      <c r="H769" s="37">
        <f>IF(A769="","",(YEAR(A769)-YEAR(Config!$B$6))*12+MONTH(A769)-MONTH(Config!$B$6)+1)</f>
        <v/>
      </c>
      <c r="I769" s="19">
        <f>IF(AND(A769="",B769="",E769=""),"",IF(A769="","Falta data",IF(B769="","Falta categoria",IF(E769="","Falta valor",IF(C769="Categoria inválida","Categoria inválida",IF(OR(H769&lt;1,H769&gt;12),"Fora dos 12 meses","OK"))))))</f>
        <v/>
      </c>
    </row>
    <row r="770">
      <c r="A770" s="35" t="n"/>
      <c r="B770" s="31" t="n"/>
      <c r="C770" s="19">
        <f>IF(B770="","",IF(COUNTIF(Config!$D$6:$D$15,B770)&gt;0,"Entrada",IF(COUNTIF(Config!$F$6:$F$25,B770)&gt;0,"Saída","Categoria inválida")))</f>
        <v/>
      </c>
      <c r="D770" s="31" t="n"/>
      <c r="E770" s="33" t="n"/>
      <c r="F770" s="36" t="n"/>
      <c r="G770" s="31" t="n"/>
      <c r="H770" s="37">
        <f>IF(A770="","",(YEAR(A770)-YEAR(Config!$B$6))*12+MONTH(A770)-MONTH(Config!$B$6)+1)</f>
        <v/>
      </c>
      <c r="I770" s="19">
        <f>IF(AND(A770="",B770="",E770=""),"",IF(A770="","Falta data",IF(B770="","Falta categoria",IF(E770="","Falta valor",IF(C770="Categoria inválida","Categoria inválida",IF(OR(H770&lt;1,H770&gt;12),"Fora dos 12 meses","OK"))))))</f>
        <v/>
      </c>
    </row>
    <row r="771">
      <c r="A771" s="35" t="n"/>
      <c r="B771" s="31" t="n"/>
      <c r="C771" s="19">
        <f>IF(B771="","",IF(COUNTIF(Config!$D$6:$D$15,B771)&gt;0,"Entrada",IF(COUNTIF(Config!$F$6:$F$25,B771)&gt;0,"Saída","Categoria inválida")))</f>
        <v/>
      </c>
      <c r="D771" s="31" t="n"/>
      <c r="E771" s="33" t="n"/>
      <c r="F771" s="36" t="n"/>
      <c r="G771" s="31" t="n"/>
      <c r="H771" s="37">
        <f>IF(A771="","",(YEAR(A771)-YEAR(Config!$B$6))*12+MONTH(A771)-MONTH(Config!$B$6)+1)</f>
        <v/>
      </c>
      <c r="I771" s="19">
        <f>IF(AND(A771="",B771="",E771=""),"",IF(A771="","Falta data",IF(B771="","Falta categoria",IF(E771="","Falta valor",IF(C771="Categoria inválida","Categoria inválida",IF(OR(H771&lt;1,H771&gt;12),"Fora dos 12 meses","OK"))))))</f>
        <v/>
      </c>
    </row>
    <row r="772">
      <c r="A772" s="35" t="n"/>
      <c r="B772" s="31" t="n"/>
      <c r="C772" s="19">
        <f>IF(B772="","",IF(COUNTIF(Config!$D$6:$D$15,B772)&gt;0,"Entrada",IF(COUNTIF(Config!$F$6:$F$25,B772)&gt;0,"Saída","Categoria inválida")))</f>
        <v/>
      </c>
      <c r="D772" s="31" t="n"/>
      <c r="E772" s="33" t="n"/>
      <c r="F772" s="36" t="n"/>
      <c r="G772" s="31" t="n"/>
      <c r="H772" s="37">
        <f>IF(A772="","",(YEAR(A772)-YEAR(Config!$B$6))*12+MONTH(A772)-MONTH(Config!$B$6)+1)</f>
        <v/>
      </c>
      <c r="I772" s="19">
        <f>IF(AND(A772="",B772="",E772=""),"",IF(A772="","Falta data",IF(B772="","Falta categoria",IF(E772="","Falta valor",IF(C772="Categoria inválida","Categoria inválida",IF(OR(H772&lt;1,H772&gt;12),"Fora dos 12 meses","OK"))))))</f>
        <v/>
      </c>
    </row>
    <row r="773">
      <c r="A773" s="35" t="n"/>
      <c r="B773" s="31" t="n"/>
      <c r="C773" s="19">
        <f>IF(B773="","",IF(COUNTIF(Config!$D$6:$D$15,B773)&gt;0,"Entrada",IF(COUNTIF(Config!$F$6:$F$25,B773)&gt;0,"Saída","Categoria inválida")))</f>
        <v/>
      </c>
      <c r="D773" s="31" t="n"/>
      <c r="E773" s="33" t="n"/>
      <c r="F773" s="36" t="n"/>
      <c r="G773" s="31" t="n"/>
      <c r="H773" s="37">
        <f>IF(A773="","",(YEAR(A773)-YEAR(Config!$B$6))*12+MONTH(A773)-MONTH(Config!$B$6)+1)</f>
        <v/>
      </c>
      <c r="I773" s="19">
        <f>IF(AND(A773="",B773="",E773=""),"",IF(A773="","Falta data",IF(B773="","Falta categoria",IF(E773="","Falta valor",IF(C773="Categoria inválida","Categoria inválida",IF(OR(H773&lt;1,H773&gt;12),"Fora dos 12 meses","OK"))))))</f>
        <v/>
      </c>
    </row>
    <row r="774">
      <c r="A774" s="35" t="n"/>
      <c r="B774" s="31" t="n"/>
      <c r="C774" s="19">
        <f>IF(B774="","",IF(COUNTIF(Config!$D$6:$D$15,B774)&gt;0,"Entrada",IF(COUNTIF(Config!$F$6:$F$25,B774)&gt;0,"Saída","Categoria inválida")))</f>
        <v/>
      </c>
      <c r="D774" s="31" t="n"/>
      <c r="E774" s="33" t="n"/>
      <c r="F774" s="36" t="n"/>
      <c r="G774" s="31" t="n"/>
      <c r="H774" s="37">
        <f>IF(A774="","",(YEAR(A774)-YEAR(Config!$B$6))*12+MONTH(A774)-MONTH(Config!$B$6)+1)</f>
        <v/>
      </c>
      <c r="I774" s="19">
        <f>IF(AND(A774="",B774="",E774=""),"",IF(A774="","Falta data",IF(B774="","Falta categoria",IF(E774="","Falta valor",IF(C774="Categoria inválida","Categoria inválida",IF(OR(H774&lt;1,H774&gt;12),"Fora dos 12 meses","OK"))))))</f>
        <v/>
      </c>
    </row>
    <row r="775">
      <c r="A775" s="35" t="n"/>
      <c r="B775" s="31" t="n"/>
      <c r="C775" s="19">
        <f>IF(B775="","",IF(COUNTIF(Config!$D$6:$D$15,B775)&gt;0,"Entrada",IF(COUNTIF(Config!$F$6:$F$25,B775)&gt;0,"Saída","Categoria inválida")))</f>
        <v/>
      </c>
      <c r="D775" s="31" t="n"/>
      <c r="E775" s="33" t="n"/>
      <c r="F775" s="36" t="n"/>
      <c r="G775" s="31" t="n"/>
      <c r="H775" s="37">
        <f>IF(A775="","",(YEAR(A775)-YEAR(Config!$B$6))*12+MONTH(A775)-MONTH(Config!$B$6)+1)</f>
        <v/>
      </c>
      <c r="I775" s="19">
        <f>IF(AND(A775="",B775="",E775=""),"",IF(A775="","Falta data",IF(B775="","Falta categoria",IF(E775="","Falta valor",IF(C775="Categoria inválida","Categoria inválida",IF(OR(H775&lt;1,H775&gt;12),"Fora dos 12 meses","OK"))))))</f>
        <v/>
      </c>
    </row>
    <row r="776">
      <c r="A776" s="35" t="n"/>
      <c r="B776" s="31" t="n"/>
      <c r="C776" s="19">
        <f>IF(B776="","",IF(COUNTIF(Config!$D$6:$D$15,B776)&gt;0,"Entrada",IF(COUNTIF(Config!$F$6:$F$25,B776)&gt;0,"Saída","Categoria inválida")))</f>
        <v/>
      </c>
      <c r="D776" s="31" t="n"/>
      <c r="E776" s="33" t="n"/>
      <c r="F776" s="36" t="n"/>
      <c r="G776" s="31" t="n"/>
      <c r="H776" s="37">
        <f>IF(A776="","",(YEAR(A776)-YEAR(Config!$B$6))*12+MONTH(A776)-MONTH(Config!$B$6)+1)</f>
        <v/>
      </c>
      <c r="I776" s="19">
        <f>IF(AND(A776="",B776="",E776=""),"",IF(A776="","Falta data",IF(B776="","Falta categoria",IF(E776="","Falta valor",IF(C776="Categoria inválida","Categoria inválida",IF(OR(H776&lt;1,H776&gt;12),"Fora dos 12 meses","OK"))))))</f>
        <v/>
      </c>
    </row>
    <row r="777">
      <c r="A777" s="35" t="n"/>
      <c r="B777" s="31" t="n"/>
      <c r="C777" s="19">
        <f>IF(B777="","",IF(COUNTIF(Config!$D$6:$D$15,B777)&gt;0,"Entrada",IF(COUNTIF(Config!$F$6:$F$25,B777)&gt;0,"Saída","Categoria inválida")))</f>
        <v/>
      </c>
      <c r="D777" s="31" t="n"/>
      <c r="E777" s="33" t="n"/>
      <c r="F777" s="36" t="n"/>
      <c r="G777" s="31" t="n"/>
      <c r="H777" s="37">
        <f>IF(A777="","",(YEAR(A777)-YEAR(Config!$B$6))*12+MONTH(A777)-MONTH(Config!$B$6)+1)</f>
        <v/>
      </c>
      <c r="I777" s="19">
        <f>IF(AND(A777="",B777="",E777=""),"",IF(A777="","Falta data",IF(B777="","Falta categoria",IF(E777="","Falta valor",IF(C777="Categoria inválida","Categoria inválida",IF(OR(H777&lt;1,H777&gt;12),"Fora dos 12 meses","OK"))))))</f>
        <v/>
      </c>
    </row>
    <row r="778">
      <c r="A778" s="35" t="n"/>
      <c r="B778" s="31" t="n"/>
      <c r="C778" s="19">
        <f>IF(B778="","",IF(COUNTIF(Config!$D$6:$D$15,B778)&gt;0,"Entrada",IF(COUNTIF(Config!$F$6:$F$25,B778)&gt;0,"Saída","Categoria inválida")))</f>
        <v/>
      </c>
      <c r="D778" s="31" t="n"/>
      <c r="E778" s="33" t="n"/>
      <c r="F778" s="36" t="n"/>
      <c r="G778" s="31" t="n"/>
      <c r="H778" s="37">
        <f>IF(A778="","",(YEAR(A778)-YEAR(Config!$B$6))*12+MONTH(A778)-MONTH(Config!$B$6)+1)</f>
        <v/>
      </c>
      <c r="I778" s="19">
        <f>IF(AND(A778="",B778="",E778=""),"",IF(A778="","Falta data",IF(B778="","Falta categoria",IF(E778="","Falta valor",IF(C778="Categoria inválida","Categoria inválida",IF(OR(H778&lt;1,H778&gt;12),"Fora dos 12 meses","OK"))))))</f>
        <v/>
      </c>
    </row>
    <row r="779">
      <c r="A779" s="35" t="n"/>
      <c r="B779" s="31" t="n"/>
      <c r="C779" s="19">
        <f>IF(B779="","",IF(COUNTIF(Config!$D$6:$D$15,B779)&gt;0,"Entrada",IF(COUNTIF(Config!$F$6:$F$25,B779)&gt;0,"Saída","Categoria inválida")))</f>
        <v/>
      </c>
      <c r="D779" s="31" t="n"/>
      <c r="E779" s="33" t="n"/>
      <c r="F779" s="36" t="n"/>
      <c r="G779" s="31" t="n"/>
      <c r="H779" s="37">
        <f>IF(A779="","",(YEAR(A779)-YEAR(Config!$B$6))*12+MONTH(A779)-MONTH(Config!$B$6)+1)</f>
        <v/>
      </c>
      <c r="I779" s="19">
        <f>IF(AND(A779="",B779="",E779=""),"",IF(A779="","Falta data",IF(B779="","Falta categoria",IF(E779="","Falta valor",IF(C779="Categoria inválida","Categoria inválida",IF(OR(H779&lt;1,H779&gt;12),"Fora dos 12 meses","OK"))))))</f>
        <v/>
      </c>
    </row>
    <row r="780">
      <c r="A780" s="35" t="n"/>
      <c r="B780" s="31" t="n"/>
      <c r="C780" s="19">
        <f>IF(B780="","",IF(COUNTIF(Config!$D$6:$D$15,B780)&gt;0,"Entrada",IF(COUNTIF(Config!$F$6:$F$25,B780)&gt;0,"Saída","Categoria inválida")))</f>
        <v/>
      </c>
      <c r="D780" s="31" t="n"/>
      <c r="E780" s="33" t="n"/>
      <c r="F780" s="36" t="n"/>
      <c r="G780" s="31" t="n"/>
      <c r="H780" s="37">
        <f>IF(A780="","",(YEAR(A780)-YEAR(Config!$B$6))*12+MONTH(A780)-MONTH(Config!$B$6)+1)</f>
        <v/>
      </c>
      <c r="I780" s="19">
        <f>IF(AND(A780="",B780="",E780=""),"",IF(A780="","Falta data",IF(B780="","Falta categoria",IF(E780="","Falta valor",IF(C780="Categoria inválida","Categoria inválida",IF(OR(H780&lt;1,H780&gt;12),"Fora dos 12 meses","OK"))))))</f>
        <v/>
      </c>
    </row>
    <row r="781">
      <c r="A781" s="35" t="n"/>
      <c r="B781" s="31" t="n"/>
      <c r="C781" s="19">
        <f>IF(B781="","",IF(COUNTIF(Config!$D$6:$D$15,B781)&gt;0,"Entrada",IF(COUNTIF(Config!$F$6:$F$25,B781)&gt;0,"Saída","Categoria inválida")))</f>
        <v/>
      </c>
      <c r="D781" s="31" t="n"/>
      <c r="E781" s="33" t="n"/>
      <c r="F781" s="36" t="n"/>
      <c r="G781" s="31" t="n"/>
      <c r="H781" s="37">
        <f>IF(A781="","",(YEAR(A781)-YEAR(Config!$B$6))*12+MONTH(A781)-MONTH(Config!$B$6)+1)</f>
        <v/>
      </c>
      <c r="I781" s="19">
        <f>IF(AND(A781="",B781="",E781=""),"",IF(A781="","Falta data",IF(B781="","Falta categoria",IF(E781="","Falta valor",IF(C781="Categoria inválida","Categoria inválida",IF(OR(H781&lt;1,H781&gt;12),"Fora dos 12 meses","OK"))))))</f>
        <v/>
      </c>
    </row>
    <row r="782">
      <c r="A782" s="35" t="n"/>
      <c r="B782" s="31" t="n"/>
      <c r="C782" s="19">
        <f>IF(B782="","",IF(COUNTIF(Config!$D$6:$D$15,B782)&gt;0,"Entrada",IF(COUNTIF(Config!$F$6:$F$25,B782)&gt;0,"Saída","Categoria inválida")))</f>
        <v/>
      </c>
      <c r="D782" s="31" t="n"/>
      <c r="E782" s="33" t="n"/>
      <c r="F782" s="36" t="n"/>
      <c r="G782" s="31" t="n"/>
      <c r="H782" s="37">
        <f>IF(A782="","",(YEAR(A782)-YEAR(Config!$B$6))*12+MONTH(A782)-MONTH(Config!$B$6)+1)</f>
        <v/>
      </c>
      <c r="I782" s="19">
        <f>IF(AND(A782="",B782="",E782=""),"",IF(A782="","Falta data",IF(B782="","Falta categoria",IF(E782="","Falta valor",IF(C782="Categoria inválida","Categoria inválida",IF(OR(H782&lt;1,H782&gt;12),"Fora dos 12 meses","OK"))))))</f>
        <v/>
      </c>
    </row>
    <row r="783">
      <c r="A783" s="35" t="n"/>
      <c r="B783" s="31" t="n"/>
      <c r="C783" s="19">
        <f>IF(B783="","",IF(COUNTIF(Config!$D$6:$D$15,B783)&gt;0,"Entrada",IF(COUNTIF(Config!$F$6:$F$25,B783)&gt;0,"Saída","Categoria inválida")))</f>
        <v/>
      </c>
      <c r="D783" s="31" t="n"/>
      <c r="E783" s="33" t="n"/>
      <c r="F783" s="36" t="n"/>
      <c r="G783" s="31" t="n"/>
      <c r="H783" s="37">
        <f>IF(A783="","",(YEAR(A783)-YEAR(Config!$B$6))*12+MONTH(A783)-MONTH(Config!$B$6)+1)</f>
        <v/>
      </c>
      <c r="I783" s="19">
        <f>IF(AND(A783="",B783="",E783=""),"",IF(A783="","Falta data",IF(B783="","Falta categoria",IF(E783="","Falta valor",IF(C783="Categoria inválida","Categoria inválida",IF(OR(H783&lt;1,H783&gt;12),"Fora dos 12 meses","OK"))))))</f>
        <v/>
      </c>
    </row>
    <row r="784">
      <c r="A784" s="35" t="n"/>
      <c r="B784" s="31" t="n"/>
      <c r="C784" s="19">
        <f>IF(B784="","",IF(COUNTIF(Config!$D$6:$D$15,B784)&gt;0,"Entrada",IF(COUNTIF(Config!$F$6:$F$25,B784)&gt;0,"Saída","Categoria inválida")))</f>
        <v/>
      </c>
      <c r="D784" s="31" t="n"/>
      <c r="E784" s="33" t="n"/>
      <c r="F784" s="36" t="n"/>
      <c r="G784" s="31" t="n"/>
      <c r="H784" s="37">
        <f>IF(A784="","",(YEAR(A784)-YEAR(Config!$B$6))*12+MONTH(A784)-MONTH(Config!$B$6)+1)</f>
        <v/>
      </c>
      <c r="I784" s="19">
        <f>IF(AND(A784="",B784="",E784=""),"",IF(A784="","Falta data",IF(B784="","Falta categoria",IF(E784="","Falta valor",IF(C784="Categoria inválida","Categoria inválida",IF(OR(H784&lt;1,H784&gt;12),"Fora dos 12 meses","OK"))))))</f>
        <v/>
      </c>
    </row>
    <row r="785">
      <c r="A785" s="35" t="n"/>
      <c r="B785" s="31" t="n"/>
      <c r="C785" s="19">
        <f>IF(B785="","",IF(COUNTIF(Config!$D$6:$D$15,B785)&gt;0,"Entrada",IF(COUNTIF(Config!$F$6:$F$25,B785)&gt;0,"Saída","Categoria inválida")))</f>
        <v/>
      </c>
      <c r="D785" s="31" t="n"/>
      <c r="E785" s="33" t="n"/>
      <c r="F785" s="36" t="n"/>
      <c r="G785" s="31" t="n"/>
      <c r="H785" s="37">
        <f>IF(A785="","",(YEAR(A785)-YEAR(Config!$B$6))*12+MONTH(A785)-MONTH(Config!$B$6)+1)</f>
        <v/>
      </c>
      <c r="I785" s="19">
        <f>IF(AND(A785="",B785="",E785=""),"",IF(A785="","Falta data",IF(B785="","Falta categoria",IF(E785="","Falta valor",IF(C785="Categoria inválida","Categoria inválida",IF(OR(H785&lt;1,H785&gt;12),"Fora dos 12 meses","OK"))))))</f>
        <v/>
      </c>
    </row>
    <row r="786">
      <c r="A786" s="35" t="n"/>
      <c r="B786" s="31" t="n"/>
      <c r="C786" s="19">
        <f>IF(B786="","",IF(COUNTIF(Config!$D$6:$D$15,B786)&gt;0,"Entrada",IF(COUNTIF(Config!$F$6:$F$25,B786)&gt;0,"Saída","Categoria inválida")))</f>
        <v/>
      </c>
      <c r="D786" s="31" t="n"/>
      <c r="E786" s="33" t="n"/>
      <c r="F786" s="36" t="n"/>
      <c r="G786" s="31" t="n"/>
      <c r="H786" s="37">
        <f>IF(A786="","",(YEAR(A786)-YEAR(Config!$B$6))*12+MONTH(A786)-MONTH(Config!$B$6)+1)</f>
        <v/>
      </c>
      <c r="I786" s="19">
        <f>IF(AND(A786="",B786="",E786=""),"",IF(A786="","Falta data",IF(B786="","Falta categoria",IF(E786="","Falta valor",IF(C786="Categoria inválida","Categoria inválida",IF(OR(H786&lt;1,H786&gt;12),"Fora dos 12 meses","OK"))))))</f>
        <v/>
      </c>
    </row>
    <row r="787">
      <c r="A787" s="35" t="n"/>
      <c r="B787" s="31" t="n"/>
      <c r="C787" s="19">
        <f>IF(B787="","",IF(COUNTIF(Config!$D$6:$D$15,B787)&gt;0,"Entrada",IF(COUNTIF(Config!$F$6:$F$25,B787)&gt;0,"Saída","Categoria inválida")))</f>
        <v/>
      </c>
      <c r="D787" s="31" t="n"/>
      <c r="E787" s="33" t="n"/>
      <c r="F787" s="36" t="n"/>
      <c r="G787" s="31" t="n"/>
      <c r="H787" s="37">
        <f>IF(A787="","",(YEAR(A787)-YEAR(Config!$B$6))*12+MONTH(A787)-MONTH(Config!$B$6)+1)</f>
        <v/>
      </c>
      <c r="I787" s="19">
        <f>IF(AND(A787="",B787="",E787=""),"",IF(A787="","Falta data",IF(B787="","Falta categoria",IF(E787="","Falta valor",IF(C787="Categoria inválida","Categoria inválida",IF(OR(H787&lt;1,H787&gt;12),"Fora dos 12 meses","OK"))))))</f>
        <v/>
      </c>
    </row>
    <row r="788">
      <c r="A788" s="35" t="n"/>
      <c r="B788" s="31" t="n"/>
      <c r="C788" s="19">
        <f>IF(B788="","",IF(COUNTIF(Config!$D$6:$D$15,B788)&gt;0,"Entrada",IF(COUNTIF(Config!$F$6:$F$25,B788)&gt;0,"Saída","Categoria inválida")))</f>
        <v/>
      </c>
      <c r="D788" s="31" t="n"/>
      <c r="E788" s="33" t="n"/>
      <c r="F788" s="36" t="n"/>
      <c r="G788" s="31" t="n"/>
      <c r="H788" s="37">
        <f>IF(A788="","",(YEAR(A788)-YEAR(Config!$B$6))*12+MONTH(A788)-MONTH(Config!$B$6)+1)</f>
        <v/>
      </c>
      <c r="I788" s="19">
        <f>IF(AND(A788="",B788="",E788=""),"",IF(A788="","Falta data",IF(B788="","Falta categoria",IF(E788="","Falta valor",IF(C788="Categoria inválida","Categoria inválida",IF(OR(H788&lt;1,H788&gt;12),"Fora dos 12 meses","OK"))))))</f>
        <v/>
      </c>
    </row>
    <row r="789">
      <c r="A789" s="35" t="n"/>
      <c r="B789" s="31" t="n"/>
      <c r="C789" s="19">
        <f>IF(B789="","",IF(COUNTIF(Config!$D$6:$D$15,B789)&gt;0,"Entrada",IF(COUNTIF(Config!$F$6:$F$25,B789)&gt;0,"Saída","Categoria inválida")))</f>
        <v/>
      </c>
      <c r="D789" s="31" t="n"/>
      <c r="E789" s="33" t="n"/>
      <c r="F789" s="36" t="n"/>
      <c r="G789" s="31" t="n"/>
      <c r="H789" s="37">
        <f>IF(A789="","",(YEAR(A789)-YEAR(Config!$B$6))*12+MONTH(A789)-MONTH(Config!$B$6)+1)</f>
        <v/>
      </c>
      <c r="I789" s="19">
        <f>IF(AND(A789="",B789="",E789=""),"",IF(A789="","Falta data",IF(B789="","Falta categoria",IF(E789="","Falta valor",IF(C789="Categoria inválida","Categoria inválida",IF(OR(H789&lt;1,H789&gt;12),"Fora dos 12 meses","OK"))))))</f>
        <v/>
      </c>
    </row>
    <row r="790">
      <c r="A790" s="35" t="n"/>
      <c r="B790" s="31" t="n"/>
      <c r="C790" s="19">
        <f>IF(B790="","",IF(COUNTIF(Config!$D$6:$D$15,B790)&gt;0,"Entrada",IF(COUNTIF(Config!$F$6:$F$25,B790)&gt;0,"Saída","Categoria inválida")))</f>
        <v/>
      </c>
      <c r="D790" s="31" t="n"/>
      <c r="E790" s="33" t="n"/>
      <c r="F790" s="36" t="n"/>
      <c r="G790" s="31" t="n"/>
      <c r="H790" s="37">
        <f>IF(A790="","",(YEAR(A790)-YEAR(Config!$B$6))*12+MONTH(A790)-MONTH(Config!$B$6)+1)</f>
        <v/>
      </c>
      <c r="I790" s="19">
        <f>IF(AND(A790="",B790="",E790=""),"",IF(A790="","Falta data",IF(B790="","Falta categoria",IF(E790="","Falta valor",IF(C790="Categoria inválida","Categoria inválida",IF(OR(H790&lt;1,H790&gt;12),"Fora dos 12 meses","OK"))))))</f>
        <v/>
      </c>
    </row>
    <row r="791">
      <c r="A791" s="35" t="n"/>
      <c r="B791" s="31" t="n"/>
      <c r="C791" s="19">
        <f>IF(B791="","",IF(COUNTIF(Config!$D$6:$D$15,B791)&gt;0,"Entrada",IF(COUNTIF(Config!$F$6:$F$25,B791)&gt;0,"Saída","Categoria inválida")))</f>
        <v/>
      </c>
      <c r="D791" s="31" t="n"/>
      <c r="E791" s="33" t="n"/>
      <c r="F791" s="36" t="n"/>
      <c r="G791" s="31" t="n"/>
      <c r="H791" s="37">
        <f>IF(A791="","",(YEAR(A791)-YEAR(Config!$B$6))*12+MONTH(A791)-MONTH(Config!$B$6)+1)</f>
        <v/>
      </c>
      <c r="I791" s="19">
        <f>IF(AND(A791="",B791="",E791=""),"",IF(A791="","Falta data",IF(B791="","Falta categoria",IF(E791="","Falta valor",IF(C791="Categoria inválida","Categoria inválida",IF(OR(H791&lt;1,H791&gt;12),"Fora dos 12 meses","OK"))))))</f>
        <v/>
      </c>
    </row>
    <row r="792">
      <c r="A792" s="35" t="n"/>
      <c r="B792" s="31" t="n"/>
      <c r="C792" s="19">
        <f>IF(B792="","",IF(COUNTIF(Config!$D$6:$D$15,B792)&gt;0,"Entrada",IF(COUNTIF(Config!$F$6:$F$25,B792)&gt;0,"Saída","Categoria inválida")))</f>
        <v/>
      </c>
      <c r="D792" s="31" t="n"/>
      <c r="E792" s="33" t="n"/>
      <c r="F792" s="36" t="n"/>
      <c r="G792" s="31" t="n"/>
      <c r="H792" s="37">
        <f>IF(A792="","",(YEAR(A792)-YEAR(Config!$B$6))*12+MONTH(A792)-MONTH(Config!$B$6)+1)</f>
        <v/>
      </c>
      <c r="I792" s="19">
        <f>IF(AND(A792="",B792="",E792=""),"",IF(A792="","Falta data",IF(B792="","Falta categoria",IF(E792="","Falta valor",IF(C792="Categoria inválida","Categoria inválida",IF(OR(H792&lt;1,H792&gt;12),"Fora dos 12 meses","OK"))))))</f>
        <v/>
      </c>
    </row>
    <row r="793">
      <c r="A793" s="35" t="n"/>
      <c r="B793" s="31" t="n"/>
      <c r="C793" s="19">
        <f>IF(B793="","",IF(COUNTIF(Config!$D$6:$D$15,B793)&gt;0,"Entrada",IF(COUNTIF(Config!$F$6:$F$25,B793)&gt;0,"Saída","Categoria inválida")))</f>
        <v/>
      </c>
      <c r="D793" s="31" t="n"/>
      <c r="E793" s="33" t="n"/>
      <c r="F793" s="36" t="n"/>
      <c r="G793" s="31" t="n"/>
      <c r="H793" s="37">
        <f>IF(A793="","",(YEAR(A793)-YEAR(Config!$B$6))*12+MONTH(A793)-MONTH(Config!$B$6)+1)</f>
        <v/>
      </c>
      <c r="I793" s="19">
        <f>IF(AND(A793="",B793="",E793=""),"",IF(A793="","Falta data",IF(B793="","Falta categoria",IF(E793="","Falta valor",IF(C793="Categoria inválida","Categoria inválida",IF(OR(H793&lt;1,H793&gt;12),"Fora dos 12 meses","OK"))))))</f>
        <v/>
      </c>
    </row>
    <row r="794">
      <c r="A794" s="35" t="n"/>
      <c r="B794" s="31" t="n"/>
      <c r="C794" s="19">
        <f>IF(B794="","",IF(COUNTIF(Config!$D$6:$D$15,B794)&gt;0,"Entrada",IF(COUNTIF(Config!$F$6:$F$25,B794)&gt;0,"Saída","Categoria inválida")))</f>
        <v/>
      </c>
      <c r="D794" s="31" t="n"/>
      <c r="E794" s="33" t="n"/>
      <c r="F794" s="36" t="n"/>
      <c r="G794" s="31" t="n"/>
      <c r="H794" s="37">
        <f>IF(A794="","",(YEAR(A794)-YEAR(Config!$B$6))*12+MONTH(A794)-MONTH(Config!$B$6)+1)</f>
        <v/>
      </c>
      <c r="I794" s="19">
        <f>IF(AND(A794="",B794="",E794=""),"",IF(A794="","Falta data",IF(B794="","Falta categoria",IF(E794="","Falta valor",IF(C794="Categoria inválida","Categoria inválida",IF(OR(H794&lt;1,H794&gt;12),"Fora dos 12 meses","OK"))))))</f>
        <v/>
      </c>
    </row>
    <row r="795">
      <c r="A795" s="35" t="n"/>
      <c r="B795" s="31" t="n"/>
      <c r="C795" s="19">
        <f>IF(B795="","",IF(COUNTIF(Config!$D$6:$D$15,B795)&gt;0,"Entrada",IF(COUNTIF(Config!$F$6:$F$25,B795)&gt;0,"Saída","Categoria inválida")))</f>
        <v/>
      </c>
      <c r="D795" s="31" t="n"/>
      <c r="E795" s="33" t="n"/>
      <c r="F795" s="36" t="n"/>
      <c r="G795" s="31" t="n"/>
      <c r="H795" s="37">
        <f>IF(A795="","",(YEAR(A795)-YEAR(Config!$B$6))*12+MONTH(A795)-MONTH(Config!$B$6)+1)</f>
        <v/>
      </c>
      <c r="I795" s="19">
        <f>IF(AND(A795="",B795="",E795=""),"",IF(A795="","Falta data",IF(B795="","Falta categoria",IF(E795="","Falta valor",IF(C795="Categoria inválida","Categoria inválida",IF(OR(H795&lt;1,H795&gt;12),"Fora dos 12 meses","OK"))))))</f>
        <v/>
      </c>
    </row>
    <row r="796">
      <c r="A796" s="35" t="n"/>
      <c r="B796" s="31" t="n"/>
      <c r="C796" s="19">
        <f>IF(B796="","",IF(COUNTIF(Config!$D$6:$D$15,B796)&gt;0,"Entrada",IF(COUNTIF(Config!$F$6:$F$25,B796)&gt;0,"Saída","Categoria inválida")))</f>
        <v/>
      </c>
      <c r="D796" s="31" t="n"/>
      <c r="E796" s="33" t="n"/>
      <c r="F796" s="36" t="n"/>
      <c r="G796" s="31" t="n"/>
      <c r="H796" s="37">
        <f>IF(A796="","",(YEAR(A796)-YEAR(Config!$B$6))*12+MONTH(A796)-MONTH(Config!$B$6)+1)</f>
        <v/>
      </c>
      <c r="I796" s="19">
        <f>IF(AND(A796="",B796="",E796=""),"",IF(A796="","Falta data",IF(B796="","Falta categoria",IF(E796="","Falta valor",IF(C796="Categoria inválida","Categoria inválida",IF(OR(H796&lt;1,H796&gt;12),"Fora dos 12 meses","OK"))))))</f>
        <v/>
      </c>
    </row>
    <row r="797">
      <c r="A797" s="35" t="n"/>
      <c r="B797" s="31" t="n"/>
      <c r="C797" s="19">
        <f>IF(B797="","",IF(COUNTIF(Config!$D$6:$D$15,B797)&gt;0,"Entrada",IF(COUNTIF(Config!$F$6:$F$25,B797)&gt;0,"Saída","Categoria inválida")))</f>
        <v/>
      </c>
      <c r="D797" s="31" t="n"/>
      <c r="E797" s="33" t="n"/>
      <c r="F797" s="36" t="n"/>
      <c r="G797" s="31" t="n"/>
      <c r="H797" s="37">
        <f>IF(A797="","",(YEAR(A797)-YEAR(Config!$B$6))*12+MONTH(A797)-MONTH(Config!$B$6)+1)</f>
        <v/>
      </c>
      <c r="I797" s="19">
        <f>IF(AND(A797="",B797="",E797=""),"",IF(A797="","Falta data",IF(B797="","Falta categoria",IF(E797="","Falta valor",IF(C797="Categoria inválida","Categoria inválida",IF(OR(H797&lt;1,H797&gt;12),"Fora dos 12 meses","OK"))))))</f>
        <v/>
      </c>
    </row>
    <row r="798">
      <c r="A798" s="35" t="n"/>
      <c r="B798" s="31" t="n"/>
      <c r="C798" s="19">
        <f>IF(B798="","",IF(COUNTIF(Config!$D$6:$D$15,B798)&gt;0,"Entrada",IF(COUNTIF(Config!$F$6:$F$25,B798)&gt;0,"Saída","Categoria inválida")))</f>
        <v/>
      </c>
      <c r="D798" s="31" t="n"/>
      <c r="E798" s="33" t="n"/>
      <c r="F798" s="36" t="n"/>
      <c r="G798" s="31" t="n"/>
      <c r="H798" s="37">
        <f>IF(A798="","",(YEAR(A798)-YEAR(Config!$B$6))*12+MONTH(A798)-MONTH(Config!$B$6)+1)</f>
        <v/>
      </c>
      <c r="I798" s="19">
        <f>IF(AND(A798="",B798="",E798=""),"",IF(A798="","Falta data",IF(B798="","Falta categoria",IF(E798="","Falta valor",IF(C798="Categoria inválida","Categoria inválida",IF(OR(H798&lt;1,H798&gt;12),"Fora dos 12 meses","OK"))))))</f>
        <v/>
      </c>
    </row>
    <row r="799">
      <c r="A799" s="35" t="n"/>
      <c r="B799" s="31" t="n"/>
      <c r="C799" s="19">
        <f>IF(B799="","",IF(COUNTIF(Config!$D$6:$D$15,B799)&gt;0,"Entrada",IF(COUNTIF(Config!$F$6:$F$25,B799)&gt;0,"Saída","Categoria inválida")))</f>
        <v/>
      </c>
      <c r="D799" s="31" t="n"/>
      <c r="E799" s="33" t="n"/>
      <c r="F799" s="36" t="n"/>
      <c r="G799" s="31" t="n"/>
      <c r="H799" s="37">
        <f>IF(A799="","",(YEAR(A799)-YEAR(Config!$B$6))*12+MONTH(A799)-MONTH(Config!$B$6)+1)</f>
        <v/>
      </c>
      <c r="I799" s="19">
        <f>IF(AND(A799="",B799="",E799=""),"",IF(A799="","Falta data",IF(B799="","Falta categoria",IF(E799="","Falta valor",IF(C799="Categoria inválida","Categoria inválida",IF(OR(H799&lt;1,H799&gt;12),"Fora dos 12 meses","OK"))))))</f>
        <v/>
      </c>
    </row>
    <row r="800">
      <c r="A800" s="35" t="n"/>
      <c r="B800" s="31" t="n"/>
      <c r="C800" s="19">
        <f>IF(B800="","",IF(COUNTIF(Config!$D$6:$D$15,B800)&gt;0,"Entrada",IF(COUNTIF(Config!$F$6:$F$25,B800)&gt;0,"Saída","Categoria inválida")))</f>
        <v/>
      </c>
      <c r="D800" s="31" t="n"/>
      <c r="E800" s="33" t="n"/>
      <c r="F800" s="36" t="n"/>
      <c r="G800" s="31" t="n"/>
      <c r="H800" s="37">
        <f>IF(A800="","",(YEAR(A800)-YEAR(Config!$B$6))*12+MONTH(A800)-MONTH(Config!$B$6)+1)</f>
        <v/>
      </c>
      <c r="I800" s="19">
        <f>IF(AND(A800="",B800="",E800=""),"",IF(A800="","Falta data",IF(B800="","Falta categoria",IF(E800="","Falta valor",IF(C800="Categoria inválida","Categoria inválida",IF(OR(H800&lt;1,H800&gt;12),"Fora dos 12 meses","OK"))))))</f>
        <v/>
      </c>
    </row>
    <row r="801">
      <c r="A801" s="35" t="n"/>
      <c r="B801" s="31" t="n"/>
      <c r="C801" s="19">
        <f>IF(B801="","",IF(COUNTIF(Config!$D$6:$D$15,B801)&gt;0,"Entrada",IF(COUNTIF(Config!$F$6:$F$25,B801)&gt;0,"Saída","Categoria inválida")))</f>
        <v/>
      </c>
      <c r="D801" s="31" t="n"/>
      <c r="E801" s="33" t="n"/>
      <c r="F801" s="36" t="n"/>
      <c r="G801" s="31" t="n"/>
      <c r="H801" s="37">
        <f>IF(A801="","",(YEAR(A801)-YEAR(Config!$B$6))*12+MONTH(A801)-MONTH(Config!$B$6)+1)</f>
        <v/>
      </c>
      <c r="I801" s="19">
        <f>IF(AND(A801="",B801="",E801=""),"",IF(A801="","Falta data",IF(B801="","Falta categoria",IF(E801="","Falta valor",IF(C801="Categoria inválida","Categoria inválida",IF(OR(H801&lt;1,H801&gt;12),"Fora dos 12 meses","OK"))))))</f>
        <v/>
      </c>
    </row>
    <row r="802">
      <c r="A802" s="35" t="n"/>
      <c r="B802" s="31" t="n"/>
      <c r="C802" s="19">
        <f>IF(B802="","",IF(COUNTIF(Config!$D$6:$D$15,B802)&gt;0,"Entrada",IF(COUNTIF(Config!$F$6:$F$25,B802)&gt;0,"Saída","Categoria inválida")))</f>
        <v/>
      </c>
      <c r="D802" s="31" t="n"/>
      <c r="E802" s="33" t="n"/>
      <c r="F802" s="36" t="n"/>
      <c r="G802" s="31" t="n"/>
      <c r="H802" s="37">
        <f>IF(A802="","",(YEAR(A802)-YEAR(Config!$B$6))*12+MONTH(A802)-MONTH(Config!$B$6)+1)</f>
        <v/>
      </c>
      <c r="I802" s="19">
        <f>IF(AND(A802="",B802="",E802=""),"",IF(A802="","Falta data",IF(B802="","Falta categoria",IF(E802="","Falta valor",IF(C802="Categoria inválida","Categoria inválida",IF(OR(H802&lt;1,H802&gt;12),"Fora dos 12 meses","OK"))))))</f>
        <v/>
      </c>
    </row>
    <row r="803">
      <c r="A803" s="35" t="n"/>
      <c r="B803" s="31" t="n"/>
      <c r="C803" s="19">
        <f>IF(B803="","",IF(COUNTIF(Config!$D$6:$D$15,B803)&gt;0,"Entrada",IF(COUNTIF(Config!$F$6:$F$25,B803)&gt;0,"Saída","Categoria inválida")))</f>
        <v/>
      </c>
      <c r="D803" s="31" t="n"/>
      <c r="E803" s="33" t="n"/>
      <c r="F803" s="36" t="n"/>
      <c r="G803" s="31" t="n"/>
      <c r="H803" s="37">
        <f>IF(A803="","",(YEAR(A803)-YEAR(Config!$B$6))*12+MONTH(A803)-MONTH(Config!$B$6)+1)</f>
        <v/>
      </c>
      <c r="I803" s="19">
        <f>IF(AND(A803="",B803="",E803=""),"",IF(A803="","Falta data",IF(B803="","Falta categoria",IF(E803="","Falta valor",IF(C803="Categoria inválida","Categoria inválida",IF(OR(H803&lt;1,H803&gt;12),"Fora dos 12 meses","OK"))))))</f>
        <v/>
      </c>
    </row>
    <row r="804">
      <c r="A804" s="35" t="n"/>
      <c r="B804" s="31" t="n"/>
      <c r="C804" s="19">
        <f>IF(B804="","",IF(COUNTIF(Config!$D$6:$D$15,B804)&gt;0,"Entrada",IF(COUNTIF(Config!$F$6:$F$25,B804)&gt;0,"Saída","Categoria inválida")))</f>
        <v/>
      </c>
      <c r="D804" s="31" t="n"/>
      <c r="E804" s="33" t="n"/>
      <c r="F804" s="36" t="n"/>
      <c r="G804" s="31" t="n"/>
      <c r="H804" s="37">
        <f>IF(A804="","",(YEAR(A804)-YEAR(Config!$B$6))*12+MONTH(A804)-MONTH(Config!$B$6)+1)</f>
        <v/>
      </c>
      <c r="I804" s="19">
        <f>IF(AND(A804="",B804="",E804=""),"",IF(A804="","Falta data",IF(B804="","Falta categoria",IF(E804="","Falta valor",IF(C804="Categoria inválida","Categoria inválida",IF(OR(H804&lt;1,H804&gt;12),"Fora dos 12 meses","OK"))))))</f>
        <v/>
      </c>
    </row>
    <row r="805">
      <c r="A805" s="35" t="n"/>
      <c r="B805" s="31" t="n"/>
      <c r="C805" s="19">
        <f>IF(B805="","",IF(COUNTIF(Config!$D$6:$D$15,B805)&gt;0,"Entrada",IF(COUNTIF(Config!$F$6:$F$25,B805)&gt;0,"Saída","Categoria inválida")))</f>
        <v/>
      </c>
      <c r="D805" s="31" t="n"/>
      <c r="E805" s="33" t="n"/>
      <c r="F805" s="36" t="n"/>
      <c r="G805" s="31" t="n"/>
      <c r="H805" s="37">
        <f>IF(A805="","",(YEAR(A805)-YEAR(Config!$B$6))*12+MONTH(A805)-MONTH(Config!$B$6)+1)</f>
        <v/>
      </c>
      <c r="I805" s="19">
        <f>IF(AND(A805="",B805="",E805=""),"",IF(A805="","Falta data",IF(B805="","Falta categoria",IF(E805="","Falta valor",IF(C805="Categoria inválida","Categoria inválida",IF(OR(H805&lt;1,H805&gt;12),"Fora dos 12 meses","OK"))))))</f>
        <v/>
      </c>
    </row>
    <row r="806">
      <c r="A806" s="35" t="n"/>
      <c r="B806" s="31" t="n"/>
      <c r="C806" s="19">
        <f>IF(B806="","",IF(COUNTIF(Config!$D$6:$D$15,B806)&gt;0,"Entrada",IF(COUNTIF(Config!$F$6:$F$25,B806)&gt;0,"Saída","Categoria inválida")))</f>
        <v/>
      </c>
      <c r="D806" s="31" t="n"/>
      <c r="E806" s="33" t="n"/>
      <c r="F806" s="36" t="n"/>
      <c r="G806" s="31" t="n"/>
      <c r="H806" s="37">
        <f>IF(A806="","",(YEAR(A806)-YEAR(Config!$B$6))*12+MONTH(A806)-MONTH(Config!$B$6)+1)</f>
        <v/>
      </c>
      <c r="I806" s="19">
        <f>IF(AND(A806="",B806="",E806=""),"",IF(A806="","Falta data",IF(B806="","Falta categoria",IF(E806="","Falta valor",IF(C806="Categoria inválida","Categoria inválida",IF(OR(H806&lt;1,H806&gt;12),"Fora dos 12 meses","OK"))))))</f>
        <v/>
      </c>
    </row>
    <row r="807">
      <c r="A807" s="35" t="n"/>
      <c r="B807" s="31" t="n"/>
      <c r="C807" s="19">
        <f>IF(B807="","",IF(COUNTIF(Config!$D$6:$D$15,B807)&gt;0,"Entrada",IF(COUNTIF(Config!$F$6:$F$25,B807)&gt;0,"Saída","Categoria inválida")))</f>
        <v/>
      </c>
      <c r="D807" s="31" t="n"/>
      <c r="E807" s="33" t="n"/>
      <c r="F807" s="36" t="n"/>
      <c r="G807" s="31" t="n"/>
      <c r="H807" s="37">
        <f>IF(A807="","",(YEAR(A807)-YEAR(Config!$B$6))*12+MONTH(A807)-MONTH(Config!$B$6)+1)</f>
        <v/>
      </c>
      <c r="I807" s="19">
        <f>IF(AND(A807="",B807="",E807=""),"",IF(A807="","Falta data",IF(B807="","Falta categoria",IF(E807="","Falta valor",IF(C807="Categoria inválida","Categoria inválida",IF(OR(H807&lt;1,H807&gt;12),"Fora dos 12 meses","OK"))))))</f>
        <v/>
      </c>
    </row>
    <row r="808">
      <c r="A808" s="35" t="n"/>
      <c r="B808" s="31" t="n"/>
      <c r="C808" s="19">
        <f>IF(B808="","",IF(COUNTIF(Config!$D$6:$D$15,B808)&gt;0,"Entrada",IF(COUNTIF(Config!$F$6:$F$25,B808)&gt;0,"Saída","Categoria inválida")))</f>
        <v/>
      </c>
      <c r="D808" s="31" t="n"/>
      <c r="E808" s="33" t="n"/>
      <c r="F808" s="36" t="n"/>
      <c r="G808" s="31" t="n"/>
      <c r="H808" s="37">
        <f>IF(A808="","",(YEAR(A808)-YEAR(Config!$B$6))*12+MONTH(A808)-MONTH(Config!$B$6)+1)</f>
        <v/>
      </c>
      <c r="I808" s="19">
        <f>IF(AND(A808="",B808="",E808=""),"",IF(A808="","Falta data",IF(B808="","Falta categoria",IF(E808="","Falta valor",IF(C808="Categoria inválida","Categoria inválida",IF(OR(H808&lt;1,H808&gt;12),"Fora dos 12 meses","OK"))))))</f>
        <v/>
      </c>
    </row>
    <row r="809">
      <c r="A809" s="35" t="n"/>
      <c r="B809" s="31" t="n"/>
      <c r="C809" s="19">
        <f>IF(B809="","",IF(COUNTIF(Config!$D$6:$D$15,B809)&gt;0,"Entrada",IF(COUNTIF(Config!$F$6:$F$25,B809)&gt;0,"Saída","Categoria inválida")))</f>
        <v/>
      </c>
      <c r="D809" s="31" t="n"/>
      <c r="E809" s="33" t="n"/>
      <c r="F809" s="36" t="n"/>
      <c r="G809" s="31" t="n"/>
      <c r="H809" s="37">
        <f>IF(A809="","",(YEAR(A809)-YEAR(Config!$B$6))*12+MONTH(A809)-MONTH(Config!$B$6)+1)</f>
        <v/>
      </c>
      <c r="I809" s="19">
        <f>IF(AND(A809="",B809="",E809=""),"",IF(A809="","Falta data",IF(B809="","Falta categoria",IF(E809="","Falta valor",IF(C809="Categoria inválida","Categoria inválida",IF(OR(H809&lt;1,H809&gt;12),"Fora dos 12 meses","OK"))))))</f>
        <v/>
      </c>
    </row>
    <row r="810">
      <c r="A810" s="35" t="n"/>
      <c r="B810" s="31" t="n"/>
      <c r="C810" s="19">
        <f>IF(B810="","",IF(COUNTIF(Config!$D$6:$D$15,B810)&gt;0,"Entrada",IF(COUNTIF(Config!$F$6:$F$25,B810)&gt;0,"Saída","Categoria inválida")))</f>
        <v/>
      </c>
      <c r="D810" s="31" t="n"/>
      <c r="E810" s="33" t="n"/>
      <c r="F810" s="36" t="n"/>
      <c r="G810" s="31" t="n"/>
      <c r="H810" s="37">
        <f>IF(A810="","",(YEAR(A810)-YEAR(Config!$B$6))*12+MONTH(A810)-MONTH(Config!$B$6)+1)</f>
        <v/>
      </c>
      <c r="I810" s="19">
        <f>IF(AND(A810="",B810="",E810=""),"",IF(A810="","Falta data",IF(B810="","Falta categoria",IF(E810="","Falta valor",IF(C810="Categoria inválida","Categoria inválida",IF(OR(H810&lt;1,H810&gt;12),"Fora dos 12 meses","OK"))))))</f>
        <v/>
      </c>
    </row>
    <row r="811">
      <c r="A811" s="35" t="n"/>
      <c r="B811" s="31" t="n"/>
      <c r="C811" s="19">
        <f>IF(B811="","",IF(COUNTIF(Config!$D$6:$D$15,B811)&gt;0,"Entrada",IF(COUNTIF(Config!$F$6:$F$25,B811)&gt;0,"Saída","Categoria inválida")))</f>
        <v/>
      </c>
      <c r="D811" s="31" t="n"/>
      <c r="E811" s="33" t="n"/>
      <c r="F811" s="36" t="n"/>
      <c r="G811" s="31" t="n"/>
      <c r="H811" s="37">
        <f>IF(A811="","",(YEAR(A811)-YEAR(Config!$B$6))*12+MONTH(A811)-MONTH(Config!$B$6)+1)</f>
        <v/>
      </c>
      <c r="I811" s="19">
        <f>IF(AND(A811="",B811="",E811=""),"",IF(A811="","Falta data",IF(B811="","Falta categoria",IF(E811="","Falta valor",IF(C811="Categoria inválida","Categoria inválida",IF(OR(H811&lt;1,H811&gt;12),"Fora dos 12 meses","OK"))))))</f>
        <v/>
      </c>
    </row>
    <row r="812">
      <c r="A812" s="35" t="n"/>
      <c r="B812" s="31" t="n"/>
      <c r="C812" s="19">
        <f>IF(B812="","",IF(COUNTIF(Config!$D$6:$D$15,B812)&gt;0,"Entrada",IF(COUNTIF(Config!$F$6:$F$25,B812)&gt;0,"Saída","Categoria inválida")))</f>
        <v/>
      </c>
      <c r="D812" s="31" t="n"/>
      <c r="E812" s="33" t="n"/>
      <c r="F812" s="36" t="n"/>
      <c r="G812" s="31" t="n"/>
      <c r="H812" s="37">
        <f>IF(A812="","",(YEAR(A812)-YEAR(Config!$B$6))*12+MONTH(A812)-MONTH(Config!$B$6)+1)</f>
        <v/>
      </c>
      <c r="I812" s="19">
        <f>IF(AND(A812="",B812="",E812=""),"",IF(A812="","Falta data",IF(B812="","Falta categoria",IF(E812="","Falta valor",IF(C812="Categoria inválida","Categoria inválida",IF(OR(H812&lt;1,H812&gt;12),"Fora dos 12 meses","OK"))))))</f>
        <v/>
      </c>
    </row>
    <row r="813">
      <c r="A813" s="35" t="n"/>
      <c r="B813" s="31" t="n"/>
      <c r="C813" s="19">
        <f>IF(B813="","",IF(COUNTIF(Config!$D$6:$D$15,B813)&gt;0,"Entrada",IF(COUNTIF(Config!$F$6:$F$25,B813)&gt;0,"Saída","Categoria inválida")))</f>
        <v/>
      </c>
      <c r="D813" s="31" t="n"/>
      <c r="E813" s="33" t="n"/>
      <c r="F813" s="36" t="n"/>
      <c r="G813" s="31" t="n"/>
      <c r="H813" s="37">
        <f>IF(A813="","",(YEAR(A813)-YEAR(Config!$B$6))*12+MONTH(A813)-MONTH(Config!$B$6)+1)</f>
        <v/>
      </c>
      <c r="I813" s="19">
        <f>IF(AND(A813="",B813="",E813=""),"",IF(A813="","Falta data",IF(B813="","Falta categoria",IF(E813="","Falta valor",IF(C813="Categoria inválida","Categoria inválida",IF(OR(H813&lt;1,H813&gt;12),"Fora dos 12 meses","OK"))))))</f>
        <v/>
      </c>
    </row>
    <row r="814">
      <c r="A814" s="35" t="n"/>
      <c r="B814" s="31" t="n"/>
      <c r="C814" s="19">
        <f>IF(B814="","",IF(COUNTIF(Config!$D$6:$D$15,B814)&gt;0,"Entrada",IF(COUNTIF(Config!$F$6:$F$25,B814)&gt;0,"Saída","Categoria inválida")))</f>
        <v/>
      </c>
      <c r="D814" s="31" t="n"/>
      <c r="E814" s="33" t="n"/>
      <c r="F814" s="36" t="n"/>
      <c r="G814" s="31" t="n"/>
      <c r="H814" s="37">
        <f>IF(A814="","",(YEAR(A814)-YEAR(Config!$B$6))*12+MONTH(A814)-MONTH(Config!$B$6)+1)</f>
        <v/>
      </c>
      <c r="I814" s="19">
        <f>IF(AND(A814="",B814="",E814=""),"",IF(A814="","Falta data",IF(B814="","Falta categoria",IF(E814="","Falta valor",IF(C814="Categoria inválida","Categoria inválida",IF(OR(H814&lt;1,H814&gt;12),"Fora dos 12 meses","OK"))))))</f>
        <v/>
      </c>
    </row>
    <row r="815">
      <c r="A815" s="35" t="n"/>
      <c r="B815" s="31" t="n"/>
      <c r="C815" s="19">
        <f>IF(B815="","",IF(COUNTIF(Config!$D$6:$D$15,B815)&gt;0,"Entrada",IF(COUNTIF(Config!$F$6:$F$25,B815)&gt;0,"Saída","Categoria inválida")))</f>
        <v/>
      </c>
      <c r="D815" s="31" t="n"/>
      <c r="E815" s="33" t="n"/>
      <c r="F815" s="36" t="n"/>
      <c r="G815" s="31" t="n"/>
      <c r="H815" s="37">
        <f>IF(A815="","",(YEAR(A815)-YEAR(Config!$B$6))*12+MONTH(A815)-MONTH(Config!$B$6)+1)</f>
        <v/>
      </c>
      <c r="I815" s="19">
        <f>IF(AND(A815="",B815="",E815=""),"",IF(A815="","Falta data",IF(B815="","Falta categoria",IF(E815="","Falta valor",IF(C815="Categoria inválida","Categoria inválida",IF(OR(H815&lt;1,H815&gt;12),"Fora dos 12 meses","OK"))))))</f>
        <v/>
      </c>
    </row>
    <row r="816">
      <c r="A816" s="35" t="n"/>
      <c r="B816" s="31" t="n"/>
      <c r="C816" s="19">
        <f>IF(B816="","",IF(COUNTIF(Config!$D$6:$D$15,B816)&gt;0,"Entrada",IF(COUNTIF(Config!$F$6:$F$25,B816)&gt;0,"Saída","Categoria inválida")))</f>
        <v/>
      </c>
      <c r="D816" s="31" t="n"/>
      <c r="E816" s="33" t="n"/>
      <c r="F816" s="36" t="n"/>
      <c r="G816" s="31" t="n"/>
      <c r="H816" s="37">
        <f>IF(A816="","",(YEAR(A816)-YEAR(Config!$B$6))*12+MONTH(A816)-MONTH(Config!$B$6)+1)</f>
        <v/>
      </c>
      <c r="I816" s="19">
        <f>IF(AND(A816="",B816="",E816=""),"",IF(A816="","Falta data",IF(B816="","Falta categoria",IF(E816="","Falta valor",IF(C816="Categoria inválida","Categoria inválida",IF(OR(H816&lt;1,H816&gt;12),"Fora dos 12 meses","OK"))))))</f>
        <v/>
      </c>
    </row>
    <row r="817">
      <c r="A817" s="35" t="n"/>
      <c r="B817" s="31" t="n"/>
      <c r="C817" s="19">
        <f>IF(B817="","",IF(COUNTIF(Config!$D$6:$D$15,B817)&gt;0,"Entrada",IF(COUNTIF(Config!$F$6:$F$25,B817)&gt;0,"Saída","Categoria inválida")))</f>
        <v/>
      </c>
      <c r="D817" s="31" t="n"/>
      <c r="E817" s="33" t="n"/>
      <c r="F817" s="36" t="n"/>
      <c r="G817" s="31" t="n"/>
      <c r="H817" s="37">
        <f>IF(A817="","",(YEAR(A817)-YEAR(Config!$B$6))*12+MONTH(A817)-MONTH(Config!$B$6)+1)</f>
        <v/>
      </c>
      <c r="I817" s="19">
        <f>IF(AND(A817="",B817="",E817=""),"",IF(A817="","Falta data",IF(B817="","Falta categoria",IF(E817="","Falta valor",IF(C817="Categoria inválida","Categoria inválida",IF(OR(H817&lt;1,H817&gt;12),"Fora dos 12 meses","OK"))))))</f>
        <v/>
      </c>
    </row>
    <row r="818">
      <c r="A818" s="35" t="n"/>
      <c r="B818" s="31" t="n"/>
      <c r="C818" s="19">
        <f>IF(B818="","",IF(COUNTIF(Config!$D$6:$D$15,B818)&gt;0,"Entrada",IF(COUNTIF(Config!$F$6:$F$25,B818)&gt;0,"Saída","Categoria inválida")))</f>
        <v/>
      </c>
      <c r="D818" s="31" t="n"/>
      <c r="E818" s="33" t="n"/>
      <c r="F818" s="36" t="n"/>
      <c r="G818" s="31" t="n"/>
      <c r="H818" s="37">
        <f>IF(A818="","",(YEAR(A818)-YEAR(Config!$B$6))*12+MONTH(A818)-MONTH(Config!$B$6)+1)</f>
        <v/>
      </c>
      <c r="I818" s="19">
        <f>IF(AND(A818="",B818="",E818=""),"",IF(A818="","Falta data",IF(B818="","Falta categoria",IF(E818="","Falta valor",IF(C818="Categoria inválida","Categoria inválida",IF(OR(H818&lt;1,H818&gt;12),"Fora dos 12 meses","OK"))))))</f>
        <v/>
      </c>
    </row>
    <row r="819">
      <c r="A819" s="35" t="n"/>
      <c r="B819" s="31" t="n"/>
      <c r="C819" s="19">
        <f>IF(B819="","",IF(COUNTIF(Config!$D$6:$D$15,B819)&gt;0,"Entrada",IF(COUNTIF(Config!$F$6:$F$25,B819)&gt;0,"Saída","Categoria inválida")))</f>
        <v/>
      </c>
      <c r="D819" s="31" t="n"/>
      <c r="E819" s="33" t="n"/>
      <c r="F819" s="36" t="n"/>
      <c r="G819" s="31" t="n"/>
      <c r="H819" s="37">
        <f>IF(A819="","",(YEAR(A819)-YEAR(Config!$B$6))*12+MONTH(A819)-MONTH(Config!$B$6)+1)</f>
        <v/>
      </c>
      <c r="I819" s="19">
        <f>IF(AND(A819="",B819="",E819=""),"",IF(A819="","Falta data",IF(B819="","Falta categoria",IF(E819="","Falta valor",IF(C819="Categoria inválida","Categoria inválida",IF(OR(H819&lt;1,H819&gt;12),"Fora dos 12 meses","OK"))))))</f>
        <v/>
      </c>
    </row>
    <row r="820">
      <c r="A820" s="35" t="n"/>
      <c r="B820" s="31" t="n"/>
      <c r="C820" s="19">
        <f>IF(B820="","",IF(COUNTIF(Config!$D$6:$D$15,B820)&gt;0,"Entrada",IF(COUNTIF(Config!$F$6:$F$25,B820)&gt;0,"Saída","Categoria inválida")))</f>
        <v/>
      </c>
      <c r="D820" s="31" t="n"/>
      <c r="E820" s="33" t="n"/>
      <c r="F820" s="36" t="n"/>
      <c r="G820" s="31" t="n"/>
      <c r="H820" s="37">
        <f>IF(A820="","",(YEAR(A820)-YEAR(Config!$B$6))*12+MONTH(A820)-MONTH(Config!$B$6)+1)</f>
        <v/>
      </c>
      <c r="I820" s="19">
        <f>IF(AND(A820="",B820="",E820=""),"",IF(A820="","Falta data",IF(B820="","Falta categoria",IF(E820="","Falta valor",IF(C820="Categoria inválida","Categoria inválida",IF(OR(H820&lt;1,H820&gt;12),"Fora dos 12 meses","OK"))))))</f>
        <v/>
      </c>
    </row>
    <row r="821">
      <c r="A821" s="35" t="n"/>
      <c r="B821" s="31" t="n"/>
      <c r="C821" s="19">
        <f>IF(B821="","",IF(COUNTIF(Config!$D$6:$D$15,B821)&gt;0,"Entrada",IF(COUNTIF(Config!$F$6:$F$25,B821)&gt;0,"Saída","Categoria inválida")))</f>
        <v/>
      </c>
      <c r="D821" s="31" t="n"/>
      <c r="E821" s="33" t="n"/>
      <c r="F821" s="36" t="n"/>
      <c r="G821" s="31" t="n"/>
      <c r="H821" s="37">
        <f>IF(A821="","",(YEAR(A821)-YEAR(Config!$B$6))*12+MONTH(A821)-MONTH(Config!$B$6)+1)</f>
        <v/>
      </c>
      <c r="I821" s="19">
        <f>IF(AND(A821="",B821="",E821=""),"",IF(A821="","Falta data",IF(B821="","Falta categoria",IF(E821="","Falta valor",IF(C821="Categoria inválida","Categoria inválida",IF(OR(H821&lt;1,H821&gt;12),"Fora dos 12 meses","OK"))))))</f>
        <v/>
      </c>
    </row>
    <row r="822">
      <c r="A822" s="35" t="n"/>
      <c r="B822" s="31" t="n"/>
      <c r="C822" s="19">
        <f>IF(B822="","",IF(COUNTIF(Config!$D$6:$D$15,B822)&gt;0,"Entrada",IF(COUNTIF(Config!$F$6:$F$25,B822)&gt;0,"Saída","Categoria inválida")))</f>
        <v/>
      </c>
      <c r="D822" s="31" t="n"/>
      <c r="E822" s="33" t="n"/>
      <c r="F822" s="36" t="n"/>
      <c r="G822" s="31" t="n"/>
      <c r="H822" s="37">
        <f>IF(A822="","",(YEAR(A822)-YEAR(Config!$B$6))*12+MONTH(A822)-MONTH(Config!$B$6)+1)</f>
        <v/>
      </c>
      <c r="I822" s="19">
        <f>IF(AND(A822="",B822="",E822=""),"",IF(A822="","Falta data",IF(B822="","Falta categoria",IF(E822="","Falta valor",IF(C822="Categoria inválida","Categoria inválida",IF(OR(H822&lt;1,H822&gt;12),"Fora dos 12 meses","OK"))))))</f>
        <v/>
      </c>
    </row>
    <row r="823">
      <c r="A823" s="35" t="n"/>
      <c r="B823" s="31" t="n"/>
      <c r="C823" s="19">
        <f>IF(B823="","",IF(COUNTIF(Config!$D$6:$D$15,B823)&gt;0,"Entrada",IF(COUNTIF(Config!$F$6:$F$25,B823)&gt;0,"Saída","Categoria inválida")))</f>
        <v/>
      </c>
      <c r="D823" s="31" t="n"/>
      <c r="E823" s="33" t="n"/>
      <c r="F823" s="36" t="n"/>
      <c r="G823" s="31" t="n"/>
      <c r="H823" s="37">
        <f>IF(A823="","",(YEAR(A823)-YEAR(Config!$B$6))*12+MONTH(A823)-MONTH(Config!$B$6)+1)</f>
        <v/>
      </c>
      <c r="I823" s="19">
        <f>IF(AND(A823="",B823="",E823=""),"",IF(A823="","Falta data",IF(B823="","Falta categoria",IF(E823="","Falta valor",IF(C823="Categoria inválida","Categoria inválida",IF(OR(H823&lt;1,H823&gt;12),"Fora dos 12 meses","OK"))))))</f>
        <v/>
      </c>
    </row>
    <row r="824">
      <c r="A824" s="35" t="n"/>
      <c r="B824" s="31" t="n"/>
      <c r="C824" s="19">
        <f>IF(B824="","",IF(COUNTIF(Config!$D$6:$D$15,B824)&gt;0,"Entrada",IF(COUNTIF(Config!$F$6:$F$25,B824)&gt;0,"Saída","Categoria inválida")))</f>
        <v/>
      </c>
      <c r="D824" s="31" t="n"/>
      <c r="E824" s="33" t="n"/>
      <c r="F824" s="36" t="n"/>
      <c r="G824" s="31" t="n"/>
      <c r="H824" s="37">
        <f>IF(A824="","",(YEAR(A824)-YEAR(Config!$B$6))*12+MONTH(A824)-MONTH(Config!$B$6)+1)</f>
        <v/>
      </c>
      <c r="I824" s="19">
        <f>IF(AND(A824="",B824="",E824=""),"",IF(A824="","Falta data",IF(B824="","Falta categoria",IF(E824="","Falta valor",IF(C824="Categoria inválida","Categoria inválida",IF(OR(H824&lt;1,H824&gt;12),"Fora dos 12 meses","OK"))))))</f>
        <v/>
      </c>
    </row>
    <row r="825">
      <c r="A825" s="35" t="n"/>
      <c r="B825" s="31" t="n"/>
      <c r="C825" s="19">
        <f>IF(B825="","",IF(COUNTIF(Config!$D$6:$D$15,B825)&gt;0,"Entrada",IF(COUNTIF(Config!$F$6:$F$25,B825)&gt;0,"Saída","Categoria inválida")))</f>
        <v/>
      </c>
      <c r="D825" s="31" t="n"/>
      <c r="E825" s="33" t="n"/>
      <c r="F825" s="36" t="n"/>
      <c r="G825" s="31" t="n"/>
      <c r="H825" s="37">
        <f>IF(A825="","",(YEAR(A825)-YEAR(Config!$B$6))*12+MONTH(A825)-MONTH(Config!$B$6)+1)</f>
        <v/>
      </c>
      <c r="I825" s="19">
        <f>IF(AND(A825="",B825="",E825=""),"",IF(A825="","Falta data",IF(B825="","Falta categoria",IF(E825="","Falta valor",IF(C825="Categoria inválida","Categoria inválida",IF(OR(H825&lt;1,H825&gt;12),"Fora dos 12 meses","OK"))))))</f>
        <v/>
      </c>
    </row>
    <row r="826">
      <c r="A826" s="35" t="n"/>
      <c r="B826" s="31" t="n"/>
      <c r="C826" s="19">
        <f>IF(B826="","",IF(COUNTIF(Config!$D$6:$D$15,B826)&gt;0,"Entrada",IF(COUNTIF(Config!$F$6:$F$25,B826)&gt;0,"Saída","Categoria inválida")))</f>
        <v/>
      </c>
      <c r="D826" s="31" t="n"/>
      <c r="E826" s="33" t="n"/>
      <c r="F826" s="36" t="n"/>
      <c r="G826" s="31" t="n"/>
      <c r="H826" s="37">
        <f>IF(A826="","",(YEAR(A826)-YEAR(Config!$B$6))*12+MONTH(A826)-MONTH(Config!$B$6)+1)</f>
        <v/>
      </c>
      <c r="I826" s="19">
        <f>IF(AND(A826="",B826="",E826=""),"",IF(A826="","Falta data",IF(B826="","Falta categoria",IF(E826="","Falta valor",IF(C826="Categoria inválida","Categoria inválida",IF(OR(H826&lt;1,H826&gt;12),"Fora dos 12 meses","OK"))))))</f>
        <v/>
      </c>
    </row>
    <row r="827">
      <c r="A827" s="35" t="n"/>
      <c r="B827" s="31" t="n"/>
      <c r="C827" s="19">
        <f>IF(B827="","",IF(COUNTIF(Config!$D$6:$D$15,B827)&gt;0,"Entrada",IF(COUNTIF(Config!$F$6:$F$25,B827)&gt;0,"Saída","Categoria inválida")))</f>
        <v/>
      </c>
      <c r="D827" s="31" t="n"/>
      <c r="E827" s="33" t="n"/>
      <c r="F827" s="36" t="n"/>
      <c r="G827" s="31" t="n"/>
      <c r="H827" s="37">
        <f>IF(A827="","",(YEAR(A827)-YEAR(Config!$B$6))*12+MONTH(A827)-MONTH(Config!$B$6)+1)</f>
        <v/>
      </c>
      <c r="I827" s="19">
        <f>IF(AND(A827="",B827="",E827=""),"",IF(A827="","Falta data",IF(B827="","Falta categoria",IF(E827="","Falta valor",IF(C827="Categoria inválida","Categoria inválida",IF(OR(H827&lt;1,H827&gt;12),"Fora dos 12 meses","OK"))))))</f>
        <v/>
      </c>
    </row>
    <row r="828">
      <c r="A828" s="35" t="n"/>
      <c r="B828" s="31" t="n"/>
      <c r="C828" s="19">
        <f>IF(B828="","",IF(COUNTIF(Config!$D$6:$D$15,B828)&gt;0,"Entrada",IF(COUNTIF(Config!$F$6:$F$25,B828)&gt;0,"Saída","Categoria inválida")))</f>
        <v/>
      </c>
      <c r="D828" s="31" t="n"/>
      <c r="E828" s="33" t="n"/>
      <c r="F828" s="36" t="n"/>
      <c r="G828" s="31" t="n"/>
      <c r="H828" s="37">
        <f>IF(A828="","",(YEAR(A828)-YEAR(Config!$B$6))*12+MONTH(A828)-MONTH(Config!$B$6)+1)</f>
        <v/>
      </c>
      <c r="I828" s="19">
        <f>IF(AND(A828="",B828="",E828=""),"",IF(A828="","Falta data",IF(B828="","Falta categoria",IF(E828="","Falta valor",IF(C828="Categoria inválida","Categoria inválida",IF(OR(H828&lt;1,H828&gt;12),"Fora dos 12 meses","OK"))))))</f>
        <v/>
      </c>
    </row>
    <row r="829">
      <c r="A829" s="35" t="n"/>
      <c r="B829" s="31" t="n"/>
      <c r="C829" s="19">
        <f>IF(B829="","",IF(COUNTIF(Config!$D$6:$D$15,B829)&gt;0,"Entrada",IF(COUNTIF(Config!$F$6:$F$25,B829)&gt;0,"Saída","Categoria inválida")))</f>
        <v/>
      </c>
      <c r="D829" s="31" t="n"/>
      <c r="E829" s="33" t="n"/>
      <c r="F829" s="36" t="n"/>
      <c r="G829" s="31" t="n"/>
      <c r="H829" s="37">
        <f>IF(A829="","",(YEAR(A829)-YEAR(Config!$B$6))*12+MONTH(A829)-MONTH(Config!$B$6)+1)</f>
        <v/>
      </c>
      <c r="I829" s="19">
        <f>IF(AND(A829="",B829="",E829=""),"",IF(A829="","Falta data",IF(B829="","Falta categoria",IF(E829="","Falta valor",IF(C829="Categoria inválida","Categoria inválida",IF(OR(H829&lt;1,H829&gt;12),"Fora dos 12 meses","OK"))))))</f>
        <v/>
      </c>
    </row>
    <row r="830">
      <c r="A830" s="35" t="n"/>
      <c r="B830" s="31" t="n"/>
      <c r="C830" s="19">
        <f>IF(B830="","",IF(COUNTIF(Config!$D$6:$D$15,B830)&gt;0,"Entrada",IF(COUNTIF(Config!$F$6:$F$25,B830)&gt;0,"Saída","Categoria inválida")))</f>
        <v/>
      </c>
      <c r="D830" s="31" t="n"/>
      <c r="E830" s="33" t="n"/>
      <c r="F830" s="36" t="n"/>
      <c r="G830" s="31" t="n"/>
      <c r="H830" s="37">
        <f>IF(A830="","",(YEAR(A830)-YEAR(Config!$B$6))*12+MONTH(A830)-MONTH(Config!$B$6)+1)</f>
        <v/>
      </c>
      <c r="I830" s="19">
        <f>IF(AND(A830="",B830="",E830=""),"",IF(A830="","Falta data",IF(B830="","Falta categoria",IF(E830="","Falta valor",IF(C830="Categoria inválida","Categoria inválida",IF(OR(H830&lt;1,H830&gt;12),"Fora dos 12 meses","OK"))))))</f>
        <v/>
      </c>
    </row>
    <row r="831">
      <c r="A831" s="35" t="n"/>
      <c r="B831" s="31" t="n"/>
      <c r="C831" s="19">
        <f>IF(B831="","",IF(COUNTIF(Config!$D$6:$D$15,B831)&gt;0,"Entrada",IF(COUNTIF(Config!$F$6:$F$25,B831)&gt;0,"Saída","Categoria inválida")))</f>
        <v/>
      </c>
      <c r="D831" s="31" t="n"/>
      <c r="E831" s="33" t="n"/>
      <c r="F831" s="36" t="n"/>
      <c r="G831" s="31" t="n"/>
      <c r="H831" s="37">
        <f>IF(A831="","",(YEAR(A831)-YEAR(Config!$B$6))*12+MONTH(A831)-MONTH(Config!$B$6)+1)</f>
        <v/>
      </c>
      <c r="I831" s="19">
        <f>IF(AND(A831="",B831="",E831=""),"",IF(A831="","Falta data",IF(B831="","Falta categoria",IF(E831="","Falta valor",IF(C831="Categoria inválida","Categoria inválida",IF(OR(H831&lt;1,H831&gt;12),"Fora dos 12 meses","OK"))))))</f>
        <v/>
      </c>
    </row>
    <row r="832">
      <c r="A832" s="35" t="n"/>
      <c r="B832" s="31" t="n"/>
      <c r="C832" s="19">
        <f>IF(B832="","",IF(COUNTIF(Config!$D$6:$D$15,B832)&gt;0,"Entrada",IF(COUNTIF(Config!$F$6:$F$25,B832)&gt;0,"Saída","Categoria inválida")))</f>
        <v/>
      </c>
      <c r="D832" s="31" t="n"/>
      <c r="E832" s="33" t="n"/>
      <c r="F832" s="36" t="n"/>
      <c r="G832" s="31" t="n"/>
      <c r="H832" s="37">
        <f>IF(A832="","",(YEAR(A832)-YEAR(Config!$B$6))*12+MONTH(A832)-MONTH(Config!$B$6)+1)</f>
        <v/>
      </c>
      <c r="I832" s="19">
        <f>IF(AND(A832="",B832="",E832=""),"",IF(A832="","Falta data",IF(B832="","Falta categoria",IF(E832="","Falta valor",IF(C832="Categoria inválida","Categoria inválida",IF(OR(H832&lt;1,H832&gt;12),"Fora dos 12 meses","OK"))))))</f>
        <v/>
      </c>
    </row>
    <row r="833">
      <c r="A833" s="35" t="n"/>
      <c r="B833" s="31" t="n"/>
      <c r="C833" s="19">
        <f>IF(B833="","",IF(COUNTIF(Config!$D$6:$D$15,B833)&gt;0,"Entrada",IF(COUNTIF(Config!$F$6:$F$25,B833)&gt;0,"Saída","Categoria inválida")))</f>
        <v/>
      </c>
      <c r="D833" s="31" t="n"/>
      <c r="E833" s="33" t="n"/>
      <c r="F833" s="36" t="n"/>
      <c r="G833" s="31" t="n"/>
      <c r="H833" s="37">
        <f>IF(A833="","",(YEAR(A833)-YEAR(Config!$B$6))*12+MONTH(A833)-MONTH(Config!$B$6)+1)</f>
        <v/>
      </c>
      <c r="I833" s="19">
        <f>IF(AND(A833="",B833="",E833=""),"",IF(A833="","Falta data",IF(B833="","Falta categoria",IF(E833="","Falta valor",IF(C833="Categoria inválida","Categoria inválida",IF(OR(H833&lt;1,H833&gt;12),"Fora dos 12 meses","OK"))))))</f>
        <v/>
      </c>
    </row>
    <row r="834">
      <c r="A834" s="35" t="n"/>
      <c r="B834" s="31" t="n"/>
      <c r="C834" s="19">
        <f>IF(B834="","",IF(COUNTIF(Config!$D$6:$D$15,B834)&gt;0,"Entrada",IF(COUNTIF(Config!$F$6:$F$25,B834)&gt;0,"Saída","Categoria inválida")))</f>
        <v/>
      </c>
      <c r="D834" s="31" t="n"/>
      <c r="E834" s="33" t="n"/>
      <c r="F834" s="36" t="n"/>
      <c r="G834" s="31" t="n"/>
      <c r="H834" s="37">
        <f>IF(A834="","",(YEAR(A834)-YEAR(Config!$B$6))*12+MONTH(A834)-MONTH(Config!$B$6)+1)</f>
        <v/>
      </c>
      <c r="I834" s="19">
        <f>IF(AND(A834="",B834="",E834=""),"",IF(A834="","Falta data",IF(B834="","Falta categoria",IF(E834="","Falta valor",IF(C834="Categoria inválida","Categoria inválida",IF(OR(H834&lt;1,H834&gt;12),"Fora dos 12 meses","OK"))))))</f>
        <v/>
      </c>
    </row>
    <row r="835">
      <c r="A835" s="35" t="n"/>
      <c r="B835" s="31" t="n"/>
      <c r="C835" s="19">
        <f>IF(B835="","",IF(COUNTIF(Config!$D$6:$D$15,B835)&gt;0,"Entrada",IF(COUNTIF(Config!$F$6:$F$25,B835)&gt;0,"Saída","Categoria inválida")))</f>
        <v/>
      </c>
      <c r="D835" s="31" t="n"/>
      <c r="E835" s="33" t="n"/>
      <c r="F835" s="36" t="n"/>
      <c r="G835" s="31" t="n"/>
      <c r="H835" s="37">
        <f>IF(A835="","",(YEAR(A835)-YEAR(Config!$B$6))*12+MONTH(A835)-MONTH(Config!$B$6)+1)</f>
        <v/>
      </c>
      <c r="I835" s="19">
        <f>IF(AND(A835="",B835="",E835=""),"",IF(A835="","Falta data",IF(B835="","Falta categoria",IF(E835="","Falta valor",IF(C835="Categoria inválida","Categoria inválida",IF(OR(H835&lt;1,H835&gt;12),"Fora dos 12 meses","OK"))))))</f>
        <v/>
      </c>
    </row>
    <row r="836">
      <c r="A836" s="35" t="n"/>
      <c r="B836" s="31" t="n"/>
      <c r="C836" s="19">
        <f>IF(B836="","",IF(COUNTIF(Config!$D$6:$D$15,B836)&gt;0,"Entrada",IF(COUNTIF(Config!$F$6:$F$25,B836)&gt;0,"Saída","Categoria inválida")))</f>
        <v/>
      </c>
      <c r="D836" s="31" t="n"/>
      <c r="E836" s="33" t="n"/>
      <c r="F836" s="36" t="n"/>
      <c r="G836" s="31" t="n"/>
      <c r="H836" s="37">
        <f>IF(A836="","",(YEAR(A836)-YEAR(Config!$B$6))*12+MONTH(A836)-MONTH(Config!$B$6)+1)</f>
        <v/>
      </c>
      <c r="I836" s="19">
        <f>IF(AND(A836="",B836="",E836=""),"",IF(A836="","Falta data",IF(B836="","Falta categoria",IF(E836="","Falta valor",IF(C836="Categoria inválida","Categoria inválida",IF(OR(H836&lt;1,H836&gt;12),"Fora dos 12 meses","OK"))))))</f>
        <v/>
      </c>
    </row>
    <row r="837">
      <c r="A837" s="35" t="n"/>
      <c r="B837" s="31" t="n"/>
      <c r="C837" s="19">
        <f>IF(B837="","",IF(COUNTIF(Config!$D$6:$D$15,B837)&gt;0,"Entrada",IF(COUNTIF(Config!$F$6:$F$25,B837)&gt;0,"Saída","Categoria inválida")))</f>
        <v/>
      </c>
      <c r="D837" s="31" t="n"/>
      <c r="E837" s="33" t="n"/>
      <c r="F837" s="36" t="n"/>
      <c r="G837" s="31" t="n"/>
      <c r="H837" s="37">
        <f>IF(A837="","",(YEAR(A837)-YEAR(Config!$B$6))*12+MONTH(A837)-MONTH(Config!$B$6)+1)</f>
        <v/>
      </c>
      <c r="I837" s="19">
        <f>IF(AND(A837="",B837="",E837=""),"",IF(A837="","Falta data",IF(B837="","Falta categoria",IF(E837="","Falta valor",IF(C837="Categoria inválida","Categoria inválida",IF(OR(H837&lt;1,H837&gt;12),"Fora dos 12 meses","OK"))))))</f>
        <v/>
      </c>
    </row>
    <row r="838">
      <c r="A838" s="35" t="n"/>
      <c r="B838" s="31" t="n"/>
      <c r="C838" s="19">
        <f>IF(B838="","",IF(COUNTIF(Config!$D$6:$D$15,B838)&gt;0,"Entrada",IF(COUNTIF(Config!$F$6:$F$25,B838)&gt;0,"Saída","Categoria inválida")))</f>
        <v/>
      </c>
      <c r="D838" s="31" t="n"/>
      <c r="E838" s="33" t="n"/>
      <c r="F838" s="36" t="n"/>
      <c r="G838" s="31" t="n"/>
      <c r="H838" s="37">
        <f>IF(A838="","",(YEAR(A838)-YEAR(Config!$B$6))*12+MONTH(A838)-MONTH(Config!$B$6)+1)</f>
        <v/>
      </c>
      <c r="I838" s="19">
        <f>IF(AND(A838="",B838="",E838=""),"",IF(A838="","Falta data",IF(B838="","Falta categoria",IF(E838="","Falta valor",IF(C838="Categoria inválida","Categoria inválida",IF(OR(H838&lt;1,H838&gt;12),"Fora dos 12 meses","OK"))))))</f>
        <v/>
      </c>
    </row>
    <row r="839">
      <c r="A839" s="35" t="n"/>
      <c r="B839" s="31" t="n"/>
      <c r="C839" s="19">
        <f>IF(B839="","",IF(COUNTIF(Config!$D$6:$D$15,B839)&gt;0,"Entrada",IF(COUNTIF(Config!$F$6:$F$25,B839)&gt;0,"Saída","Categoria inválida")))</f>
        <v/>
      </c>
      <c r="D839" s="31" t="n"/>
      <c r="E839" s="33" t="n"/>
      <c r="F839" s="36" t="n"/>
      <c r="G839" s="31" t="n"/>
      <c r="H839" s="37">
        <f>IF(A839="","",(YEAR(A839)-YEAR(Config!$B$6))*12+MONTH(A839)-MONTH(Config!$B$6)+1)</f>
        <v/>
      </c>
      <c r="I839" s="19">
        <f>IF(AND(A839="",B839="",E839=""),"",IF(A839="","Falta data",IF(B839="","Falta categoria",IF(E839="","Falta valor",IF(C839="Categoria inválida","Categoria inválida",IF(OR(H839&lt;1,H839&gt;12),"Fora dos 12 meses","OK"))))))</f>
        <v/>
      </c>
    </row>
    <row r="840">
      <c r="A840" s="35" t="n"/>
      <c r="B840" s="31" t="n"/>
      <c r="C840" s="19">
        <f>IF(B840="","",IF(COUNTIF(Config!$D$6:$D$15,B840)&gt;0,"Entrada",IF(COUNTIF(Config!$F$6:$F$25,B840)&gt;0,"Saída","Categoria inválida")))</f>
        <v/>
      </c>
      <c r="D840" s="31" t="n"/>
      <c r="E840" s="33" t="n"/>
      <c r="F840" s="36" t="n"/>
      <c r="G840" s="31" t="n"/>
      <c r="H840" s="37">
        <f>IF(A840="","",(YEAR(A840)-YEAR(Config!$B$6))*12+MONTH(A840)-MONTH(Config!$B$6)+1)</f>
        <v/>
      </c>
      <c r="I840" s="19">
        <f>IF(AND(A840="",B840="",E840=""),"",IF(A840="","Falta data",IF(B840="","Falta categoria",IF(E840="","Falta valor",IF(C840="Categoria inválida","Categoria inválida",IF(OR(H840&lt;1,H840&gt;12),"Fora dos 12 meses","OK"))))))</f>
        <v/>
      </c>
    </row>
    <row r="841">
      <c r="A841" s="35" t="n"/>
      <c r="B841" s="31" t="n"/>
      <c r="C841" s="19">
        <f>IF(B841="","",IF(COUNTIF(Config!$D$6:$D$15,B841)&gt;0,"Entrada",IF(COUNTIF(Config!$F$6:$F$25,B841)&gt;0,"Saída","Categoria inválida")))</f>
        <v/>
      </c>
      <c r="D841" s="31" t="n"/>
      <c r="E841" s="33" t="n"/>
      <c r="F841" s="36" t="n"/>
      <c r="G841" s="31" t="n"/>
      <c r="H841" s="37">
        <f>IF(A841="","",(YEAR(A841)-YEAR(Config!$B$6))*12+MONTH(A841)-MONTH(Config!$B$6)+1)</f>
        <v/>
      </c>
      <c r="I841" s="19">
        <f>IF(AND(A841="",B841="",E841=""),"",IF(A841="","Falta data",IF(B841="","Falta categoria",IF(E841="","Falta valor",IF(C841="Categoria inválida","Categoria inválida",IF(OR(H841&lt;1,H841&gt;12),"Fora dos 12 meses","OK"))))))</f>
        <v/>
      </c>
    </row>
    <row r="842">
      <c r="A842" s="35" t="n"/>
      <c r="B842" s="31" t="n"/>
      <c r="C842" s="19">
        <f>IF(B842="","",IF(COUNTIF(Config!$D$6:$D$15,B842)&gt;0,"Entrada",IF(COUNTIF(Config!$F$6:$F$25,B842)&gt;0,"Saída","Categoria inválida")))</f>
        <v/>
      </c>
      <c r="D842" s="31" t="n"/>
      <c r="E842" s="33" t="n"/>
      <c r="F842" s="36" t="n"/>
      <c r="G842" s="31" t="n"/>
      <c r="H842" s="37">
        <f>IF(A842="","",(YEAR(A842)-YEAR(Config!$B$6))*12+MONTH(A842)-MONTH(Config!$B$6)+1)</f>
        <v/>
      </c>
      <c r="I842" s="19">
        <f>IF(AND(A842="",B842="",E842=""),"",IF(A842="","Falta data",IF(B842="","Falta categoria",IF(E842="","Falta valor",IF(C842="Categoria inválida","Categoria inválida",IF(OR(H842&lt;1,H842&gt;12),"Fora dos 12 meses","OK"))))))</f>
        <v/>
      </c>
    </row>
    <row r="843">
      <c r="A843" s="35" t="n"/>
      <c r="B843" s="31" t="n"/>
      <c r="C843" s="19">
        <f>IF(B843="","",IF(COUNTIF(Config!$D$6:$D$15,B843)&gt;0,"Entrada",IF(COUNTIF(Config!$F$6:$F$25,B843)&gt;0,"Saída","Categoria inválida")))</f>
        <v/>
      </c>
      <c r="D843" s="31" t="n"/>
      <c r="E843" s="33" t="n"/>
      <c r="F843" s="36" t="n"/>
      <c r="G843" s="31" t="n"/>
      <c r="H843" s="37">
        <f>IF(A843="","",(YEAR(A843)-YEAR(Config!$B$6))*12+MONTH(A843)-MONTH(Config!$B$6)+1)</f>
        <v/>
      </c>
      <c r="I843" s="19">
        <f>IF(AND(A843="",B843="",E843=""),"",IF(A843="","Falta data",IF(B843="","Falta categoria",IF(E843="","Falta valor",IF(C843="Categoria inválida","Categoria inválida",IF(OR(H843&lt;1,H843&gt;12),"Fora dos 12 meses","OK"))))))</f>
        <v/>
      </c>
    </row>
    <row r="844">
      <c r="A844" s="35" t="n"/>
      <c r="B844" s="31" t="n"/>
      <c r="C844" s="19">
        <f>IF(B844="","",IF(COUNTIF(Config!$D$6:$D$15,B844)&gt;0,"Entrada",IF(COUNTIF(Config!$F$6:$F$25,B844)&gt;0,"Saída","Categoria inválida")))</f>
        <v/>
      </c>
      <c r="D844" s="31" t="n"/>
      <c r="E844" s="33" t="n"/>
      <c r="F844" s="36" t="n"/>
      <c r="G844" s="31" t="n"/>
      <c r="H844" s="37">
        <f>IF(A844="","",(YEAR(A844)-YEAR(Config!$B$6))*12+MONTH(A844)-MONTH(Config!$B$6)+1)</f>
        <v/>
      </c>
      <c r="I844" s="19">
        <f>IF(AND(A844="",B844="",E844=""),"",IF(A844="","Falta data",IF(B844="","Falta categoria",IF(E844="","Falta valor",IF(C844="Categoria inválida","Categoria inválida",IF(OR(H844&lt;1,H844&gt;12),"Fora dos 12 meses","OK"))))))</f>
        <v/>
      </c>
    </row>
    <row r="845">
      <c r="A845" s="35" t="n"/>
      <c r="B845" s="31" t="n"/>
      <c r="C845" s="19">
        <f>IF(B845="","",IF(COUNTIF(Config!$D$6:$D$15,B845)&gt;0,"Entrada",IF(COUNTIF(Config!$F$6:$F$25,B845)&gt;0,"Saída","Categoria inválida")))</f>
        <v/>
      </c>
      <c r="D845" s="31" t="n"/>
      <c r="E845" s="33" t="n"/>
      <c r="F845" s="36" t="n"/>
      <c r="G845" s="31" t="n"/>
      <c r="H845" s="37">
        <f>IF(A845="","",(YEAR(A845)-YEAR(Config!$B$6))*12+MONTH(A845)-MONTH(Config!$B$6)+1)</f>
        <v/>
      </c>
      <c r="I845" s="19">
        <f>IF(AND(A845="",B845="",E845=""),"",IF(A845="","Falta data",IF(B845="","Falta categoria",IF(E845="","Falta valor",IF(C845="Categoria inválida","Categoria inválida",IF(OR(H845&lt;1,H845&gt;12),"Fora dos 12 meses","OK"))))))</f>
        <v/>
      </c>
    </row>
    <row r="846">
      <c r="A846" s="35" t="n"/>
      <c r="B846" s="31" t="n"/>
      <c r="C846" s="19">
        <f>IF(B846="","",IF(COUNTIF(Config!$D$6:$D$15,B846)&gt;0,"Entrada",IF(COUNTIF(Config!$F$6:$F$25,B846)&gt;0,"Saída","Categoria inválida")))</f>
        <v/>
      </c>
      <c r="D846" s="31" t="n"/>
      <c r="E846" s="33" t="n"/>
      <c r="F846" s="36" t="n"/>
      <c r="G846" s="31" t="n"/>
      <c r="H846" s="37">
        <f>IF(A846="","",(YEAR(A846)-YEAR(Config!$B$6))*12+MONTH(A846)-MONTH(Config!$B$6)+1)</f>
        <v/>
      </c>
      <c r="I846" s="19">
        <f>IF(AND(A846="",B846="",E846=""),"",IF(A846="","Falta data",IF(B846="","Falta categoria",IF(E846="","Falta valor",IF(C846="Categoria inválida","Categoria inválida",IF(OR(H846&lt;1,H846&gt;12),"Fora dos 12 meses","OK"))))))</f>
        <v/>
      </c>
    </row>
    <row r="847">
      <c r="A847" s="35" t="n"/>
      <c r="B847" s="31" t="n"/>
      <c r="C847" s="19">
        <f>IF(B847="","",IF(COUNTIF(Config!$D$6:$D$15,B847)&gt;0,"Entrada",IF(COUNTIF(Config!$F$6:$F$25,B847)&gt;0,"Saída","Categoria inválida")))</f>
        <v/>
      </c>
      <c r="D847" s="31" t="n"/>
      <c r="E847" s="33" t="n"/>
      <c r="F847" s="36" t="n"/>
      <c r="G847" s="31" t="n"/>
      <c r="H847" s="37">
        <f>IF(A847="","",(YEAR(A847)-YEAR(Config!$B$6))*12+MONTH(A847)-MONTH(Config!$B$6)+1)</f>
        <v/>
      </c>
      <c r="I847" s="19">
        <f>IF(AND(A847="",B847="",E847=""),"",IF(A847="","Falta data",IF(B847="","Falta categoria",IF(E847="","Falta valor",IF(C847="Categoria inválida","Categoria inválida",IF(OR(H847&lt;1,H847&gt;12),"Fora dos 12 meses","OK"))))))</f>
        <v/>
      </c>
    </row>
    <row r="848">
      <c r="A848" s="35" t="n"/>
      <c r="B848" s="31" t="n"/>
      <c r="C848" s="19">
        <f>IF(B848="","",IF(COUNTIF(Config!$D$6:$D$15,B848)&gt;0,"Entrada",IF(COUNTIF(Config!$F$6:$F$25,B848)&gt;0,"Saída","Categoria inválida")))</f>
        <v/>
      </c>
      <c r="D848" s="31" t="n"/>
      <c r="E848" s="33" t="n"/>
      <c r="F848" s="36" t="n"/>
      <c r="G848" s="31" t="n"/>
      <c r="H848" s="37">
        <f>IF(A848="","",(YEAR(A848)-YEAR(Config!$B$6))*12+MONTH(A848)-MONTH(Config!$B$6)+1)</f>
        <v/>
      </c>
      <c r="I848" s="19">
        <f>IF(AND(A848="",B848="",E848=""),"",IF(A848="","Falta data",IF(B848="","Falta categoria",IF(E848="","Falta valor",IF(C848="Categoria inválida","Categoria inválida",IF(OR(H848&lt;1,H848&gt;12),"Fora dos 12 meses","OK"))))))</f>
        <v/>
      </c>
    </row>
    <row r="849">
      <c r="A849" s="35" t="n"/>
      <c r="B849" s="31" t="n"/>
      <c r="C849" s="19">
        <f>IF(B849="","",IF(COUNTIF(Config!$D$6:$D$15,B849)&gt;0,"Entrada",IF(COUNTIF(Config!$F$6:$F$25,B849)&gt;0,"Saída","Categoria inválida")))</f>
        <v/>
      </c>
      <c r="D849" s="31" t="n"/>
      <c r="E849" s="33" t="n"/>
      <c r="F849" s="36" t="n"/>
      <c r="G849" s="31" t="n"/>
      <c r="H849" s="37">
        <f>IF(A849="","",(YEAR(A849)-YEAR(Config!$B$6))*12+MONTH(A849)-MONTH(Config!$B$6)+1)</f>
        <v/>
      </c>
      <c r="I849" s="19">
        <f>IF(AND(A849="",B849="",E849=""),"",IF(A849="","Falta data",IF(B849="","Falta categoria",IF(E849="","Falta valor",IF(C849="Categoria inválida","Categoria inválida",IF(OR(H849&lt;1,H849&gt;12),"Fora dos 12 meses","OK"))))))</f>
        <v/>
      </c>
    </row>
    <row r="850">
      <c r="A850" s="35" t="n"/>
      <c r="B850" s="31" t="n"/>
      <c r="C850" s="19">
        <f>IF(B850="","",IF(COUNTIF(Config!$D$6:$D$15,B850)&gt;0,"Entrada",IF(COUNTIF(Config!$F$6:$F$25,B850)&gt;0,"Saída","Categoria inválida")))</f>
        <v/>
      </c>
      <c r="D850" s="31" t="n"/>
      <c r="E850" s="33" t="n"/>
      <c r="F850" s="36" t="n"/>
      <c r="G850" s="31" t="n"/>
      <c r="H850" s="37">
        <f>IF(A850="","",(YEAR(A850)-YEAR(Config!$B$6))*12+MONTH(A850)-MONTH(Config!$B$6)+1)</f>
        <v/>
      </c>
      <c r="I850" s="19">
        <f>IF(AND(A850="",B850="",E850=""),"",IF(A850="","Falta data",IF(B850="","Falta categoria",IF(E850="","Falta valor",IF(C850="Categoria inválida","Categoria inválida",IF(OR(H850&lt;1,H850&gt;12),"Fora dos 12 meses","OK"))))))</f>
        <v/>
      </c>
    </row>
    <row r="851">
      <c r="A851" s="35" t="n"/>
      <c r="B851" s="31" t="n"/>
      <c r="C851" s="19">
        <f>IF(B851="","",IF(COUNTIF(Config!$D$6:$D$15,B851)&gt;0,"Entrada",IF(COUNTIF(Config!$F$6:$F$25,B851)&gt;0,"Saída","Categoria inválida")))</f>
        <v/>
      </c>
      <c r="D851" s="31" t="n"/>
      <c r="E851" s="33" t="n"/>
      <c r="F851" s="36" t="n"/>
      <c r="G851" s="31" t="n"/>
      <c r="H851" s="37">
        <f>IF(A851="","",(YEAR(A851)-YEAR(Config!$B$6))*12+MONTH(A851)-MONTH(Config!$B$6)+1)</f>
        <v/>
      </c>
      <c r="I851" s="19">
        <f>IF(AND(A851="",B851="",E851=""),"",IF(A851="","Falta data",IF(B851="","Falta categoria",IF(E851="","Falta valor",IF(C851="Categoria inválida","Categoria inválida",IF(OR(H851&lt;1,H851&gt;12),"Fora dos 12 meses","OK"))))))</f>
        <v/>
      </c>
    </row>
    <row r="852">
      <c r="A852" s="35" t="n"/>
      <c r="B852" s="31" t="n"/>
      <c r="C852" s="19">
        <f>IF(B852="","",IF(COUNTIF(Config!$D$6:$D$15,B852)&gt;0,"Entrada",IF(COUNTIF(Config!$F$6:$F$25,B852)&gt;0,"Saída","Categoria inválida")))</f>
        <v/>
      </c>
      <c r="D852" s="31" t="n"/>
      <c r="E852" s="33" t="n"/>
      <c r="F852" s="36" t="n"/>
      <c r="G852" s="31" t="n"/>
      <c r="H852" s="37">
        <f>IF(A852="","",(YEAR(A852)-YEAR(Config!$B$6))*12+MONTH(A852)-MONTH(Config!$B$6)+1)</f>
        <v/>
      </c>
      <c r="I852" s="19">
        <f>IF(AND(A852="",B852="",E852=""),"",IF(A852="","Falta data",IF(B852="","Falta categoria",IF(E852="","Falta valor",IF(C852="Categoria inválida","Categoria inválida",IF(OR(H852&lt;1,H852&gt;12),"Fora dos 12 meses","OK"))))))</f>
        <v/>
      </c>
    </row>
    <row r="853">
      <c r="A853" s="35" t="n"/>
      <c r="B853" s="31" t="n"/>
      <c r="C853" s="19">
        <f>IF(B853="","",IF(COUNTIF(Config!$D$6:$D$15,B853)&gt;0,"Entrada",IF(COUNTIF(Config!$F$6:$F$25,B853)&gt;0,"Saída","Categoria inválida")))</f>
        <v/>
      </c>
      <c r="D853" s="31" t="n"/>
      <c r="E853" s="33" t="n"/>
      <c r="F853" s="36" t="n"/>
      <c r="G853" s="31" t="n"/>
      <c r="H853" s="37">
        <f>IF(A853="","",(YEAR(A853)-YEAR(Config!$B$6))*12+MONTH(A853)-MONTH(Config!$B$6)+1)</f>
        <v/>
      </c>
      <c r="I853" s="19">
        <f>IF(AND(A853="",B853="",E853=""),"",IF(A853="","Falta data",IF(B853="","Falta categoria",IF(E853="","Falta valor",IF(C853="Categoria inválida","Categoria inválida",IF(OR(H853&lt;1,H853&gt;12),"Fora dos 12 meses","OK"))))))</f>
        <v/>
      </c>
    </row>
    <row r="854">
      <c r="A854" s="35" t="n"/>
      <c r="B854" s="31" t="n"/>
      <c r="C854" s="19">
        <f>IF(B854="","",IF(COUNTIF(Config!$D$6:$D$15,B854)&gt;0,"Entrada",IF(COUNTIF(Config!$F$6:$F$25,B854)&gt;0,"Saída","Categoria inválida")))</f>
        <v/>
      </c>
      <c r="D854" s="31" t="n"/>
      <c r="E854" s="33" t="n"/>
      <c r="F854" s="36" t="n"/>
      <c r="G854" s="31" t="n"/>
      <c r="H854" s="37">
        <f>IF(A854="","",(YEAR(A854)-YEAR(Config!$B$6))*12+MONTH(A854)-MONTH(Config!$B$6)+1)</f>
        <v/>
      </c>
      <c r="I854" s="19">
        <f>IF(AND(A854="",B854="",E854=""),"",IF(A854="","Falta data",IF(B854="","Falta categoria",IF(E854="","Falta valor",IF(C854="Categoria inválida","Categoria inválida",IF(OR(H854&lt;1,H854&gt;12),"Fora dos 12 meses","OK"))))))</f>
        <v/>
      </c>
    </row>
    <row r="855">
      <c r="A855" s="35" t="n"/>
      <c r="B855" s="31" t="n"/>
      <c r="C855" s="19">
        <f>IF(B855="","",IF(COUNTIF(Config!$D$6:$D$15,B855)&gt;0,"Entrada",IF(COUNTIF(Config!$F$6:$F$25,B855)&gt;0,"Saída","Categoria inválida")))</f>
        <v/>
      </c>
      <c r="D855" s="31" t="n"/>
      <c r="E855" s="33" t="n"/>
      <c r="F855" s="36" t="n"/>
      <c r="G855" s="31" t="n"/>
      <c r="H855" s="37">
        <f>IF(A855="","",(YEAR(A855)-YEAR(Config!$B$6))*12+MONTH(A855)-MONTH(Config!$B$6)+1)</f>
        <v/>
      </c>
      <c r="I855" s="19">
        <f>IF(AND(A855="",B855="",E855=""),"",IF(A855="","Falta data",IF(B855="","Falta categoria",IF(E855="","Falta valor",IF(C855="Categoria inválida","Categoria inválida",IF(OR(H855&lt;1,H855&gt;12),"Fora dos 12 meses","OK"))))))</f>
        <v/>
      </c>
    </row>
    <row r="856">
      <c r="A856" s="35" t="n"/>
      <c r="B856" s="31" t="n"/>
      <c r="C856" s="19">
        <f>IF(B856="","",IF(COUNTIF(Config!$D$6:$D$15,B856)&gt;0,"Entrada",IF(COUNTIF(Config!$F$6:$F$25,B856)&gt;0,"Saída","Categoria inválida")))</f>
        <v/>
      </c>
      <c r="D856" s="31" t="n"/>
      <c r="E856" s="33" t="n"/>
      <c r="F856" s="36" t="n"/>
      <c r="G856" s="31" t="n"/>
      <c r="H856" s="37">
        <f>IF(A856="","",(YEAR(A856)-YEAR(Config!$B$6))*12+MONTH(A856)-MONTH(Config!$B$6)+1)</f>
        <v/>
      </c>
      <c r="I856" s="19">
        <f>IF(AND(A856="",B856="",E856=""),"",IF(A856="","Falta data",IF(B856="","Falta categoria",IF(E856="","Falta valor",IF(C856="Categoria inválida","Categoria inválida",IF(OR(H856&lt;1,H856&gt;12),"Fora dos 12 meses","OK"))))))</f>
        <v/>
      </c>
    </row>
    <row r="857">
      <c r="A857" s="35" t="n"/>
      <c r="B857" s="31" t="n"/>
      <c r="C857" s="19">
        <f>IF(B857="","",IF(COUNTIF(Config!$D$6:$D$15,B857)&gt;0,"Entrada",IF(COUNTIF(Config!$F$6:$F$25,B857)&gt;0,"Saída","Categoria inválida")))</f>
        <v/>
      </c>
      <c r="D857" s="31" t="n"/>
      <c r="E857" s="33" t="n"/>
      <c r="F857" s="36" t="n"/>
      <c r="G857" s="31" t="n"/>
      <c r="H857" s="37">
        <f>IF(A857="","",(YEAR(A857)-YEAR(Config!$B$6))*12+MONTH(A857)-MONTH(Config!$B$6)+1)</f>
        <v/>
      </c>
      <c r="I857" s="19">
        <f>IF(AND(A857="",B857="",E857=""),"",IF(A857="","Falta data",IF(B857="","Falta categoria",IF(E857="","Falta valor",IF(C857="Categoria inválida","Categoria inválida",IF(OR(H857&lt;1,H857&gt;12),"Fora dos 12 meses","OK"))))))</f>
        <v/>
      </c>
    </row>
    <row r="858">
      <c r="A858" s="35" t="n"/>
      <c r="B858" s="31" t="n"/>
      <c r="C858" s="19">
        <f>IF(B858="","",IF(COUNTIF(Config!$D$6:$D$15,B858)&gt;0,"Entrada",IF(COUNTIF(Config!$F$6:$F$25,B858)&gt;0,"Saída","Categoria inválida")))</f>
        <v/>
      </c>
      <c r="D858" s="31" t="n"/>
      <c r="E858" s="33" t="n"/>
      <c r="F858" s="36" t="n"/>
      <c r="G858" s="31" t="n"/>
      <c r="H858" s="37">
        <f>IF(A858="","",(YEAR(A858)-YEAR(Config!$B$6))*12+MONTH(A858)-MONTH(Config!$B$6)+1)</f>
        <v/>
      </c>
      <c r="I858" s="19">
        <f>IF(AND(A858="",B858="",E858=""),"",IF(A858="","Falta data",IF(B858="","Falta categoria",IF(E858="","Falta valor",IF(C858="Categoria inválida","Categoria inválida",IF(OR(H858&lt;1,H858&gt;12),"Fora dos 12 meses","OK"))))))</f>
        <v/>
      </c>
    </row>
    <row r="859">
      <c r="A859" s="35" t="n"/>
      <c r="B859" s="31" t="n"/>
      <c r="C859" s="19">
        <f>IF(B859="","",IF(COUNTIF(Config!$D$6:$D$15,B859)&gt;0,"Entrada",IF(COUNTIF(Config!$F$6:$F$25,B859)&gt;0,"Saída","Categoria inválida")))</f>
        <v/>
      </c>
      <c r="D859" s="31" t="n"/>
      <c r="E859" s="33" t="n"/>
      <c r="F859" s="36" t="n"/>
      <c r="G859" s="31" t="n"/>
      <c r="H859" s="37">
        <f>IF(A859="","",(YEAR(A859)-YEAR(Config!$B$6))*12+MONTH(A859)-MONTH(Config!$B$6)+1)</f>
        <v/>
      </c>
      <c r="I859" s="19">
        <f>IF(AND(A859="",B859="",E859=""),"",IF(A859="","Falta data",IF(B859="","Falta categoria",IF(E859="","Falta valor",IF(C859="Categoria inválida","Categoria inválida",IF(OR(H859&lt;1,H859&gt;12),"Fora dos 12 meses","OK"))))))</f>
        <v/>
      </c>
    </row>
    <row r="860">
      <c r="A860" s="35" t="n"/>
      <c r="B860" s="31" t="n"/>
      <c r="C860" s="19">
        <f>IF(B860="","",IF(COUNTIF(Config!$D$6:$D$15,B860)&gt;0,"Entrada",IF(COUNTIF(Config!$F$6:$F$25,B860)&gt;0,"Saída","Categoria inválida")))</f>
        <v/>
      </c>
      <c r="D860" s="31" t="n"/>
      <c r="E860" s="33" t="n"/>
      <c r="F860" s="36" t="n"/>
      <c r="G860" s="31" t="n"/>
      <c r="H860" s="37">
        <f>IF(A860="","",(YEAR(A860)-YEAR(Config!$B$6))*12+MONTH(A860)-MONTH(Config!$B$6)+1)</f>
        <v/>
      </c>
      <c r="I860" s="19">
        <f>IF(AND(A860="",B860="",E860=""),"",IF(A860="","Falta data",IF(B860="","Falta categoria",IF(E860="","Falta valor",IF(C860="Categoria inválida","Categoria inválida",IF(OR(H860&lt;1,H860&gt;12),"Fora dos 12 meses","OK"))))))</f>
        <v/>
      </c>
    </row>
    <row r="861">
      <c r="A861" s="35" t="n"/>
      <c r="B861" s="31" t="n"/>
      <c r="C861" s="19">
        <f>IF(B861="","",IF(COUNTIF(Config!$D$6:$D$15,B861)&gt;0,"Entrada",IF(COUNTIF(Config!$F$6:$F$25,B861)&gt;0,"Saída","Categoria inválida")))</f>
        <v/>
      </c>
      <c r="D861" s="31" t="n"/>
      <c r="E861" s="33" t="n"/>
      <c r="F861" s="36" t="n"/>
      <c r="G861" s="31" t="n"/>
      <c r="H861" s="37">
        <f>IF(A861="","",(YEAR(A861)-YEAR(Config!$B$6))*12+MONTH(A861)-MONTH(Config!$B$6)+1)</f>
        <v/>
      </c>
      <c r="I861" s="19">
        <f>IF(AND(A861="",B861="",E861=""),"",IF(A861="","Falta data",IF(B861="","Falta categoria",IF(E861="","Falta valor",IF(C861="Categoria inválida","Categoria inválida",IF(OR(H861&lt;1,H861&gt;12),"Fora dos 12 meses","OK"))))))</f>
        <v/>
      </c>
    </row>
    <row r="862">
      <c r="A862" s="35" t="n"/>
      <c r="B862" s="31" t="n"/>
      <c r="C862" s="19">
        <f>IF(B862="","",IF(COUNTIF(Config!$D$6:$D$15,B862)&gt;0,"Entrada",IF(COUNTIF(Config!$F$6:$F$25,B862)&gt;0,"Saída","Categoria inválida")))</f>
        <v/>
      </c>
      <c r="D862" s="31" t="n"/>
      <c r="E862" s="33" t="n"/>
      <c r="F862" s="36" t="n"/>
      <c r="G862" s="31" t="n"/>
      <c r="H862" s="37">
        <f>IF(A862="","",(YEAR(A862)-YEAR(Config!$B$6))*12+MONTH(A862)-MONTH(Config!$B$6)+1)</f>
        <v/>
      </c>
      <c r="I862" s="19">
        <f>IF(AND(A862="",B862="",E862=""),"",IF(A862="","Falta data",IF(B862="","Falta categoria",IF(E862="","Falta valor",IF(C862="Categoria inválida","Categoria inválida",IF(OR(H862&lt;1,H862&gt;12),"Fora dos 12 meses","OK"))))))</f>
        <v/>
      </c>
    </row>
    <row r="863">
      <c r="A863" s="35" t="n"/>
      <c r="B863" s="31" t="n"/>
      <c r="C863" s="19">
        <f>IF(B863="","",IF(COUNTIF(Config!$D$6:$D$15,B863)&gt;0,"Entrada",IF(COUNTIF(Config!$F$6:$F$25,B863)&gt;0,"Saída","Categoria inválida")))</f>
        <v/>
      </c>
      <c r="D863" s="31" t="n"/>
      <c r="E863" s="33" t="n"/>
      <c r="F863" s="36" t="n"/>
      <c r="G863" s="31" t="n"/>
      <c r="H863" s="37">
        <f>IF(A863="","",(YEAR(A863)-YEAR(Config!$B$6))*12+MONTH(A863)-MONTH(Config!$B$6)+1)</f>
        <v/>
      </c>
      <c r="I863" s="19">
        <f>IF(AND(A863="",B863="",E863=""),"",IF(A863="","Falta data",IF(B863="","Falta categoria",IF(E863="","Falta valor",IF(C863="Categoria inválida","Categoria inválida",IF(OR(H863&lt;1,H863&gt;12),"Fora dos 12 meses","OK"))))))</f>
        <v/>
      </c>
    </row>
    <row r="864">
      <c r="A864" s="35" t="n"/>
      <c r="B864" s="31" t="n"/>
      <c r="C864" s="19">
        <f>IF(B864="","",IF(COUNTIF(Config!$D$6:$D$15,B864)&gt;0,"Entrada",IF(COUNTIF(Config!$F$6:$F$25,B864)&gt;0,"Saída","Categoria inválida")))</f>
        <v/>
      </c>
      <c r="D864" s="31" t="n"/>
      <c r="E864" s="33" t="n"/>
      <c r="F864" s="36" t="n"/>
      <c r="G864" s="31" t="n"/>
      <c r="H864" s="37">
        <f>IF(A864="","",(YEAR(A864)-YEAR(Config!$B$6))*12+MONTH(A864)-MONTH(Config!$B$6)+1)</f>
        <v/>
      </c>
      <c r="I864" s="19">
        <f>IF(AND(A864="",B864="",E864=""),"",IF(A864="","Falta data",IF(B864="","Falta categoria",IF(E864="","Falta valor",IF(C864="Categoria inválida","Categoria inválida",IF(OR(H864&lt;1,H864&gt;12),"Fora dos 12 meses","OK"))))))</f>
        <v/>
      </c>
    </row>
    <row r="865">
      <c r="A865" s="35" t="n"/>
      <c r="B865" s="31" t="n"/>
      <c r="C865" s="19">
        <f>IF(B865="","",IF(COUNTIF(Config!$D$6:$D$15,B865)&gt;0,"Entrada",IF(COUNTIF(Config!$F$6:$F$25,B865)&gt;0,"Saída","Categoria inválida")))</f>
        <v/>
      </c>
      <c r="D865" s="31" t="n"/>
      <c r="E865" s="33" t="n"/>
      <c r="F865" s="36" t="n"/>
      <c r="G865" s="31" t="n"/>
      <c r="H865" s="37">
        <f>IF(A865="","",(YEAR(A865)-YEAR(Config!$B$6))*12+MONTH(A865)-MONTH(Config!$B$6)+1)</f>
        <v/>
      </c>
      <c r="I865" s="19">
        <f>IF(AND(A865="",B865="",E865=""),"",IF(A865="","Falta data",IF(B865="","Falta categoria",IF(E865="","Falta valor",IF(C865="Categoria inválida","Categoria inválida",IF(OR(H865&lt;1,H865&gt;12),"Fora dos 12 meses","OK"))))))</f>
        <v/>
      </c>
    </row>
    <row r="866">
      <c r="A866" s="35" t="n"/>
      <c r="B866" s="31" t="n"/>
      <c r="C866" s="19">
        <f>IF(B866="","",IF(COUNTIF(Config!$D$6:$D$15,B866)&gt;0,"Entrada",IF(COUNTIF(Config!$F$6:$F$25,B866)&gt;0,"Saída","Categoria inválida")))</f>
        <v/>
      </c>
      <c r="D866" s="31" t="n"/>
      <c r="E866" s="33" t="n"/>
      <c r="F866" s="36" t="n"/>
      <c r="G866" s="31" t="n"/>
      <c r="H866" s="37">
        <f>IF(A866="","",(YEAR(A866)-YEAR(Config!$B$6))*12+MONTH(A866)-MONTH(Config!$B$6)+1)</f>
        <v/>
      </c>
      <c r="I866" s="19">
        <f>IF(AND(A866="",B866="",E866=""),"",IF(A866="","Falta data",IF(B866="","Falta categoria",IF(E866="","Falta valor",IF(C866="Categoria inválida","Categoria inválida",IF(OR(H866&lt;1,H866&gt;12),"Fora dos 12 meses","OK"))))))</f>
        <v/>
      </c>
    </row>
    <row r="867">
      <c r="A867" s="35" t="n"/>
      <c r="B867" s="31" t="n"/>
      <c r="C867" s="19">
        <f>IF(B867="","",IF(COUNTIF(Config!$D$6:$D$15,B867)&gt;0,"Entrada",IF(COUNTIF(Config!$F$6:$F$25,B867)&gt;0,"Saída","Categoria inválida")))</f>
        <v/>
      </c>
      <c r="D867" s="31" t="n"/>
      <c r="E867" s="33" t="n"/>
      <c r="F867" s="36" t="n"/>
      <c r="G867" s="31" t="n"/>
      <c r="H867" s="37">
        <f>IF(A867="","",(YEAR(A867)-YEAR(Config!$B$6))*12+MONTH(A867)-MONTH(Config!$B$6)+1)</f>
        <v/>
      </c>
      <c r="I867" s="19">
        <f>IF(AND(A867="",B867="",E867=""),"",IF(A867="","Falta data",IF(B867="","Falta categoria",IF(E867="","Falta valor",IF(C867="Categoria inválida","Categoria inválida",IF(OR(H867&lt;1,H867&gt;12),"Fora dos 12 meses","OK"))))))</f>
        <v/>
      </c>
    </row>
    <row r="868">
      <c r="A868" s="35" t="n"/>
      <c r="B868" s="31" t="n"/>
      <c r="C868" s="19">
        <f>IF(B868="","",IF(COUNTIF(Config!$D$6:$D$15,B868)&gt;0,"Entrada",IF(COUNTIF(Config!$F$6:$F$25,B868)&gt;0,"Saída","Categoria inválida")))</f>
        <v/>
      </c>
      <c r="D868" s="31" t="n"/>
      <c r="E868" s="33" t="n"/>
      <c r="F868" s="36" t="n"/>
      <c r="G868" s="31" t="n"/>
      <c r="H868" s="37">
        <f>IF(A868="","",(YEAR(A868)-YEAR(Config!$B$6))*12+MONTH(A868)-MONTH(Config!$B$6)+1)</f>
        <v/>
      </c>
      <c r="I868" s="19">
        <f>IF(AND(A868="",B868="",E868=""),"",IF(A868="","Falta data",IF(B868="","Falta categoria",IF(E868="","Falta valor",IF(C868="Categoria inválida","Categoria inválida",IF(OR(H868&lt;1,H868&gt;12),"Fora dos 12 meses","OK"))))))</f>
        <v/>
      </c>
    </row>
    <row r="869">
      <c r="A869" s="35" t="n"/>
      <c r="B869" s="31" t="n"/>
      <c r="C869" s="19">
        <f>IF(B869="","",IF(COUNTIF(Config!$D$6:$D$15,B869)&gt;0,"Entrada",IF(COUNTIF(Config!$F$6:$F$25,B869)&gt;0,"Saída","Categoria inválida")))</f>
        <v/>
      </c>
      <c r="D869" s="31" t="n"/>
      <c r="E869" s="33" t="n"/>
      <c r="F869" s="36" t="n"/>
      <c r="G869" s="31" t="n"/>
      <c r="H869" s="37">
        <f>IF(A869="","",(YEAR(A869)-YEAR(Config!$B$6))*12+MONTH(A869)-MONTH(Config!$B$6)+1)</f>
        <v/>
      </c>
      <c r="I869" s="19">
        <f>IF(AND(A869="",B869="",E869=""),"",IF(A869="","Falta data",IF(B869="","Falta categoria",IF(E869="","Falta valor",IF(C869="Categoria inválida","Categoria inválida",IF(OR(H869&lt;1,H869&gt;12),"Fora dos 12 meses","OK"))))))</f>
        <v/>
      </c>
    </row>
    <row r="870">
      <c r="A870" s="35" t="n"/>
      <c r="B870" s="31" t="n"/>
      <c r="C870" s="19">
        <f>IF(B870="","",IF(COUNTIF(Config!$D$6:$D$15,B870)&gt;0,"Entrada",IF(COUNTIF(Config!$F$6:$F$25,B870)&gt;0,"Saída","Categoria inválida")))</f>
        <v/>
      </c>
      <c r="D870" s="31" t="n"/>
      <c r="E870" s="33" t="n"/>
      <c r="F870" s="36" t="n"/>
      <c r="G870" s="31" t="n"/>
      <c r="H870" s="37">
        <f>IF(A870="","",(YEAR(A870)-YEAR(Config!$B$6))*12+MONTH(A870)-MONTH(Config!$B$6)+1)</f>
        <v/>
      </c>
      <c r="I870" s="19">
        <f>IF(AND(A870="",B870="",E870=""),"",IF(A870="","Falta data",IF(B870="","Falta categoria",IF(E870="","Falta valor",IF(C870="Categoria inválida","Categoria inválida",IF(OR(H870&lt;1,H870&gt;12),"Fora dos 12 meses","OK"))))))</f>
        <v/>
      </c>
    </row>
    <row r="871">
      <c r="A871" s="35" t="n"/>
      <c r="B871" s="31" t="n"/>
      <c r="C871" s="19">
        <f>IF(B871="","",IF(COUNTIF(Config!$D$6:$D$15,B871)&gt;0,"Entrada",IF(COUNTIF(Config!$F$6:$F$25,B871)&gt;0,"Saída","Categoria inválida")))</f>
        <v/>
      </c>
      <c r="D871" s="31" t="n"/>
      <c r="E871" s="33" t="n"/>
      <c r="F871" s="36" t="n"/>
      <c r="G871" s="31" t="n"/>
      <c r="H871" s="37">
        <f>IF(A871="","",(YEAR(A871)-YEAR(Config!$B$6))*12+MONTH(A871)-MONTH(Config!$B$6)+1)</f>
        <v/>
      </c>
      <c r="I871" s="19">
        <f>IF(AND(A871="",B871="",E871=""),"",IF(A871="","Falta data",IF(B871="","Falta categoria",IF(E871="","Falta valor",IF(C871="Categoria inválida","Categoria inválida",IF(OR(H871&lt;1,H871&gt;12),"Fora dos 12 meses","OK"))))))</f>
        <v/>
      </c>
    </row>
    <row r="872">
      <c r="A872" s="35" t="n"/>
      <c r="B872" s="31" t="n"/>
      <c r="C872" s="19">
        <f>IF(B872="","",IF(COUNTIF(Config!$D$6:$D$15,B872)&gt;0,"Entrada",IF(COUNTIF(Config!$F$6:$F$25,B872)&gt;0,"Saída","Categoria inválida")))</f>
        <v/>
      </c>
      <c r="D872" s="31" t="n"/>
      <c r="E872" s="33" t="n"/>
      <c r="F872" s="36" t="n"/>
      <c r="G872" s="31" t="n"/>
      <c r="H872" s="37">
        <f>IF(A872="","",(YEAR(A872)-YEAR(Config!$B$6))*12+MONTH(A872)-MONTH(Config!$B$6)+1)</f>
        <v/>
      </c>
      <c r="I872" s="19">
        <f>IF(AND(A872="",B872="",E872=""),"",IF(A872="","Falta data",IF(B872="","Falta categoria",IF(E872="","Falta valor",IF(C872="Categoria inválida","Categoria inválida",IF(OR(H872&lt;1,H872&gt;12),"Fora dos 12 meses","OK"))))))</f>
        <v/>
      </c>
    </row>
    <row r="873">
      <c r="A873" s="35" t="n"/>
      <c r="B873" s="31" t="n"/>
      <c r="C873" s="19">
        <f>IF(B873="","",IF(COUNTIF(Config!$D$6:$D$15,B873)&gt;0,"Entrada",IF(COUNTIF(Config!$F$6:$F$25,B873)&gt;0,"Saída","Categoria inválida")))</f>
        <v/>
      </c>
      <c r="D873" s="31" t="n"/>
      <c r="E873" s="33" t="n"/>
      <c r="F873" s="36" t="n"/>
      <c r="G873" s="31" t="n"/>
      <c r="H873" s="37">
        <f>IF(A873="","",(YEAR(A873)-YEAR(Config!$B$6))*12+MONTH(A873)-MONTH(Config!$B$6)+1)</f>
        <v/>
      </c>
      <c r="I873" s="19">
        <f>IF(AND(A873="",B873="",E873=""),"",IF(A873="","Falta data",IF(B873="","Falta categoria",IF(E873="","Falta valor",IF(C873="Categoria inválida","Categoria inválida",IF(OR(H873&lt;1,H873&gt;12),"Fora dos 12 meses","OK"))))))</f>
        <v/>
      </c>
    </row>
    <row r="874">
      <c r="A874" s="35" t="n"/>
      <c r="B874" s="31" t="n"/>
      <c r="C874" s="19">
        <f>IF(B874="","",IF(COUNTIF(Config!$D$6:$D$15,B874)&gt;0,"Entrada",IF(COUNTIF(Config!$F$6:$F$25,B874)&gt;0,"Saída","Categoria inválida")))</f>
        <v/>
      </c>
      <c r="D874" s="31" t="n"/>
      <c r="E874" s="33" t="n"/>
      <c r="F874" s="36" t="n"/>
      <c r="G874" s="31" t="n"/>
      <c r="H874" s="37">
        <f>IF(A874="","",(YEAR(A874)-YEAR(Config!$B$6))*12+MONTH(A874)-MONTH(Config!$B$6)+1)</f>
        <v/>
      </c>
      <c r="I874" s="19">
        <f>IF(AND(A874="",B874="",E874=""),"",IF(A874="","Falta data",IF(B874="","Falta categoria",IF(E874="","Falta valor",IF(C874="Categoria inválida","Categoria inválida",IF(OR(H874&lt;1,H874&gt;12),"Fora dos 12 meses","OK"))))))</f>
        <v/>
      </c>
    </row>
    <row r="875">
      <c r="A875" s="35" t="n"/>
      <c r="B875" s="31" t="n"/>
      <c r="C875" s="19">
        <f>IF(B875="","",IF(COUNTIF(Config!$D$6:$D$15,B875)&gt;0,"Entrada",IF(COUNTIF(Config!$F$6:$F$25,B875)&gt;0,"Saída","Categoria inválida")))</f>
        <v/>
      </c>
      <c r="D875" s="31" t="n"/>
      <c r="E875" s="33" t="n"/>
      <c r="F875" s="36" t="n"/>
      <c r="G875" s="31" t="n"/>
      <c r="H875" s="37">
        <f>IF(A875="","",(YEAR(A875)-YEAR(Config!$B$6))*12+MONTH(A875)-MONTH(Config!$B$6)+1)</f>
        <v/>
      </c>
      <c r="I875" s="19">
        <f>IF(AND(A875="",B875="",E875=""),"",IF(A875="","Falta data",IF(B875="","Falta categoria",IF(E875="","Falta valor",IF(C875="Categoria inválida","Categoria inválida",IF(OR(H875&lt;1,H875&gt;12),"Fora dos 12 meses","OK"))))))</f>
        <v/>
      </c>
    </row>
    <row r="876">
      <c r="A876" s="35" t="n"/>
      <c r="B876" s="31" t="n"/>
      <c r="C876" s="19">
        <f>IF(B876="","",IF(COUNTIF(Config!$D$6:$D$15,B876)&gt;0,"Entrada",IF(COUNTIF(Config!$F$6:$F$25,B876)&gt;0,"Saída","Categoria inválida")))</f>
        <v/>
      </c>
      <c r="D876" s="31" t="n"/>
      <c r="E876" s="33" t="n"/>
      <c r="F876" s="36" t="n"/>
      <c r="G876" s="31" t="n"/>
      <c r="H876" s="37">
        <f>IF(A876="","",(YEAR(A876)-YEAR(Config!$B$6))*12+MONTH(A876)-MONTH(Config!$B$6)+1)</f>
        <v/>
      </c>
      <c r="I876" s="19">
        <f>IF(AND(A876="",B876="",E876=""),"",IF(A876="","Falta data",IF(B876="","Falta categoria",IF(E876="","Falta valor",IF(C876="Categoria inválida","Categoria inválida",IF(OR(H876&lt;1,H876&gt;12),"Fora dos 12 meses","OK"))))))</f>
        <v/>
      </c>
    </row>
    <row r="877">
      <c r="A877" s="35" t="n"/>
      <c r="B877" s="31" t="n"/>
      <c r="C877" s="19">
        <f>IF(B877="","",IF(COUNTIF(Config!$D$6:$D$15,B877)&gt;0,"Entrada",IF(COUNTIF(Config!$F$6:$F$25,B877)&gt;0,"Saída","Categoria inválida")))</f>
        <v/>
      </c>
      <c r="D877" s="31" t="n"/>
      <c r="E877" s="33" t="n"/>
      <c r="F877" s="36" t="n"/>
      <c r="G877" s="31" t="n"/>
      <c r="H877" s="37">
        <f>IF(A877="","",(YEAR(A877)-YEAR(Config!$B$6))*12+MONTH(A877)-MONTH(Config!$B$6)+1)</f>
        <v/>
      </c>
      <c r="I877" s="19">
        <f>IF(AND(A877="",B877="",E877=""),"",IF(A877="","Falta data",IF(B877="","Falta categoria",IF(E877="","Falta valor",IF(C877="Categoria inválida","Categoria inválida",IF(OR(H877&lt;1,H877&gt;12),"Fora dos 12 meses","OK"))))))</f>
        <v/>
      </c>
    </row>
    <row r="878">
      <c r="A878" s="35" t="n"/>
      <c r="B878" s="31" t="n"/>
      <c r="C878" s="19">
        <f>IF(B878="","",IF(COUNTIF(Config!$D$6:$D$15,B878)&gt;0,"Entrada",IF(COUNTIF(Config!$F$6:$F$25,B878)&gt;0,"Saída","Categoria inválida")))</f>
        <v/>
      </c>
      <c r="D878" s="31" t="n"/>
      <c r="E878" s="33" t="n"/>
      <c r="F878" s="36" t="n"/>
      <c r="G878" s="31" t="n"/>
      <c r="H878" s="37">
        <f>IF(A878="","",(YEAR(A878)-YEAR(Config!$B$6))*12+MONTH(A878)-MONTH(Config!$B$6)+1)</f>
        <v/>
      </c>
      <c r="I878" s="19">
        <f>IF(AND(A878="",B878="",E878=""),"",IF(A878="","Falta data",IF(B878="","Falta categoria",IF(E878="","Falta valor",IF(C878="Categoria inválida","Categoria inválida",IF(OR(H878&lt;1,H878&gt;12),"Fora dos 12 meses","OK"))))))</f>
        <v/>
      </c>
    </row>
    <row r="879">
      <c r="A879" s="35" t="n"/>
      <c r="B879" s="31" t="n"/>
      <c r="C879" s="19">
        <f>IF(B879="","",IF(COUNTIF(Config!$D$6:$D$15,B879)&gt;0,"Entrada",IF(COUNTIF(Config!$F$6:$F$25,B879)&gt;0,"Saída","Categoria inválida")))</f>
        <v/>
      </c>
      <c r="D879" s="31" t="n"/>
      <c r="E879" s="33" t="n"/>
      <c r="F879" s="36" t="n"/>
      <c r="G879" s="31" t="n"/>
      <c r="H879" s="37">
        <f>IF(A879="","",(YEAR(A879)-YEAR(Config!$B$6))*12+MONTH(A879)-MONTH(Config!$B$6)+1)</f>
        <v/>
      </c>
      <c r="I879" s="19">
        <f>IF(AND(A879="",B879="",E879=""),"",IF(A879="","Falta data",IF(B879="","Falta categoria",IF(E879="","Falta valor",IF(C879="Categoria inválida","Categoria inválida",IF(OR(H879&lt;1,H879&gt;12),"Fora dos 12 meses","OK"))))))</f>
        <v/>
      </c>
    </row>
    <row r="880">
      <c r="A880" s="35" t="n"/>
      <c r="B880" s="31" t="n"/>
      <c r="C880" s="19">
        <f>IF(B880="","",IF(COUNTIF(Config!$D$6:$D$15,B880)&gt;0,"Entrada",IF(COUNTIF(Config!$F$6:$F$25,B880)&gt;0,"Saída","Categoria inválida")))</f>
        <v/>
      </c>
      <c r="D880" s="31" t="n"/>
      <c r="E880" s="33" t="n"/>
      <c r="F880" s="36" t="n"/>
      <c r="G880" s="31" t="n"/>
      <c r="H880" s="37">
        <f>IF(A880="","",(YEAR(A880)-YEAR(Config!$B$6))*12+MONTH(A880)-MONTH(Config!$B$6)+1)</f>
        <v/>
      </c>
      <c r="I880" s="19">
        <f>IF(AND(A880="",B880="",E880=""),"",IF(A880="","Falta data",IF(B880="","Falta categoria",IF(E880="","Falta valor",IF(C880="Categoria inválida","Categoria inválida",IF(OR(H880&lt;1,H880&gt;12),"Fora dos 12 meses","OK"))))))</f>
        <v/>
      </c>
    </row>
    <row r="881">
      <c r="A881" s="35" t="n"/>
      <c r="B881" s="31" t="n"/>
      <c r="C881" s="19">
        <f>IF(B881="","",IF(COUNTIF(Config!$D$6:$D$15,B881)&gt;0,"Entrada",IF(COUNTIF(Config!$F$6:$F$25,B881)&gt;0,"Saída","Categoria inválida")))</f>
        <v/>
      </c>
      <c r="D881" s="31" t="n"/>
      <c r="E881" s="33" t="n"/>
      <c r="F881" s="36" t="n"/>
      <c r="G881" s="31" t="n"/>
      <c r="H881" s="37">
        <f>IF(A881="","",(YEAR(A881)-YEAR(Config!$B$6))*12+MONTH(A881)-MONTH(Config!$B$6)+1)</f>
        <v/>
      </c>
      <c r="I881" s="19">
        <f>IF(AND(A881="",B881="",E881=""),"",IF(A881="","Falta data",IF(B881="","Falta categoria",IF(E881="","Falta valor",IF(C881="Categoria inválida","Categoria inválida",IF(OR(H881&lt;1,H881&gt;12),"Fora dos 12 meses","OK"))))))</f>
        <v/>
      </c>
    </row>
    <row r="882">
      <c r="A882" s="35" t="n"/>
      <c r="B882" s="31" t="n"/>
      <c r="C882" s="19">
        <f>IF(B882="","",IF(COUNTIF(Config!$D$6:$D$15,B882)&gt;0,"Entrada",IF(COUNTIF(Config!$F$6:$F$25,B882)&gt;0,"Saída","Categoria inválida")))</f>
        <v/>
      </c>
      <c r="D882" s="31" t="n"/>
      <c r="E882" s="33" t="n"/>
      <c r="F882" s="36" t="n"/>
      <c r="G882" s="31" t="n"/>
      <c r="H882" s="37">
        <f>IF(A882="","",(YEAR(A882)-YEAR(Config!$B$6))*12+MONTH(A882)-MONTH(Config!$B$6)+1)</f>
        <v/>
      </c>
      <c r="I882" s="19">
        <f>IF(AND(A882="",B882="",E882=""),"",IF(A882="","Falta data",IF(B882="","Falta categoria",IF(E882="","Falta valor",IF(C882="Categoria inválida","Categoria inválida",IF(OR(H882&lt;1,H882&gt;12),"Fora dos 12 meses","OK"))))))</f>
        <v/>
      </c>
    </row>
    <row r="883">
      <c r="A883" s="35" t="n"/>
      <c r="B883" s="31" t="n"/>
      <c r="C883" s="19">
        <f>IF(B883="","",IF(COUNTIF(Config!$D$6:$D$15,B883)&gt;0,"Entrada",IF(COUNTIF(Config!$F$6:$F$25,B883)&gt;0,"Saída","Categoria inválida")))</f>
        <v/>
      </c>
      <c r="D883" s="31" t="n"/>
      <c r="E883" s="33" t="n"/>
      <c r="F883" s="36" t="n"/>
      <c r="G883" s="31" t="n"/>
      <c r="H883" s="37">
        <f>IF(A883="","",(YEAR(A883)-YEAR(Config!$B$6))*12+MONTH(A883)-MONTH(Config!$B$6)+1)</f>
        <v/>
      </c>
      <c r="I883" s="19">
        <f>IF(AND(A883="",B883="",E883=""),"",IF(A883="","Falta data",IF(B883="","Falta categoria",IF(E883="","Falta valor",IF(C883="Categoria inválida","Categoria inválida",IF(OR(H883&lt;1,H883&gt;12),"Fora dos 12 meses","OK"))))))</f>
        <v/>
      </c>
    </row>
    <row r="884">
      <c r="A884" s="35" t="n"/>
      <c r="B884" s="31" t="n"/>
      <c r="C884" s="19">
        <f>IF(B884="","",IF(COUNTIF(Config!$D$6:$D$15,B884)&gt;0,"Entrada",IF(COUNTIF(Config!$F$6:$F$25,B884)&gt;0,"Saída","Categoria inválida")))</f>
        <v/>
      </c>
      <c r="D884" s="31" t="n"/>
      <c r="E884" s="33" t="n"/>
      <c r="F884" s="36" t="n"/>
      <c r="G884" s="31" t="n"/>
      <c r="H884" s="37">
        <f>IF(A884="","",(YEAR(A884)-YEAR(Config!$B$6))*12+MONTH(A884)-MONTH(Config!$B$6)+1)</f>
        <v/>
      </c>
      <c r="I884" s="19">
        <f>IF(AND(A884="",B884="",E884=""),"",IF(A884="","Falta data",IF(B884="","Falta categoria",IF(E884="","Falta valor",IF(C884="Categoria inválida","Categoria inválida",IF(OR(H884&lt;1,H884&gt;12),"Fora dos 12 meses","OK"))))))</f>
        <v/>
      </c>
    </row>
    <row r="885">
      <c r="A885" s="35" t="n"/>
      <c r="B885" s="31" t="n"/>
      <c r="C885" s="19">
        <f>IF(B885="","",IF(COUNTIF(Config!$D$6:$D$15,B885)&gt;0,"Entrada",IF(COUNTIF(Config!$F$6:$F$25,B885)&gt;0,"Saída","Categoria inválida")))</f>
        <v/>
      </c>
      <c r="D885" s="31" t="n"/>
      <c r="E885" s="33" t="n"/>
      <c r="F885" s="36" t="n"/>
      <c r="G885" s="31" t="n"/>
      <c r="H885" s="37">
        <f>IF(A885="","",(YEAR(A885)-YEAR(Config!$B$6))*12+MONTH(A885)-MONTH(Config!$B$6)+1)</f>
        <v/>
      </c>
      <c r="I885" s="19">
        <f>IF(AND(A885="",B885="",E885=""),"",IF(A885="","Falta data",IF(B885="","Falta categoria",IF(E885="","Falta valor",IF(C885="Categoria inválida","Categoria inválida",IF(OR(H885&lt;1,H885&gt;12),"Fora dos 12 meses","OK"))))))</f>
        <v/>
      </c>
    </row>
    <row r="886">
      <c r="A886" s="35" t="n"/>
      <c r="B886" s="31" t="n"/>
      <c r="C886" s="19">
        <f>IF(B886="","",IF(COUNTIF(Config!$D$6:$D$15,B886)&gt;0,"Entrada",IF(COUNTIF(Config!$F$6:$F$25,B886)&gt;0,"Saída","Categoria inválida")))</f>
        <v/>
      </c>
      <c r="D886" s="31" t="n"/>
      <c r="E886" s="33" t="n"/>
      <c r="F886" s="36" t="n"/>
      <c r="G886" s="31" t="n"/>
      <c r="H886" s="37">
        <f>IF(A886="","",(YEAR(A886)-YEAR(Config!$B$6))*12+MONTH(A886)-MONTH(Config!$B$6)+1)</f>
        <v/>
      </c>
      <c r="I886" s="19">
        <f>IF(AND(A886="",B886="",E886=""),"",IF(A886="","Falta data",IF(B886="","Falta categoria",IF(E886="","Falta valor",IF(C886="Categoria inválida","Categoria inválida",IF(OR(H886&lt;1,H886&gt;12),"Fora dos 12 meses","OK"))))))</f>
        <v/>
      </c>
    </row>
    <row r="887">
      <c r="A887" s="35" t="n"/>
      <c r="B887" s="31" t="n"/>
      <c r="C887" s="19">
        <f>IF(B887="","",IF(COUNTIF(Config!$D$6:$D$15,B887)&gt;0,"Entrada",IF(COUNTIF(Config!$F$6:$F$25,B887)&gt;0,"Saída","Categoria inválida")))</f>
        <v/>
      </c>
      <c r="D887" s="31" t="n"/>
      <c r="E887" s="33" t="n"/>
      <c r="F887" s="36" t="n"/>
      <c r="G887" s="31" t="n"/>
      <c r="H887" s="37">
        <f>IF(A887="","",(YEAR(A887)-YEAR(Config!$B$6))*12+MONTH(A887)-MONTH(Config!$B$6)+1)</f>
        <v/>
      </c>
      <c r="I887" s="19">
        <f>IF(AND(A887="",B887="",E887=""),"",IF(A887="","Falta data",IF(B887="","Falta categoria",IF(E887="","Falta valor",IF(C887="Categoria inválida","Categoria inválida",IF(OR(H887&lt;1,H887&gt;12),"Fora dos 12 meses","OK"))))))</f>
        <v/>
      </c>
    </row>
    <row r="888">
      <c r="A888" s="35" t="n"/>
      <c r="B888" s="31" t="n"/>
      <c r="C888" s="19">
        <f>IF(B888="","",IF(COUNTIF(Config!$D$6:$D$15,B888)&gt;0,"Entrada",IF(COUNTIF(Config!$F$6:$F$25,B888)&gt;0,"Saída","Categoria inválida")))</f>
        <v/>
      </c>
      <c r="D888" s="31" t="n"/>
      <c r="E888" s="33" t="n"/>
      <c r="F888" s="36" t="n"/>
      <c r="G888" s="31" t="n"/>
      <c r="H888" s="37">
        <f>IF(A888="","",(YEAR(A888)-YEAR(Config!$B$6))*12+MONTH(A888)-MONTH(Config!$B$6)+1)</f>
        <v/>
      </c>
      <c r="I888" s="19">
        <f>IF(AND(A888="",B888="",E888=""),"",IF(A888="","Falta data",IF(B888="","Falta categoria",IF(E888="","Falta valor",IF(C888="Categoria inválida","Categoria inválida",IF(OR(H888&lt;1,H888&gt;12),"Fora dos 12 meses","OK"))))))</f>
        <v/>
      </c>
    </row>
    <row r="889">
      <c r="A889" s="35" t="n"/>
      <c r="B889" s="31" t="n"/>
      <c r="C889" s="19">
        <f>IF(B889="","",IF(COUNTIF(Config!$D$6:$D$15,B889)&gt;0,"Entrada",IF(COUNTIF(Config!$F$6:$F$25,B889)&gt;0,"Saída","Categoria inválida")))</f>
        <v/>
      </c>
      <c r="D889" s="31" t="n"/>
      <c r="E889" s="33" t="n"/>
      <c r="F889" s="36" t="n"/>
      <c r="G889" s="31" t="n"/>
      <c r="H889" s="37">
        <f>IF(A889="","",(YEAR(A889)-YEAR(Config!$B$6))*12+MONTH(A889)-MONTH(Config!$B$6)+1)</f>
        <v/>
      </c>
      <c r="I889" s="19">
        <f>IF(AND(A889="",B889="",E889=""),"",IF(A889="","Falta data",IF(B889="","Falta categoria",IF(E889="","Falta valor",IF(C889="Categoria inválida","Categoria inválida",IF(OR(H889&lt;1,H889&gt;12),"Fora dos 12 meses","OK"))))))</f>
        <v/>
      </c>
    </row>
    <row r="890">
      <c r="A890" s="35" t="n"/>
      <c r="B890" s="31" t="n"/>
      <c r="C890" s="19">
        <f>IF(B890="","",IF(COUNTIF(Config!$D$6:$D$15,B890)&gt;0,"Entrada",IF(COUNTIF(Config!$F$6:$F$25,B890)&gt;0,"Saída","Categoria inválida")))</f>
        <v/>
      </c>
      <c r="D890" s="31" t="n"/>
      <c r="E890" s="33" t="n"/>
      <c r="F890" s="36" t="n"/>
      <c r="G890" s="31" t="n"/>
      <c r="H890" s="37">
        <f>IF(A890="","",(YEAR(A890)-YEAR(Config!$B$6))*12+MONTH(A890)-MONTH(Config!$B$6)+1)</f>
        <v/>
      </c>
      <c r="I890" s="19">
        <f>IF(AND(A890="",B890="",E890=""),"",IF(A890="","Falta data",IF(B890="","Falta categoria",IF(E890="","Falta valor",IF(C890="Categoria inválida","Categoria inválida",IF(OR(H890&lt;1,H890&gt;12),"Fora dos 12 meses","OK"))))))</f>
        <v/>
      </c>
    </row>
    <row r="891">
      <c r="A891" s="35" t="n"/>
      <c r="B891" s="31" t="n"/>
      <c r="C891" s="19">
        <f>IF(B891="","",IF(COUNTIF(Config!$D$6:$D$15,B891)&gt;0,"Entrada",IF(COUNTIF(Config!$F$6:$F$25,B891)&gt;0,"Saída","Categoria inválida")))</f>
        <v/>
      </c>
      <c r="D891" s="31" t="n"/>
      <c r="E891" s="33" t="n"/>
      <c r="F891" s="36" t="n"/>
      <c r="G891" s="31" t="n"/>
      <c r="H891" s="37">
        <f>IF(A891="","",(YEAR(A891)-YEAR(Config!$B$6))*12+MONTH(A891)-MONTH(Config!$B$6)+1)</f>
        <v/>
      </c>
      <c r="I891" s="19">
        <f>IF(AND(A891="",B891="",E891=""),"",IF(A891="","Falta data",IF(B891="","Falta categoria",IF(E891="","Falta valor",IF(C891="Categoria inválida","Categoria inválida",IF(OR(H891&lt;1,H891&gt;12),"Fora dos 12 meses","OK"))))))</f>
        <v/>
      </c>
    </row>
    <row r="892">
      <c r="A892" s="35" t="n"/>
      <c r="B892" s="31" t="n"/>
      <c r="C892" s="19">
        <f>IF(B892="","",IF(COUNTIF(Config!$D$6:$D$15,B892)&gt;0,"Entrada",IF(COUNTIF(Config!$F$6:$F$25,B892)&gt;0,"Saída","Categoria inválida")))</f>
        <v/>
      </c>
      <c r="D892" s="31" t="n"/>
      <c r="E892" s="33" t="n"/>
      <c r="F892" s="36" t="n"/>
      <c r="G892" s="31" t="n"/>
      <c r="H892" s="37">
        <f>IF(A892="","",(YEAR(A892)-YEAR(Config!$B$6))*12+MONTH(A892)-MONTH(Config!$B$6)+1)</f>
        <v/>
      </c>
      <c r="I892" s="19">
        <f>IF(AND(A892="",B892="",E892=""),"",IF(A892="","Falta data",IF(B892="","Falta categoria",IF(E892="","Falta valor",IF(C892="Categoria inválida","Categoria inválida",IF(OR(H892&lt;1,H892&gt;12),"Fora dos 12 meses","OK"))))))</f>
        <v/>
      </c>
    </row>
    <row r="893">
      <c r="A893" s="35" t="n"/>
      <c r="B893" s="31" t="n"/>
      <c r="C893" s="19">
        <f>IF(B893="","",IF(COUNTIF(Config!$D$6:$D$15,B893)&gt;0,"Entrada",IF(COUNTIF(Config!$F$6:$F$25,B893)&gt;0,"Saída","Categoria inválida")))</f>
        <v/>
      </c>
      <c r="D893" s="31" t="n"/>
      <c r="E893" s="33" t="n"/>
      <c r="F893" s="36" t="n"/>
      <c r="G893" s="31" t="n"/>
      <c r="H893" s="37">
        <f>IF(A893="","",(YEAR(A893)-YEAR(Config!$B$6))*12+MONTH(A893)-MONTH(Config!$B$6)+1)</f>
        <v/>
      </c>
      <c r="I893" s="19">
        <f>IF(AND(A893="",B893="",E893=""),"",IF(A893="","Falta data",IF(B893="","Falta categoria",IF(E893="","Falta valor",IF(C893="Categoria inválida","Categoria inválida",IF(OR(H893&lt;1,H893&gt;12),"Fora dos 12 meses","OK"))))))</f>
        <v/>
      </c>
    </row>
    <row r="894">
      <c r="A894" s="35" t="n"/>
      <c r="B894" s="31" t="n"/>
      <c r="C894" s="19">
        <f>IF(B894="","",IF(COUNTIF(Config!$D$6:$D$15,B894)&gt;0,"Entrada",IF(COUNTIF(Config!$F$6:$F$25,B894)&gt;0,"Saída","Categoria inválida")))</f>
        <v/>
      </c>
      <c r="D894" s="31" t="n"/>
      <c r="E894" s="33" t="n"/>
      <c r="F894" s="36" t="n"/>
      <c r="G894" s="31" t="n"/>
      <c r="H894" s="37">
        <f>IF(A894="","",(YEAR(A894)-YEAR(Config!$B$6))*12+MONTH(A894)-MONTH(Config!$B$6)+1)</f>
        <v/>
      </c>
      <c r="I894" s="19">
        <f>IF(AND(A894="",B894="",E894=""),"",IF(A894="","Falta data",IF(B894="","Falta categoria",IF(E894="","Falta valor",IF(C894="Categoria inválida","Categoria inválida",IF(OR(H894&lt;1,H894&gt;12),"Fora dos 12 meses","OK"))))))</f>
        <v/>
      </c>
    </row>
    <row r="895">
      <c r="A895" s="35" t="n"/>
      <c r="B895" s="31" t="n"/>
      <c r="C895" s="19">
        <f>IF(B895="","",IF(COUNTIF(Config!$D$6:$D$15,B895)&gt;0,"Entrada",IF(COUNTIF(Config!$F$6:$F$25,B895)&gt;0,"Saída","Categoria inválida")))</f>
        <v/>
      </c>
      <c r="D895" s="31" t="n"/>
      <c r="E895" s="33" t="n"/>
      <c r="F895" s="36" t="n"/>
      <c r="G895" s="31" t="n"/>
      <c r="H895" s="37">
        <f>IF(A895="","",(YEAR(A895)-YEAR(Config!$B$6))*12+MONTH(A895)-MONTH(Config!$B$6)+1)</f>
        <v/>
      </c>
      <c r="I895" s="19">
        <f>IF(AND(A895="",B895="",E895=""),"",IF(A895="","Falta data",IF(B895="","Falta categoria",IF(E895="","Falta valor",IF(C895="Categoria inválida","Categoria inválida",IF(OR(H895&lt;1,H895&gt;12),"Fora dos 12 meses","OK"))))))</f>
        <v/>
      </c>
    </row>
    <row r="896">
      <c r="A896" s="35" t="n"/>
      <c r="B896" s="31" t="n"/>
      <c r="C896" s="19">
        <f>IF(B896="","",IF(COUNTIF(Config!$D$6:$D$15,B896)&gt;0,"Entrada",IF(COUNTIF(Config!$F$6:$F$25,B896)&gt;0,"Saída","Categoria inválida")))</f>
        <v/>
      </c>
      <c r="D896" s="31" t="n"/>
      <c r="E896" s="33" t="n"/>
      <c r="F896" s="36" t="n"/>
      <c r="G896" s="31" t="n"/>
      <c r="H896" s="37">
        <f>IF(A896="","",(YEAR(A896)-YEAR(Config!$B$6))*12+MONTH(A896)-MONTH(Config!$B$6)+1)</f>
        <v/>
      </c>
      <c r="I896" s="19">
        <f>IF(AND(A896="",B896="",E896=""),"",IF(A896="","Falta data",IF(B896="","Falta categoria",IF(E896="","Falta valor",IF(C896="Categoria inválida","Categoria inválida",IF(OR(H896&lt;1,H896&gt;12),"Fora dos 12 meses","OK"))))))</f>
        <v/>
      </c>
    </row>
    <row r="897">
      <c r="A897" s="35" t="n"/>
      <c r="B897" s="31" t="n"/>
      <c r="C897" s="19">
        <f>IF(B897="","",IF(COUNTIF(Config!$D$6:$D$15,B897)&gt;0,"Entrada",IF(COUNTIF(Config!$F$6:$F$25,B897)&gt;0,"Saída","Categoria inválida")))</f>
        <v/>
      </c>
      <c r="D897" s="31" t="n"/>
      <c r="E897" s="33" t="n"/>
      <c r="F897" s="36" t="n"/>
      <c r="G897" s="31" t="n"/>
      <c r="H897" s="37">
        <f>IF(A897="","",(YEAR(A897)-YEAR(Config!$B$6))*12+MONTH(A897)-MONTH(Config!$B$6)+1)</f>
        <v/>
      </c>
      <c r="I897" s="19">
        <f>IF(AND(A897="",B897="",E897=""),"",IF(A897="","Falta data",IF(B897="","Falta categoria",IF(E897="","Falta valor",IF(C897="Categoria inválida","Categoria inválida",IF(OR(H897&lt;1,H897&gt;12),"Fora dos 12 meses","OK"))))))</f>
        <v/>
      </c>
    </row>
    <row r="898">
      <c r="A898" s="35" t="n"/>
      <c r="B898" s="31" t="n"/>
      <c r="C898" s="19">
        <f>IF(B898="","",IF(COUNTIF(Config!$D$6:$D$15,B898)&gt;0,"Entrada",IF(COUNTIF(Config!$F$6:$F$25,B898)&gt;0,"Saída","Categoria inválida")))</f>
        <v/>
      </c>
      <c r="D898" s="31" t="n"/>
      <c r="E898" s="33" t="n"/>
      <c r="F898" s="36" t="n"/>
      <c r="G898" s="31" t="n"/>
      <c r="H898" s="37">
        <f>IF(A898="","",(YEAR(A898)-YEAR(Config!$B$6))*12+MONTH(A898)-MONTH(Config!$B$6)+1)</f>
        <v/>
      </c>
      <c r="I898" s="19">
        <f>IF(AND(A898="",B898="",E898=""),"",IF(A898="","Falta data",IF(B898="","Falta categoria",IF(E898="","Falta valor",IF(C898="Categoria inválida","Categoria inválida",IF(OR(H898&lt;1,H898&gt;12),"Fora dos 12 meses","OK"))))))</f>
        <v/>
      </c>
    </row>
    <row r="899">
      <c r="A899" s="35" t="n"/>
      <c r="B899" s="31" t="n"/>
      <c r="C899" s="19">
        <f>IF(B899="","",IF(COUNTIF(Config!$D$6:$D$15,B899)&gt;0,"Entrada",IF(COUNTIF(Config!$F$6:$F$25,B899)&gt;0,"Saída","Categoria inválida")))</f>
        <v/>
      </c>
      <c r="D899" s="31" t="n"/>
      <c r="E899" s="33" t="n"/>
      <c r="F899" s="36" t="n"/>
      <c r="G899" s="31" t="n"/>
      <c r="H899" s="37">
        <f>IF(A899="","",(YEAR(A899)-YEAR(Config!$B$6))*12+MONTH(A899)-MONTH(Config!$B$6)+1)</f>
        <v/>
      </c>
      <c r="I899" s="19">
        <f>IF(AND(A899="",B899="",E899=""),"",IF(A899="","Falta data",IF(B899="","Falta categoria",IF(E899="","Falta valor",IF(C899="Categoria inválida","Categoria inválida",IF(OR(H899&lt;1,H899&gt;12),"Fora dos 12 meses","OK"))))))</f>
        <v/>
      </c>
    </row>
    <row r="900">
      <c r="A900" s="35" t="n"/>
      <c r="B900" s="31" t="n"/>
      <c r="C900" s="19">
        <f>IF(B900="","",IF(COUNTIF(Config!$D$6:$D$15,B900)&gt;0,"Entrada",IF(COUNTIF(Config!$F$6:$F$25,B900)&gt;0,"Saída","Categoria inválida")))</f>
        <v/>
      </c>
      <c r="D900" s="31" t="n"/>
      <c r="E900" s="33" t="n"/>
      <c r="F900" s="36" t="n"/>
      <c r="G900" s="31" t="n"/>
      <c r="H900" s="37">
        <f>IF(A900="","",(YEAR(A900)-YEAR(Config!$B$6))*12+MONTH(A900)-MONTH(Config!$B$6)+1)</f>
        <v/>
      </c>
      <c r="I900" s="19">
        <f>IF(AND(A900="",B900="",E900=""),"",IF(A900="","Falta data",IF(B900="","Falta categoria",IF(E900="","Falta valor",IF(C900="Categoria inválida","Categoria inválida",IF(OR(H900&lt;1,H900&gt;12),"Fora dos 12 meses","OK"))))))</f>
        <v/>
      </c>
    </row>
    <row r="901">
      <c r="A901" s="35" t="n"/>
      <c r="B901" s="31" t="n"/>
      <c r="C901" s="19">
        <f>IF(B901="","",IF(COUNTIF(Config!$D$6:$D$15,B901)&gt;0,"Entrada",IF(COUNTIF(Config!$F$6:$F$25,B901)&gt;0,"Saída","Categoria inválida")))</f>
        <v/>
      </c>
      <c r="D901" s="31" t="n"/>
      <c r="E901" s="33" t="n"/>
      <c r="F901" s="36" t="n"/>
      <c r="G901" s="31" t="n"/>
      <c r="H901" s="37">
        <f>IF(A901="","",(YEAR(A901)-YEAR(Config!$B$6))*12+MONTH(A901)-MONTH(Config!$B$6)+1)</f>
        <v/>
      </c>
      <c r="I901" s="19">
        <f>IF(AND(A901="",B901="",E901=""),"",IF(A901="","Falta data",IF(B901="","Falta categoria",IF(E901="","Falta valor",IF(C901="Categoria inválida","Categoria inválida",IF(OR(H901&lt;1,H901&gt;12),"Fora dos 12 meses","OK"))))))</f>
        <v/>
      </c>
    </row>
    <row r="902">
      <c r="A902" s="35" t="n"/>
      <c r="B902" s="31" t="n"/>
      <c r="C902" s="19">
        <f>IF(B902="","",IF(COUNTIF(Config!$D$6:$D$15,B902)&gt;0,"Entrada",IF(COUNTIF(Config!$F$6:$F$25,B902)&gt;0,"Saída","Categoria inválida")))</f>
        <v/>
      </c>
      <c r="D902" s="31" t="n"/>
      <c r="E902" s="33" t="n"/>
      <c r="F902" s="36" t="n"/>
      <c r="G902" s="31" t="n"/>
      <c r="H902" s="37">
        <f>IF(A902="","",(YEAR(A902)-YEAR(Config!$B$6))*12+MONTH(A902)-MONTH(Config!$B$6)+1)</f>
        <v/>
      </c>
      <c r="I902" s="19">
        <f>IF(AND(A902="",B902="",E902=""),"",IF(A902="","Falta data",IF(B902="","Falta categoria",IF(E902="","Falta valor",IF(C902="Categoria inválida","Categoria inválida",IF(OR(H902&lt;1,H902&gt;12),"Fora dos 12 meses","OK"))))))</f>
        <v/>
      </c>
    </row>
    <row r="903">
      <c r="A903" s="35" t="n"/>
      <c r="B903" s="31" t="n"/>
      <c r="C903" s="19">
        <f>IF(B903="","",IF(COUNTIF(Config!$D$6:$D$15,B903)&gt;0,"Entrada",IF(COUNTIF(Config!$F$6:$F$25,B903)&gt;0,"Saída","Categoria inválida")))</f>
        <v/>
      </c>
      <c r="D903" s="31" t="n"/>
      <c r="E903" s="33" t="n"/>
      <c r="F903" s="36" t="n"/>
      <c r="G903" s="31" t="n"/>
      <c r="H903" s="37">
        <f>IF(A903="","",(YEAR(A903)-YEAR(Config!$B$6))*12+MONTH(A903)-MONTH(Config!$B$6)+1)</f>
        <v/>
      </c>
      <c r="I903" s="19">
        <f>IF(AND(A903="",B903="",E903=""),"",IF(A903="","Falta data",IF(B903="","Falta categoria",IF(E903="","Falta valor",IF(C903="Categoria inválida","Categoria inválida",IF(OR(H903&lt;1,H903&gt;12),"Fora dos 12 meses","OK"))))))</f>
        <v/>
      </c>
    </row>
    <row r="904">
      <c r="A904" s="35" t="n"/>
      <c r="B904" s="31" t="n"/>
      <c r="C904" s="19">
        <f>IF(B904="","",IF(COUNTIF(Config!$D$6:$D$15,B904)&gt;0,"Entrada",IF(COUNTIF(Config!$F$6:$F$25,B904)&gt;0,"Saída","Categoria inválida")))</f>
        <v/>
      </c>
      <c r="D904" s="31" t="n"/>
      <c r="E904" s="33" t="n"/>
      <c r="F904" s="36" t="n"/>
      <c r="G904" s="31" t="n"/>
      <c r="H904" s="37">
        <f>IF(A904="","",(YEAR(A904)-YEAR(Config!$B$6))*12+MONTH(A904)-MONTH(Config!$B$6)+1)</f>
        <v/>
      </c>
      <c r="I904" s="19">
        <f>IF(AND(A904="",B904="",E904=""),"",IF(A904="","Falta data",IF(B904="","Falta categoria",IF(E904="","Falta valor",IF(C904="Categoria inválida","Categoria inválida",IF(OR(H904&lt;1,H904&gt;12),"Fora dos 12 meses","OK"))))))</f>
        <v/>
      </c>
    </row>
    <row r="905">
      <c r="A905" s="35" t="n"/>
      <c r="B905" s="31" t="n"/>
      <c r="C905" s="19">
        <f>IF(B905="","",IF(COUNTIF(Config!$D$6:$D$15,B905)&gt;0,"Entrada",IF(COUNTIF(Config!$F$6:$F$25,B905)&gt;0,"Saída","Categoria inválida")))</f>
        <v/>
      </c>
      <c r="D905" s="31" t="n"/>
      <c r="E905" s="33" t="n"/>
      <c r="F905" s="36" t="n"/>
      <c r="G905" s="31" t="n"/>
      <c r="H905" s="37">
        <f>IF(A905="","",(YEAR(A905)-YEAR(Config!$B$6))*12+MONTH(A905)-MONTH(Config!$B$6)+1)</f>
        <v/>
      </c>
      <c r="I905" s="19">
        <f>IF(AND(A905="",B905="",E905=""),"",IF(A905="","Falta data",IF(B905="","Falta categoria",IF(E905="","Falta valor",IF(C905="Categoria inválida","Categoria inválida",IF(OR(H905&lt;1,H905&gt;12),"Fora dos 12 meses","OK"))))))</f>
        <v/>
      </c>
    </row>
    <row r="906">
      <c r="A906" s="35" t="n"/>
      <c r="B906" s="31" t="n"/>
      <c r="C906" s="19">
        <f>IF(B906="","",IF(COUNTIF(Config!$D$6:$D$15,B906)&gt;0,"Entrada",IF(COUNTIF(Config!$F$6:$F$25,B906)&gt;0,"Saída","Categoria inválida")))</f>
        <v/>
      </c>
      <c r="D906" s="31" t="n"/>
      <c r="E906" s="33" t="n"/>
      <c r="F906" s="36" t="n"/>
      <c r="G906" s="31" t="n"/>
      <c r="H906" s="37">
        <f>IF(A906="","",(YEAR(A906)-YEAR(Config!$B$6))*12+MONTH(A906)-MONTH(Config!$B$6)+1)</f>
        <v/>
      </c>
      <c r="I906" s="19">
        <f>IF(AND(A906="",B906="",E906=""),"",IF(A906="","Falta data",IF(B906="","Falta categoria",IF(E906="","Falta valor",IF(C906="Categoria inválida","Categoria inválida",IF(OR(H906&lt;1,H906&gt;12),"Fora dos 12 meses","OK"))))))</f>
        <v/>
      </c>
    </row>
    <row r="907">
      <c r="A907" s="35" t="n"/>
      <c r="B907" s="31" t="n"/>
      <c r="C907" s="19">
        <f>IF(B907="","",IF(COUNTIF(Config!$D$6:$D$15,B907)&gt;0,"Entrada",IF(COUNTIF(Config!$F$6:$F$25,B907)&gt;0,"Saída","Categoria inválida")))</f>
        <v/>
      </c>
      <c r="D907" s="31" t="n"/>
      <c r="E907" s="33" t="n"/>
      <c r="F907" s="36" t="n"/>
      <c r="G907" s="31" t="n"/>
      <c r="H907" s="37">
        <f>IF(A907="","",(YEAR(A907)-YEAR(Config!$B$6))*12+MONTH(A907)-MONTH(Config!$B$6)+1)</f>
        <v/>
      </c>
      <c r="I907" s="19">
        <f>IF(AND(A907="",B907="",E907=""),"",IF(A907="","Falta data",IF(B907="","Falta categoria",IF(E907="","Falta valor",IF(C907="Categoria inválida","Categoria inválida",IF(OR(H907&lt;1,H907&gt;12),"Fora dos 12 meses","OK"))))))</f>
        <v/>
      </c>
    </row>
    <row r="908">
      <c r="A908" s="35" t="n"/>
      <c r="B908" s="31" t="n"/>
      <c r="C908" s="19">
        <f>IF(B908="","",IF(COUNTIF(Config!$D$6:$D$15,B908)&gt;0,"Entrada",IF(COUNTIF(Config!$F$6:$F$25,B908)&gt;0,"Saída","Categoria inválida")))</f>
        <v/>
      </c>
      <c r="D908" s="31" t="n"/>
      <c r="E908" s="33" t="n"/>
      <c r="F908" s="36" t="n"/>
      <c r="G908" s="31" t="n"/>
      <c r="H908" s="37">
        <f>IF(A908="","",(YEAR(A908)-YEAR(Config!$B$6))*12+MONTH(A908)-MONTH(Config!$B$6)+1)</f>
        <v/>
      </c>
      <c r="I908" s="19">
        <f>IF(AND(A908="",B908="",E908=""),"",IF(A908="","Falta data",IF(B908="","Falta categoria",IF(E908="","Falta valor",IF(C908="Categoria inválida","Categoria inválida",IF(OR(H908&lt;1,H908&gt;12),"Fora dos 12 meses","OK"))))))</f>
        <v/>
      </c>
    </row>
    <row r="909">
      <c r="A909" s="35" t="n"/>
      <c r="B909" s="31" t="n"/>
      <c r="C909" s="19">
        <f>IF(B909="","",IF(COUNTIF(Config!$D$6:$D$15,B909)&gt;0,"Entrada",IF(COUNTIF(Config!$F$6:$F$25,B909)&gt;0,"Saída","Categoria inválida")))</f>
        <v/>
      </c>
      <c r="D909" s="31" t="n"/>
      <c r="E909" s="33" t="n"/>
      <c r="F909" s="36" t="n"/>
      <c r="G909" s="31" t="n"/>
      <c r="H909" s="37">
        <f>IF(A909="","",(YEAR(A909)-YEAR(Config!$B$6))*12+MONTH(A909)-MONTH(Config!$B$6)+1)</f>
        <v/>
      </c>
      <c r="I909" s="19">
        <f>IF(AND(A909="",B909="",E909=""),"",IF(A909="","Falta data",IF(B909="","Falta categoria",IF(E909="","Falta valor",IF(C909="Categoria inválida","Categoria inválida",IF(OR(H909&lt;1,H909&gt;12),"Fora dos 12 meses","OK"))))))</f>
        <v/>
      </c>
    </row>
    <row r="910">
      <c r="A910" s="35" t="n"/>
      <c r="B910" s="31" t="n"/>
      <c r="C910" s="19">
        <f>IF(B910="","",IF(COUNTIF(Config!$D$6:$D$15,B910)&gt;0,"Entrada",IF(COUNTIF(Config!$F$6:$F$25,B910)&gt;0,"Saída","Categoria inválida")))</f>
        <v/>
      </c>
      <c r="D910" s="31" t="n"/>
      <c r="E910" s="33" t="n"/>
      <c r="F910" s="36" t="n"/>
      <c r="G910" s="31" t="n"/>
      <c r="H910" s="37">
        <f>IF(A910="","",(YEAR(A910)-YEAR(Config!$B$6))*12+MONTH(A910)-MONTH(Config!$B$6)+1)</f>
        <v/>
      </c>
      <c r="I910" s="19">
        <f>IF(AND(A910="",B910="",E910=""),"",IF(A910="","Falta data",IF(B910="","Falta categoria",IF(E910="","Falta valor",IF(C910="Categoria inválida","Categoria inválida",IF(OR(H910&lt;1,H910&gt;12),"Fora dos 12 meses","OK"))))))</f>
        <v/>
      </c>
    </row>
    <row r="911">
      <c r="A911" s="35" t="n"/>
      <c r="B911" s="31" t="n"/>
      <c r="C911" s="19">
        <f>IF(B911="","",IF(COUNTIF(Config!$D$6:$D$15,B911)&gt;0,"Entrada",IF(COUNTIF(Config!$F$6:$F$25,B911)&gt;0,"Saída","Categoria inválida")))</f>
        <v/>
      </c>
      <c r="D911" s="31" t="n"/>
      <c r="E911" s="33" t="n"/>
      <c r="F911" s="36" t="n"/>
      <c r="G911" s="31" t="n"/>
      <c r="H911" s="37">
        <f>IF(A911="","",(YEAR(A911)-YEAR(Config!$B$6))*12+MONTH(A911)-MONTH(Config!$B$6)+1)</f>
        <v/>
      </c>
      <c r="I911" s="19">
        <f>IF(AND(A911="",B911="",E911=""),"",IF(A911="","Falta data",IF(B911="","Falta categoria",IF(E911="","Falta valor",IF(C911="Categoria inválida","Categoria inválida",IF(OR(H911&lt;1,H911&gt;12),"Fora dos 12 meses","OK"))))))</f>
        <v/>
      </c>
    </row>
    <row r="912">
      <c r="A912" s="35" t="n"/>
      <c r="B912" s="31" t="n"/>
      <c r="C912" s="19">
        <f>IF(B912="","",IF(COUNTIF(Config!$D$6:$D$15,B912)&gt;0,"Entrada",IF(COUNTIF(Config!$F$6:$F$25,B912)&gt;0,"Saída","Categoria inválida")))</f>
        <v/>
      </c>
      <c r="D912" s="31" t="n"/>
      <c r="E912" s="33" t="n"/>
      <c r="F912" s="36" t="n"/>
      <c r="G912" s="31" t="n"/>
      <c r="H912" s="37">
        <f>IF(A912="","",(YEAR(A912)-YEAR(Config!$B$6))*12+MONTH(A912)-MONTH(Config!$B$6)+1)</f>
        <v/>
      </c>
      <c r="I912" s="19">
        <f>IF(AND(A912="",B912="",E912=""),"",IF(A912="","Falta data",IF(B912="","Falta categoria",IF(E912="","Falta valor",IF(C912="Categoria inválida","Categoria inválida",IF(OR(H912&lt;1,H912&gt;12),"Fora dos 12 meses","OK"))))))</f>
        <v/>
      </c>
    </row>
    <row r="913">
      <c r="A913" s="35" t="n"/>
      <c r="B913" s="31" t="n"/>
      <c r="C913" s="19">
        <f>IF(B913="","",IF(COUNTIF(Config!$D$6:$D$15,B913)&gt;0,"Entrada",IF(COUNTIF(Config!$F$6:$F$25,B913)&gt;0,"Saída","Categoria inválida")))</f>
        <v/>
      </c>
      <c r="D913" s="31" t="n"/>
      <c r="E913" s="33" t="n"/>
      <c r="F913" s="36" t="n"/>
      <c r="G913" s="31" t="n"/>
      <c r="H913" s="37">
        <f>IF(A913="","",(YEAR(A913)-YEAR(Config!$B$6))*12+MONTH(A913)-MONTH(Config!$B$6)+1)</f>
        <v/>
      </c>
      <c r="I913" s="19">
        <f>IF(AND(A913="",B913="",E913=""),"",IF(A913="","Falta data",IF(B913="","Falta categoria",IF(E913="","Falta valor",IF(C913="Categoria inválida","Categoria inválida",IF(OR(H913&lt;1,H913&gt;12),"Fora dos 12 meses","OK"))))))</f>
        <v/>
      </c>
    </row>
    <row r="914">
      <c r="A914" s="35" t="n"/>
      <c r="B914" s="31" t="n"/>
      <c r="C914" s="19">
        <f>IF(B914="","",IF(COUNTIF(Config!$D$6:$D$15,B914)&gt;0,"Entrada",IF(COUNTIF(Config!$F$6:$F$25,B914)&gt;0,"Saída","Categoria inválida")))</f>
        <v/>
      </c>
      <c r="D914" s="31" t="n"/>
      <c r="E914" s="33" t="n"/>
      <c r="F914" s="36" t="n"/>
      <c r="G914" s="31" t="n"/>
      <c r="H914" s="37">
        <f>IF(A914="","",(YEAR(A914)-YEAR(Config!$B$6))*12+MONTH(A914)-MONTH(Config!$B$6)+1)</f>
        <v/>
      </c>
      <c r="I914" s="19">
        <f>IF(AND(A914="",B914="",E914=""),"",IF(A914="","Falta data",IF(B914="","Falta categoria",IF(E914="","Falta valor",IF(C914="Categoria inválida","Categoria inválida",IF(OR(H914&lt;1,H914&gt;12),"Fora dos 12 meses","OK"))))))</f>
        <v/>
      </c>
    </row>
    <row r="915">
      <c r="A915" s="35" t="n"/>
      <c r="B915" s="31" t="n"/>
      <c r="C915" s="19">
        <f>IF(B915="","",IF(COUNTIF(Config!$D$6:$D$15,B915)&gt;0,"Entrada",IF(COUNTIF(Config!$F$6:$F$25,B915)&gt;0,"Saída","Categoria inválida")))</f>
        <v/>
      </c>
      <c r="D915" s="31" t="n"/>
      <c r="E915" s="33" t="n"/>
      <c r="F915" s="36" t="n"/>
      <c r="G915" s="31" t="n"/>
      <c r="H915" s="37">
        <f>IF(A915="","",(YEAR(A915)-YEAR(Config!$B$6))*12+MONTH(A915)-MONTH(Config!$B$6)+1)</f>
        <v/>
      </c>
      <c r="I915" s="19">
        <f>IF(AND(A915="",B915="",E915=""),"",IF(A915="","Falta data",IF(B915="","Falta categoria",IF(E915="","Falta valor",IF(C915="Categoria inválida","Categoria inválida",IF(OR(H915&lt;1,H915&gt;12),"Fora dos 12 meses","OK"))))))</f>
        <v/>
      </c>
    </row>
    <row r="916">
      <c r="A916" s="35" t="n"/>
      <c r="B916" s="31" t="n"/>
      <c r="C916" s="19">
        <f>IF(B916="","",IF(COUNTIF(Config!$D$6:$D$15,B916)&gt;0,"Entrada",IF(COUNTIF(Config!$F$6:$F$25,B916)&gt;0,"Saída","Categoria inválida")))</f>
        <v/>
      </c>
      <c r="D916" s="31" t="n"/>
      <c r="E916" s="33" t="n"/>
      <c r="F916" s="36" t="n"/>
      <c r="G916" s="31" t="n"/>
      <c r="H916" s="37">
        <f>IF(A916="","",(YEAR(A916)-YEAR(Config!$B$6))*12+MONTH(A916)-MONTH(Config!$B$6)+1)</f>
        <v/>
      </c>
      <c r="I916" s="19">
        <f>IF(AND(A916="",B916="",E916=""),"",IF(A916="","Falta data",IF(B916="","Falta categoria",IF(E916="","Falta valor",IF(C916="Categoria inválida","Categoria inválida",IF(OR(H916&lt;1,H916&gt;12),"Fora dos 12 meses","OK"))))))</f>
        <v/>
      </c>
    </row>
    <row r="917">
      <c r="A917" s="35" t="n"/>
      <c r="B917" s="31" t="n"/>
      <c r="C917" s="19">
        <f>IF(B917="","",IF(COUNTIF(Config!$D$6:$D$15,B917)&gt;0,"Entrada",IF(COUNTIF(Config!$F$6:$F$25,B917)&gt;0,"Saída","Categoria inválida")))</f>
        <v/>
      </c>
      <c r="D917" s="31" t="n"/>
      <c r="E917" s="33" t="n"/>
      <c r="F917" s="36" t="n"/>
      <c r="G917" s="31" t="n"/>
      <c r="H917" s="37">
        <f>IF(A917="","",(YEAR(A917)-YEAR(Config!$B$6))*12+MONTH(A917)-MONTH(Config!$B$6)+1)</f>
        <v/>
      </c>
      <c r="I917" s="19">
        <f>IF(AND(A917="",B917="",E917=""),"",IF(A917="","Falta data",IF(B917="","Falta categoria",IF(E917="","Falta valor",IF(C917="Categoria inválida","Categoria inválida",IF(OR(H917&lt;1,H917&gt;12),"Fora dos 12 meses","OK"))))))</f>
        <v/>
      </c>
    </row>
    <row r="918">
      <c r="A918" s="35" t="n"/>
      <c r="B918" s="31" t="n"/>
      <c r="C918" s="19">
        <f>IF(B918="","",IF(COUNTIF(Config!$D$6:$D$15,B918)&gt;0,"Entrada",IF(COUNTIF(Config!$F$6:$F$25,B918)&gt;0,"Saída","Categoria inválida")))</f>
        <v/>
      </c>
      <c r="D918" s="31" t="n"/>
      <c r="E918" s="33" t="n"/>
      <c r="F918" s="36" t="n"/>
      <c r="G918" s="31" t="n"/>
      <c r="H918" s="37">
        <f>IF(A918="","",(YEAR(A918)-YEAR(Config!$B$6))*12+MONTH(A918)-MONTH(Config!$B$6)+1)</f>
        <v/>
      </c>
      <c r="I918" s="19">
        <f>IF(AND(A918="",B918="",E918=""),"",IF(A918="","Falta data",IF(B918="","Falta categoria",IF(E918="","Falta valor",IF(C918="Categoria inválida","Categoria inválida",IF(OR(H918&lt;1,H918&gt;12),"Fora dos 12 meses","OK"))))))</f>
        <v/>
      </c>
    </row>
    <row r="919">
      <c r="A919" s="35" t="n"/>
      <c r="B919" s="31" t="n"/>
      <c r="C919" s="19">
        <f>IF(B919="","",IF(COUNTIF(Config!$D$6:$D$15,B919)&gt;0,"Entrada",IF(COUNTIF(Config!$F$6:$F$25,B919)&gt;0,"Saída","Categoria inválida")))</f>
        <v/>
      </c>
      <c r="D919" s="31" t="n"/>
      <c r="E919" s="33" t="n"/>
      <c r="F919" s="36" t="n"/>
      <c r="G919" s="31" t="n"/>
      <c r="H919" s="37">
        <f>IF(A919="","",(YEAR(A919)-YEAR(Config!$B$6))*12+MONTH(A919)-MONTH(Config!$B$6)+1)</f>
        <v/>
      </c>
      <c r="I919" s="19">
        <f>IF(AND(A919="",B919="",E919=""),"",IF(A919="","Falta data",IF(B919="","Falta categoria",IF(E919="","Falta valor",IF(C919="Categoria inválida","Categoria inválida",IF(OR(H919&lt;1,H919&gt;12),"Fora dos 12 meses","OK"))))))</f>
        <v/>
      </c>
    </row>
    <row r="920">
      <c r="A920" s="35" t="n"/>
      <c r="B920" s="31" t="n"/>
      <c r="C920" s="19">
        <f>IF(B920="","",IF(COUNTIF(Config!$D$6:$D$15,B920)&gt;0,"Entrada",IF(COUNTIF(Config!$F$6:$F$25,B920)&gt;0,"Saída","Categoria inválida")))</f>
        <v/>
      </c>
      <c r="D920" s="31" t="n"/>
      <c r="E920" s="33" t="n"/>
      <c r="F920" s="36" t="n"/>
      <c r="G920" s="31" t="n"/>
      <c r="H920" s="37">
        <f>IF(A920="","",(YEAR(A920)-YEAR(Config!$B$6))*12+MONTH(A920)-MONTH(Config!$B$6)+1)</f>
        <v/>
      </c>
      <c r="I920" s="19">
        <f>IF(AND(A920="",B920="",E920=""),"",IF(A920="","Falta data",IF(B920="","Falta categoria",IF(E920="","Falta valor",IF(C920="Categoria inválida","Categoria inválida",IF(OR(H920&lt;1,H920&gt;12),"Fora dos 12 meses","OK"))))))</f>
        <v/>
      </c>
    </row>
    <row r="921">
      <c r="A921" s="35" t="n"/>
      <c r="B921" s="31" t="n"/>
      <c r="C921" s="19">
        <f>IF(B921="","",IF(COUNTIF(Config!$D$6:$D$15,B921)&gt;0,"Entrada",IF(COUNTIF(Config!$F$6:$F$25,B921)&gt;0,"Saída","Categoria inválida")))</f>
        <v/>
      </c>
      <c r="D921" s="31" t="n"/>
      <c r="E921" s="33" t="n"/>
      <c r="F921" s="36" t="n"/>
      <c r="G921" s="31" t="n"/>
      <c r="H921" s="37">
        <f>IF(A921="","",(YEAR(A921)-YEAR(Config!$B$6))*12+MONTH(A921)-MONTH(Config!$B$6)+1)</f>
        <v/>
      </c>
      <c r="I921" s="19">
        <f>IF(AND(A921="",B921="",E921=""),"",IF(A921="","Falta data",IF(B921="","Falta categoria",IF(E921="","Falta valor",IF(C921="Categoria inválida","Categoria inválida",IF(OR(H921&lt;1,H921&gt;12),"Fora dos 12 meses","OK"))))))</f>
        <v/>
      </c>
    </row>
    <row r="922">
      <c r="A922" s="35" t="n"/>
      <c r="B922" s="31" t="n"/>
      <c r="C922" s="19">
        <f>IF(B922="","",IF(COUNTIF(Config!$D$6:$D$15,B922)&gt;0,"Entrada",IF(COUNTIF(Config!$F$6:$F$25,B922)&gt;0,"Saída","Categoria inválida")))</f>
        <v/>
      </c>
      <c r="D922" s="31" t="n"/>
      <c r="E922" s="33" t="n"/>
      <c r="F922" s="36" t="n"/>
      <c r="G922" s="31" t="n"/>
      <c r="H922" s="37">
        <f>IF(A922="","",(YEAR(A922)-YEAR(Config!$B$6))*12+MONTH(A922)-MONTH(Config!$B$6)+1)</f>
        <v/>
      </c>
      <c r="I922" s="19">
        <f>IF(AND(A922="",B922="",E922=""),"",IF(A922="","Falta data",IF(B922="","Falta categoria",IF(E922="","Falta valor",IF(C922="Categoria inválida","Categoria inválida",IF(OR(H922&lt;1,H922&gt;12),"Fora dos 12 meses","OK"))))))</f>
        <v/>
      </c>
    </row>
    <row r="923">
      <c r="A923" s="35" t="n"/>
      <c r="B923" s="31" t="n"/>
      <c r="C923" s="19">
        <f>IF(B923="","",IF(COUNTIF(Config!$D$6:$D$15,B923)&gt;0,"Entrada",IF(COUNTIF(Config!$F$6:$F$25,B923)&gt;0,"Saída","Categoria inválida")))</f>
        <v/>
      </c>
      <c r="D923" s="31" t="n"/>
      <c r="E923" s="33" t="n"/>
      <c r="F923" s="36" t="n"/>
      <c r="G923" s="31" t="n"/>
      <c r="H923" s="37">
        <f>IF(A923="","",(YEAR(A923)-YEAR(Config!$B$6))*12+MONTH(A923)-MONTH(Config!$B$6)+1)</f>
        <v/>
      </c>
      <c r="I923" s="19">
        <f>IF(AND(A923="",B923="",E923=""),"",IF(A923="","Falta data",IF(B923="","Falta categoria",IF(E923="","Falta valor",IF(C923="Categoria inválida","Categoria inválida",IF(OR(H923&lt;1,H923&gt;12),"Fora dos 12 meses","OK"))))))</f>
        <v/>
      </c>
    </row>
    <row r="924">
      <c r="A924" s="35" t="n"/>
      <c r="B924" s="31" t="n"/>
      <c r="C924" s="19">
        <f>IF(B924="","",IF(COUNTIF(Config!$D$6:$D$15,B924)&gt;0,"Entrada",IF(COUNTIF(Config!$F$6:$F$25,B924)&gt;0,"Saída","Categoria inválida")))</f>
        <v/>
      </c>
      <c r="D924" s="31" t="n"/>
      <c r="E924" s="33" t="n"/>
      <c r="F924" s="36" t="n"/>
      <c r="G924" s="31" t="n"/>
      <c r="H924" s="37">
        <f>IF(A924="","",(YEAR(A924)-YEAR(Config!$B$6))*12+MONTH(A924)-MONTH(Config!$B$6)+1)</f>
        <v/>
      </c>
      <c r="I924" s="19">
        <f>IF(AND(A924="",B924="",E924=""),"",IF(A924="","Falta data",IF(B924="","Falta categoria",IF(E924="","Falta valor",IF(C924="Categoria inválida","Categoria inválida",IF(OR(H924&lt;1,H924&gt;12),"Fora dos 12 meses","OK"))))))</f>
        <v/>
      </c>
    </row>
    <row r="925">
      <c r="A925" s="35" t="n"/>
      <c r="B925" s="31" t="n"/>
      <c r="C925" s="19">
        <f>IF(B925="","",IF(COUNTIF(Config!$D$6:$D$15,B925)&gt;0,"Entrada",IF(COUNTIF(Config!$F$6:$F$25,B925)&gt;0,"Saída","Categoria inválida")))</f>
        <v/>
      </c>
      <c r="D925" s="31" t="n"/>
      <c r="E925" s="33" t="n"/>
      <c r="F925" s="36" t="n"/>
      <c r="G925" s="31" t="n"/>
      <c r="H925" s="37">
        <f>IF(A925="","",(YEAR(A925)-YEAR(Config!$B$6))*12+MONTH(A925)-MONTH(Config!$B$6)+1)</f>
        <v/>
      </c>
      <c r="I925" s="19">
        <f>IF(AND(A925="",B925="",E925=""),"",IF(A925="","Falta data",IF(B925="","Falta categoria",IF(E925="","Falta valor",IF(C925="Categoria inválida","Categoria inválida",IF(OR(H925&lt;1,H925&gt;12),"Fora dos 12 meses","OK"))))))</f>
        <v/>
      </c>
    </row>
    <row r="926">
      <c r="A926" s="35" t="n"/>
      <c r="B926" s="31" t="n"/>
      <c r="C926" s="19">
        <f>IF(B926="","",IF(COUNTIF(Config!$D$6:$D$15,B926)&gt;0,"Entrada",IF(COUNTIF(Config!$F$6:$F$25,B926)&gt;0,"Saída","Categoria inválida")))</f>
        <v/>
      </c>
      <c r="D926" s="31" t="n"/>
      <c r="E926" s="33" t="n"/>
      <c r="F926" s="36" t="n"/>
      <c r="G926" s="31" t="n"/>
      <c r="H926" s="37">
        <f>IF(A926="","",(YEAR(A926)-YEAR(Config!$B$6))*12+MONTH(A926)-MONTH(Config!$B$6)+1)</f>
        <v/>
      </c>
      <c r="I926" s="19">
        <f>IF(AND(A926="",B926="",E926=""),"",IF(A926="","Falta data",IF(B926="","Falta categoria",IF(E926="","Falta valor",IF(C926="Categoria inválida","Categoria inválida",IF(OR(H926&lt;1,H926&gt;12),"Fora dos 12 meses","OK"))))))</f>
        <v/>
      </c>
    </row>
    <row r="927">
      <c r="A927" s="35" t="n"/>
      <c r="B927" s="31" t="n"/>
      <c r="C927" s="19">
        <f>IF(B927="","",IF(COUNTIF(Config!$D$6:$D$15,B927)&gt;0,"Entrada",IF(COUNTIF(Config!$F$6:$F$25,B927)&gt;0,"Saída","Categoria inválida")))</f>
        <v/>
      </c>
      <c r="D927" s="31" t="n"/>
      <c r="E927" s="33" t="n"/>
      <c r="F927" s="36" t="n"/>
      <c r="G927" s="31" t="n"/>
      <c r="H927" s="37">
        <f>IF(A927="","",(YEAR(A927)-YEAR(Config!$B$6))*12+MONTH(A927)-MONTH(Config!$B$6)+1)</f>
        <v/>
      </c>
      <c r="I927" s="19">
        <f>IF(AND(A927="",B927="",E927=""),"",IF(A927="","Falta data",IF(B927="","Falta categoria",IF(E927="","Falta valor",IF(C927="Categoria inválida","Categoria inválida",IF(OR(H927&lt;1,H927&gt;12),"Fora dos 12 meses","OK"))))))</f>
        <v/>
      </c>
    </row>
    <row r="928">
      <c r="A928" s="35" t="n"/>
      <c r="B928" s="31" t="n"/>
      <c r="C928" s="19">
        <f>IF(B928="","",IF(COUNTIF(Config!$D$6:$D$15,B928)&gt;0,"Entrada",IF(COUNTIF(Config!$F$6:$F$25,B928)&gt;0,"Saída","Categoria inválida")))</f>
        <v/>
      </c>
      <c r="D928" s="31" t="n"/>
      <c r="E928" s="33" t="n"/>
      <c r="F928" s="36" t="n"/>
      <c r="G928" s="31" t="n"/>
      <c r="H928" s="37">
        <f>IF(A928="","",(YEAR(A928)-YEAR(Config!$B$6))*12+MONTH(A928)-MONTH(Config!$B$6)+1)</f>
        <v/>
      </c>
      <c r="I928" s="19">
        <f>IF(AND(A928="",B928="",E928=""),"",IF(A928="","Falta data",IF(B928="","Falta categoria",IF(E928="","Falta valor",IF(C928="Categoria inválida","Categoria inválida",IF(OR(H928&lt;1,H928&gt;12),"Fora dos 12 meses","OK"))))))</f>
        <v/>
      </c>
    </row>
    <row r="929">
      <c r="A929" s="35" t="n"/>
      <c r="B929" s="31" t="n"/>
      <c r="C929" s="19">
        <f>IF(B929="","",IF(COUNTIF(Config!$D$6:$D$15,B929)&gt;0,"Entrada",IF(COUNTIF(Config!$F$6:$F$25,B929)&gt;0,"Saída","Categoria inválida")))</f>
        <v/>
      </c>
      <c r="D929" s="31" t="n"/>
      <c r="E929" s="33" t="n"/>
      <c r="F929" s="36" t="n"/>
      <c r="G929" s="31" t="n"/>
      <c r="H929" s="37">
        <f>IF(A929="","",(YEAR(A929)-YEAR(Config!$B$6))*12+MONTH(A929)-MONTH(Config!$B$6)+1)</f>
        <v/>
      </c>
      <c r="I929" s="19">
        <f>IF(AND(A929="",B929="",E929=""),"",IF(A929="","Falta data",IF(B929="","Falta categoria",IF(E929="","Falta valor",IF(C929="Categoria inválida","Categoria inválida",IF(OR(H929&lt;1,H929&gt;12),"Fora dos 12 meses","OK"))))))</f>
        <v/>
      </c>
    </row>
    <row r="930">
      <c r="A930" s="35" t="n"/>
      <c r="B930" s="31" t="n"/>
      <c r="C930" s="19">
        <f>IF(B930="","",IF(COUNTIF(Config!$D$6:$D$15,B930)&gt;0,"Entrada",IF(COUNTIF(Config!$F$6:$F$25,B930)&gt;0,"Saída","Categoria inválida")))</f>
        <v/>
      </c>
      <c r="D930" s="31" t="n"/>
      <c r="E930" s="33" t="n"/>
      <c r="F930" s="36" t="n"/>
      <c r="G930" s="31" t="n"/>
      <c r="H930" s="37">
        <f>IF(A930="","",(YEAR(A930)-YEAR(Config!$B$6))*12+MONTH(A930)-MONTH(Config!$B$6)+1)</f>
        <v/>
      </c>
      <c r="I930" s="19">
        <f>IF(AND(A930="",B930="",E930=""),"",IF(A930="","Falta data",IF(B930="","Falta categoria",IF(E930="","Falta valor",IF(C930="Categoria inválida","Categoria inválida",IF(OR(H930&lt;1,H930&gt;12),"Fora dos 12 meses","OK"))))))</f>
        <v/>
      </c>
    </row>
    <row r="931">
      <c r="A931" s="35" t="n"/>
      <c r="B931" s="31" t="n"/>
      <c r="C931" s="19">
        <f>IF(B931="","",IF(COUNTIF(Config!$D$6:$D$15,B931)&gt;0,"Entrada",IF(COUNTIF(Config!$F$6:$F$25,B931)&gt;0,"Saída","Categoria inválida")))</f>
        <v/>
      </c>
      <c r="D931" s="31" t="n"/>
      <c r="E931" s="33" t="n"/>
      <c r="F931" s="36" t="n"/>
      <c r="G931" s="31" t="n"/>
      <c r="H931" s="37">
        <f>IF(A931="","",(YEAR(A931)-YEAR(Config!$B$6))*12+MONTH(A931)-MONTH(Config!$B$6)+1)</f>
        <v/>
      </c>
      <c r="I931" s="19">
        <f>IF(AND(A931="",B931="",E931=""),"",IF(A931="","Falta data",IF(B931="","Falta categoria",IF(E931="","Falta valor",IF(C931="Categoria inválida","Categoria inválida",IF(OR(H931&lt;1,H931&gt;12),"Fora dos 12 meses","OK"))))))</f>
        <v/>
      </c>
    </row>
    <row r="932">
      <c r="A932" s="35" t="n"/>
      <c r="B932" s="31" t="n"/>
      <c r="C932" s="19">
        <f>IF(B932="","",IF(COUNTIF(Config!$D$6:$D$15,B932)&gt;0,"Entrada",IF(COUNTIF(Config!$F$6:$F$25,B932)&gt;0,"Saída","Categoria inválida")))</f>
        <v/>
      </c>
      <c r="D932" s="31" t="n"/>
      <c r="E932" s="33" t="n"/>
      <c r="F932" s="36" t="n"/>
      <c r="G932" s="31" t="n"/>
      <c r="H932" s="37">
        <f>IF(A932="","",(YEAR(A932)-YEAR(Config!$B$6))*12+MONTH(A932)-MONTH(Config!$B$6)+1)</f>
        <v/>
      </c>
      <c r="I932" s="19">
        <f>IF(AND(A932="",B932="",E932=""),"",IF(A932="","Falta data",IF(B932="","Falta categoria",IF(E932="","Falta valor",IF(C932="Categoria inválida","Categoria inválida",IF(OR(H932&lt;1,H932&gt;12),"Fora dos 12 meses","OK"))))))</f>
        <v/>
      </c>
    </row>
    <row r="933">
      <c r="A933" s="35" t="n"/>
      <c r="B933" s="31" t="n"/>
      <c r="C933" s="19">
        <f>IF(B933="","",IF(COUNTIF(Config!$D$6:$D$15,B933)&gt;0,"Entrada",IF(COUNTIF(Config!$F$6:$F$25,B933)&gt;0,"Saída","Categoria inválida")))</f>
        <v/>
      </c>
      <c r="D933" s="31" t="n"/>
      <c r="E933" s="33" t="n"/>
      <c r="F933" s="36" t="n"/>
      <c r="G933" s="31" t="n"/>
      <c r="H933" s="37">
        <f>IF(A933="","",(YEAR(A933)-YEAR(Config!$B$6))*12+MONTH(A933)-MONTH(Config!$B$6)+1)</f>
        <v/>
      </c>
      <c r="I933" s="19">
        <f>IF(AND(A933="",B933="",E933=""),"",IF(A933="","Falta data",IF(B933="","Falta categoria",IF(E933="","Falta valor",IF(C933="Categoria inválida","Categoria inválida",IF(OR(H933&lt;1,H933&gt;12),"Fora dos 12 meses","OK"))))))</f>
        <v/>
      </c>
    </row>
    <row r="934">
      <c r="A934" s="35" t="n"/>
      <c r="B934" s="31" t="n"/>
      <c r="C934" s="19">
        <f>IF(B934="","",IF(COUNTIF(Config!$D$6:$D$15,B934)&gt;0,"Entrada",IF(COUNTIF(Config!$F$6:$F$25,B934)&gt;0,"Saída","Categoria inválida")))</f>
        <v/>
      </c>
      <c r="D934" s="31" t="n"/>
      <c r="E934" s="33" t="n"/>
      <c r="F934" s="36" t="n"/>
      <c r="G934" s="31" t="n"/>
      <c r="H934" s="37">
        <f>IF(A934="","",(YEAR(A934)-YEAR(Config!$B$6))*12+MONTH(A934)-MONTH(Config!$B$6)+1)</f>
        <v/>
      </c>
      <c r="I934" s="19">
        <f>IF(AND(A934="",B934="",E934=""),"",IF(A934="","Falta data",IF(B934="","Falta categoria",IF(E934="","Falta valor",IF(C934="Categoria inválida","Categoria inválida",IF(OR(H934&lt;1,H934&gt;12),"Fora dos 12 meses","OK"))))))</f>
        <v/>
      </c>
    </row>
    <row r="935">
      <c r="A935" s="35" t="n"/>
      <c r="B935" s="31" t="n"/>
      <c r="C935" s="19">
        <f>IF(B935="","",IF(COUNTIF(Config!$D$6:$D$15,B935)&gt;0,"Entrada",IF(COUNTIF(Config!$F$6:$F$25,B935)&gt;0,"Saída","Categoria inválida")))</f>
        <v/>
      </c>
      <c r="D935" s="31" t="n"/>
      <c r="E935" s="33" t="n"/>
      <c r="F935" s="36" t="n"/>
      <c r="G935" s="31" t="n"/>
      <c r="H935" s="37">
        <f>IF(A935="","",(YEAR(A935)-YEAR(Config!$B$6))*12+MONTH(A935)-MONTH(Config!$B$6)+1)</f>
        <v/>
      </c>
      <c r="I935" s="19">
        <f>IF(AND(A935="",B935="",E935=""),"",IF(A935="","Falta data",IF(B935="","Falta categoria",IF(E935="","Falta valor",IF(C935="Categoria inválida","Categoria inválida",IF(OR(H935&lt;1,H935&gt;12),"Fora dos 12 meses","OK"))))))</f>
        <v/>
      </c>
    </row>
    <row r="936">
      <c r="A936" s="35" t="n"/>
      <c r="B936" s="31" t="n"/>
      <c r="C936" s="19">
        <f>IF(B936="","",IF(COUNTIF(Config!$D$6:$D$15,B936)&gt;0,"Entrada",IF(COUNTIF(Config!$F$6:$F$25,B936)&gt;0,"Saída","Categoria inválida")))</f>
        <v/>
      </c>
      <c r="D936" s="31" t="n"/>
      <c r="E936" s="33" t="n"/>
      <c r="F936" s="36" t="n"/>
      <c r="G936" s="31" t="n"/>
      <c r="H936" s="37">
        <f>IF(A936="","",(YEAR(A936)-YEAR(Config!$B$6))*12+MONTH(A936)-MONTH(Config!$B$6)+1)</f>
        <v/>
      </c>
      <c r="I936" s="19">
        <f>IF(AND(A936="",B936="",E936=""),"",IF(A936="","Falta data",IF(B936="","Falta categoria",IF(E936="","Falta valor",IF(C936="Categoria inválida","Categoria inválida",IF(OR(H936&lt;1,H936&gt;12),"Fora dos 12 meses","OK"))))))</f>
        <v/>
      </c>
    </row>
    <row r="937">
      <c r="A937" s="35" t="n"/>
      <c r="B937" s="31" t="n"/>
      <c r="C937" s="19">
        <f>IF(B937="","",IF(COUNTIF(Config!$D$6:$D$15,B937)&gt;0,"Entrada",IF(COUNTIF(Config!$F$6:$F$25,B937)&gt;0,"Saída","Categoria inválida")))</f>
        <v/>
      </c>
      <c r="D937" s="31" t="n"/>
      <c r="E937" s="33" t="n"/>
      <c r="F937" s="36" t="n"/>
      <c r="G937" s="31" t="n"/>
      <c r="H937" s="37">
        <f>IF(A937="","",(YEAR(A937)-YEAR(Config!$B$6))*12+MONTH(A937)-MONTH(Config!$B$6)+1)</f>
        <v/>
      </c>
      <c r="I937" s="19">
        <f>IF(AND(A937="",B937="",E937=""),"",IF(A937="","Falta data",IF(B937="","Falta categoria",IF(E937="","Falta valor",IF(C937="Categoria inválida","Categoria inválida",IF(OR(H937&lt;1,H937&gt;12),"Fora dos 12 meses","OK"))))))</f>
        <v/>
      </c>
    </row>
    <row r="938">
      <c r="A938" s="35" t="n"/>
      <c r="B938" s="31" t="n"/>
      <c r="C938" s="19">
        <f>IF(B938="","",IF(COUNTIF(Config!$D$6:$D$15,B938)&gt;0,"Entrada",IF(COUNTIF(Config!$F$6:$F$25,B938)&gt;0,"Saída","Categoria inválida")))</f>
        <v/>
      </c>
      <c r="D938" s="31" t="n"/>
      <c r="E938" s="33" t="n"/>
      <c r="F938" s="36" t="n"/>
      <c r="G938" s="31" t="n"/>
      <c r="H938" s="37">
        <f>IF(A938="","",(YEAR(A938)-YEAR(Config!$B$6))*12+MONTH(A938)-MONTH(Config!$B$6)+1)</f>
        <v/>
      </c>
      <c r="I938" s="19">
        <f>IF(AND(A938="",B938="",E938=""),"",IF(A938="","Falta data",IF(B938="","Falta categoria",IF(E938="","Falta valor",IF(C938="Categoria inválida","Categoria inválida",IF(OR(H938&lt;1,H938&gt;12),"Fora dos 12 meses","OK"))))))</f>
        <v/>
      </c>
    </row>
    <row r="939">
      <c r="A939" s="35" t="n"/>
      <c r="B939" s="31" t="n"/>
      <c r="C939" s="19">
        <f>IF(B939="","",IF(COUNTIF(Config!$D$6:$D$15,B939)&gt;0,"Entrada",IF(COUNTIF(Config!$F$6:$F$25,B939)&gt;0,"Saída","Categoria inválida")))</f>
        <v/>
      </c>
      <c r="D939" s="31" t="n"/>
      <c r="E939" s="33" t="n"/>
      <c r="F939" s="36" t="n"/>
      <c r="G939" s="31" t="n"/>
      <c r="H939" s="37">
        <f>IF(A939="","",(YEAR(A939)-YEAR(Config!$B$6))*12+MONTH(A939)-MONTH(Config!$B$6)+1)</f>
        <v/>
      </c>
      <c r="I939" s="19">
        <f>IF(AND(A939="",B939="",E939=""),"",IF(A939="","Falta data",IF(B939="","Falta categoria",IF(E939="","Falta valor",IF(C939="Categoria inválida","Categoria inválida",IF(OR(H939&lt;1,H939&gt;12),"Fora dos 12 meses","OK"))))))</f>
        <v/>
      </c>
    </row>
    <row r="940">
      <c r="A940" s="35" t="n"/>
      <c r="B940" s="31" t="n"/>
      <c r="C940" s="19">
        <f>IF(B940="","",IF(COUNTIF(Config!$D$6:$D$15,B940)&gt;0,"Entrada",IF(COUNTIF(Config!$F$6:$F$25,B940)&gt;0,"Saída","Categoria inválida")))</f>
        <v/>
      </c>
      <c r="D940" s="31" t="n"/>
      <c r="E940" s="33" t="n"/>
      <c r="F940" s="36" t="n"/>
      <c r="G940" s="31" t="n"/>
      <c r="H940" s="37">
        <f>IF(A940="","",(YEAR(A940)-YEAR(Config!$B$6))*12+MONTH(A940)-MONTH(Config!$B$6)+1)</f>
        <v/>
      </c>
      <c r="I940" s="19">
        <f>IF(AND(A940="",B940="",E940=""),"",IF(A940="","Falta data",IF(B940="","Falta categoria",IF(E940="","Falta valor",IF(C940="Categoria inválida","Categoria inválida",IF(OR(H940&lt;1,H940&gt;12),"Fora dos 12 meses","OK"))))))</f>
        <v/>
      </c>
    </row>
    <row r="941">
      <c r="A941" s="35" t="n"/>
      <c r="B941" s="31" t="n"/>
      <c r="C941" s="19">
        <f>IF(B941="","",IF(COUNTIF(Config!$D$6:$D$15,B941)&gt;0,"Entrada",IF(COUNTIF(Config!$F$6:$F$25,B941)&gt;0,"Saída","Categoria inválida")))</f>
        <v/>
      </c>
      <c r="D941" s="31" t="n"/>
      <c r="E941" s="33" t="n"/>
      <c r="F941" s="36" t="n"/>
      <c r="G941" s="31" t="n"/>
      <c r="H941" s="37">
        <f>IF(A941="","",(YEAR(A941)-YEAR(Config!$B$6))*12+MONTH(A941)-MONTH(Config!$B$6)+1)</f>
        <v/>
      </c>
      <c r="I941" s="19">
        <f>IF(AND(A941="",B941="",E941=""),"",IF(A941="","Falta data",IF(B941="","Falta categoria",IF(E941="","Falta valor",IF(C941="Categoria inválida","Categoria inválida",IF(OR(H941&lt;1,H941&gt;12),"Fora dos 12 meses","OK"))))))</f>
        <v/>
      </c>
    </row>
    <row r="942">
      <c r="A942" s="35" t="n"/>
      <c r="B942" s="31" t="n"/>
      <c r="C942" s="19">
        <f>IF(B942="","",IF(COUNTIF(Config!$D$6:$D$15,B942)&gt;0,"Entrada",IF(COUNTIF(Config!$F$6:$F$25,B942)&gt;0,"Saída","Categoria inválida")))</f>
        <v/>
      </c>
      <c r="D942" s="31" t="n"/>
      <c r="E942" s="33" t="n"/>
      <c r="F942" s="36" t="n"/>
      <c r="G942" s="31" t="n"/>
      <c r="H942" s="37">
        <f>IF(A942="","",(YEAR(A942)-YEAR(Config!$B$6))*12+MONTH(A942)-MONTH(Config!$B$6)+1)</f>
        <v/>
      </c>
      <c r="I942" s="19">
        <f>IF(AND(A942="",B942="",E942=""),"",IF(A942="","Falta data",IF(B942="","Falta categoria",IF(E942="","Falta valor",IF(C942="Categoria inválida","Categoria inválida",IF(OR(H942&lt;1,H942&gt;12),"Fora dos 12 meses","OK"))))))</f>
        <v/>
      </c>
    </row>
    <row r="943">
      <c r="A943" s="35" t="n"/>
      <c r="B943" s="31" t="n"/>
      <c r="C943" s="19">
        <f>IF(B943="","",IF(COUNTIF(Config!$D$6:$D$15,B943)&gt;0,"Entrada",IF(COUNTIF(Config!$F$6:$F$25,B943)&gt;0,"Saída","Categoria inválida")))</f>
        <v/>
      </c>
      <c r="D943" s="31" t="n"/>
      <c r="E943" s="33" t="n"/>
      <c r="F943" s="36" t="n"/>
      <c r="G943" s="31" t="n"/>
      <c r="H943" s="37">
        <f>IF(A943="","",(YEAR(A943)-YEAR(Config!$B$6))*12+MONTH(A943)-MONTH(Config!$B$6)+1)</f>
        <v/>
      </c>
      <c r="I943" s="19">
        <f>IF(AND(A943="",B943="",E943=""),"",IF(A943="","Falta data",IF(B943="","Falta categoria",IF(E943="","Falta valor",IF(C943="Categoria inválida","Categoria inválida",IF(OR(H943&lt;1,H943&gt;12),"Fora dos 12 meses","OK"))))))</f>
        <v/>
      </c>
    </row>
    <row r="944">
      <c r="A944" s="35" t="n"/>
      <c r="B944" s="31" t="n"/>
      <c r="C944" s="19">
        <f>IF(B944="","",IF(COUNTIF(Config!$D$6:$D$15,B944)&gt;0,"Entrada",IF(COUNTIF(Config!$F$6:$F$25,B944)&gt;0,"Saída","Categoria inválida")))</f>
        <v/>
      </c>
      <c r="D944" s="31" t="n"/>
      <c r="E944" s="33" t="n"/>
      <c r="F944" s="36" t="n"/>
      <c r="G944" s="31" t="n"/>
      <c r="H944" s="37">
        <f>IF(A944="","",(YEAR(A944)-YEAR(Config!$B$6))*12+MONTH(A944)-MONTH(Config!$B$6)+1)</f>
        <v/>
      </c>
      <c r="I944" s="19">
        <f>IF(AND(A944="",B944="",E944=""),"",IF(A944="","Falta data",IF(B944="","Falta categoria",IF(E944="","Falta valor",IF(C944="Categoria inválida","Categoria inválida",IF(OR(H944&lt;1,H944&gt;12),"Fora dos 12 meses","OK"))))))</f>
        <v/>
      </c>
    </row>
    <row r="945">
      <c r="A945" s="35" t="n"/>
      <c r="B945" s="31" t="n"/>
      <c r="C945" s="19">
        <f>IF(B945="","",IF(COUNTIF(Config!$D$6:$D$15,B945)&gt;0,"Entrada",IF(COUNTIF(Config!$F$6:$F$25,B945)&gt;0,"Saída","Categoria inválida")))</f>
        <v/>
      </c>
      <c r="D945" s="31" t="n"/>
      <c r="E945" s="33" t="n"/>
      <c r="F945" s="36" t="n"/>
      <c r="G945" s="31" t="n"/>
      <c r="H945" s="37">
        <f>IF(A945="","",(YEAR(A945)-YEAR(Config!$B$6))*12+MONTH(A945)-MONTH(Config!$B$6)+1)</f>
        <v/>
      </c>
      <c r="I945" s="19">
        <f>IF(AND(A945="",B945="",E945=""),"",IF(A945="","Falta data",IF(B945="","Falta categoria",IF(E945="","Falta valor",IF(C945="Categoria inválida","Categoria inválida",IF(OR(H945&lt;1,H945&gt;12),"Fora dos 12 meses","OK"))))))</f>
        <v/>
      </c>
    </row>
    <row r="946">
      <c r="A946" s="35" t="n"/>
      <c r="B946" s="31" t="n"/>
      <c r="C946" s="19">
        <f>IF(B946="","",IF(COUNTIF(Config!$D$6:$D$15,B946)&gt;0,"Entrada",IF(COUNTIF(Config!$F$6:$F$25,B946)&gt;0,"Saída","Categoria inválida")))</f>
        <v/>
      </c>
      <c r="D946" s="31" t="n"/>
      <c r="E946" s="33" t="n"/>
      <c r="F946" s="36" t="n"/>
      <c r="G946" s="31" t="n"/>
      <c r="H946" s="37">
        <f>IF(A946="","",(YEAR(A946)-YEAR(Config!$B$6))*12+MONTH(A946)-MONTH(Config!$B$6)+1)</f>
        <v/>
      </c>
      <c r="I946" s="19">
        <f>IF(AND(A946="",B946="",E946=""),"",IF(A946="","Falta data",IF(B946="","Falta categoria",IF(E946="","Falta valor",IF(C946="Categoria inválida","Categoria inválida",IF(OR(H946&lt;1,H946&gt;12),"Fora dos 12 meses","OK"))))))</f>
        <v/>
      </c>
    </row>
    <row r="947">
      <c r="A947" s="35" t="n"/>
      <c r="B947" s="31" t="n"/>
      <c r="C947" s="19">
        <f>IF(B947="","",IF(COUNTIF(Config!$D$6:$D$15,B947)&gt;0,"Entrada",IF(COUNTIF(Config!$F$6:$F$25,B947)&gt;0,"Saída","Categoria inválida")))</f>
        <v/>
      </c>
      <c r="D947" s="31" t="n"/>
      <c r="E947" s="33" t="n"/>
      <c r="F947" s="36" t="n"/>
      <c r="G947" s="31" t="n"/>
      <c r="H947" s="37">
        <f>IF(A947="","",(YEAR(A947)-YEAR(Config!$B$6))*12+MONTH(A947)-MONTH(Config!$B$6)+1)</f>
        <v/>
      </c>
      <c r="I947" s="19">
        <f>IF(AND(A947="",B947="",E947=""),"",IF(A947="","Falta data",IF(B947="","Falta categoria",IF(E947="","Falta valor",IF(C947="Categoria inválida","Categoria inválida",IF(OR(H947&lt;1,H947&gt;12),"Fora dos 12 meses","OK"))))))</f>
        <v/>
      </c>
    </row>
    <row r="948">
      <c r="A948" s="35" t="n"/>
      <c r="B948" s="31" t="n"/>
      <c r="C948" s="19">
        <f>IF(B948="","",IF(COUNTIF(Config!$D$6:$D$15,B948)&gt;0,"Entrada",IF(COUNTIF(Config!$F$6:$F$25,B948)&gt;0,"Saída","Categoria inválida")))</f>
        <v/>
      </c>
      <c r="D948" s="31" t="n"/>
      <c r="E948" s="33" t="n"/>
      <c r="F948" s="36" t="n"/>
      <c r="G948" s="31" t="n"/>
      <c r="H948" s="37">
        <f>IF(A948="","",(YEAR(A948)-YEAR(Config!$B$6))*12+MONTH(A948)-MONTH(Config!$B$6)+1)</f>
        <v/>
      </c>
      <c r="I948" s="19">
        <f>IF(AND(A948="",B948="",E948=""),"",IF(A948="","Falta data",IF(B948="","Falta categoria",IF(E948="","Falta valor",IF(C948="Categoria inválida","Categoria inválida",IF(OR(H948&lt;1,H948&gt;12),"Fora dos 12 meses","OK"))))))</f>
        <v/>
      </c>
    </row>
    <row r="949">
      <c r="A949" s="35" t="n"/>
      <c r="B949" s="31" t="n"/>
      <c r="C949" s="19">
        <f>IF(B949="","",IF(COUNTIF(Config!$D$6:$D$15,B949)&gt;0,"Entrada",IF(COUNTIF(Config!$F$6:$F$25,B949)&gt;0,"Saída","Categoria inválida")))</f>
        <v/>
      </c>
      <c r="D949" s="31" t="n"/>
      <c r="E949" s="33" t="n"/>
      <c r="F949" s="36" t="n"/>
      <c r="G949" s="31" t="n"/>
      <c r="H949" s="37">
        <f>IF(A949="","",(YEAR(A949)-YEAR(Config!$B$6))*12+MONTH(A949)-MONTH(Config!$B$6)+1)</f>
        <v/>
      </c>
      <c r="I949" s="19">
        <f>IF(AND(A949="",B949="",E949=""),"",IF(A949="","Falta data",IF(B949="","Falta categoria",IF(E949="","Falta valor",IF(C949="Categoria inválida","Categoria inválida",IF(OR(H949&lt;1,H949&gt;12),"Fora dos 12 meses","OK"))))))</f>
        <v/>
      </c>
    </row>
    <row r="950">
      <c r="A950" s="35" t="n"/>
      <c r="B950" s="31" t="n"/>
      <c r="C950" s="19">
        <f>IF(B950="","",IF(COUNTIF(Config!$D$6:$D$15,B950)&gt;0,"Entrada",IF(COUNTIF(Config!$F$6:$F$25,B950)&gt;0,"Saída","Categoria inválida")))</f>
        <v/>
      </c>
      <c r="D950" s="31" t="n"/>
      <c r="E950" s="33" t="n"/>
      <c r="F950" s="36" t="n"/>
      <c r="G950" s="31" t="n"/>
      <c r="H950" s="37">
        <f>IF(A950="","",(YEAR(A950)-YEAR(Config!$B$6))*12+MONTH(A950)-MONTH(Config!$B$6)+1)</f>
        <v/>
      </c>
      <c r="I950" s="19">
        <f>IF(AND(A950="",B950="",E950=""),"",IF(A950="","Falta data",IF(B950="","Falta categoria",IF(E950="","Falta valor",IF(C950="Categoria inválida","Categoria inválida",IF(OR(H950&lt;1,H950&gt;12),"Fora dos 12 meses","OK"))))))</f>
        <v/>
      </c>
    </row>
    <row r="951">
      <c r="A951" s="35" t="n"/>
      <c r="B951" s="31" t="n"/>
      <c r="C951" s="19">
        <f>IF(B951="","",IF(COUNTIF(Config!$D$6:$D$15,B951)&gt;0,"Entrada",IF(COUNTIF(Config!$F$6:$F$25,B951)&gt;0,"Saída","Categoria inválida")))</f>
        <v/>
      </c>
      <c r="D951" s="31" t="n"/>
      <c r="E951" s="33" t="n"/>
      <c r="F951" s="36" t="n"/>
      <c r="G951" s="31" t="n"/>
      <c r="H951" s="37">
        <f>IF(A951="","",(YEAR(A951)-YEAR(Config!$B$6))*12+MONTH(A951)-MONTH(Config!$B$6)+1)</f>
        <v/>
      </c>
      <c r="I951" s="19">
        <f>IF(AND(A951="",B951="",E951=""),"",IF(A951="","Falta data",IF(B951="","Falta categoria",IF(E951="","Falta valor",IF(C951="Categoria inválida","Categoria inválida",IF(OR(H951&lt;1,H951&gt;12),"Fora dos 12 meses","OK"))))))</f>
        <v/>
      </c>
    </row>
    <row r="952">
      <c r="A952" s="35" t="n"/>
      <c r="B952" s="31" t="n"/>
      <c r="C952" s="19">
        <f>IF(B952="","",IF(COUNTIF(Config!$D$6:$D$15,B952)&gt;0,"Entrada",IF(COUNTIF(Config!$F$6:$F$25,B952)&gt;0,"Saída","Categoria inválida")))</f>
        <v/>
      </c>
      <c r="D952" s="31" t="n"/>
      <c r="E952" s="33" t="n"/>
      <c r="F952" s="36" t="n"/>
      <c r="G952" s="31" t="n"/>
      <c r="H952" s="37">
        <f>IF(A952="","",(YEAR(A952)-YEAR(Config!$B$6))*12+MONTH(A952)-MONTH(Config!$B$6)+1)</f>
        <v/>
      </c>
      <c r="I952" s="19">
        <f>IF(AND(A952="",B952="",E952=""),"",IF(A952="","Falta data",IF(B952="","Falta categoria",IF(E952="","Falta valor",IF(C952="Categoria inválida","Categoria inválida",IF(OR(H952&lt;1,H952&gt;12),"Fora dos 12 meses","OK"))))))</f>
        <v/>
      </c>
    </row>
    <row r="953">
      <c r="A953" s="35" t="n"/>
      <c r="B953" s="31" t="n"/>
      <c r="C953" s="19">
        <f>IF(B953="","",IF(COUNTIF(Config!$D$6:$D$15,B953)&gt;0,"Entrada",IF(COUNTIF(Config!$F$6:$F$25,B953)&gt;0,"Saída","Categoria inválida")))</f>
        <v/>
      </c>
      <c r="D953" s="31" t="n"/>
      <c r="E953" s="33" t="n"/>
      <c r="F953" s="36" t="n"/>
      <c r="G953" s="31" t="n"/>
      <c r="H953" s="37">
        <f>IF(A953="","",(YEAR(A953)-YEAR(Config!$B$6))*12+MONTH(A953)-MONTH(Config!$B$6)+1)</f>
        <v/>
      </c>
      <c r="I953" s="19">
        <f>IF(AND(A953="",B953="",E953=""),"",IF(A953="","Falta data",IF(B953="","Falta categoria",IF(E953="","Falta valor",IF(C953="Categoria inválida","Categoria inválida",IF(OR(H953&lt;1,H953&gt;12),"Fora dos 12 meses","OK"))))))</f>
        <v/>
      </c>
    </row>
    <row r="954">
      <c r="A954" s="35" t="n"/>
      <c r="B954" s="31" t="n"/>
      <c r="C954" s="19">
        <f>IF(B954="","",IF(COUNTIF(Config!$D$6:$D$15,B954)&gt;0,"Entrada",IF(COUNTIF(Config!$F$6:$F$25,B954)&gt;0,"Saída","Categoria inválida")))</f>
        <v/>
      </c>
      <c r="D954" s="31" t="n"/>
      <c r="E954" s="33" t="n"/>
      <c r="F954" s="36" t="n"/>
      <c r="G954" s="31" t="n"/>
      <c r="H954" s="37">
        <f>IF(A954="","",(YEAR(A954)-YEAR(Config!$B$6))*12+MONTH(A954)-MONTH(Config!$B$6)+1)</f>
        <v/>
      </c>
      <c r="I954" s="19">
        <f>IF(AND(A954="",B954="",E954=""),"",IF(A954="","Falta data",IF(B954="","Falta categoria",IF(E954="","Falta valor",IF(C954="Categoria inválida","Categoria inválida",IF(OR(H954&lt;1,H954&gt;12),"Fora dos 12 meses","OK"))))))</f>
        <v/>
      </c>
    </row>
    <row r="955">
      <c r="A955" s="35" t="n"/>
      <c r="B955" s="31" t="n"/>
      <c r="C955" s="19">
        <f>IF(B955="","",IF(COUNTIF(Config!$D$6:$D$15,B955)&gt;0,"Entrada",IF(COUNTIF(Config!$F$6:$F$25,B955)&gt;0,"Saída","Categoria inválida")))</f>
        <v/>
      </c>
      <c r="D955" s="31" t="n"/>
      <c r="E955" s="33" t="n"/>
      <c r="F955" s="36" t="n"/>
      <c r="G955" s="31" t="n"/>
      <c r="H955" s="37">
        <f>IF(A955="","",(YEAR(A955)-YEAR(Config!$B$6))*12+MONTH(A955)-MONTH(Config!$B$6)+1)</f>
        <v/>
      </c>
      <c r="I955" s="19">
        <f>IF(AND(A955="",B955="",E955=""),"",IF(A955="","Falta data",IF(B955="","Falta categoria",IF(E955="","Falta valor",IF(C955="Categoria inválida","Categoria inválida",IF(OR(H955&lt;1,H955&gt;12),"Fora dos 12 meses","OK"))))))</f>
        <v/>
      </c>
    </row>
    <row r="956">
      <c r="A956" s="35" t="n"/>
      <c r="B956" s="31" t="n"/>
      <c r="C956" s="19">
        <f>IF(B956="","",IF(COUNTIF(Config!$D$6:$D$15,B956)&gt;0,"Entrada",IF(COUNTIF(Config!$F$6:$F$25,B956)&gt;0,"Saída","Categoria inválida")))</f>
        <v/>
      </c>
      <c r="D956" s="31" t="n"/>
      <c r="E956" s="33" t="n"/>
      <c r="F956" s="36" t="n"/>
      <c r="G956" s="31" t="n"/>
      <c r="H956" s="37">
        <f>IF(A956="","",(YEAR(A956)-YEAR(Config!$B$6))*12+MONTH(A956)-MONTH(Config!$B$6)+1)</f>
        <v/>
      </c>
      <c r="I956" s="19">
        <f>IF(AND(A956="",B956="",E956=""),"",IF(A956="","Falta data",IF(B956="","Falta categoria",IF(E956="","Falta valor",IF(C956="Categoria inválida","Categoria inválida",IF(OR(H956&lt;1,H956&gt;12),"Fora dos 12 meses","OK"))))))</f>
        <v/>
      </c>
    </row>
    <row r="957">
      <c r="A957" s="35" t="n"/>
      <c r="B957" s="31" t="n"/>
      <c r="C957" s="19">
        <f>IF(B957="","",IF(COUNTIF(Config!$D$6:$D$15,B957)&gt;0,"Entrada",IF(COUNTIF(Config!$F$6:$F$25,B957)&gt;0,"Saída","Categoria inválida")))</f>
        <v/>
      </c>
      <c r="D957" s="31" t="n"/>
      <c r="E957" s="33" t="n"/>
      <c r="F957" s="36" t="n"/>
      <c r="G957" s="31" t="n"/>
      <c r="H957" s="37">
        <f>IF(A957="","",(YEAR(A957)-YEAR(Config!$B$6))*12+MONTH(A957)-MONTH(Config!$B$6)+1)</f>
        <v/>
      </c>
      <c r="I957" s="19">
        <f>IF(AND(A957="",B957="",E957=""),"",IF(A957="","Falta data",IF(B957="","Falta categoria",IF(E957="","Falta valor",IF(C957="Categoria inválida","Categoria inválida",IF(OR(H957&lt;1,H957&gt;12),"Fora dos 12 meses","OK"))))))</f>
        <v/>
      </c>
    </row>
    <row r="958">
      <c r="A958" s="35" t="n"/>
      <c r="B958" s="31" t="n"/>
      <c r="C958" s="19">
        <f>IF(B958="","",IF(COUNTIF(Config!$D$6:$D$15,B958)&gt;0,"Entrada",IF(COUNTIF(Config!$F$6:$F$25,B958)&gt;0,"Saída","Categoria inválida")))</f>
        <v/>
      </c>
      <c r="D958" s="31" t="n"/>
      <c r="E958" s="33" t="n"/>
      <c r="F958" s="36" t="n"/>
      <c r="G958" s="31" t="n"/>
      <c r="H958" s="37">
        <f>IF(A958="","",(YEAR(A958)-YEAR(Config!$B$6))*12+MONTH(A958)-MONTH(Config!$B$6)+1)</f>
        <v/>
      </c>
      <c r="I958" s="19">
        <f>IF(AND(A958="",B958="",E958=""),"",IF(A958="","Falta data",IF(B958="","Falta categoria",IF(E958="","Falta valor",IF(C958="Categoria inválida","Categoria inválida",IF(OR(H958&lt;1,H958&gt;12),"Fora dos 12 meses","OK"))))))</f>
        <v/>
      </c>
    </row>
    <row r="959">
      <c r="A959" s="35" t="n"/>
      <c r="B959" s="31" t="n"/>
      <c r="C959" s="19">
        <f>IF(B959="","",IF(COUNTIF(Config!$D$6:$D$15,B959)&gt;0,"Entrada",IF(COUNTIF(Config!$F$6:$F$25,B959)&gt;0,"Saída","Categoria inválida")))</f>
        <v/>
      </c>
      <c r="D959" s="31" t="n"/>
      <c r="E959" s="33" t="n"/>
      <c r="F959" s="36" t="n"/>
      <c r="G959" s="31" t="n"/>
      <c r="H959" s="37">
        <f>IF(A959="","",(YEAR(A959)-YEAR(Config!$B$6))*12+MONTH(A959)-MONTH(Config!$B$6)+1)</f>
        <v/>
      </c>
      <c r="I959" s="19">
        <f>IF(AND(A959="",B959="",E959=""),"",IF(A959="","Falta data",IF(B959="","Falta categoria",IF(E959="","Falta valor",IF(C959="Categoria inválida","Categoria inválida",IF(OR(H959&lt;1,H959&gt;12),"Fora dos 12 meses","OK"))))))</f>
        <v/>
      </c>
    </row>
    <row r="960">
      <c r="A960" s="35" t="n"/>
      <c r="B960" s="31" t="n"/>
      <c r="C960" s="19">
        <f>IF(B960="","",IF(COUNTIF(Config!$D$6:$D$15,B960)&gt;0,"Entrada",IF(COUNTIF(Config!$F$6:$F$25,B960)&gt;0,"Saída","Categoria inválida")))</f>
        <v/>
      </c>
      <c r="D960" s="31" t="n"/>
      <c r="E960" s="33" t="n"/>
      <c r="F960" s="36" t="n"/>
      <c r="G960" s="31" t="n"/>
      <c r="H960" s="37">
        <f>IF(A960="","",(YEAR(A960)-YEAR(Config!$B$6))*12+MONTH(A960)-MONTH(Config!$B$6)+1)</f>
        <v/>
      </c>
      <c r="I960" s="19">
        <f>IF(AND(A960="",B960="",E960=""),"",IF(A960="","Falta data",IF(B960="","Falta categoria",IF(E960="","Falta valor",IF(C960="Categoria inválida","Categoria inválida",IF(OR(H960&lt;1,H960&gt;12),"Fora dos 12 meses","OK"))))))</f>
        <v/>
      </c>
    </row>
    <row r="961">
      <c r="A961" s="35" t="n"/>
      <c r="B961" s="31" t="n"/>
      <c r="C961" s="19">
        <f>IF(B961="","",IF(COUNTIF(Config!$D$6:$D$15,B961)&gt;0,"Entrada",IF(COUNTIF(Config!$F$6:$F$25,B961)&gt;0,"Saída","Categoria inválida")))</f>
        <v/>
      </c>
      <c r="D961" s="31" t="n"/>
      <c r="E961" s="33" t="n"/>
      <c r="F961" s="36" t="n"/>
      <c r="G961" s="31" t="n"/>
      <c r="H961" s="37">
        <f>IF(A961="","",(YEAR(A961)-YEAR(Config!$B$6))*12+MONTH(A961)-MONTH(Config!$B$6)+1)</f>
        <v/>
      </c>
      <c r="I961" s="19">
        <f>IF(AND(A961="",B961="",E961=""),"",IF(A961="","Falta data",IF(B961="","Falta categoria",IF(E961="","Falta valor",IF(C961="Categoria inválida","Categoria inválida",IF(OR(H961&lt;1,H961&gt;12),"Fora dos 12 meses","OK"))))))</f>
        <v/>
      </c>
    </row>
    <row r="962">
      <c r="A962" s="35" t="n"/>
      <c r="B962" s="31" t="n"/>
      <c r="C962" s="19">
        <f>IF(B962="","",IF(COUNTIF(Config!$D$6:$D$15,B962)&gt;0,"Entrada",IF(COUNTIF(Config!$F$6:$F$25,B962)&gt;0,"Saída","Categoria inválida")))</f>
        <v/>
      </c>
      <c r="D962" s="31" t="n"/>
      <c r="E962" s="33" t="n"/>
      <c r="F962" s="36" t="n"/>
      <c r="G962" s="31" t="n"/>
      <c r="H962" s="37">
        <f>IF(A962="","",(YEAR(A962)-YEAR(Config!$B$6))*12+MONTH(A962)-MONTH(Config!$B$6)+1)</f>
        <v/>
      </c>
      <c r="I962" s="19">
        <f>IF(AND(A962="",B962="",E962=""),"",IF(A962="","Falta data",IF(B962="","Falta categoria",IF(E962="","Falta valor",IF(C962="Categoria inválida","Categoria inválida",IF(OR(H962&lt;1,H962&gt;12),"Fora dos 12 meses","OK"))))))</f>
        <v/>
      </c>
    </row>
    <row r="963">
      <c r="A963" s="35" t="n"/>
      <c r="B963" s="31" t="n"/>
      <c r="C963" s="19">
        <f>IF(B963="","",IF(COUNTIF(Config!$D$6:$D$15,B963)&gt;0,"Entrada",IF(COUNTIF(Config!$F$6:$F$25,B963)&gt;0,"Saída","Categoria inválida")))</f>
        <v/>
      </c>
      <c r="D963" s="31" t="n"/>
      <c r="E963" s="33" t="n"/>
      <c r="F963" s="36" t="n"/>
      <c r="G963" s="31" t="n"/>
      <c r="H963" s="37">
        <f>IF(A963="","",(YEAR(A963)-YEAR(Config!$B$6))*12+MONTH(A963)-MONTH(Config!$B$6)+1)</f>
        <v/>
      </c>
      <c r="I963" s="19">
        <f>IF(AND(A963="",B963="",E963=""),"",IF(A963="","Falta data",IF(B963="","Falta categoria",IF(E963="","Falta valor",IF(C963="Categoria inválida","Categoria inválida",IF(OR(H963&lt;1,H963&gt;12),"Fora dos 12 meses","OK"))))))</f>
        <v/>
      </c>
    </row>
    <row r="964">
      <c r="A964" s="35" t="n"/>
      <c r="B964" s="31" t="n"/>
      <c r="C964" s="19">
        <f>IF(B964="","",IF(COUNTIF(Config!$D$6:$D$15,B964)&gt;0,"Entrada",IF(COUNTIF(Config!$F$6:$F$25,B964)&gt;0,"Saída","Categoria inválida")))</f>
        <v/>
      </c>
      <c r="D964" s="31" t="n"/>
      <c r="E964" s="33" t="n"/>
      <c r="F964" s="36" t="n"/>
      <c r="G964" s="31" t="n"/>
      <c r="H964" s="37">
        <f>IF(A964="","",(YEAR(A964)-YEAR(Config!$B$6))*12+MONTH(A964)-MONTH(Config!$B$6)+1)</f>
        <v/>
      </c>
      <c r="I964" s="19">
        <f>IF(AND(A964="",B964="",E964=""),"",IF(A964="","Falta data",IF(B964="","Falta categoria",IF(E964="","Falta valor",IF(C964="Categoria inválida","Categoria inválida",IF(OR(H964&lt;1,H964&gt;12),"Fora dos 12 meses","OK"))))))</f>
        <v/>
      </c>
    </row>
    <row r="965">
      <c r="A965" s="35" t="n"/>
      <c r="B965" s="31" t="n"/>
      <c r="C965" s="19">
        <f>IF(B965="","",IF(COUNTIF(Config!$D$6:$D$15,B965)&gt;0,"Entrada",IF(COUNTIF(Config!$F$6:$F$25,B965)&gt;0,"Saída","Categoria inválida")))</f>
        <v/>
      </c>
      <c r="D965" s="31" t="n"/>
      <c r="E965" s="33" t="n"/>
      <c r="F965" s="36" t="n"/>
      <c r="G965" s="31" t="n"/>
      <c r="H965" s="37">
        <f>IF(A965="","",(YEAR(A965)-YEAR(Config!$B$6))*12+MONTH(A965)-MONTH(Config!$B$6)+1)</f>
        <v/>
      </c>
      <c r="I965" s="19">
        <f>IF(AND(A965="",B965="",E965=""),"",IF(A965="","Falta data",IF(B965="","Falta categoria",IF(E965="","Falta valor",IF(C965="Categoria inválida","Categoria inválida",IF(OR(H965&lt;1,H965&gt;12),"Fora dos 12 meses","OK"))))))</f>
        <v/>
      </c>
    </row>
    <row r="966">
      <c r="A966" s="35" t="n"/>
      <c r="B966" s="31" t="n"/>
      <c r="C966" s="19">
        <f>IF(B966="","",IF(COUNTIF(Config!$D$6:$D$15,B966)&gt;0,"Entrada",IF(COUNTIF(Config!$F$6:$F$25,B966)&gt;0,"Saída","Categoria inválida")))</f>
        <v/>
      </c>
      <c r="D966" s="31" t="n"/>
      <c r="E966" s="33" t="n"/>
      <c r="F966" s="36" t="n"/>
      <c r="G966" s="31" t="n"/>
      <c r="H966" s="37">
        <f>IF(A966="","",(YEAR(A966)-YEAR(Config!$B$6))*12+MONTH(A966)-MONTH(Config!$B$6)+1)</f>
        <v/>
      </c>
      <c r="I966" s="19">
        <f>IF(AND(A966="",B966="",E966=""),"",IF(A966="","Falta data",IF(B966="","Falta categoria",IF(E966="","Falta valor",IF(C966="Categoria inválida","Categoria inválida",IF(OR(H966&lt;1,H966&gt;12),"Fora dos 12 meses","OK"))))))</f>
        <v/>
      </c>
    </row>
    <row r="967">
      <c r="A967" s="35" t="n"/>
      <c r="B967" s="31" t="n"/>
      <c r="C967" s="19">
        <f>IF(B967="","",IF(COUNTIF(Config!$D$6:$D$15,B967)&gt;0,"Entrada",IF(COUNTIF(Config!$F$6:$F$25,B967)&gt;0,"Saída","Categoria inválida")))</f>
        <v/>
      </c>
      <c r="D967" s="31" t="n"/>
      <c r="E967" s="33" t="n"/>
      <c r="F967" s="36" t="n"/>
      <c r="G967" s="31" t="n"/>
      <c r="H967" s="37">
        <f>IF(A967="","",(YEAR(A967)-YEAR(Config!$B$6))*12+MONTH(A967)-MONTH(Config!$B$6)+1)</f>
        <v/>
      </c>
      <c r="I967" s="19">
        <f>IF(AND(A967="",B967="",E967=""),"",IF(A967="","Falta data",IF(B967="","Falta categoria",IF(E967="","Falta valor",IF(C967="Categoria inválida","Categoria inválida",IF(OR(H967&lt;1,H967&gt;12),"Fora dos 12 meses","OK"))))))</f>
        <v/>
      </c>
    </row>
    <row r="968">
      <c r="A968" s="35" t="n"/>
      <c r="B968" s="31" t="n"/>
      <c r="C968" s="19">
        <f>IF(B968="","",IF(COUNTIF(Config!$D$6:$D$15,B968)&gt;0,"Entrada",IF(COUNTIF(Config!$F$6:$F$25,B968)&gt;0,"Saída","Categoria inválida")))</f>
        <v/>
      </c>
      <c r="D968" s="31" t="n"/>
      <c r="E968" s="33" t="n"/>
      <c r="F968" s="36" t="n"/>
      <c r="G968" s="31" t="n"/>
      <c r="H968" s="37">
        <f>IF(A968="","",(YEAR(A968)-YEAR(Config!$B$6))*12+MONTH(A968)-MONTH(Config!$B$6)+1)</f>
        <v/>
      </c>
      <c r="I968" s="19">
        <f>IF(AND(A968="",B968="",E968=""),"",IF(A968="","Falta data",IF(B968="","Falta categoria",IF(E968="","Falta valor",IF(C968="Categoria inválida","Categoria inválida",IF(OR(H968&lt;1,H968&gt;12),"Fora dos 12 meses","OK"))))))</f>
        <v/>
      </c>
    </row>
    <row r="969">
      <c r="A969" s="35" t="n"/>
      <c r="B969" s="31" t="n"/>
      <c r="C969" s="19">
        <f>IF(B969="","",IF(COUNTIF(Config!$D$6:$D$15,B969)&gt;0,"Entrada",IF(COUNTIF(Config!$F$6:$F$25,B969)&gt;0,"Saída","Categoria inválida")))</f>
        <v/>
      </c>
      <c r="D969" s="31" t="n"/>
      <c r="E969" s="33" t="n"/>
      <c r="F969" s="36" t="n"/>
      <c r="G969" s="31" t="n"/>
      <c r="H969" s="37">
        <f>IF(A969="","",(YEAR(A969)-YEAR(Config!$B$6))*12+MONTH(A969)-MONTH(Config!$B$6)+1)</f>
        <v/>
      </c>
      <c r="I969" s="19">
        <f>IF(AND(A969="",B969="",E969=""),"",IF(A969="","Falta data",IF(B969="","Falta categoria",IF(E969="","Falta valor",IF(C969="Categoria inválida","Categoria inválida",IF(OR(H969&lt;1,H969&gt;12),"Fora dos 12 meses","OK"))))))</f>
        <v/>
      </c>
    </row>
    <row r="970">
      <c r="A970" s="35" t="n"/>
      <c r="B970" s="31" t="n"/>
      <c r="C970" s="19">
        <f>IF(B970="","",IF(COUNTIF(Config!$D$6:$D$15,B970)&gt;0,"Entrada",IF(COUNTIF(Config!$F$6:$F$25,B970)&gt;0,"Saída","Categoria inválida")))</f>
        <v/>
      </c>
      <c r="D970" s="31" t="n"/>
      <c r="E970" s="33" t="n"/>
      <c r="F970" s="36" t="n"/>
      <c r="G970" s="31" t="n"/>
      <c r="H970" s="37">
        <f>IF(A970="","",(YEAR(A970)-YEAR(Config!$B$6))*12+MONTH(A970)-MONTH(Config!$B$6)+1)</f>
        <v/>
      </c>
      <c r="I970" s="19">
        <f>IF(AND(A970="",B970="",E970=""),"",IF(A970="","Falta data",IF(B970="","Falta categoria",IF(E970="","Falta valor",IF(C970="Categoria inválida","Categoria inválida",IF(OR(H970&lt;1,H970&gt;12),"Fora dos 12 meses","OK"))))))</f>
        <v/>
      </c>
    </row>
    <row r="971">
      <c r="A971" s="35" t="n"/>
      <c r="B971" s="31" t="n"/>
      <c r="C971" s="19">
        <f>IF(B971="","",IF(COUNTIF(Config!$D$6:$D$15,B971)&gt;0,"Entrada",IF(COUNTIF(Config!$F$6:$F$25,B971)&gt;0,"Saída","Categoria inválida")))</f>
        <v/>
      </c>
      <c r="D971" s="31" t="n"/>
      <c r="E971" s="33" t="n"/>
      <c r="F971" s="36" t="n"/>
      <c r="G971" s="31" t="n"/>
      <c r="H971" s="37">
        <f>IF(A971="","",(YEAR(A971)-YEAR(Config!$B$6))*12+MONTH(A971)-MONTH(Config!$B$6)+1)</f>
        <v/>
      </c>
      <c r="I971" s="19">
        <f>IF(AND(A971="",B971="",E971=""),"",IF(A971="","Falta data",IF(B971="","Falta categoria",IF(E971="","Falta valor",IF(C971="Categoria inválida","Categoria inválida",IF(OR(H971&lt;1,H971&gt;12),"Fora dos 12 meses","OK"))))))</f>
        <v/>
      </c>
    </row>
    <row r="972">
      <c r="A972" s="35" t="n"/>
      <c r="B972" s="31" t="n"/>
      <c r="C972" s="19">
        <f>IF(B972="","",IF(COUNTIF(Config!$D$6:$D$15,B972)&gt;0,"Entrada",IF(COUNTIF(Config!$F$6:$F$25,B972)&gt;0,"Saída","Categoria inválida")))</f>
        <v/>
      </c>
      <c r="D972" s="31" t="n"/>
      <c r="E972" s="33" t="n"/>
      <c r="F972" s="36" t="n"/>
      <c r="G972" s="31" t="n"/>
      <c r="H972" s="37">
        <f>IF(A972="","",(YEAR(A972)-YEAR(Config!$B$6))*12+MONTH(A972)-MONTH(Config!$B$6)+1)</f>
        <v/>
      </c>
      <c r="I972" s="19">
        <f>IF(AND(A972="",B972="",E972=""),"",IF(A972="","Falta data",IF(B972="","Falta categoria",IF(E972="","Falta valor",IF(C972="Categoria inválida","Categoria inválida",IF(OR(H972&lt;1,H972&gt;12),"Fora dos 12 meses","OK"))))))</f>
        <v/>
      </c>
    </row>
    <row r="973">
      <c r="A973" s="35" t="n"/>
      <c r="B973" s="31" t="n"/>
      <c r="C973" s="19">
        <f>IF(B973="","",IF(COUNTIF(Config!$D$6:$D$15,B973)&gt;0,"Entrada",IF(COUNTIF(Config!$F$6:$F$25,B973)&gt;0,"Saída","Categoria inválida")))</f>
        <v/>
      </c>
      <c r="D973" s="31" t="n"/>
      <c r="E973" s="33" t="n"/>
      <c r="F973" s="36" t="n"/>
      <c r="G973" s="31" t="n"/>
      <c r="H973" s="37">
        <f>IF(A973="","",(YEAR(A973)-YEAR(Config!$B$6))*12+MONTH(A973)-MONTH(Config!$B$6)+1)</f>
        <v/>
      </c>
      <c r="I973" s="19">
        <f>IF(AND(A973="",B973="",E973=""),"",IF(A973="","Falta data",IF(B973="","Falta categoria",IF(E973="","Falta valor",IF(C973="Categoria inválida","Categoria inválida",IF(OR(H973&lt;1,H973&gt;12),"Fora dos 12 meses","OK"))))))</f>
        <v/>
      </c>
    </row>
    <row r="974">
      <c r="A974" s="35" t="n"/>
      <c r="B974" s="31" t="n"/>
      <c r="C974" s="19">
        <f>IF(B974="","",IF(COUNTIF(Config!$D$6:$D$15,B974)&gt;0,"Entrada",IF(COUNTIF(Config!$F$6:$F$25,B974)&gt;0,"Saída","Categoria inválida")))</f>
        <v/>
      </c>
      <c r="D974" s="31" t="n"/>
      <c r="E974" s="33" t="n"/>
      <c r="F974" s="36" t="n"/>
      <c r="G974" s="31" t="n"/>
      <c r="H974" s="37">
        <f>IF(A974="","",(YEAR(A974)-YEAR(Config!$B$6))*12+MONTH(A974)-MONTH(Config!$B$6)+1)</f>
        <v/>
      </c>
      <c r="I974" s="19">
        <f>IF(AND(A974="",B974="",E974=""),"",IF(A974="","Falta data",IF(B974="","Falta categoria",IF(E974="","Falta valor",IF(C974="Categoria inválida","Categoria inválida",IF(OR(H974&lt;1,H974&gt;12),"Fora dos 12 meses","OK"))))))</f>
        <v/>
      </c>
    </row>
    <row r="975">
      <c r="A975" s="35" t="n"/>
      <c r="B975" s="31" t="n"/>
      <c r="C975" s="19">
        <f>IF(B975="","",IF(COUNTIF(Config!$D$6:$D$15,B975)&gt;0,"Entrada",IF(COUNTIF(Config!$F$6:$F$25,B975)&gt;0,"Saída","Categoria inválida")))</f>
        <v/>
      </c>
      <c r="D975" s="31" t="n"/>
      <c r="E975" s="33" t="n"/>
      <c r="F975" s="36" t="n"/>
      <c r="G975" s="31" t="n"/>
      <c r="H975" s="37">
        <f>IF(A975="","",(YEAR(A975)-YEAR(Config!$B$6))*12+MONTH(A975)-MONTH(Config!$B$6)+1)</f>
        <v/>
      </c>
      <c r="I975" s="19">
        <f>IF(AND(A975="",B975="",E975=""),"",IF(A975="","Falta data",IF(B975="","Falta categoria",IF(E975="","Falta valor",IF(C975="Categoria inválida","Categoria inválida",IF(OR(H975&lt;1,H975&gt;12),"Fora dos 12 meses","OK"))))))</f>
        <v/>
      </c>
    </row>
    <row r="976">
      <c r="A976" s="35" t="n"/>
      <c r="B976" s="31" t="n"/>
      <c r="C976" s="19">
        <f>IF(B976="","",IF(COUNTIF(Config!$D$6:$D$15,B976)&gt;0,"Entrada",IF(COUNTIF(Config!$F$6:$F$25,B976)&gt;0,"Saída","Categoria inválida")))</f>
        <v/>
      </c>
      <c r="D976" s="31" t="n"/>
      <c r="E976" s="33" t="n"/>
      <c r="F976" s="36" t="n"/>
      <c r="G976" s="31" t="n"/>
      <c r="H976" s="37">
        <f>IF(A976="","",(YEAR(A976)-YEAR(Config!$B$6))*12+MONTH(A976)-MONTH(Config!$B$6)+1)</f>
        <v/>
      </c>
      <c r="I976" s="19">
        <f>IF(AND(A976="",B976="",E976=""),"",IF(A976="","Falta data",IF(B976="","Falta categoria",IF(E976="","Falta valor",IF(C976="Categoria inválida","Categoria inválida",IF(OR(H976&lt;1,H976&gt;12),"Fora dos 12 meses","OK"))))))</f>
        <v/>
      </c>
    </row>
    <row r="977">
      <c r="A977" s="35" t="n"/>
      <c r="B977" s="31" t="n"/>
      <c r="C977" s="19">
        <f>IF(B977="","",IF(COUNTIF(Config!$D$6:$D$15,B977)&gt;0,"Entrada",IF(COUNTIF(Config!$F$6:$F$25,B977)&gt;0,"Saída","Categoria inválida")))</f>
        <v/>
      </c>
      <c r="D977" s="31" t="n"/>
      <c r="E977" s="33" t="n"/>
      <c r="F977" s="36" t="n"/>
      <c r="G977" s="31" t="n"/>
      <c r="H977" s="37">
        <f>IF(A977="","",(YEAR(A977)-YEAR(Config!$B$6))*12+MONTH(A977)-MONTH(Config!$B$6)+1)</f>
        <v/>
      </c>
      <c r="I977" s="19">
        <f>IF(AND(A977="",B977="",E977=""),"",IF(A977="","Falta data",IF(B977="","Falta categoria",IF(E977="","Falta valor",IF(C977="Categoria inválida","Categoria inválida",IF(OR(H977&lt;1,H977&gt;12),"Fora dos 12 meses","OK"))))))</f>
        <v/>
      </c>
    </row>
    <row r="978">
      <c r="A978" s="35" t="n"/>
      <c r="B978" s="31" t="n"/>
      <c r="C978" s="19">
        <f>IF(B978="","",IF(COUNTIF(Config!$D$6:$D$15,B978)&gt;0,"Entrada",IF(COUNTIF(Config!$F$6:$F$25,B978)&gt;0,"Saída","Categoria inválida")))</f>
        <v/>
      </c>
      <c r="D978" s="31" t="n"/>
      <c r="E978" s="33" t="n"/>
      <c r="F978" s="36" t="n"/>
      <c r="G978" s="31" t="n"/>
      <c r="H978" s="37">
        <f>IF(A978="","",(YEAR(A978)-YEAR(Config!$B$6))*12+MONTH(A978)-MONTH(Config!$B$6)+1)</f>
        <v/>
      </c>
      <c r="I978" s="19">
        <f>IF(AND(A978="",B978="",E978=""),"",IF(A978="","Falta data",IF(B978="","Falta categoria",IF(E978="","Falta valor",IF(C978="Categoria inválida","Categoria inválida",IF(OR(H978&lt;1,H978&gt;12),"Fora dos 12 meses","OK"))))))</f>
        <v/>
      </c>
    </row>
    <row r="979">
      <c r="A979" s="35" t="n"/>
      <c r="B979" s="31" t="n"/>
      <c r="C979" s="19">
        <f>IF(B979="","",IF(COUNTIF(Config!$D$6:$D$15,B979)&gt;0,"Entrada",IF(COUNTIF(Config!$F$6:$F$25,B979)&gt;0,"Saída","Categoria inválida")))</f>
        <v/>
      </c>
      <c r="D979" s="31" t="n"/>
      <c r="E979" s="33" t="n"/>
      <c r="F979" s="36" t="n"/>
      <c r="G979" s="31" t="n"/>
      <c r="H979" s="37">
        <f>IF(A979="","",(YEAR(A979)-YEAR(Config!$B$6))*12+MONTH(A979)-MONTH(Config!$B$6)+1)</f>
        <v/>
      </c>
      <c r="I979" s="19">
        <f>IF(AND(A979="",B979="",E979=""),"",IF(A979="","Falta data",IF(B979="","Falta categoria",IF(E979="","Falta valor",IF(C979="Categoria inválida","Categoria inválida",IF(OR(H979&lt;1,H979&gt;12),"Fora dos 12 meses","OK"))))))</f>
        <v/>
      </c>
    </row>
    <row r="980">
      <c r="A980" s="35" t="n"/>
      <c r="B980" s="31" t="n"/>
      <c r="C980" s="19">
        <f>IF(B980="","",IF(COUNTIF(Config!$D$6:$D$15,B980)&gt;0,"Entrada",IF(COUNTIF(Config!$F$6:$F$25,B980)&gt;0,"Saída","Categoria inválida")))</f>
        <v/>
      </c>
      <c r="D980" s="31" t="n"/>
      <c r="E980" s="33" t="n"/>
      <c r="F980" s="36" t="n"/>
      <c r="G980" s="31" t="n"/>
      <c r="H980" s="37">
        <f>IF(A980="","",(YEAR(A980)-YEAR(Config!$B$6))*12+MONTH(A980)-MONTH(Config!$B$6)+1)</f>
        <v/>
      </c>
      <c r="I980" s="19">
        <f>IF(AND(A980="",B980="",E980=""),"",IF(A980="","Falta data",IF(B980="","Falta categoria",IF(E980="","Falta valor",IF(C980="Categoria inválida","Categoria inválida",IF(OR(H980&lt;1,H980&gt;12),"Fora dos 12 meses","OK"))))))</f>
        <v/>
      </c>
    </row>
    <row r="981">
      <c r="A981" s="35" t="n"/>
      <c r="B981" s="31" t="n"/>
      <c r="C981" s="19">
        <f>IF(B981="","",IF(COUNTIF(Config!$D$6:$D$15,B981)&gt;0,"Entrada",IF(COUNTIF(Config!$F$6:$F$25,B981)&gt;0,"Saída","Categoria inválida")))</f>
        <v/>
      </c>
      <c r="D981" s="31" t="n"/>
      <c r="E981" s="33" t="n"/>
      <c r="F981" s="36" t="n"/>
      <c r="G981" s="31" t="n"/>
      <c r="H981" s="37">
        <f>IF(A981="","",(YEAR(A981)-YEAR(Config!$B$6))*12+MONTH(A981)-MONTH(Config!$B$6)+1)</f>
        <v/>
      </c>
      <c r="I981" s="19">
        <f>IF(AND(A981="",B981="",E981=""),"",IF(A981="","Falta data",IF(B981="","Falta categoria",IF(E981="","Falta valor",IF(C981="Categoria inválida","Categoria inválida",IF(OR(H981&lt;1,H981&gt;12),"Fora dos 12 meses","OK"))))))</f>
        <v/>
      </c>
    </row>
    <row r="982">
      <c r="A982" s="35" t="n"/>
      <c r="B982" s="31" t="n"/>
      <c r="C982" s="19">
        <f>IF(B982="","",IF(COUNTIF(Config!$D$6:$D$15,B982)&gt;0,"Entrada",IF(COUNTIF(Config!$F$6:$F$25,B982)&gt;0,"Saída","Categoria inválida")))</f>
        <v/>
      </c>
      <c r="D982" s="31" t="n"/>
      <c r="E982" s="33" t="n"/>
      <c r="F982" s="36" t="n"/>
      <c r="G982" s="31" t="n"/>
      <c r="H982" s="37">
        <f>IF(A982="","",(YEAR(A982)-YEAR(Config!$B$6))*12+MONTH(A982)-MONTH(Config!$B$6)+1)</f>
        <v/>
      </c>
      <c r="I982" s="19">
        <f>IF(AND(A982="",B982="",E982=""),"",IF(A982="","Falta data",IF(B982="","Falta categoria",IF(E982="","Falta valor",IF(C982="Categoria inválida","Categoria inválida",IF(OR(H982&lt;1,H982&gt;12),"Fora dos 12 meses","OK"))))))</f>
        <v/>
      </c>
    </row>
    <row r="983">
      <c r="A983" s="35" t="n"/>
      <c r="B983" s="31" t="n"/>
      <c r="C983" s="19">
        <f>IF(B983="","",IF(COUNTIF(Config!$D$6:$D$15,B983)&gt;0,"Entrada",IF(COUNTIF(Config!$F$6:$F$25,B983)&gt;0,"Saída","Categoria inválida")))</f>
        <v/>
      </c>
      <c r="D983" s="31" t="n"/>
      <c r="E983" s="33" t="n"/>
      <c r="F983" s="36" t="n"/>
      <c r="G983" s="31" t="n"/>
      <c r="H983" s="37">
        <f>IF(A983="","",(YEAR(A983)-YEAR(Config!$B$6))*12+MONTH(A983)-MONTH(Config!$B$6)+1)</f>
        <v/>
      </c>
      <c r="I983" s="19">
        <f>IF(AND(A983="",B983="",E983=""),"",IF(A983="","Falta data",IF(B983="","Falta categoria",IF(E983="","Falta valor",IF(C983="Categoria inválida","Categoria inválida",IF(OR(H983&lt;1,H983&gt;12),"Fora dos 12 meses","OK"))))))</f>
        <v/>
      </c>
    </row>
    <row r="984">
      <c r="A984" s="35" t="n"/>
      <c r="B984" s="31" t="n"/>
      <c r="C984" s="19">
        <f>IF(B984="","",IF(COUNTIF(Config!$D$6:$D$15,B984)&gt;0,"Entrada",IF(COUNTIF(Config!$F$6:$F$25,B984)&gt;0,"Saída","Categoria inválida")))</f>
        <v/>
      </c>
      <c r="D984" s="31" t="n"/>
      <c r="E984" s="33" t="n"/>
      <c r="F984" s="36" t="n"/>
      <c r="G984" s="31" t="n"/>
      <c r="H984" s="37">
        <f>IF(A984="","",(YEAR(A984)-YEAR(Config!$B$6))*12+MONTH(A984)-MONTH(Config!$B$6)+1)</f>
        <v/>
      </c>
      <c r="I984" s="19">
        <f>IF(AND(A984="",B984="",E984=""),"",IF(A984="","Falta data",IF(B984="","Falta categoria",IF(E984="","Falta valor",IF(C984="Categoria inválida","Categoria inválida",IF(OR(H984&lt;1,H984&gt;12),"Fora dos 12 meses","OK"))))))</f>
        <v/>
      </c>
    </row>
    <row r="985">
      <c r="A985" s="35" t="n"/>
      <c r="B985" s="31" t="n"/>
      <c r="C985" s="19">
        <f>IF(B985="","",IF(COUNTIF(Config!$D$6:$D$15,B985)&gt;0,"Entrada",IF(COUNTIF(Config!$F$6:$F$25,B985)&gt;0,"Saída","Categoria inválida")))</f>
        <v/>
      </c>
      <c r="D985" s="31" t="n"/>
      <c r="E985" s="33" t="n"/>
      <c r="F985" s="36" t="n"/>
      <c r="G985" s="31" t="n"/>
      <c r="H985" s="37">
        <f>IF(A985="","",(YEAR(A985)-YEAR(Config!$B$6))*12+MONTH(A985)-MONTH(Config!$B$6)+1)</f>
        <v/>
      </c>
      <c r="I985" s="19">
        <f>IF(AND(A985="",B985="",E985=""),"",IF(A985="","Falta data",IF(B985="","Falta categoria",IF(E985="","Falta valor",IF(C985="Categoria inválida","Categoria inválida",IF(OR(H985&lt;1,H985&gt;12),"Fora dos 12 meses","OK"))))))</f>
        <v/>
      </c>
    </row>
    <row r="986">
      <c r="A986" s="35" t="n"/>
      <c r="B986" s="31" t="n"/>
      <c r="C986" s="19">
        <f>IF(B986="","",IF(COUNTIF(Config!$D$6:$D$15,B986)&gt;0,"Entrada",IF(COUNTIF(Config!$F$6:$F$25,B986)&gt;0,"Saída","Categoria inválida")))</f>
        <v/>
      </c>
      <c r="D986" s="31" t="n"/>
      <c r="E986" s="33" t="n"/>
      <c r="F986" s="36" t="n"/>
      <c r="G986" s="31" t="n"/>
      <c r="H986" s="37">
        <f>IF(A986="","",(YEAR(A986)-YEAR(Config!$B$6))*12+MONTH(A986)-MONTH(Config!$B$6)+1)</f>
        <v/>
      </c>
      <c r="I986" s="19">
        <f>IF(AND(A986="",B986="",E986=""),"",IF(A986="","Falta data",IF(B986="","Falta categoria",IF(E986="","Falta valor",IF(C986="Categoria inválida","Categoria inválida",IF(OR(H986&lt;1,H986&gt;12),"Fora dos 12 meses","OK"))))))</f>
        <v/>
      </c>
    </row>
    <row r="987">
      <c r="A987" s="35" t="n"/>
      <c r="B987" s="31" t="n"/>
      <c r="C987" s="19">
        <f>IF(B987="","",IF(COUNTIF(Config!$D$6:$D$15,B987)&gt;0,"Entrada",IF(COUNTIF(Config!$F$6:$F$25,B987)&gt;0,"Saída","Categoria inválida")))</f>
        <v/>
      </c>
      <c r="D987" s="31" t="n"/>
      <c r="E987" s="33" t="n"/>
      <c r="F987" s="36" t="n"/>
      <c r="G987" s="31" t="n"/>
      <c r="H987" s="37">
        <f>IF(A987="","",(YEAR(A987)-YEAR(Config!$B$6))*12+MONTH(A987)-MONTH(Config!$B$6)+1)</f>
        <v/>
      </c>
      <c r="I987" s="19">
        <f>IF(AND(A987="",B987="",E987=""),"",IF(A987="","Falta data",IF(B987="","Falta categoria",IF(E987="","Falta valor",IF(C987="Categoria inválida","Categoria inválida",IF(OR(H987&lt;1,H987&gt;12),"Fora dos 12 meses","OK"))))))</f>
        <v/>
      </c>
    </row>
    <row r="988">
      <c r="A988" s="35" t="n"/>
      <c r="B988" s="31" t="n"/>
      <c r="C988" s="19">
        <f>IF(B988="","",IF(COUNTIF(Config!$D$6:$D$15,B988)&gt;0,"Entrada",IF(COUNTIF(Config!$F$6:$F$25,B988)&gt;0,"Saída","Categoria inválida")))</f>
        <v/>
      </c>
      <c r="D988" s="31" t="n"/>
      <c r="E988" s="33" t="n"/>
      <c r="F988" s="36" t="n"/>
      <c r="G988" s="31" t="n"/>
      <c r="H988" s="37">
        <f>IF(A988="","",(YEAR(A988)-YEAR(Config!$B$6))*12+MONTH(A988)-MONTH(Config!$B$6)+1)</f>
        <v/>
      </c>
      <c r="I988" s="19">
        <f>IF(AND(A988="",B988="",E988=""),"",IF(A988="","Falta data",IF(B988="","Falta categoria",IF(E988="","Falta valor",IF(C988="Categoria inválida","Categoria inválida",IF(OR(H988&lt;1,H988&gt;12),"Fora dos 12 meses","OK"))))))</f>
        <v/>
      </c>
    </row>
    <row r="989">
      <c r="A989" s="35" t="n"/>
      <c r="B989" s="31" t="n"/>
      <c r="C989" s="19">
        <f>IF(B989="","",IF(COUNTIF(Config!$D$6:$D$15,B989)&gt;0,"Entrada",IF(COUNTIF(Config!$F$6:$F$25,B989)&gt;0,"Saída","Categoria inválida")))</f>
        <v/>
      </c>
      <c r="D989" s="31" t="n"/>
      <c r="E989" s="33" t="n"/>
      <c r="F989" s="36" t="n"/>
      <c r="G989" s="31" t="n"/>
      <c r="H989" s="37">
        <f>IF(A989="","",(YEAR(A989)-YEAR(Config!$B$6))*12+MONTH(A989)-MONTH(Config!$B$6)+1)</f>
        <v/>
      </c>
      <c r="I989" s="19">
        <f>IF(AND(A989="",B989="",E989=""),"",IF(A989="","Falta data",IF(B989="","Falta categoria",IF(E989="","Falta valor",IF(C989="Categoria inválida","Categoria inválida",IF(OR(H989&lt;1,H989&gt;12),"Fora dos 12 meses","OK"))))))</f>
        <v/>
      </c>
    </row>
    <row r="990">
      <c r="A990" s="35" t="n"/>
      <c r="B990" s="31" t="n"/>
      <c r="C990" s="19">
        <f>IF(B990="","",IF(COUNTIF(Config!$D$6:$D$15,B990)&gt;0,"Entrada",IF(COUNTIF(Config!$F$6:$F$25,B990)&gt;0,"Saída","Categoria inválida")))</f>
        <v/>
      </c>
      <c r="D990" s="31" t="n"/>
      <c r="E990" s="33" t="n"/>
      <c r="F990" s="36" t="n"/>
      <c r="G990" s="31" t="n"/>
      <c r="H990" s="37">
        <f>IF(A990="","",(YEAR(A990)-YEAR(Config!$B$6))*12+MONTH(A990)-MONTH(Config!$B$6)+1)</f>
        <v/>
      </c>
      <c r="I990" s="19">
        <f>IF(AND(A990="",B990="",E990=""),"",IF(A990="","Falta data",IF(B990="","Falta categoria",IF(E990="","Falta valor",IF(C990="Categoria inválida","Categoria inválida",IF(OR(H990&lt;1,H990&gt;12),"Fora dos 12 meses","OK"))))))</f>
        <v/>
      </c>
    </row>
    <row r="991">
      <c r="A991" s="35" t="n"/>
      <c r="B991" s="31" t="n"/>
      <c r="C991" s="19">
        <f>IF(B991="","",IF(COUNTIF(Config!$D$6:$D$15,B991)&gt;0,"Entrada",IF(COUNTIF(Config!$F$6:$F$25,B991)&gt;0,"Saída","Categoria inválida")))</f>
        <v/>
      </c>
      <c r="D991" s="31" t="n"/>
      <c r="E991" s="33" t="n"/>
      <c r="F991" s="36" t="n"/>
      <c r="G991" s="31" t="n"/>
      <c r="H991" s="37">
        <f>IF(A991="","",(YEAR(A991)-YEAR(Config!$B$6))*12+MONTH(A991)-MONTH(Config!$B$6)+1)</f>
        <v/>
      </c>
      <c r="I991" s="19">
        <f>IF(AND(A991="",B991="",E991=""),"",IF(A991="","Falta data",IF(B991="","Falta categoria",IF(E991="","Falta valor",IF(C991="Categoria inválida","Categoria inválida",IF(OR(H991&lt;1,H991&gt;12),"Fora dos 12 meses","OK"))))))</f>
        <v/>
      </c>
    </row>
    <row r="992">
      <c r="A992" s="35" t="n"/>
      <c r="B992" s="31" t="n"/>
      <c r="C992" s="19">
        <f>IF(B992="","",IF(COUNTIF(Config!$D$6:$D$15,B992)&gt;0,"Entrada",IF(COUNTIF(Config!$F$6:$F$25,B992)&gt;0,"Saída","Categoria inválida")))</f>
        <v/>
      </c>
      <c r="D992" s="31" t="n"/>
      <c r="E992" s="33" t="n"/>
      <c r="F992" s="36" t="n"/>
      <c r="G992" s="31" t="n"/>
      <c r="H992" s="37">
        <f>IF(A992="","",(YEAR(A992)-YEAR(Config!$B$6))*12+MONTH(A992)-MONTH(Config!$B$6)+1)</f>
        <v/>
      </c>
      <c r="I992" s="19">
        <f>IF(AND(A992="",B992="",E992=""),"",IF(A992="","Falta data",IF(B992="","Falta categoria",IF(E992="","Falta valor",IF(C992="Categoria inválida","Categoria inválida",IF(OR(H992&lt;1,H992&gt;12),"Fora dos 12 meses","OK"))))))</f>
        <v/>
      </c>
    </row>
    <row r="993">
      <c r="A993" s="35" t="n"/>
      <c r="B993" s="31" t="n"/>
      <c r="C993" s="19">
        <f>IF(B993="","",IF(COUNTIF(Config!$D$6:$D$15,B993)&gt;0,"Entrada",IF(COUNTIF(Config!$F$6:$F$25,B993)&gt;0,"Saída","Categoria inválida")))</f>
        <v/>
      </c>
      <c r="D993" s="31" t="n"/>
      <c r="E993" s="33" t="n"/>
      <c r="F993" s="36" t="n"/>
      <c r="G993" s="31" t="n"/>
      <c r="H993" s="37">
        <f>IF(A993="","",(YEAR(A993)-YEAR(Config!$B$6))*12+MONTH(A993)-MONTH(Config!$B$6)+1)</f>
        <v/>
      </c>
      <c r="I993" s="19">
        <f>IF(AND(A993="",B993="",E993=""),"",IF(A993="","Falta data",IF(B993="","Falta categoria",IF(E993="","Falta valor",IF(C993="Categoria inválida","Categoria inválida",IF(OR(H993&lt;1,H993&gt;12),"Fora dos 12 meses","OK"))))))</f>
        <v/>
      </c>
    </row>
    <row r="994">
      <c r="A994" s="35" t="n"/>
      <c r="B994" s="31" t="n"/>
      <c r="C994" s="19">
        <f>IF(B994="","",IF(COUNTIF(Config!$D$6:$D$15,B994)&gt;0,"Entrada",IF(COUNTIF(Config!$F$6:$F$25,B994)&gt;0,"Saída","Categoria inválida")))</f>
        <v/>
      </c>
      <c r="D994" s="31" t="n"/>
      <c r="E994" s="33" t="n"/>
      <c r="F994" s="36" t="n"/>
      <c r="G994" s="31" t="n"/>
      <c r="H994" s="37">
        <f>IF(A994="","",(YEAR(A994)-YEAR(Config!$B$6))*12+MONTH(A994)-MONTH(Config!$B$6)+1)</f>
        <v/>
      </c>
      <c r="I994" s="19">
        <f>IF(AND(A994="",B994="",E994=""),"",IF(A994="","Falta data",IF(B994="","Falta categoria",IF(E994="","Falta valor",IF(C994="Categoria inválida","Categoria inválida",IF(OR(H994&lt;1,H994&gt;12),"Fora dos 12 meses","OK"))))))</f>
        <v/>
      </c>
    </row>
    <row r="995">
      <c r="A995" s="35" t="n"/>
      <c r="B995" s="31" t="n"/>
      <c r="C995" s="19">
        <f>IF(B995="","",IF(COUNTIF(Config!$D$6:$D$15,B995)&gt;0,"Entrada",IF(COUNTIF(Config!$F$6:$F$25,B995)&gt;0,"Saída","Categoria inválida")))</f>
        <v/>
      </c>
      <c r="D995" s="31" t="n"/>
      <c r="E995" s="33" t="n"/>
      <c r="F995" s="36" t="n"/>
      <c r="G995" s="31" t="n"/>
      <c r="H995" s="37">
        <f>IF(A995="","",(YEAR(A995)-YEAR(Config!$B$6))*12+MONTH(A995)-MONTH(Config!$B$6)+1)</f>
        <v/>
      </c>
      <c r="I995" s="19">
        <f>IF(AND(A995="",B995="",E995=""),"",IF(A995="","Falta data",IF(B995="","Falta categoria",IF(E995="","Falta valor",IF(C995="Categoria inválida","Categoria inválida",IF(OR(H995&lt;1,H995&gt;12),"Fora dos 12 meses","OK"))))))</f>
        <v/>
      </c>
    </row>
    <row r="996">
      <c r="A996" s="35" t="n"/>
      <c r="B996" s="31" t="n"/>
      <c r="C996" s="19">
        <f>IF(B996="","",IF(COUNTIF(Config!$D$6:$D$15,B996)&gt;0,"Entrada",IF(COUNTIF(Config!$F$6:$F$25,B996)&gt;0,"Saída","Categoria inválida")))</f>
        <v/>
      </c>
      <c r="D996" s="31" t="n"/>
      <c r="E996" s="33" t="n"/>
      <c r="F996" s="36" t="n"/>
      <c r="G996" s="31" t="n"/>
      <c r="H996" s="37">
        <f>IF(A996="","",(YEAR(A996)-YEAR(Config!$B$6))*12+MONTH(A996)-MONTH(Config!$B$6)+1)</f>
        <v/>
      </c>
      <c r="I996" s="19">
        <f>IF(AND(A996="",B996="",E996=""),"",IF(A996="","Falta data",IF(B996="","Falta categoria",IF(E996="","Falta valor",IF(C996="Categoria inválida","Categoria inválida",IF(OR(H996&lt;1,H996&gt;12),"Fora dos 12 meses","OK"))))))</f>
        <v/>
      </c>
    </row>
    <row r="997">
      <c r="A997" s="35" t="n"/>
      <c r="B997" s="31" t="n"/>
      <c r="C997" s="19">
        <f>IF(B997="","",IF(COUNTIF(Config!$D$6:$D$15,B997)&gt;0,"Entrada",IF(COUNTIF(Config!$F$6:$F$25,B997)&gt;0,"Saída","Categoria inválida")))</f>
        <v/>
      </c>
      <c r="D997" s="31" t="n"/>
      <c r="E997" s="33" t="n"/>
      <c r="F997" s="36" t="n"/>
      <c r="G997" s="31" t="n"/>
      <c r="H997" s="37">
        <f>IF(A997="","",(YEAR(A997)-YEAR(Config!$B$6))*12+MONTH(A997)-MONTH(Config!$B$6)+1)</f>
        <v/>
      </c>
      <c r="I997" s="19">
        <f>IF(AND(A997="",B997="",E997=""),"",IF(A997="","Falta data",IF(B997="","Falta categoria",IF(E997="","Falta valor",IF(C997="Categoria inválida","Categoria inválida",IF(OR(H997&lt;1,H997&gt;12),"Fora dos 12 meses","OK"))))))</f>
        <v/>
      </c>
    </row>
    <row r="998">
      <c r="A998" s="35" t="n"/>
      <c r="B998" s="31" t="n"/>
      <c r="C998" s="19">
        <f>IF(B998="","",IF(COUNTIF(Config!$D$6:$D$15,B998)&gt;0,"Entrada",IF(COUNTIF(Config!$F$6:$F$25,B998)&gt;0,"Saída","Categoria inválida")))</f>
        <v/>
      </c>
      <c r="D998" s="31" t="n"/>
      <c r="E998" s="33" t="n"/>
      <c r="F998" s="36" t="n"/>
      <c r="G998" s="31" t="n"/>
      <c r="H998" s="37">
        <f>IF(A998="","",(YEAR(A998)-YEAR(Config!$B$6))*12+MONTH(A998)-MONTH(Config!$B$6)+1)</f>
        <v/>
      </c>
      <c r="I998" s="19">
        <f>IF(AND(A998="",B998="",E998=""),"",IF(A998="","Falta data",IF(B998="","Falta categoria",IF(E998="","Falta valor",IF(C998="Categoria inválida","Categoria inválida",IF(OR(H998&lt;1,H998&gt;12),"Fora dos 12 meses","OK"))))))</f>
        <v/>
      </c>
    </row>
    <row r="999">
      <c r="A999" s="35" t="n"/>
      <c r="B999" s="31" t="n"/>
      <c r="C999" s="19">
        <f>IF(B999="","",IF(COUNTIF(Config!$D$6:$D$15,B999)&gt;0,"Entrada",IF(COUNTIF(Config!$F$6:$F$25,B999)&gt;0,"Saída","Categoria inválida")))</f>
        <v/>
      </c>
      <c r="D999" s="31" t="n"/>
      <c r="E999" s="33" t="n"/>
      <c r="F999" s="36" t="n"/>
      <c r="G999" s="31" t="n"/>
      <c r="H999" s="37">
        <f>IF(A999="","",(YEAR(A999)-YEAR(Config!$B$6))*12+MONTH(A999)-MONTH(Config!$B$6)+1)</f>
        <v/>
      </c>
      <c r="I999" s="19">
        <f>IF(AND(A999="",B999="",E999=""),"",IF(A999="","Falta data",IF(B999="","Falta categoria",IF(E999="","Falta valor",IF(C999="Categoria inválida","Categoria inválida",IF(OR(H999&lt;1,H999&gt;12),"Fora dos 12 meses","OK"))))))</f>
        <v/>
      </c>
    </row>
    <row r="1000">
      <c r="A1000" s="35" t="n"/>
      <c r="B1000" s="31" t="n"/>
      <c r="C1000" s="19">
        <f>IF(B1000="","",IF(COUNTIF(Config!$D$6:$D$15,B1000)&gt;0,"Entrada",IF(COUNTIF(Config!$F$6:$F$25,B1000)&gt;0,"Saída","Categoria inválida")))</f>
        <v/>
      </c>
      <c r="D1000" s="31" t="n"/>
      <c r="E1000" s="33" t="n"/>
      <c r="F1000" s="36" t="n"/>
      <c r="G1000" s="31" t="n"/>
      <c r="H1000" s="37">
        <f>IF(A1000="","",(YEAR(A1000)-YEAR(Config!$B$6))*12+MONTH(A1000)-MONTH(Config!$B$6)+1)</f>
        <v/>
      </c>
      <c r="I1000" s="19">
        <f>IF(AND(A1000="",B1000="",E1000=""),"",IF(A1000="","Falta data",IF(B1000="","Falta categoria",IF(E1000="","Falta valor",IF(C1000="Categoria inválida","Categoria inválida",IF(OR(H1000&lt;1,H1000&gt;12),"Fora dos 12 meses","OK"))))))</f>
        <v/>
      </c>
    </row>
    <row r="1001">
      <c r="A1001" s="35" t="n"/>
      <c r="B1001" s="31" t="n"/>
      <c r="C1001" s="19">
        <f>IF(B1001="","",IF(COUNTIF(Config!$D$6:$D$15,B1001)&gt;0,"Entrada",IF(COUNTIF(Config!$F$6:$F$25,B1001)&gt;0,"Saída","Categoria inválida")))</f>
        <v/>
      </c>
      <c r="D1001" s="31" t="n"/>
      <c r="E1001" s="33" t="n"/>
      <c r="F1001" s="36" t="n"/>
      <c r="G1001" s="31" t="n"/>
      <c r="H1001" s="37">
        <f>IF(A1001="","",(YEAR(A1001)-YEAR(Config!$B$6))*12+MONTH(A1001)-MONTH(Config!$B$6)+1)</f>
        <v/>
      </c>
      <c r="I1001" s="19">
        <f>IF(AND(A1001="",B1001="",E1001=""),"",IF(A1001="","Falta data",IF(B1001="","Falta categoria",IF(E1001="","Falta valor",IF(C1001="Categoria inválida","Categoria inválida",IF(OR(H1001&lt;1,H1001&gt;12),"Fora dos 12 meses","OK"))))))</f>
        <v/>
      </c>
    </row>
    <row r="1002">
      <c r="A1002" s="35" t="n"/>
      <c r="B1002" s="31" t="n"/>
      <c r="C1002" s="19">
        <f>IF(B1002="","",IF(COUNTIF(Config!$D$6:$D$15,B1002)&gt;0,"Entrada",IF(COUNTIF(Config!$F$6:$F$25,B1002)&gt;0,"Saída","Categoria inválida")))</f>
        <v/>
      </c>
      <c r="D1002" s="31" t="n"/>
      <c r="E1002" s="33" t="n"/>
      <c r="F1002" s="36" t="n"/>
      <c r="G1002" s="31" t="n"/>
      <c r="H1002" s="37">
        <f>IF(A1002="","",(YEAR(A1002)-YEAR(Config!$B$6))*12+MONTH(A1002)-MONTH(Config!$B$6)+1)</f>
        <v/>
      </c>
      <c r="I1002" s="19">
        <f>IF(AND(A1002="",B1002="",E1002=""),"",IF(A1002="","Falta data",IF(B1002="","Falta categoria",IF(E1002="","Falta valor",IF(C1002="Categoria inválida","Categoria inválida",IF(OR(H1002&lt;1,H1002&gt;12),"Fora dos 12 meses","OK"))))))</f>
        <v/>
      </c>
    </row>
    <row r="1003">
      <c r="A1003" s="35" t="n"/>
      <c r="B1003" s="31" t="n"/>
      <c r="C1003" s="19">
        <f>IF(B1003="","",IF(COUNTIF(Config!$D$6:$D$15,B1003)&gt;0,"Entrada",IF(COUNTIF(Config!$F$6:$F$25,B1003)&gt;0,"Saída","Categoria inválida")))</f>
        <v/>
      </c>
      <c r="D1003" s="31" t="n"/>
      <c r="E1003" s="33" t="n"/>
      <c r="F1003" s="36" t="n"/>
      <c r="G1003" s="31" t="n"/>
      <c r="H1003" s="37">
        <f>IF(A1003="","",(YEAR(A1003)-YEAR(Config!$B$6))*12+MONTH(A1003)-MONTH(Config!$B$6)+1)</f>
        <v/>
      </c>
      <c r="I1003" s="19">
        <f>IF(AND(A1003="",B1003="",E1003=""),"",IF(A1003="","Falta data",IF(B1003="","Falta categoria",IF(E1003="","Falta valor",IF(C1003="Categoria inválida","Categoria inválida",IF(OR(H1003&lt;1,H1003&gt;12),"Fora dos 12 meses","OK"))))))</f>
        <v/>
      </c>
    </row>
    <row r="1004">
      <c r="A1004" s="35" t="n"/>
      <c r="B1004" s="31" t="n"/>
      <c r="C1004" s="19">
        <f>IF(B1004="","",IF(COUNTIF(Config!$D$6:$D$15,B1004)&gt;0,"Entrada",IF(COUNTIF(Config!$F$6:$F$25,B1004)&gt;0,"Saída","Categoria inválida")))</f>
        <v/>
      </c>
      <c r="D1004" s="31" t="n"/>
      <c r="E1004" s="33" t="n"/>
      <c r="F1004" s="36" t="n"/>
      <c r="G1004" s="31" t="n"/>
      <c r="H1004" s="37">
        <f>IF(A1004="","",(YEAR(A1004)-YEAR(Config!$B$6))*12+MONTH(A1004)-MONTH(Config!$B$6)+1)</f>
        <v/>
      </c>
      <c r="I1004" s="19">
        <f>IF(AND(A1004="",B1004="",E1004=""),"",IF(A1004="","Falta data",IF(B1004="","Falta categoria",IF(E1004="","Falta valor",IF(C1004="Categoria inválida","Categoria inválida",IF(OR(H1004&lt;1,H1004&gt;12),"Fora dos 12 meses","OK"))))))</f>
        <v/>
      </c>
    </row>
    <row r="1005">
      <c r="A1005" s="35" t="n"/>
      <c r="B1005" s="31" t="n"/>
      <c r="C1005" s="19">
        <f>IF(B1005="","",IF(COUNTIF(Config!$D$6:$D$15,B1005)&gt;0,"Entrada",IF(COUNTIF(Config!$F$6:$F$25,B1005)&gt;0,"Saída","Categoria inválida")))</f>
        <v/>
      </c>
      <c r="D1005" s="31" t="n"/>
      <c r="E1005" s="33" t="n"/>
      <c r="F1005" s="36" t="n"/>
      <c r="G1005" s="31" t="n"/>
      <c r="H1005" s="37">
        <f>IF(A1005="","",(YEAR(A1005)-YEAR(Config!$B$6))*12+MONTH(A1005)-MONTH(Config!$B$6)+1)</f>
        <v/>
      </c>
      <c r="I1005" s="19">
        <f>IF(AND(A1005="",B1005="",E1005=""),"",IF(A1005="","Falta data",IF(B1005="","Falta categoria",IF(E1005="","Falta valor",IF(C1005="Categoria inválida","Categoria inválida",IF(OR(H1005&lt;1,H1005&gt;12),"Fora dos 12 meses","OK"))))))</f>
        <v/>
      </c>
    </row>
    <row r="1006">
      <c r="A1006" s="35" t="n"/>
      <c r="B1006" s="31" t="n"/>
      <c r="C1006" s="19">
        <f>IF(B1006="","",IF(COUNTIF(Config!$D$6:$D$15,B1006)&gt;0,"Entrada",IF(COUNTIF(Config!$F$6:$F$25,B1006)&gt;0,"Saída","Categoria inválida")))</f>
        <v/>
      </c>
      <c r="D1006" s="31" t="n"/>
      <c r="E1006" s="33" t="n"/>
      <c r="F1006" s="36" t="n"/>
      <c r="G1006" s="31" t="n"/>
      <c r="H1006" s="37">
        <f>IF(A1006="","",(YEAR(A1006)-YEAR(Config!$B$6))*12+MONTH(A1006)-MONTH(Config!$B$6)+1)</f>
        <v/>
      </c>
      <c r="I1006" s="19">
        <f>IF(AND(A1006="",B1006="",E1006=""),"",IF(A1006="","Falta data",IF(B1006="","Falta categoria",IF(E1006="","Falta valor",IF(C1006="Categoria inválida","Categoria inválida",IF(OR(H1006&lt;1,H1006&gt;12),"Fora dos 12 meses","OK"))))))</f>
        <v/>
      </c>
    </row>
    <row r="1007">
      <c r="A1007" s="35" t="n"/>
      <c r="B1007" s="31" t="n"/>
      <c r="C1007" s="19">
        <f>IF(B1007="","",IF(COUNTIF(Config!$D$6:$D$15,B1007)&gt;0,"Entrada",IF(COUNTIF(Config!$F$6:$F$25,B1007)&gt;0,"Saída","Categoria inválida")))</f>
        <v/>
      </c>
      <c r="D1007" s="31" t="n"/>
      <c r="E1007" s="33" t="n"/>
      <c r="F1007" s="36" t="n"/>
      <c r="G1007" s="31" t="n"/>
      <c r="H1007" s="37">
        <f>IF(A1007="","",(YEAR(A1007)-YEAR(Config!$B$6))*12+MONTH(A1007)-MONTH(Config!$B$6)+1)</f>
        <v/>
      </c>
      <c r="I1007" s="19">
        <f>IF(AND(A1007="",B1007="",E1007=""),"",IF(A1007="","Falta data",IF(B1007="","Falta categoria",IF(E1007="","Falta valor",IF(C1007="Categoria inválida","Categoria inválida",IF(OR(H1007&lt;1,H1007&gt;12),"Fora dos 12 meses","OK"))))))</f>
        <v/>
      </c>
    </row>
    <row r="1008">
      <c r="A1008" s="35" t="n"/>
      <c r="B1008" s="31" t="n"/>
      <c r="C1008" s="19">
        <f>IF(B1008="","",IF(COUNTIF(Config!$D$6:$D$15,B1008)&gt;0,"Entrada",IF(COUNTIF(Config!$F$6:$F$25,B1008)&gt;0,"Saída","Categoria inválida")))</f>
        <v/>
      </c>
      <c r="D1008" s="31" t="n"/>
      <c r="E1008" s="33" t="n"/>
      <c r="F1008" s="36" t="n"/>
      <c r="G1008" s="31" t="n"/>
      <c r="H1008" s="37">
        <f>IF(A1008="","",(YEAR(A1008)-YEAR(Config!$B$6))*12+MONTH(A1008)-MONTH(Config!$B$6)+1)</f>
        <v/>
      </c>
      <c r="I1008" s="19">
        <f>IF(AND(A1008="",B1008="",E1008=""),"",IF(A1008="","Falta data",IF(B1008="","Falta categoria",IF(E1008="","Falta valor",IF(C1008="Categoria inválida","Categoria inválida",IF(OR(H1008&lt;1,H1008&gt;12),"Fora dos 12 meses","OK"))))))</f>
        <v/>
      </c>
    </row>
    <row r="1009">
      <c r="A1009" s="35" t="n"/>
      <c r="B1009" s="31" t="n"/>
      <c r="C1009" s="19">
        <f>IF(B1009="","",IF(COUNTIF(Config!$D$6:$D$15,B1009)&gt;0,"Entrada",IF(COUNTIF(Config!$F$6:$F$25,B1009)&gt;0,"Saída","Categoria inválida")))</f>
        <v/>
      </c>
      <c r="D1009" s="31" t="n"/>
      <c r="E1009" s="33" t="n"/>
      <c r="F1009" s="36" t="n"/>
      <c r="G1009" s="31" t="n"/>
      <c r="H1009" s="37">
        <f>IF(A1009="","",(YEAR(A1009)-YEAR(Config!$B$6))*12+MONTH(A1009)-MONTH(Config!$B$6)+1)</f>
        <v/>
      </c>
      <c r="I1009" s="19">
        <f>IF(AND(A1009="",B1009="",E1009=""),"",IF(A1009="","Falta data",IF(B1009="","Falta categoria",IF(E1009="","Falta valor",IF(C1009="Categoria inválida","Categoria inválida",IF(OR(H1009&lt;1,H1009&gt;12),"Fora dos 12 meses","OK"))))))</f>
        <v/>
      </c>
    </row>
    <row r="1010">
      <c r="A1010" s="35" t="n"/>
      <c r="B1010" s="31" t="n"/>
      <c r="C1010" s="19">
        <f>IF(B1010="","",IF(COUNTIF(Config!$D$6:$D$15,B1010)&gt;0,"Entrada",IF(COUNTIF(Config!$F$6:$F$25,B1010)&gt;0,"Saída","Categoria inválida")))</f>
        <v/>
      </c>
      <c r="D1010" s="31" t="n"/>
      <c r="E1010" s="33" t="n"/>
      <c r="F1010" s="36" t="n"/>
      <c r="G1010" s="31" t="n"/>
      <c r="H1010" s="37">
        <f>IF(A1010="","",(YEAR(A1010)-YEAR(Config!$B$6))*12+MONTH(A1010)-MONTH(Config!$B$6)+1)</f>
        <v/>
      </c>
      <c r="I1010" s="19">
        <f>IF(AND(A1010="",B1010="",E1010=""),"",IF(A1010="","Falta data",IF(B1010="","Falta categoria",IF(E1010="","Falta valor",IF(C1010="Categoria inválida","Categoria inválida",IF(OR(H1010&lt;1,H1010&gt;12),"Fora dos 12 meses","OK"))))))</f>
        <v/>
      </c>
    </row>
    <row r="1011">
      <c r="A1011" s="35" t="n"/>
      <c r="B1011" s="31" t="n"/>
      <c r="C1011" s="19">
        <f>IF(B1011="","",IF(COUNTIF(Config!$D$6:$D$15,B1011)&gt;0,"Entrada",IF(COUNTIF(Config!$F$6:$F$25,B1011)&gt;0,"Saída","Categoria inválida")))</f>
        <v/>
      </c>
      <c r="D1011" s="31" t="n"/>
      <c r="E1011" s="33" t="n"/>
      <c r="F1011" s="36" t="n"/>
      <c r="G1011" s="31" t="n"/>
      <c r="H1011" s="37">
        <f>IF(A1011="","",(YEAR(A1011)-YEAR(Config!$B$6))*12+MONTH(A1011)-MONTH(Config!$B$6)+1)</f>
        <v/>
      </c>
      <c r="I1011" s="19">
        <f>IF(AND(A1011="",B1011="",E1011=""),"",IF(A1011="","Falta data",IF(B1011="","Falta categoria",IF(E1011="","Falta valor",IF(C1011="Categoria inválida","Categoria inválida",IF(OR(H1011&lt;1,H1011&gt;12),"Fora dos 12 meses","OK"))))))</f>
        <v/>
      </c>
    </row>
    <row r="1012">
      <c r="A1012" s="35" t="n"/>
      <c r="B1012" s="31" t="n"/>
      <c r="C1012" s="19">
        <f>IF(B1012="","",IF(COUNTIF(Config!$D$6:$D$15,B1012)&gt;0,"Entrada",IF(COUNTIF(Config!$F$6:$F$25,B1012)&gt;0,"Saída","Categoria inválida")))</f>
        <v/>
      </c>
      <c r="D1012" s="31" t="n"/>
      <c r="E1012" s="33" t="n"/>
      <c r="F1012" s="36" t="n"/>
      <c r="G1012" s="31" t="n"/>
      <c r="H1012" s="37">
        <f>IF(A1012="","",(YEAR(A1012)-YEAR(Config!$B$6))*12+MONTH(A1012)-MONTH(Config!$B$6)+1)</f>
        <v/>
      </c>
      <c r="I1012" s="19">
        <f>IF(AND(A1012="",B1012="",E1012=""),"",IF(A1012="","Falta data",IF(B1012="","Falta categoria",IF(E1012="","Falta valor",IF(C1012="Categoria inválida","Categoria inválida",IF(OR(H1012&lt;1,H1012&gt;12),"Fora dos 12 meses","OK"))))))</f>
        <v/>
      </c>
    </row>
    <row r="1013">
      <c r="A1013" s="35" t="n"/>
      <c r="B1013" s="31" t="n"/>
      <c r="C1013" s="19">
        <f>IF(B1013="","",IF(COUNTIF(Config!$D$6:$D$15,B1013)&gt;0,"Entrada",IF(COUNTIF(Config!$F$6:$F$25,B1013)&gt;0,"Saída","Categoria inválida")))</f>
        <v/>
      </c>
      <c r="D1013" s="31" t="n"/>
      <c r="E1013" s="33" t="n"/>
      <c r="F1013" s="36" t="n"/>
      <c r="G1013" s="31" t="n"/>
      <c r="H1013" s="37">
        <f>IF(A1013="","",(YEAR(A1013)-YEAR(Config!$B$6))*12+MONTH(A1013)-MONTH(Config!$B$6)+1)</f>
        <v/>
      </c>
      <c r="I1013" s="19">
        <f>IF(AND(A1013="",B1013="",E1013=""),"",IF(A1013="","Falta data",IF(B1013="","Falta categoria",IF(E1013="","Falta valor",IF(C1013="Categoria inválida","Categoria inválida",IF(OR(H1013&lt;1,H1013&gt;12),"Fora dos 12 meses","OK"))))))</f>
        <v/>
      </c>
    </row>
    <row r="1014">
      <c r="A1014" s="35" t="n"/>
      <c r="B1014" s="31" t="n"/>
      <c r="C1014" s="19">
        <f>IF(B1014="","",IF(COUNTIF(Config!$D$6:$D$15,B1014)&gt;0,"Entrada",IF(COUNTIF(Config!$F$6:$F$25,B1014)&gt;0,"Saída","Categoria inválida")))</f>
        <v/>
      </c>
      <c r="D1014" s="31" t="n"/>
      <c r="E1014" s="33" t="n"/>
      <c r="F1014" s="36" t="n"/>
      <c r="G1014" s="31" t="n"/>
      <c r="H1014" s="37">
        <f>IF(A1014="","",(YEAR(A1014)-YEAR(Config!$B$6))*12+MONTH(A1014)-MONTH(Config!$B$6)+1)</f>
        <v/>
      </c>
      <c r="I1014" s="19">
        <f>IF(AND(A1014="",B1014="",E1014=""),"",IF(A1014="","Falta data",IF(B1014="","Falta categoria",IF(E1014="","Falta valor",IF(C1014="Categoria inválida","Categoria inválida",IF(OR(H1014&lt;1,H1014&gt;12),"Fora dos 12 meses","OK"))))))</f>
        <v/>
      </c>
    </row>
    <row r="1015">
      <c r="A1015" s="35" t="n"/>
      <c r="B1015" s="31" t="n"/>
      <c r="C1015" s="19">
        <f>IF(B1015="","",IF(COUNTIF(Config!$D$6:$D$15,B1015)&gt;0,"Entrada",IF(COUNTIF(Config!$F$6:$F$25,B1015)&gt;0,"Saída","Categoria inválida")))</f>
        <v/>
      </c>
      <c r="D1015" s="31" t="n"/>
      <c r="E1015" s="33" t="n"/>
      <c r="F1015" s="36" t="n"/>
      <c r="G1015" s="31" t="n"/>
      <c r="H1015" s="37">
        <f>IF(A1015="","",(YEAR(A1015)-YEAR(Config!$B$6))*12+MONTH(A1015)-MONTH(Config!$B$6)+1)</f>
        <v/>
      </c>
      <c r="I1015" s="19">
        <f>IF(AND(A1015="",B1015="",E1015=""),"",IF(A1015="","Falta data",IF(B1015="","Falta categoria",IF(E1015="","Falta valor",IF(C1015="Categoria inválida","Categoria inválida",IF(OR(H1015&lt;1,H1015&gt;12),"Fora dos 12 meses","OK"))))))</f>
        <v/>
      </c>
    </row>
    <row r="1016">
      <c r="A1016" s="35" t="n"/>
      <c r="B1016" s="31" t="n"/>
      <c r="C1016" s="19">
        <f>IF(B1016="","",IF(COUNTIF(Config!$D$6:$D$15,B1016)&gt;0,"Entrada",IF(COUNTIF(Config!$F$6:$F$25,B1016)&gt;0,"Saída","Categoria inválida")))</f>
        <v/>
      </c>
      <c r="D1016" s="31" t="n"/>
      <c r="E1016" s="33" t="n"/>
      <c r="F1016" s="36" t="n"/>
      <c r="G1016" s="31" t="n"/>
      <c r="H1016" s="37">
        <f>IF(A1016="","",(YEAR(A1016)-YEAR(Config!$B$6))*12+MONTH(A1016)-MONTH(Config!$B$6)+1)</f>
        <v/>
      </c>
      <c r="I1016" s="19">
        <f>IF(AND(A1016="",B1016="",E1016=""),"",IF(A1016="","Falta data",IF(B1016="","Falta categoria",IF(E1016="","Falta valor",IF(C1016="Categoria inválida","Categoria inválida",IF(OR(H1016&lt;1,H1016&gt;12),"Fora dos 12 meses","OK"))))))</f>
        <v/>
      </c>
    </row>
    <row r="1017">
      <c r="A1017" s="35" t="n"/>
      <c r="B1017" s="31" t="n"/>
      <c r="C1017" s="19">
        <f>IF(B1017="","",IF(COUNTIF(Config!$D$6:$D$15,B1017)&gt;0,"Entrada",IF(COUNTIF(Config!$F$6:$F$25,B1017)&gt;0,"Saída","Categoria inválida")))</f>
        <v/>
      </c>
      <c r="D1017" s="31" t="n"/>
      <c r="E1017" s="33" t="n"/>
      <c r="F1017" s="36" t="n"/>
      <c r="G1017" s="31" t="n"/>
      <c r="H1017" s="37">
        <f>IF(A1017="","",(YEAR(A1017)-YEAR(Config!$B$6))*12+MONTH(A1017)-MONTH(Config!$B$6)+1)</f>
        <v/>
      </c>
      <c r="I1017" s="19">
        <f>IF(AND(A1017="",B1017="",E1017=""),"",IF(A1017="","Falta data",IF(B1017="","Falta categoria",IF(E1017="","Falta valor",IF(C1017="Categoria inválida","Categoria inválida",IF(OR(H1017&lt;1,H1017&gt;12),"Fora dos 12 meses","OK"))))))</f>
        <v/>
      </c>
    </row>
    <row r="1018">
      <c r="A1018" s="35" t="n"/>
      <c r="B1018" s="31" t="n"/>
      <c r="C1018" s="19">
        <f>IF(B1018="","",IF(COUNTIF(Config!$D$6:$D$15,B1018)&gt;0,"Entrada",IF(COUNTIF(Config!$F$6:$F$25,B1018)&gt;0,"Saída","Categoria inválida")))</f>
        <v/>
      </c>
      <c r="D1018" s="31" t="n"/>
      <c r="E1018" s="33" t="n"/>
      <c r="F1018" s="36" t="n"/>
      <c r="G1018" s="31" t="n"/>
      <c r="H1018" s="37">
        <f>IF(A1018="","",(YEAR(A1018)-YEAR(Config!$B$6))*12+MONTH(A1018)-MONTH(Config!$B$6)+1)</f>
        <v/>
      </c>
      <c r="I1018" s="19">
        <f>IF(AND(A1018="",B1018="",E1018=""),"",IF(A1018="","Falta data",IF(B1018="","Falta categoria",IF(E1018="","Falta valor",IF(C1018="Categoria inválida","Categoria inválida",IF(OR(H1018&lt;1,H1018&gt;12),"Fora dos 12 meses","OK"))))))</f>
        <v/>
      </c>
    </row>
    <row r="1019">
      <c r="A1019" s="35" t="n"/>
      <c r="B1019" s="31" t="n"/>
      <c r="C1019" s="19">
        <f>IF(B1019="","",IF(COUNTIF(Config!$D$6:$D$15,B1019)&gt;0,"Entrada",IF(COUNTIF(Config!$F$6:$F$25,B1019)&gt;0,"Saída","Categoria inválida")))</f>
        <v/>
      </c>
      <c r="D1019" s="31" t="n"/>
      <c r="E1019" s="33" t="n"/>
      <c r="F1019" s="36" t="n"/>
      <c r="G1019" s="31" t="n"/>
      <c r="H1019" s="37">
        <f>IF(A1019="","",(YEAR(A1019)-YEAR(Config!$B$6))*12+MONTH(A1019)-MONTH(Config!$B$6)+1)</f>
        <v/>
      </c>
      <c r="I1019" s="19">
        <f>IF(AND(A1019="",B1019="",E1019=""),"",IF(A1019="","Falta data",IF(B1019="","Falta categoria",IF(E1019="","Falta valor",IF(C1019="Categoria inválida","Categoria inválida",IF(OR(H1019&lt;1,H1019&gt;12),"Fora dos 12 meses","OK"))))))</f>
        <v/>
      </c>
    </row>
    <row r="1020">
      <c r="A1020" s="35" t="n"/>
      <c r="B1020" s="31" t="n"/>
      <c r="C1020" s="19">
        <f>IF(B1020="","",IF(COUNTIF(Config!$D$6:$D$15,B1020)&gt;0,"Entrada",IF(COUNTIF(Config!$F$6:$F$25,B1020)&gt;0,"Saída","Categoria inválida")))</f>
        <v/>
      </c>
      <c r="D1020" s="31" t="n"/>
      <c r="E1020" s="33" t="n"/>
      <c r="F1020" s="36" t="n"/>
      <c r="G1020" s="31" t="n"/>
      <c r="H1020" s="37">
        <f>IF(A1020="","",(YEAR(A1020)-YEAR(Config!$B$6))*12+MONTH(A1020)-MONTH(Config!$B$6)+1)</f>
        <v/>
      </c>
      <c r="I1020" s="19">
        <f>IF(AND(A1020="",B1020="",E1020=""),"",IF(A1020="","Falta data",IF(B1020="","Falta categoria",IF(E1020="","Falta valor",IF(C1020="Categoria inválida","Categoria inválida",IF(OR(H1020&lt;1,H1020&gt;12),"Fora dos 12 meses","OK"))))))</f>
        <v/>
      </c>
    </row>
    <row r="1021">
      <c r="A1021" s="35" t="n"/>
      <c r="B1021" s="31" t="n"/>
      <c r="C1021" s="19">
        <f>IF(B1021="","",IF(COUNTIF(Config!$D$6:$D$15,B1021)&gt;0,"Entrada",IF(COUNTIF(Config!$F$6:$F$25,B1021)&gt;0,"Saída","Categoria inválida")))</f>
        <v/>
      </c>
      <c r="D1021" s="31" t="n"/>
      <c r="E1021" s="33" t="n"/>
      <c r="F1021" s="36" t="n"/>
      <c r="G1021" s="31" t="n"/>
      <c r="H1021" s="37">
        <f>IF(A1021="","",(YEAR(A1021)-YEAR(Config!$B$6))*12+MONTH(A1021)-MONTH(Config!$B$6)+1)</f>
        <v/>
      </c>
      <c r="I1021" s="19">
        <f>IF(AND(A1021="",B1021="",E1021=""),"",IF(A1021="","Falta data",IF(B1021="","Falta categoria",IF(E1021="","Falta valor",IF(C1021="Categoria inválida","Categoria inválida",IF(OR(H1021&lt;1,H1021&gt;12),"Fora dos 12 meses","OK"))))))</f>
        <v/>
      </c>
    </row>
    <row r="1022">
      <c r="A1022" s="35" t="n"/>
      <c r="B1022" s="31" t="n"/>
      <c r="C1022" s="19">
        <f>IF(B1022="","",IF(COUNTIF(Config!$D$6:$D$15,B1022)&gt;0,"Entrada",IF(COUNTIF(Config!$F$6:$F$25,B1022)&gt;0,"Saída","Categoria inválida")))</f>
        <v/>
      </c>
      <c r="D1022" s="31" t="n"/>
      <c r="E1022" s="33" t="n"/>
      <c r="F1022" s="36" t="n"/>
      <c r="G1022" s="31" t="n"/>
      <c r="H1022" s="37">
        <f>IF(A1022="","",(YEAR(A1022)-YEAR(Config!$B$6))*12+MONTH(A1022)-MONTH(Config!$B$6)+1)</f>
        <v/>
      </c>
      <c r="I1022" s="19">
        <f>IF(AND(A1022="",B1022="",E1022=""),"",IF(A1022="","Falta data",IF(B1022="","Falta categoria",IF(E1022="","Falta valor",IF(C1022="Categoria inválida","Categoria inválida",IF(OR(H1022&lt;1,H1022&gt;12),"Fora dos 12 meses","OK"))))))</f>
        <v/>
      </c>
    </row>
    <row r="1023">
      <c r="A1023" s="35" t="n"/>
      <c r="B1023" s="31" t="n"/>
      <c r="C1023" s="19">
        <f>IF(B1023="","",IF(COUNTIF(Config!$D$6:$D$15,B1023)&gt;0,"Entrada",IF(COUNTIF(Config!$F$6:$F$25,B1023)&gt;0,"Saída","Categoria inválida")))</f>
        <v/>
      </c>
      <c r="D1023" s="31" t="n"/>
      <c r="E1023" s="33" t="n"/>
      <c r="F1023" s="36" t="n"/>
      <c r="G1023" s="31" t="n"/>
      <c r="H1023" s="37">
        <f>IF(A1023="","",(YEAR(A1023)-YEAR(Config!$B$6))*12+MONTH(A1023)-MONTH(Config!$B$6)+1)</f>
        <v/>
      </c>
      <c r="I1023" s="19">
        <f>IF(AND(A1023="",B1023="",E1023=""),"",IF(A1023="","Falta data",IF(B1023="","Falta categoria",IF(E1023="","Falta valor",IF(C1023="Categoria inválida","Categoria inválida",IF(OR(H1023&lt;1,H1023&gt;12),"Fora dos 12 meses","OK"))))))</f>
        <v/>
      </c>
    </row>
    <row r="1024">
      <c r="A1024" s="35" t="n"/>
      <c r="B1024" s="31" t="n"/>
      <c r="C1024" s="19">
        <f>IF(B1024="","",IF(COUNTIF(Config!$D$6:$D$15,B1024)&gt;0,"Entrada",IF(COUNTIF(Config!$F$6:$F$25,B1024)&gt;0,"Saída","Categoria inválida")))</f>
        <v/>
      </c>
      <c r="D1024" s="31" t="n"/>
      <c r="E1024" s="33" t="n"/>
      <c r="F1024" s="36" t="n"/>
      <c r="G1024" s="31" t="n"/>
      <c r="H1024" s="37">
        <f>IF(A1024="","",(YEAR(A1024)-YEAR(Config!$B$6))*12+MONTH(A1024)-MONTH(Config!$B$6)+1)</f>
        <v/>
      </c>
      <c r="I1024" s="19">
        <f>IF(AND(A1024="",B1024="",E1024=""),"",IF(A1024="","Falta data",IF(B1024="","Falta categoria",IF(E1024="","Falta valor",IF(C1024="Categoria inválida","Categoria inválida",IF(OR(H1024&lt;1,H1024&gt;12),"Fora dos 12 meses","OK"))))))</f>
        <v/>
      </c>
    </row>
    <row r="1025">
      <c r="A1025" s="35" t="n"/>
      <c r="B1025" s="31" t="n"/>
      <c r="C1025" s="19">
        <f>IF(B1025="","",IF(COUNTIF(Config!$D$6:$D$15,B1025)&gt;0,"Entrada",IF(COUNTIF(Config!$F$6:$F$25,B1025)&gt;0,"Saída","Categoria inválida")))</f>
        <v/>
      </c>
      <c r="D1025" s="31" t="n"/>
      <c r="E1025" s="33" t="n"/>
      <c r="F1025" s="36" t="n"/>
      <c r="G1025" s="31" t="n"/>
      <c r="H1025" s="37">
        <f>IF(A1025="","",(YEAR(A1025)-YEAR(Config!$B$6))*12+MONTH(A1025)-MONTH(Config!$B$6)+1)</f>
        <v/>
      </c>
      <c r="I1025" s="19">
        <f>IF(AND(A1025="",B1025="",E1025=""),"",IF(A1025="","Falta data",IF(B1025="","Falta categoria",IF(E1025="","Falta valor",IF(C1025="Categoria inválida","Categoria inválida",IF(OR(H1025&lt;1,H1025&gt;12),"Fora dos 12 meses","OK"))))))</f>
        <v/>
      </c>
    </row>
    <row r="1026">
      <c r="A1026" s="35" t="n"/>
      <c r="B1026" s="31" t="n"/>
      <c r="C1026" s="19">
        <f>IF(B1026="","",IF(COUNTIF(Config!$D$6:$D$15,B1026)&gt;0,"Entrada",IF(COUNTIF(Config!$F$6:$F$25,B1026)&gt;0,"Saída","Categoria inválida")))</f>
        <v/>
      </c>
      <c r="D1026" s="31" t="n"/>
      <c r="E1026" s="33" t="n"/>
      <c r="F1026" s="36" t="n"/>
      <c r="G1026" s="31" t="n"/>
      <c r="H1026" s="37">
        <f>IF(A1026="","",(YEAR(A1026)-YEAR(Config!$B$6))*12+MONTH(A1026)-MONTH(Config!$B$6)+1)</f>
        <v/>
      </c>
      <c r="I1026" s="19">
        <f>IF(AND(A1026="",B1026="",E1026=""),"",IF(A1026="","Falta data",IF(B1026="","Falta categoria",IF(E1026="","Falta valor",IF(C1026="Categoria inválida","Categoria inválida",IF(OR(H1026&lt;1,H1026&gt;12),"Fora dos 12 meses","OK"))))))</f>
        <v/>
      </c>
    </row>
    <row r="1027">
      <c r="A1027" s="35" t="n"/>
      <c r="B1027" s="31" t="n"/>
      <c r="C1027" s="19">
        <f>IF(B1027="","",IF(COUNTIF(Config!$D$6:$D$15,B1027)&gt;0,"Entrada",IF(COUNTIF(Config!$F$6:$F$25,B1027)&gt;0,"Saída","Categoria inválida")))</f>
        <v/>
      </c>
      <c r="D1027" s="31" t="n"/>
      <c r="E1027" s="33" t="n"/>
      <c r="F1027" s="36" t="n"/>
      <c r="G1027" s="31" t="n"/>
      <c r="H1027" s="37">
        <f>IF(A1027="","",(YEAR(A1027)-YEAR(Config!$B$6))*12+MONTH(A1027)-MONTH(Config!$B$6)+1)</f>
        <v/>
      </c>
      <c r="I1027" s="19">
        <f>IF(AND(A1027="",B1027="",E1027=""),"",IF(A1027="","Falta data",IF(B1027="","Falta categoria",IF(E1027="","Falta valor",IF(C1027="Categoria inválida","Categoria inválida",IF(OR(H1027&lt;1,H1027&gt;12),"Fora dos 12 meses","OK"))))))</f>
        <v/>
      </c>
    </row>
    <row r="1028">
      <c r="A1028" s="35" t="n"/>
      <c r="B1028" s="31" t="n"/>
      <c r="C1028" s="19">
        <f>IF(B1028="","",IF(COUNTIF(Config!$D$6:$D$15,B1028)&gt;0,"Entrada",IF(COUNTIF(Config!$F$6:$F$25,B1028)&gt;0,"Saída","Categoria inválida")))</f>
        <v/>
      </c>
      <c r="D1028" s="31" t="n"/>
      <c r="E1028" s="33" t="n"/>
      <c r="F1028" s="36" t="n"/>
      <c r="G1028" s="31" t="n"/>
      <c r="H1028" s="37">
        <f>IF(A1028="","",(YEAR(A1028)-YEAR(Config!$B$6))*12+MONTH(A1028)-MONTH(Config!$B$6)+1)</f>
        <v/>
      </c>
      <c r="I1028" s="19">
        <f>IF(AND(A1028="",B1028="",E1028=""),"",IF(A1028="","Falta data",IF(B1028="","Falta categoria",IF(E1028="","Falta valor",IF(C1028="Categoria inválida","Categoria inválida",IF(OR(H1028&lt;1,H1028&gt;12),"Fora dos 12 meses","OK"))))))</f>
        <v/>
      </c>
    </row>
    <row r="1029">
      <c r="A1029" s="35" t="n"/>
      <c r="B1029" s="31" t="n"/>
      <c r="C1029" s="19">
        <f>IF(B1029="","",IF(COUNTIF(Config!$D$6:$D$15,B1029)&gt;0,"Entrada",IF(COUNTIF(Config!$F$6:$F$25,B1029)&gt;0,"Saída","Categoria inválida")))</f>
        <v/>
      </c>
      <c r="D1029" s="31" t="n"/>
      <c r="E1029" s="33" t="n"/>
      <c r="F1029" s="36" t="n"/>
      <c r="G1029" s="31" t="n"/>
      <c r="H1029" s="37">
        <f>IF(A1029="","",(YEAR(A1029)-YEAR(Config!$B$6))*12+MONTH(A1029)-MONTH(Config!$B$6)+1)</f>
        <v/>
      </c>
      <c r="I1029" s="19">
        <f>IF(AND(A1029="",B1029="",E1029=""),"",IF(A1029="","Falta data",IF(B1029="","Falta categoria",IF(E1029="","Falta valor",IF(C1029="Categoria inválida","Categoria inválida",IF(OR(H1029&lt;1,H1029&gt;12),"Fora dos 12 meses","OK"))))))</f>
        <v/>
      </c>
    </row>
    <row r="1030">
      <c r="A1030" s="35" t="n"/>
      <c r="B1030" s="31" t="n"/>
      <c r="C1030" s="19">
        <f>IF(B1030="","",IF(COUNTIF(Config!$D$6:$D$15,B1030)&gt;0,"Entrada",IF(COUNTIF(Config!$F$6:$F$25,B1030)&gt;0,"Saída","Categoria inválida")))</f>
        <v/>
      </c>
      <c r="D1030" s="31" t="n"/>
      <c r="E1030" s="33" t="n"/>
      <c r="F1030" s="36" t="n"/>
      <c r="G1030" s="31" t="n"/>
      <c r="H1030" s="37">
        <f>IF(A1030="","",(YEAR(A1030)-YEAR(Config!$B$6))*12+MONTH(A1030)-MONTH(Config!$B$6)+1)</f>
        <v/>
      </c>
      <c r="I1030" s="19">
        <f>IF(AND(A1030="",B1030="",E1030=""),"",IF(A1030="","Falta data",IF(B1030="","Falta categoria",IF(E1030="","Falta valor",IF(C1030="Categoria inválida","Categoria inválida",IF(OR(H1030&lt;1,H1030&gt;12),"Fora dos 12 meses","OK"))))))</f>
        <v/>
      </c>
    </row>
    <row r="1031">
      <c r="A1031" s="35" t="n"/>
      <c r="B1031" s="31" t="n"/>
      <c r="C1031" s="19">
        <f>IF(B1031="","",IF(COUNTIF(Config!$D$6:$D$15,B1031)&gt;0,"Entrada",IF(COUNTIF(Config!$F$6:$F$25,B1031)&gt;0,"Saída","Categoria inválida")))</f>
        <v/>
      </c>
      <c r="D1031" s="31" t="n"/>
      <c r="E1031" s="33" t="n"/>
      <c r="F1031" s="36" t="n"/>
      <c r="G1031" s="31" t="n"/>
      <c r="H1031" s="37">
        <f>IF(A1031="","",(YEAR(A1031)-YEAR(Config!$B$6))*12+MONTH(A1031)-MONTH(Config!$B$6)+1)</f>
        <v/>
      </c>
      <c r="I1031" s="19">
        <f>IF(AND(A1031="",B1031="",E1031=""),"",IF(A1031="","Falta data",IF(B1031="","Falta categoria",IF(E1031="","Falta valor",IF(C1031="Categoria inválida","Categoria inválida",IF(OR(H1031&lt;1,H1031&gt;12),"Fora dos 12 meses","OK"))))))</f>
        <v/>
      </c>
    </row>
    <row r="1032">
      <c r="A1032" s="35" t="n"/>
      <c r="B1032" s="31" t="n"/>
      <c r="C1032" s="19">
        <f>IF(B1032="","",IF(COUNTIF(Config!$D$6:$D$15,B1032)&gt;0,"Entrada",IF(COUNTIF(Config!$F$6:$F$25,B1032)&gt;0,"Saída","Categoria inválida")))</f>
        <v/>
      </c>
      <c r="D1032" s="31" t="n"/>
      <c r="E1032" s="33" t="n"/>
      <c r="F1032" s="36" t="n"/>
      <c r="G1032" s="31" t="n"/>
      <c r="H1032" s="37">
        <f>IF(A1032="","",(YEAR(A1032)-YEAR(Config!$B$6))*12+MONTH(A1032)-MONTH(Config!$B$6)+1)</f>
        <v/>
      </c>
      <c r="I1032" s="19">
        <f>IF(AND(A1032="",B1032="",E1032=""),"",IF(A1032="","Falta data",IF(B1032="","Falta categoria",IF(E1032="","Falta valor",IF(C1032="Categoria inválida","Categoria inválida",IF(OR(H1032&lt;1,H1032&gt;12),"Fora dos 12 meses","OK"))))))</f>
        <v/>
      </c>
    </row>
    <row r="1033">
      <c r="A1033" s="35" t="n"/>
      <c r="B1033" s="31" t="n"/>
      <c r="C1033" s="19">
        <f>IF(B1033="","",IF(COUNTIF(Config!$D$6:$D$15,B1033)&gt;0,"Entrada",IF(COUNTIF(Config!$F$6:$F$25,B1033)&gt;0,"Saída","Categoria inválida")))</f>
        <v/>
      </c>
      <c r="D1033" s="31" t="n"/>
      <c r="E1033" s="33" t="n"/>
      <c r="F1033" s="36" t="n"/>
      <c r="G1033" s="31" t="n"/>
      <c r="H1033" s="37">
        <f>IF(A1033="","",(YEAR(A1033)-YEAR(Config!$B$6))*12+MONTH(A1033)-MONTH(Config!$B$6)+1)</f>
        <v/>
      </c>
      <c r="I1033" s="19">
        <f>IF(AND(A1033="",B1033="",E1033=""),"",IF(A1033="","Falta data",IF(B1033="","Falta categoria",IF(E1033="","Falta valor",IF(C1033="Categoria inválida","Categoria inválida",IF(OR(H1033&lt;1,H1033&gt;12),"Fora dos 12 meses","OK"))))))</f>
        <v/>
      </c>
    </row>
    <row r="1034">
      <c r="A1034" s="35" t="n"/>
      <c r="B1034" s="31" t="n"/>
      <c r="C1034" s="19">
        <f>IF(B1034="","",IF(COUNTIF(Config!$D$6:$D$15,B1034)&gt;0,"Entrada",IF(COUNTIF(Config!$F$6:$F$25,B1034)&gt;0,"Saída","Categoria inválida")))</f>
        <v/>
      </c>
      <c r="D1034" s="31" t="n"/>
      <c r="E1034" s="33" t="n"/>
      <c r="F1034" s="36" t="n"/>
      <c r="G1034" s="31" t="n"/>
      <c r="H1034" s="37">
        <f>IF(A1034="","",(YEAR(A1034)-YEAR(Config!$B$6))*12+MONTH(A1034)-MONTH(Config!$B$6)+1)</f>
        <v/>
      </c>
      <c r="I1034" s="19">
        <f>IF(AND(A1034="",B1034="",E1034=""),"",IF(A1034="","Falta data",IF(B1034="","Falta categoria",IF(E1034="","Falta valor",IF(C1034="Categoria inválida","Categoria inválida",IF(OR(H1034&lt;1,H1034&gt;12),"Fora dos 12 meses","OK"))))))</f>
        <v/>
      </c>
    </row>
    <row r="1035">
      <c r="A1035" s="35" t="n"/>
      <c r="B1035" s="31" t="n"/>
      <c r="C1035" s="19">
        <f>IF(B1035="","",IF(COUNTIF(Config!$D$6:$D$15,B1035)&gt;0,"Entrada",IF(COUNTIF(Config!$F$6:$F$25,B1035)&gt;0,"Saída","Categoria inválida")))</f>
        <v/>
      </c>
      <c r="D1035" s="31" t="n"/>
      <c r="E1035" s="33" t="n"/>
      <c r="F1035" s="36" t="n"/>
      <c r="G1035" s="31" t="n"/>
      <c r="H1035" s="37">
        <f>IF(A1035="","",(YEAR(A1035)-YEAR(Config!$B$6))*12+MONTH(A1035)-MONTH(Config!$B$6)+1)</f>
        <v/>
      </c>
      <c r="I1035" s="19">
        <f>IF(AND(A1035="",B1035="",E1035=""),"",IF(A1035="","Falta data",IF(B1035="","Falta categoria",IF(E1035="","Falta valor",IF(C1035="Categoria inválida","Categoria inválida",IF(OR(H1035&lt;1,H1035&gt;12),"Fora dos 12 meses","OK"))))))</f>
        <v/>
      </c>
    </row>
    <row r="1036">
      <c r="A1036" s="35" t="n"/>
      <c r="B1036" s="31" t="n"/>
      <c r="C1036" s="19">
        <f>IF(B1036="","",IF(COUNTIF(Config!$D$6:$D$15,B1036)&gt;0,"Entrada",IF(COUNTIF(Config!$F$6:$F$25,B1036)&gt;0,"Saída","Categoria inválida")))</f>
        <v/>
      </c>
      <c r="D1036" s="31" t="n"/>
      <c r="E1036" s="33" t="n"/>
      <c r="F1036" s="36" t="n"/>
      <c r="G1036" s="31" t="n"/>
      <c r="H1036" s="37">
        <f>IF(A1036="","",(YEAR(A1036)-YEAR(Config!$B$6))*12+MONTH(A1036)-MONTH(Config!$B$6)+1)</f>
        <v/>
      </c>
      <c r="I1036" s="19">
        <f>IF(AND(A1036="",B1036="",E1036=""),"",IF(A1036="","Falta data",IF(B1036="","Falta categoria",IF(E1036="","Falta valor",IF(C1036="Categoria inválida","Categoria inválida",IF(OR(H1036&lt;1,H1036&gt;12),"Fora dos 12 meses","OK"))))))</f>
        <v/>
      </c>
    </row>
    <row r="1037">
      <c r="A1037" s="35" t="n"/>
      <c r="B1037" s="31" t="n"/>
      <c r="C1037" s="19">
        <f>IF(B1037="","",IF(COUNTIF(Config!$D$6:$D$15,B1037)&gt;0,"Entrada",IF(COUNTIF(Config!$F$6:$F$25,B1037)&gt;0,"Saída","Categoria inválida")))</f>
        <v/>
      </c>
      <c r="D1037" s="31" t="n"/>
      <c r="E1037" s="33" t="n"/>
      <c r="F1037" s="36" t="n"/>
      <c r="G1037" s="31" t="n"/>
      <c r="H1037" s="37">
        <f>IF(A1037="","",(YEAR(A1037)-YEAR(Config!$B$6))*12+MONTH(A1037)-MONTH(Config!$B$6)+1)</f>
        <v/>
      </c>
      <c r="I1037" s="19">
        <f>IF(AND(A1037="",B1037="",E1037=""),"",IF(A1037="","Falta data",IF(B1037="","Falta categoria",IF(E1037="","Falta valor",IF(C1037="Categoria inválida","Categoria inválida",IF(OR(H1037&lt;1,H1037&gt;12),"Fora dos 12 meses","OK"))))))</f>
        <v/>
      </c>
    </row>
    <row r="1038">
      <c r="A1038" s="35" t="n"/>
      <c r="B1038" s="31" t="n"/>
      <c r="C1038" s="19">
        <f>IF(B1038="","",IF(COUNTIF(Config!$D$6:$D$15,B1038)&gt;0,"Entrada",IF(COUNTIF(Config!$F$6:$F$25,B1038)&gt;0,"Saída","Categoria inválida")))</f>
        <v/>
      </c>
      <c r="D1038" s="31" t="n"/>
      <c r="E1038" s="33" t="n"/>
      <c r="F1038" s="36" t="n"/>
      <c r="G1038" s="31" t="n"/>
      <c r="H1038" s="37">
        <f>IF(A1038="","",(YEAR(A1038)-YEAR(Config!$B$6))*12+MONTH(A1038)-MONTH(Config!$B$6)+1)</f>
        <v/>
      </c>
      <c r="I1038" s="19">
        <f>IF(AND(A1038="",B1038="",E1038=""),"",IF(A1038="","Falta data",IF(B1038="","Falta categoria",IF(E1038="","Falta valor",IF(C1038="Categoria inválida","Categoria inválida",IF(OR(H1038&lt;1,H1038&gt;12),"Fora dos 12 meses","OK"))))))</f>
        <v/>
      </c>
    </row>
    <row r="1039">
      <c r="A1039" s="35" t="n"/>
      <c r="B1039" s="31" t="n"/>
      <c r="C1039" s="19">
        <f>IF(B1039="","",IF(COUNTIF(Config!$D$6:$D$15,B1039)&gt;0,"Entrada",IF(COUNTIF(Config!$F$6:$F$25,B1039)&gt;0,"Saída","Categoria inválida")))</f>
        <v/>
      </c>
      <c r="D1039" s="31" t="n"/>
      <c r="E1039" s="33" t="n"/>
      <c r="F1039" s="36" t="n"/>
      <c r="G1039" s="31" t="n"/>
      <c r="H1039" s="37">
        <f>IF(A1039="","",(YEAR(A1039)-YEAR(Config!$B$6))*12+MONTH(A1039)-MONTH(Config!$B$6)+1)</f>
        <v/>
      </c>
      <c r="I1039" s="19">
        <f>IF(AND(A1039="",B1039="",E1039=""),"",IF(A1039="","Falta data",IF(B1039="","Falta categoria",IF(E1039="","Falta valor",IF(C1039="Categoria inválida","Categoria inválida",IF(OR(H1039&lt;1,H1039&gt;12),"Fora dos 12 meses","OK"))))))</f>
        <v/>
      </c>
    </row>
    <row r="1040">
      <c r="A1040" s="35" t="n"/>
      <c r="B1040" s="31" t="n"/>
      <c r="C1040" s="19">
        <f>IF(B1040="","",IF(COUNTIF(Config!$D$6:$D$15,B1040)&gt;0,"Entrada",IF(COUNTIF(Config!$F$6:$F$25,B1040)&gt;0,"Saída","Categoria inválida")))</f>
        <v/>
      </c>
      <c r="D1040" s="31" t="n"/>
      <c r="E1040" s="33" t="n"/>
      <c r="F1040" s="36" t="n"/>
      <c r="G1040" s="31" t="n"/>
      <c r="H1040" s="37">
        <f>IF(A1040="","",(YEAR(A1040)-YEAR(Config!$B$6))*12+MONTH(A1040)-MONTH(Config!$B$6)+1)</f>
        <v/>
      </c>
      <c r="I1040" s="19">
        <f>IF(AND(A1040="",B1040="",E1040=""),"",IF(A1040="","Falta data",IF(B1040="","Falta categoria",IF(E1040="","Falta valor",IF(C1040="Categoria inválida","Categoria inválida",IF(OR(H1040&lt;1,H1040&gt;12),"Fora dos 12 meses","OK"))))))</f>
        <v/>
      </c>
    </row>
    <row r="1041">
      <c r="A1041" s="35" t="n"/>
      <c r="B1041" s="31" t="n"/>
      <c r="C1041" s="19">
        <f>IF(B1041="","",IF(COUNTIF(Config!$D$6:$D$15,B1041)&gt;0,"Entrada",IF(COUNTIF(Config!$F$6:$F$25,B1041)&gt;0,"Saída","Categoria inválida")))</f>
        <v/>
      </c>
      <c r="D1041" s="31" t="n"/>
      <c r="E1041" s="33" t="n"/>
      <c r="F1041" s="36" t="n"/>
      <c r="G1041" s="31" t="n"/>
      <c r="H1041" s="37">
        <f>IF(A1041="","",(YEAR(A1041)-YEAR(Config!$B$6))*12+MONTH(A1041)-MONTH(Config!$B$6)+1)</f>
        <v/>
      </c>
      <c r="I1041" s="19">
        <f>IF(AND(A1041="",B1041="",E1041=""),"",IF(A1041="","Falta data",IF(B1041="","Falta categoria",IF(E1041="","Falta valor",IF(C1041="Categoria inválida","Categoria inválida",IF(OR(H1041&lt;1,H1041&gt;12),"Fora dos 12 meses","OK"))))))</f>
        <v/>
      </c>
    </row>
    <row r="1042">
      <c r="A1042" s="35" t="n"/>
      <c r="B1042" s="31" t="n"/>
      <c r="C1042" s="19">
        <f>IF(B1042="","",IF(COUNTIF(Config!$D$6:$D$15,B1042)&gt;0,"Entrada",IF(COUNTIF(Config!$F$6:$F$25,B1042)&gt;0,"Saída","Categoria inválida")))</f>
        <v/>
      </c>
      <c r="D1042" s="31" t="n"/>
      <c r="E1042" s="33" t="n"/>
      <c r="F1042" s="36" t="n"/>
      <c r="G1042" s="31" t="n"/>
      <c r="H1042" s="37">
        <f>IF(A1042="","",(YEAR(A1042)-YEAR(Config!$B$6))*12+MONTH(A1042)-MONTH(Config!$B$6)+1)</f>
        <v/>
      </c>
      <c r="I1042" s="19">
        <f>IF(AND(A1042="",B1042="",E1042=""),"",IF(A1042="","Falta data",IF(B1042="","Falta categoria",IF(E1042="","Falta valor",IF(C1042="Categoria inválida","Categoria inválida",IF(OR(H1042&lt;1,H1042&gt;12),"Fora dos 12 meses","OK"))))))</f>
        <v/>
      </c>
    </row>
    <row r="1043">
      <c r="A1043" s="35" t="n"/>
      <c r="B1043" s="31" t="n"/>
      <c r="C1043" s="19">
        <f>IF(B1043="","",IF(COUNTIF(Config!$D$6:$D$15,B1043)&gt;0,"Entrada",IF(COUNTIF(Config!$F$6:$F$25,B1043)&gt;0,"Saída","Categoria inválida")))</f>
        <v/>
      </c>
      <c r="D1043" s="31" t="n"/>
      <c r="E1043" s="33" t="n"/>
      <c r="F1043" s="36" t="n"/>
      <c r="G1043" s="31" t="n"/>
      <c r="H1043" s="37">
        <f>IF(A1043="","",(YEAR(A1043)-YEAR(Config!$B$6))*12+MONTH(A1043)-MONTH(Config!$B$6)+1)</f>
        <v/>
      </c>
      <c r="I1043" s="19">
        <f>IF(AND(A1043="",B1043="",E1043=""),"",IF(A1043="","Falta data",IF(B1043="","Falta categoria",IF(E1043="","Falta valor",IF(C1043="Categoria inválida","Categoria inválida",IF(OR(H1043&lt;1,H1043&gt;12),"Fora dos 12 meses","OK"))))))</f>
        <v/>
      </c>
    </row>
    <row r="1044">
      <c r="A1044" s="35" t="n"/>
      <c r="B1044" s="31" t="n"/>
      <c r="C1044" s="19">
        <f>IF(B1044="","",IF(COUNTIF(Config!$D$6:$D$15,B1044)&gt;0,"Entrada",IF(COUNTIF(Config!$F$6:$F$25,B1044)&gt;0,"Saída","Categoria inválida")))</f>
        <v/>
      </c>
      <c r="D1044" s="31" t="n"/>
      <c r="E1044" s="33" t="n"/>
      <c r="F1044" s="36" t="n"/>
      <c r="G1044" s="31" t="n"/>
      <c r="H1044" s="37">
        <f>IF(A1044="","",(YEAR(A1044)-YEAR(Config!$B$6))*12+MONTH(A1044)-MONTH(Config!$B$6)+1)</f>
        <v/>
      </c>
      <c r="I1044" s="19">
        <f>IF(AND(A1044="",B1044="",E1044=""),"",IF(A1044="","Falta data",IF(B1044="","Falta categoria",IF(E1044="","Falta valor",IF(C1044="Categoria inválida","Categoria inválida",IF(OR(H1044&lt;1,H1044&gt;12),"Fora dos 12 meses","OK"))))))</f>
        <v/>
      </c>
    </row>
    <row r="1045">
      <c r="A1045" s="35" t="n"/>
      <c r="B1045" s="31" t="n"/>
      <c r="C1045" s="19">
        <f>IF(B1045="","",IF(COUNTIF(Config!$D$6:$D$15,B1045)&gt;0,"Entrada",IF(COUNTIF(Config!$F$6:$F$25,B1045)&gt;0,"Saída","Categoria inválida")))</f>
        <v/>
      </c>
      <c r="D1045" s="31" t="n"/>
      <c r="E1045" s="33" t="n"/>
      <c r="F1045" s="36" t="n"/>
      <c r="G1045" s="31" t="n"/>
      <c r="H1045" s="37">
        <f>IF(A1045="","",(YEAR(A1045)-YEAR(Config!$B$6))*12+MONTH(A1045)-MONTH(Config!$B$6)+1)</f>
        <v/>
      </c>
      <c r="I1045" s="19">
        <f>IF(AND(A1045="",B1045="",E1045=""),"",IF(A1045="","Falta data",IF(B1045="","Falta categoria",IF(E1045="","Falta valor",IF(C1045="Categoria inválida","Categoria inválida",IF(OR(H1045&lt;1,H1045&gt;12),"Fora dos 12 meses","OK"))))))</f>
        <v/>
      </c>
    </row>
    <row r="1046">
      <c r="A1046" s="35" t="n"/>
      <c r="B1046" s="31" t="n"/>
      <c r="C1046" s="19">
        <f>IF(B1046="","",IF(COUNTIF(Config!$D$6:$D$15,B1046)&gt;0,"Entrada",IF(COUNTIF(Config!$F$6:$F$25,B1046)&gt;0,"Saída","Categoria inválida")))</f>
        <v/>
      </c>
      <c r="D1046" s="31" t="n"/>
      <c r="E1046" s="33" t="n"/>
      <c r="F1046" s="36" t="n"/>
      <c r="G1046" s="31" t="n"/>
      <c r="H1046" s="37">
        <f>IF(A1046="","",(YEAR(A1046)-YEAR(Config!$B$6))*12+MONTH(A1046)-MONTH(Config!$B$6)+1)</f>
        <v/>
      </c>
      <c r="I1046" s="19">
        <f>IF(AND(A1046="",B1046="",E1046=""),"",IF(A1046="","Falta data",IF(B1046="","Falta categoria",IF(E1046="","Falta valor",IF(C1046="Categoria inválida","Categoria inválida",IF(OR(H1046&lt;1,H1046&gt;12),"Fora dos 12 meses","OK"))))))</f>
        <v/>
      </c>
    </row>
    <row r="1047">
      <c r="A1047" s="35" t="n"/>
      <c r="B1047" s="31" t="n"/>
      <c r="C1047" s="19">
        <f>IF(B1047="","",IF(COUNTIF(Config!$D$6:$D$15,B1047)&gt;0,"Entrada",IF(COUNTIF(Config!$F$6:$F$25,B1047)&gt;0,"Saída","Categoria inválida")))</f>
        <v/>
      </c>
      <c r="D1047" s="31" t="n"/>
      <c r="E1047" s="33" t="n"/>
      <c r="F1047" s="36" t="n"/>
      <c r="G1047" s="31" t="n"/>
      <c r="H1047" s="37">
        <f>IF(A1047="","",(YEAR(A1047)-YEAR(Config!$B$6))*12+MONTH(A1047)-MONTH(Config!$B$6)+1)</f>
        <v/>
      </c>
      <c r="I1047" s="19">
        <f>IF(AND(A1047="",B1047="",E1047=""),"",IF(A1047="","Falta data",IF(B1047="","Falta categoria",IF(E1047="","Falta valor",IF(C1047="Categoria inválida","Categoria inválida",IF(OR(H1047&lt;1,H1047&gt;12),"Fora dos 12 meses","OK"))))))</f>
        <v/>
      </c>
    </row>
    <row r="1048">
      <c r="A1048" s="35" t="n"/>
      <c r="B1048" s="31" t="n"/>
      <c r="C1048" s="19">
        <f>IF(B1048="","",IF(COUNTIF(Config!$D$6:$D$15,B1048)&gt;0,"Entrada",IF(COUNTIF(Config!$F$6:$F$25,B1048)&gt;0,"Saída","Categoria inválida")))</f>
        <v/>
      </c>
      <c r="D1048" s="31" t="n"/>
      <c r="E1048" s="33" t="n"/>
      <c r="F1048" s="36" t="n"/>
      <c r="G1048" s="31" t="n"/>
      <c r="H1048" s="37">
        <f>IF(A1048="","",(YEAR(A1048)-YEAR(Config!$B$6))*12+MONTH(A1048)-MONTH(Config!$B$6)+1)</f>
        <v/>
      </c>
      <c r="I1048" s="19">
        <f>IF(AND(A1048="",B1048="",E1048=""),"",IF(A1048="","Falta data",IF(B1048="","Falta categoria",IF(E1048="","Falta valor",IF(C1048="Categoria inválida","Categoria inválida",IF(OR(H1048&lt;1,H1048&gt;12),"Fora dos 12 meses","OK"))))))</f>
        <v/>
      </c>
    </row>
    <row r="1049">
      <c r="A1049" s="35" t="n"/>
      <c r="B1049" s="31" t="n"/>
      <c r="C1049" s="19">
        <f>IF(B1049="","",IF(COUNTIF(Config!$D$6:$D$15,B1049)&gt;0,"Entrada",IF(COUNTIF(Config!$F$6:$F$25,B1049)&gt;0,"Saída","Categoria inválida")))</f>
        <v/>
      </c>
      <c r="D1049" s="31" t="n"/>
      <c r="E1049" s="33" t="n"/>
      <c r="F1049" s="36" t="n"/>
      <c r="G1049" s="31" t="n"/>
      <c r="H1049" s="37">
        <f>IF(A1049="","",(YEAR(A1049)-YEAR(Config!$B$6))*12+MONTH(A1049)-MONTH(Config!$B$6)+1)</f>
        <v/>
      </c>
      <c r="I1049" s="19">
        <f>IF(AND(A1049="",B1049="",E1049=""),"",IF(A1049="","Falta data",IF(B1049="","Falta categoria",IF(E1049="","Falta valor",IF(C1049="Categoria inválida","Categoria inválida",IF(OR(H1049&lt;1,H1049&gt;12),"Fora dos 12 meses","OK"))))))</f>
        <v/>
      </c>
    </row>
    <row r="1050">
      <c r="A1050" s="35" t="n"/>
      <c r="B1050" s="31" t="n"/>
      <c r="C1050" s="19">
        <f>IF(B1050="","",IF(COUNTIF(Config!$D$6:$D$15,B1050)&gt;0,"Entrada",IF(COUNTIF(Config!$F$6:$F$25,B1050)&gt;0,"Saída","Categoria inválida")))</f>
        <v/>
      </c>
      <c r="D1050" s="31" t="n"/>
      <c r="E1050" s="33" t="n"/>
      <c r="F1050" s="36" t="n"/>
      <c r="G1050" s="31" t="n"/>
      <c r="H1050" s="37">
        <f>IF(A1050="","",(YEAR(A1050)-YEAR(Config!$B$6))*12+MONTH(A1050)-MONTH(Config!$B$6)+1)</f>
        <v/>
      </c>
      <c r="I1050" s="19">
        <f>IF(AND(A1050="",B1050="",E1050=""),"",IF(A1050="","Falta data",IF(B1050="","Falta categoria",IF(E1050="","Falta valor",IF(C1050="Categoria inválida","Categoria inválida",IF(OR(H1050&lt;1,H1050&gt;12),"Fora dos 12 meses","OK"))))))</f>
        <v/>
      </c>
    </row>
    <row r="1051">
      <c r="A1051" s="35" t="n"/>
      <c r="B1051" s="31" t="n"/>
      <c r="C1051" s="19">
        <f>IF(B1051="","",IF(COUNTIF(Config!$D$6:$D$15,B1051)&gt;0,"Entrada",IF(COUNTIF(Config!$F$6:$F$25,B1051)&gt;0,"Saída","Categoria inválida")))</f>
        <v/>
      </c>
      <c r="D1051" s="31" t="n"/>
      <c r="E1051" s="33" t="n"/>
      <c r="F1051" s="36" t="n"/>
      <c r="G1051" s="31" t="n"/>
      <c r="H1051" s="37">
        <f>IF(A1051="","",(YEAR(A1051)-YEAR(Config!$B$6))*12+MONTH(A1051)-MONTH(Config!$B$6)+1)</f>
        <v/>
      </c>
      <c r="I1051" s="19">
        <f>IF(AND(A1051="",B1051="",E1051=""),"",IF(A1051="","Falta data",IF(B1051="","Falta categoria",IF(E1051="","Falta valor",IF(C1051="Categoria inválida","Categoria inválida",IF(OR(H1051&lt;1,H1051&gt;12),"Fora dos 12 meses","OK"))))))</f>
        <v/>
      </c>
    </row>
    <row r="1052">
      <c r="A1052" s="35" t="n"/>
      <c r="B1052" s="31" t="n"/>
      <c r="C1052" s="19">
        <f>IF(B1052="","",IF(COUNTIF(Config!$D$6:$D$15,B1052)&gt;0,"Entrada",IF(COUNTIF(Config!$F$6:$F$25,B1052)&gt;0,"Saída","Categoria inválida")))</f>
        <v/>
      </c>
      <c r="D1052" s="31" t="n"/>
      <c r="E1052" s="33" t="n"/>
      <c r="F1052" s="36" t="n"/>
      <c r="G1052" s="31" t="n"/>
      <c r="H1052" s="37">
        <f>IF(A1052="","",(YEAR(A1052)-YEAR(Config!$B$6))*12+MONTH(A1052)-MONTH(Config!$B$6)+1)</f>
        <v/>
      </c>
      <c r="I1052" s="19">
        <f>IF(AND(A1052="",B1052="",E1052=""),"",IF(A1052="","Falta data",IF(B1052="","Falta categoria",IF(E1052="","Falta valor",IF(C1052="Categoria inválida","Categoria inválida",IF(OR(H1052&lt;1,H1052&gt;12),"Fora dos 12 meses","OK"))))))</f>
        <v/>
      </c>
    </row>
    <row r="1053">
      <c r="A1053" s="35" t="n"/>
      <c r="B1053" s="31" t="n"/>
      <c r="C1053" s="19">
        <f>IF(B1053="","",IF(COUNTIF(Config!$D$6:$D$15,B1053)&gt;0,"Entrada",IF(COUNTIF(Config!$F$6:$F$25,B1053)&gt;0,"Saída","Categoria inválida")))</f>
        <v/>
      </c>
      <c r="D1053" s="31" t="n"/>
      <c r="E1053" s="33" t="n"/>
      <c r="F1053" s="36" t="n"/>
      <c r="G1053" s="31" t="n"/>
      <c r="H1053" s="37">
        <f>IF(A1053="","",(YEAR(A1053)-YEAR(Config!$B$6))*12+MONTH(A1053)-MONTH(Config!$B$6)+1)</f>
        <v/>
      </c>
      <c r="I1053" s="19">
        <f>IF(AND(A1053="",B1053="",E1053=""),"",IF(A1053="","Falta data",IF(B1053="","Falta categoria",IF(E1053="","Falta valor",IF(C1053="Categoria inválida","Categoria inválida",IF(OR(H1053&lt;1,H1053&gt;12),"Fora dos 12 meses","OK"))))))</f>
        <v/>
      </c>
    </row>
    <row r="1054">
      <c r="A1054" s="35" t="n"/>
      <c r="B1054" s="31" t="n"/>
      <c r="C1054" s="19">
        <f>IF(B1054="","",IF(COUNTIF(Config!$D$6:$D$15,B1054)&gt;0,"Entrada",IF(COUNTIF(Config!$F$6:$F$25,B1054)&gt;0,"Saída","Categoria inválida")))</f>
        <v/>
      </c>
      <c r="D1054" s="31" t="n"/>
      <c r="E1054" s="33" t="n"/>
      <c r="F1054" s="36" t="n"/>
      <c r="G1054" s="31" t="n"/>
      <c r="H1054" s="37">
        <f>IF(A1054="","",(YEAR(A1054)-YEAR(Config!$B$6))*12+MONTH(A1054)-MONTH(Config!$B$6)+1)</f>
        <v/>
      </c>
      <c r="I1054" s="19">
        <f>IF(AND(A1054="",B1054="",E1054=""),"",IF(A1054="","Falta data",IF(B1054="","Falta categoria",IF(E1054="","Falta valor",IF(C1054="Categoria inválida","Categoria inválida",IF(OR(H1054&lt;1,H1054&gt;12),"Fora dos 12 meses","OK"))))))</f>
        <v/>
      </c>
    </row>
    <row r="1055">
      <c r="A1055" s="35" t="n"/>
      <c r="B1055" s="31" t="n"/>
      <c r="C1055" s="19">
        <f>IF(B1055="","",IF(COUNTIF(Config!$D$6:$D$15,B1055)&gt;0,"Entrada",IF(COUNTIF(Config!$F$6:$F$25,B1055)&gt;0,"Saída","Categoria inválida")))</f>
        <v/>
      </c>
      <c r="D1055" s="31" t="n"/>
      <c r="E1055" s="33" t="n"/>
      <c r="F1055" s="36" t="n"/>
      <c r="G1055" s="31" t="n"/>
      <c r="H1055" s="37">
        <f>IF(A1055="","",(YEAR(A1055)-YEAR(Config!$B$6))*12+MONTH(A1055)-MONTH(Config!$B$6)+1)</f>
        <v/>
      </c>
      <c r="I1055" s="19">
        <f>IF(AND(A1055="",B1055="",E1055=""),"",IF(A1055="","Falta data",IF(B1055="","Falta categoria",IF(E1055="","Falta valor",IF(C1055="Categoria inválida","Categoria inválida",IF(OR(H1055&lt;1,H1055&gt;12),"Fora dos 12 meses","OK"))))))</f>
        <v/>
      </c>
    </row>
    <row r="1056">
      <c r="A1056" s="35" t="n"/>
      <c r="B1056" s="31" t="n"/>
      <c r="C1056" s="19">
        <f>IF(B1056="","",IF(COUNTIF(Config!$D$6:$D$15,B1056)&gt;0,"Entrada",IF(COUNTIF(Config!$F$6:$F$25,B1056)&gt;0,"Saída","Categoria inválida")))</f>
        <v/>
      </c>
      <c r="D1056" s="31" t="n"/>
      <c r="E1056" s="33" t="n"/>
      <c r="F1056" s="36" t="n"/>
      <c r="G1056" s="31" t="n"/>
      <c r="H1056" s="37">
        <f>IF(A1056="","",(YEAR(A1056)-YEAR(Config!$B$6))*12+MONTH(A1056)-MONTH(Config!$B$6)+1)</f>
        <v/>
      </c>
      <c r="I1056" s="19">
        <f>IF(AND(A1056="",B1056="",E1056=""),"",IF(A1056="","Falta data",IF(B1056="","Falta categoria",IF(E1056="","Falta valor",IF(C1056="Categoria inválida","Categoria inválida",IF(OR(H1056&lt;1,H1056&gt;12),"Fora dos 12 meses","OK"))))))</f>
        <v/>
      </c>
    </row>
    <row r="1057">
      <c r="A1057" s="35" t="n"/>
      <c r="B1057" s="31" t="n"/>
      <c r="C1057" s="19">
        <f>IF(B1057="","",IF(COUNTIF(Config!$D$6:$D$15,B1057)&gt;0,"Entrada",IF(COUNTIF(Config!$F$6:$F$25,B1057)&gt;0,"Saída","Categoria inválida")))</f>
        <v/>
      </c>
      <c r="D1057" s="31" t="n"/>
      <c r="E1057" s="33" t="n"/>
      <c r="F1057" s="36" t="n"/>
      <c r="G1057" s="31" t="n"/>
      <c r="H1057" s="37">
        <f>IF(A1057="","",(YEAR(A1057)-YEAR(Config!$B$6))*12+MONTH(A1057)-MONTH(Config!$B$6)+1)</f>
        <v/>
      </c>
      <c r="I1057" s="19">
        <f>IF(AND(A1057="",B1057="",E1057=""),"",IF(A1057="","Falta data",IF(B1057="","Falta categoria",IF(E1057="","Falta valor",IF(C1057="Categoria inválida","Categoria inválida",IF(OR(H1057&lt;1,H1057&gt;12),"Fora dos 12 meses","OK"))))))</f>
        <v/>
      </c>
    </row>
    <row r="1058">
      <c r="A1058" s="35" t="n"/>
      <c r="B1058" s="31" t="n"/>
      <c r="C1058" s="19">
        <f>IF(B1058="","",IF(COUNTIF(Config!$D$6:$D$15,B1058)&gt;0,"Entrada",IF(COUNTIF(Config!$F$6:$F$25,B1058)&gt;0,"Saída","Categoria inválida")))</f>
        <v/>
      </c>
      <c r="D1058" s="31" t="n"/>
      <c r="E1058" s="33" t="n"/>
      <c r="F1058" s="36" t="n"/>
      <c r="G1058" s="31" t="n"/>
      <c r="H1058" s="37">
        <f>IF(A1058="","",(YEAR(A1058)-YEAR(Config!$B$6))*12+MONTH(A1058)-MONTH(Config!$B$6)+1)</f>
        <v/>
      </c>
      <c r="I1058" s="19">
        <f>IF(AND(A1058="",B1058="",E1058=""),"",IF(A1058="","Falta data",IF(B1058="","Falta categoria",IF(E1058="","Falta valor",IF(C1058="Categoria inválida","Categoria inválida",IF(OR(H1058&lt;1,H1058&gt;12),"Fora dos 12 meses","OK"))))))</f>
        <v/>
      </c>
    </row>
    <row r="1059">
      <c r="A1059" s="35" t="n"/>
      <c r="B1059" s="31" t="n"/>
      <c r="C1059" s="19">
        <f>IF(B1059="","",IF(COUNTIF(Config!$D$6:$D$15,B1059)&gt;0,"Entrada",IF(COUNTIF(Config!$F$6:$F$25,B1059)&gt;0,"Saída","Categoria inválida")))</f>
        <v/>
      </c>
      <c r="D1059" s="31" t="n"/>
      <c r="E1059" s="33" t="n"/>
      <c r="F1059" s="36" t="n"/>
      <c r="G1059" s="31" t="n"/>
      <c r="H1059" s="37">
        <f>IF(A1059="","",(YEAR(A1059)-YEAR(Config!$B$6))*12+MONTH(A1059)-MONTH(Config!$B$6)+1)</f>
        <v/>
      </c>
      <c r="I1059" s="19">
        <f>IF(AND(A1059="",B1059="",E1059=""),"",IF(A1059="","Falta data",IF(B1059="","Falta categoria",IF(E1059="","Falta valor",IF(C1059="Categoria inválida","Categoria inválida",IF(OR(H1059&lt;1,H1059&gt;12),"Fora dos 12 meses","OK"))))))</f>
        <v/>
      </c>
    </row>
    <row r="1060">
      <c r="A1060" s="35" t="n"/>
      <c r="B1060" s="31" t="n"/>
      <c r="C1060" s="19">
        <f>IF(B1060="","",IF(COUNTIF(Config!$D$6:$D$15,B1060)&gt;0,"Entrada",IF(COUNTIF(Config!$F$6:$F$25,B1060)&gt;0,"Saída","Categoria inválida")))</f>
        <v/>
      </c>
      <c r="D1060" s="31" t="n"/>
      <c r="E1060" s="33" t="n"/>
      <c r="F1060" s="36" t="n"/>
      <c r="G1060" s="31" t="n"/>
      <c r="H1060" s="37">
        <f>IF(A1060="","",(YEAR(A1060)-YEAR(Config!$B$6))*12+MONTH(A1060)-MONTH(Config!$B$6)+1)</f>
        <v/>
      </c>
      <c r="I1060" s="19">
        <f>IF(AND(A1060="",B1060="",E1060=""),"",IF(A1060="","Falta data",IF(B1060="","Falta categoria",IF(E1060="","Falta valor",IF(C1060="Categoria inválida","Categoria inválida",IF(OR(H1060&lt;1,H1060&gt;12),"Fora dos 12 meses","OK"))))))</f>
        <v/>
      </c>
    </row>
    <row r="1061">
      <c r="A1061" s="35" t="n"/>
      <c r="B1061" s="31" t="n"/>
      <c r="C1061" s="19">
        <f>IF(B1061="","",IF(COUNTIF(Config!$D$6:$D$15,B1061)&gt;0,"Entrada",IF(COUNTIF(Config!$F$6:$F$25,B1061)&gt;0,"Saída","Categoria inválida")))</f>
        <v/>
      </c>
      <c r="D1061" s="31" t="n"/>
      <c r="E1061" s="33" t="n"/>
      <c r="F1061" s="36" t="n"/>
      <c r="G1061" s="31" t="n"/>
      <c r="H1061" s="37">
        <f>IF(A1061="","",(YEAR(A1061)-YEAR(Config!$B$6))*12+MONTH(A1061)-MONTH(Config!$B$6)+1)</f>
        <v/>
      </c>
      <c r="I1061" s="19">
        <f>IF(AND(A1061="",B1061="",E1061=""),"",IF(A1061="","Falta data",IF(B1061="","Falta categoria",IF(E1061="","Falta valor",IF(C1061="Categoria inválida","Categoria inválida",IF(OR(H1061&lt;1,H1061&gt;12),"Fora dos 12 meses","OK"))))))</f>
        <v/>
      </c>
    </row>
    <row r="1062">
      <c r="A1062" s="35" t="n"/>
      <c r="B1062" s="31" t="n"/>
      <c r="C1062" s="19">
        <f>IF(B1062="","",IF(COUNTIF(Config!$D$6:$D$15,B1062)&gt;0,"Entrada",IF(COUNTIF(Config!$F$6:$F$25,B1062)&gt;0,"Saída","Categoria inválida")))</f>
        <v/>
      </c>
      <c r="D1062" s="31" t="n"/>
      <c r="E1062" s="33" t="n"/>
      <c r="F1062" s="36" t="n"/>
      <c r="G1062" s="31" t="n"/>
      <c r="H1062" s="37">
        <f>IF(A1062="","",(YEAR(A1062)-YEAR(Config!$B$6))*12+MONTH(A1062)-MONTH(Config!$B$6)+1)</f>
        <v/>
      </c>
      <c r="I1062" s="19">
        <f>IF(AND(A1062="",B1062="",E1062=""),"",IF(A1062="","Falta data",IF(B1062="","Falta categoria",IF(E1062="","Falta valor",IF(C1062="Categoria inválida","Categoria inválida",IF(OR(H1062&lt;1,H1062&gt;12),"Fora dos 12 meses","OK"))))))</f>
        <v/>
      </c>
    </row>
    <row r="1063">
      <c r="A1063" s="35" t="n"/>
      <c r="B1063" s="31" t="n"/>
      <c r="C1063" s="19">
        <f>IF(B1063="","",IF(COUNTIF(Config!$D$6:$D$15,B1063)&gt;0,"Entrada",IF(COUNTIF(Config!$F$6:$F$25,B1063)&gt;0,"Saída","Categoria inválida")))</f>
        <v/>
      </c>
      <c r="D1063" s="31" t="n"/>
      <c r="E1063" s="33" t="n"/>
      <c r="F1063" s="36" t="n"/>
      <c r="G1063" s="31" t="n"/>
      <c r="H1063" s="37">
        <f>IF(A1063="","",(YEAR(A1063)-YEAR(Config!$B$6))*12+MONTH(A1063)-MONTH(Config!$B$6)+1)</f>
        <v/>
      </c>
      <c r="I1063" s="19">
        <f>IF(AND(A1063="",B1063="",E1063=""),"",IF(A1063="","Falta data",IF(B1063="","Falta categoria",IF(E1063="","Falta valor",IF(C1063="Categoria inválida","Categoria inválida",IF(OR(H1063&lt;1,H1063&gt;12),"Fora dos 12 meses","OK"))))))</f>
        <v/>
      </c>
    </row>
    <row r="1064">
      <c r="A1064" s="35" t="n"/>
      <c r="B1064" s="31" t="n"/>
      <c r="C1064" s="19">
        <f>IF(B1064="","",IF(COUNTIF(Config!$D$6:$D$15,B1064)&gt;0,"Entrada",IF(COUNTIF(Config!$F$6:$F$25,B1064)&gt;0,"Saída","Categoria inválida")))</f>
        <v/>
      </c>
      <c r="D1064" s="31" t="n"/>
      <c r="E1064" s="33" t="n"/>
      <c r="F1064" s="36" t="n"/>
      <c r="G1064" s="31" t="n"/>
      <c r="H1064" s="37">
        <f>IF(A1064="","",(YEAR(A1064)-YEAR(Config!$B$6))*12+MONTH(A1064)-MONTH(Config!$B$6)+1)</f>
        <v/>
      </c>
      <c r="I1064" s="19">
        <f>IF(AND(A1064="",B1064="",E1064=""),"",IF(A1064="","Falta data",IF(B1064="","Falta categoria",IF(E1064="","Falta valor",IF(C1064="Categoria inválida","Categoria inválida",IF(OR(H1064&lt;1,H1064&gt;12),"Fora dos 12 meses","OK"))))))</f>
        <v/>
      </c>
    </row>
    <row r="1065">
      <c r="A1065" s="35" t="n"/>
      <c r="B1065" s="31" t="n"/>
      <c r="C1065" s="19">
        <f>IF(B1065="","",IF(COUNTIF(Config!$D$6:$D$15,B1065)&gt;0,"Entrada",IF(COUNTIF(Config!$F$6:$F$25,B1065)&gt;0,"Saída","Categoria inválida")))</f>
        <v/>
      </c>
      <c r="D1065" s="31" t="n"/>
      <c r="E1065" s="33" t="n"/>
      <c r="F1065" s="36" t="n"/>
      <c r="G1065" s="31" t="n"/>
      <c r="H1065" s="37">
        <f>IF(A1065="","",(YEAR(A1065)-YEAR(Config!$B$6))*12+MONTH(A1065)-MONTH(Config!$B$6)+1)</f>
        <v/>
      </c>
      <c r="I1065" s="19">
        <f>IF(AND(A1065="",B1065="",E1065=""),"",IF(A1065="","Falta data",IF(B1065="","Falta categoria",IF(E1065="","Falta valor",IF(C1065="Categoria inválida","Categoria inválida",IF(OR(H1065&lt;1,H1065&gt;12),"Fora dos 12 meses","OK"))))))</f>
        <v/>
      </c>
    </row>
    <row r="1066">
      <c r="A1066" s="35" t="n"/>
      <c r="B1066" s="31" t="n"/>
      <c r="C1066" s="19">
        <f>IF(B1066="","",IF(COUNTIF(Config!$D$6:$D$15,B1066)&gt;0,"Entrada",IF(COUNTIF(Config!$F$6:$F$25,B1066)&gt;0,"Saída","Categoria inválida")))</f>
        <v/>
      </c>
      <c r="D1066" s="31" t="n"/>
      <c r="E1066" s="33" t="n"/>
      <c r="F1066" s="36" t="n"/>
      <c r="G1066" s="31" t="n"/>
      <c r="H1066" s="37">
        <f>IF(A1066="","",(YEAR(A1066)-YEAR(Config!$B$6))*12+MONTH(A1066)-MONTH(Config!$B$6)+1)</f>
        <v/>
      </c>
      <c r="I1066" s="19">
        <f>IF(AND(A1066="",B1066="",E1066=""),"",IF(A1066="","Falta data",IF(B1066="","Falta categoria",IF(E1066="","Falta valor",IF(C1066="Categoria inválida","Categoria inválida",IF(OR(H1066&lt;1,H1066&gt;12),"Fora dos 12 meses","OK"))))))</f>
        <v/>
      </c>
    </row>
    <row r="1067">
      <c r="A1067" s="35" t="n"/>
      <c r="B1067" s="31" t="n"/>
      <c r="C1067" s="19">
        <f>IF(B1067="","",IF(COUNTIF(Config!$D$6:$D$15,B1067)&gt;0,"Entrada",IF(COUNTIF(Config!$F$6:$F$25,B1067)&gt;0,"Saída","Categoria inválida")))</f>
        <v/>
      </c>
      <c r="D1067" s="31" t="n"/>
      <c r="E1067" s="33" t="n"/>
      <c r="F1067" s="36" t="n"/>
      <c r="G1067" s="31" t="n"/>
      <c r="H1067" s="37">
        <f>IF(A1067="","",(YEAR(A1067)-YEAR(Config!$B$6))*12+MONTH(A1067)-MONTH(Config!$B$6)+1)</f>
        <v/>
      </c>
      <c r="I1067" s="19">
        <f>IF(AND(A1067="",B1067="",E1067=""),"",IF(A1067="","Falta data",IF(B1067="","Falta categoria",IF(E1067="","Falta valor",IF(C1067="Categoria inválida","Categoria inválida",IF(OR(H1067&lt;1,H1067&gt;12),"Fora dos 12 meses","OK"))))))</f>
        <v/>
      </c>
    </row>
    <row r="1068">
      <c r="A1068" s="35" t="n"/>
      <c r="B1068" s="31" t="n"/>
      <c r="C1068" s="19">
        <f>IF(B1068="","",IF(COUNTIF(Config!$D$6:$D$15,B1068)&gt;0,"Entrada",IF(COUNTIF(Config!$F$6:$F$25,B1068)&gt;0,"Saída","Categoria inválida")))</f>
        <v/>
      </c>
      <c r="D1068" s="31" t="n"/>
      <c r="E1068" s="33" t="n"/>
      <c r="F1068" s="36" t="n"/>
      <c r="G1068" s="31" t="n"/>
      <c r="H1068" s="37">
        <f>IF(A1068="","",(YEAR(A1068)-YEAR(Config!$B$6))*12+MONTH(A1068)-MONTH(Config!$B$6)+1)</f>
        <v/>
      </c>
      <c r="I1068" s="19">
        <f>IF(AND(A1068="",B1068="",E1068=""),"",IF(A1068="","Falta data",IF(B1068="","Falta categoria",IF(E1068="","Falta valor",IF(C1068="Categoria inválida","Categoria inválida",IF(OR(H1068&lt;1,H1068&gt;12),"Fora dos 12 meses","OK"))))))</f>
        <v/>
      </c>
    </row>
    <row r="1069">
      <c r="A1069" s="35" t="n"/>
      <c r="B1069" s="31" t="n"/>
      <c r="C1069" s="19">
        <f>IF(B1069="","",IF(COUNTIF(Config!$D$6:$D$15,B1069)&gt;0,"Entrada",IF(COUNTIF(Config!$F$6:$F$25,B1069)&gt;0,"Saída","Categoria inválida")))</f>
        <v/>
      </c>
      <c r="D1069" s="31" t="n"/>
      <c r="E1069" s="33" t="n"/>
      <c r="F1069" s="36" t="n"/>
      <c r="G1069" s="31" t="n"/>
      <c r="H1069" s="37">
        <f>IF(A1069="","",(YEAR(A1069)-YEAR(Config!$B$6))*12+MONTH(A1069)-MONTH(Config!$B$6)+1)</f>
        <v/>
      </c>
      <c r="I1069" s="19">
        <f>IF(AND(A1069="",B1069="",E1069=""),"",IF(A1069="","Falta data",IF(B1069="","Falta categoria",IF(E1069="","Falta valor",IF(C1069="Categoria inválida","Categoria inválida",IF(OR(H1069&lt;1,H1069&gt;12),"Fora dos 12 meses","OK"))))))</f>
        <v/>
      </c>
    </row>
    <row r="1070">
      <c r="A1070" s="35" t="n"/>
      <c r="B1070" s="31" t="n"/>
      <c r="C1070" s="19">
        <f>IF(B1070="","",IF(COUNTIF(Config!$D$6:$D$15,B1070)&gt;0,"Entrada",IF(COUNTIF(Config!$F$6:$F$25,B1070)&gt;0,"Saída","Categoria inválida")))</f>
        <v/>
      </c>
      <c r="D1070" s="31" t="n"/>
      <c r="E1070" s="33" t="n"/>
      <c r="F1070" s="36" t="n"/>
      <c r="G1070" s="31" t="n"/>
      <c r="H1070" s="37">
        <f>IF(A1070="","",(YEAR(A1070)-YEAR(Config!$B$6))*12+MONTH(A1070)-MONTH(Config!$B$6)+1)</f>
        <v/>
      </c>
      <c r="I1070" s="19">
        <f>IF(AND(A1070="",B1070="",E1070=""),"",IF(A1070="","Falta data",IF(B1070="","Falta categoria",IF(E1070="","Falta valor",IF(C1070="Categoria inválida","Categoria inválida",IF(OR(H1070&lt;1,H1070&gt;12),"Fora dos 12 meses","OK"))))))</f>
        <v/>
      </c>
    </row>
    <row r="1071">
      <c r="A1071" s="35" t="n"/>
      <c r="B1071" s="31" t="n"/>
      <c r="C1071" s="19">
        <f>IF(B1071="","",IF(COUNTIF(Config!$D$6:$D$15,B1071)&gt;0,"Entrada",IF(COUNTIF(Config!$F$6:$F$25,B1071)&gt;0,"Saída","Categoria inválida")))</f>
        <v/>
      </c>
      <c r="D1071" s="31" t="n"/>
      <c r="E1071" s="33" t="n"/>
      <c r="F1071" s="36" t="n"/>
      <c r="G1071" s="31" t="n"/>
      <c r="H1071" s="37">
        <f>IF(A1071="","",(YEAR(A1071)-YEAR(Config!$B$6))*12+MONTH(A1071)-MONTH(Config!$B$6)+1)</f>
        <v/>
      </c>
      <c r="I1071" s="19">
        <f>IF(AND(A1071="",B1071="",E1071=""),"",IF(A1071="","Falta data",IF(B1071="","Falta categoria",IF(E1071="","Falta valor",IF(C1071="Categoria inválida","Categoria inválida",IF(OR(H1071&lt;1,H1071&gt;12),"Fora dos 12 meses","OK"))))))</f>
        <v/>
      </c>
    </row>
    <row r="1072">
      <c r="A1072" s="35" t="n"/>
      <c r="B1072" s="31" t="n"/>
      <c r="C1072" s="19">
        <f>IF(B1072="","",IF(COUNTIF(Config!$D$6:$D$15,B1072)&gt;0,"Entrada",IF(COUNTIF(Config!$F$6:$F$25,B1072)&gt;0,"Saída","Categoria inválida")))</f>
        <v/>
      </c>
      <c r="D1072" s="31" t="n"/>
      <c r="E1072" s="33" t="n"/>
      <c r="F1072" s="36" t="n"/>
      <c r="G1072" s="31" t="n"/>
      <c r="H1072" s="37">
        <f>IF(A1072="","",(YEAR(A1072)-YEAR(Config!$B$6))*12+MONTH(A1072)-MONTH(Config!$B$6)+1)</f>
        <v/>
      </c>
      <c r="I1072" s="19">
        <f>IF(AND(A1072="",B1072="",E1072=""),"",IF(A1072="","Falta data",IF(B1072="","Falta categoria",IF(E1072="","Falta valor",IF(C1072="Categoria inválida","Categoria inválida",IF(OR(H1072&lt;1,H1072&gt;12),"Fora dos 12 meses","OK"))))))</f>
        <v/>
      </c>
    </row>
    <row r="1073">
      <c r="A1073" s="35" t="n"/>
      <c r="B1073" s="31" t="n"/>
      <c r="C1073" s="19">
        <f>IF(B1073="","",IF(COUNTIF(Config!$D$6:$D$15,B1073)&gt;0,"Entrada",IF(COUNTIF(Config!$F$6:$F$25,B1073)&gt;0,"Saída","Categoria inválida")))</f>
        <v/>
      </c>
      <c r="D1073" s="31" t="n"/>
      <c r="E1073" s="33" t="n"/>
      <c r="F1073" s="36" t="n"/>
      <c r="G1073" s="31" t="n"/>
      <c r="H1073" s="37">
        <f>IF(A1073="","",(YEAR(A1073)-YEAR(Config!$B$6))*12+MONTH(A1073)-MONTH(Config!$B$6)+1)</f>
        <v/>
      </c>
      <c r="I1073" s="19">
        <f>IF(AND(A1073="",B1073="",E1073=""),"",IF(A1073="","Falta data",IF(B1073="","Falta categoria",IF(E1073="","Falta valor",IF(C1073="Categoria inválida","Categoria inválida",IF(OR(H1073&lt;1,H1073&gt;12),"Fora dos 12 meses","OK"))))))</f>
        <v/>
      </c>
    </row>
    <row r="1074">
      <c r="A1074" s="35" t="n"/>
      <c r="B1074" s="31" t="n"/>
      <c r="C1074" s="19">
        <f>IF(B1074="","",IF(COUNTIF(Config!$D$6:$D$15,B1074)&gt;0,"Entrada",IF(COUNTIF(Config!$F$6:$F$25,B1074)&gt;0,"Saída","Categoria inválida")))</f>
        <v/>
      </c>
      <c r="D1074" s="31" t="n"/>
      <c r="E1074" s="33" t="n"/>
      <c r="F1074" s="36" t="n"/>
      <c r="G1074" s="31" t="n"/>
      <c r="H1074" s="37">
        <f>IF(A1074="","",(YEAR(A1074)-YEAR(Config!$B$6))*12+MONTH(A1074)-MONTH(Config!$B$6)+1)</f>
        <v/>
      </c>
      <c r="I1074" s="19">
        <f>IF(AND(A1074="",B1074="",E1074=""),"",IF(A1074="","Falta data",IF(B1074="","Falta categoria",IF(E1074="","Falta valor",IF(C1074="Categoria inválida","Categoria inválida",IF(OR(H1074&lt;1,H1074&gt;12),"Fora dos 12 meses","OK"))))))</f>
        <v/>
      </c>
    </row>
    <row r="1075">
      <c r="A1075" s="35" t="n"/>
      <c r="B1075" s="31" t="n"/>
      <c r="C1075" s="19">
        <f>IF(B1075="","",IF(COUNTIF(Config!$D$6:$D$15,B1075)&gt;0,"Entrada",IF(COUNTIF(Config!$F$6:$F$25,B1075)&gt;0,"Saída","Categoria inválida")))</f>
        <v/>
      </c>
      <c r="D1075" s="31" t="n"/>
      <c r="E1075" s="33" t="n"/>
      <c r="F1075" s="36" t="n"/>
      <c r="G1075" s="31" t="n"/>
      <c r="H1075" s="37">
        <f>IF(A1075="","",(YEAR(A1075)-YEAR(Config!$B$6))*12+MONTH(A1075)-MONTH(Config!$B$6)+1)</f>
        <v/>
      </c>
      <c r="I1075" s="19">
        <f>IF(AND(A1075="",B1075="",E1075=""),"",IF(A1075="","Falta data",IF(B1075="","Falta categoria",IF(E1075="","Falta valor",IF(C1075="Categoria inválida","Categoria inválida",IF(OR(H1075&lt;1,H1075&gt;12),"Fora dos 12 meses","OK"))))))</f>
        <v/>
      </c>
    </row>
    <row r="1076">
      <c r="A1076" s="35" t="n"/>
      <c r="B1076" s="31" t="n"/>
      <c r="C1076" s="19">
        <f>IF(B1076="","",IF(COUNTIF(Config!$D$6:$D$15,B1076)&gt;0,"Entrada",IF(COUNTIF(Config!$F$6:$F$25,B1076)&gt;0,"Saída","Categoria inválida")))</f>
        <v/>
      </c>
      <c r="D1076" s="31" t="n"/>
      <c r="E1076" s="33" t="n"/>
      <c r="F1076" s="36" t="n"/>
      <c r="G1076" s="31" t="n"/>
      <c r="H1076" s="37">
        <f>IF(A1076="","",(YEAR(A1076)-YEAR(Config!$B$6))*12+MONTH(A1076)-MONTH(Config!$B$6)+1)</f>
        <v/>
      </c>
      <c r="I1076" s="19">
        <f>IF(AND(A1076="",B1076="",E1076=""),"",IF(A1076="","Falta data",IF(B1076="","Falta categoria",IF(E1076="","Falta valor",IF(C1076="Categoria inválida","Categoria inválida",IF(OR(H1076&lt;1,H1076&gt;12),"Fora dos 12 meses","OK"))))))</f>
        <v/>
      </c>
    </row>
    <row r="1077">
      <c r="A1077" s="35" t="n"/>
      <c r="B1077" s="31" t="n"/>
      <c r="C1077" s="19">
        <f>IF(B1077="","",IF(COUNTIF(Config!$D$6:$D$15,B1077)&gt;0,"Entrada",IF(COUNTIF(Config!$F$6:$F$25,B1077)&gt;0,"Saída","Categoria inválida")))</f>
        <v/>
      </c>
      <c r="D1077" s="31" t="n"/>
      <c r="E1077" s="33" t="n"/>
      <c r="F1077" s="36" t="n"/>
      <c r="G1077" s="31" t="n"/>
      <c r="H1077" s="37">
        <f>IF(A1077="","",(YEAR(A1077)-YEAR(Config!$B$6))*12+MONTH(A1077)-MONTH(Config!$B$6)+1)</f>
        <v/>
      </c>
      <c r="I1077" s="19">
        <f>IF(AND(A1077="",B1077="",E1077=""),"",IF(A1077="","Falta data",IF(B1077="","Falta categoria",IF(E1077="","Falta valor",IF(C1077="Categoria inválida","Categoria inválida",IF(OR(H1077&lt;1,H1077&gt;12),"Fora dos 12 meses","OK"))))))</f>
        <v/>
      </c>
    </row>
    <row r="1078">
      <c r="A1078" s="35" t="n"/>
      <c r="B1078" s="31" t="n"/>
      <c r="C1078" s="19">
        <f>IF(B1078="","",IF(COUNTIF(Config!$D$6:$D$15,B1078)&gt;0,"Entrada",IF(COUNTIF(Config!$F$6:$F$25,B1078)&gt;0,"Saída","Categoria inválida")))</f>
        <v/>
      </c>
      <c r="D1078" s="31" t="n"/>
      <c r="E1078" s="33" t="n"/>
      <c r="F1078" s="36" t="n"/>
      <c r="G1078" s="31" t="n"/>
      <c r="H1078" s="37">
        <f>IF(A1078="","",(YEAR(A1078)-YEAR(Config!$B$6))*12+MONTH(A1078)-MONTH(Config!$B$6)+1)</f>
        <v/>
      </c>
      <c r="I1078" s="19">
        <f>IF(AND(A1078="",B1078="",E1078=""),"",IF(A1078="","Falta data",IF(B1078="","Falta categoria",IF(E1078="","Falta valor",IF(C1078="Categoria inválida","Categoria inválida",IF(OR(H1078&lt;1,H1078&gt;12),"Fora dos 12 meses","OK"))))))</f>
        <v/>
      </c>
    </row>
    <row r="1079">
      <c r="A1079" s="35" t="n"/>
      <c r="B1079" s="31" t="n"/>
      <c r="C1079" s="19">
        <f>IF(B1079="","",IF(COUNTIF(Config!$D$6:$D$15,B1079)&gt;0,"Entrada",IF(COUNTIF(Config!$F$6:$F$25,B1079)&gt;0,"Saída","Categoria inválida")))</f>
        <v/>
      </c>
      <c r="D1079" s="31" t="n"/>
      <c r="E1079" s="33" t="n"/>
      <c r="F1079" s="36" t="n"/>
      <c r="G1079" s="31" t="n"/>
      <c r="H1079" s="37">
        <f>IF(A1079="","",(YEAR(A1079)-YEAR(Config!$B$6))*12+MONTH(A1079)-MONTH(Config!$B$6)+1)</f>
        <v/>
      </c>
      <c r="I1079" s="19">
        <f>IF(AND(A1079="",B1079="",E1079=""),"",IF(A1079="","Falta data",IF(B1079="","Falta categoria",IF(E1079="","Falta valor",IF(C1079="Categoria inválida","Categoria inválida",IF(OR(H1079&lt;1,H1079&gt;12),"Fora dos 12 meses","OK"))))))</f>
        <v/>
      </c>
    </row>
    <row r="1080">
      <c r="A1080" s="35" t="n"/>
      <c r="B1080" s="31" t="n"/>
      <c r="C1080" s="19">
        <f>IF(B1080="","",IF(COUNTIF(Config!$D$6:$D$15,B1080)&gt;0,"Entrada",IF(COUNTIF(Config!$F$6:$F$25,B1080)&gt;0,"Saída","Categoria inválida")))</f>
        <v/>
      </c>
      <c r="D1080" s="31" t="n"/>
      <c r="E1080" s="33" t="n"/>
      <c r="F1080" s="36" t="n"/>
      <c r="G1080" s="31" t="n"/>
      <c r="H1080" s="37">
        <f>IF(A1080="","",(YEAR(A1080)-YEAR(Config!$B$6))*12+MONTH(A1080)-MONTH(Config!$B$6)+1)</f>
        <v/>
      </c>
      <c r="I1080" s="19">
        <f>IF(AND(A1080="",B1080="",E1080=""),"",IF(A1080="","Falta data",IF(B1080="","Falta categoria",IF(E1080="","Falta valor",IF(C1080="Categoria inválida","Categoria inválida",IF(OR(H1080&lt;1,H1080&gt;12),"Fora dos 12 meses","OK"))))))</f>
        <v/>
      </c>
    </row>
    <row r="1081">
      <c r="A1081" s="35" t="n"/>
      <c r="B1081" s="31" t="n"/>
      <c r="C1081" s="19">
        <f>IF(B1081="","",IF(COUNTIF(Config!$D$6:$D$15,B1081)&gt;0,"Entrada",IF(COUNTIF(Config!$F$6:$F$25,B1081)&gt;0,"Saída","Categoria inválida")))</f>
        <v/>
      </c>
      <c r="D1081" s="31" t="n"/>
      <c r="E1081" s="33" t="n"/>
      <c r="F1081" s="36" t="n"/>
      <c r="G1081" s="31" t="n"/>
      <c r="H1081" s="37">
        <f>IF(A1081="","",(YEAR(A1081)-YEAR(Config!$B$6))*12+MONTH(A1081)-MONTH(Config!$B$6)+1)</f>
        <v/>
      </c>
      <c r="I1081" s="19">
        <f>IF(AND(A1081="",B1081="",E1081=""),"",IF(A1081="","Falta data",IF(B1081="","Falta categoria",IF(E1081="","Falta valor",IF(C1081="Categoria inválida","Categoria inválida",IF(OR(H1081&lt;1,H1081&gt;12),"Fora dos 12 meses","OK"))))))</f>
        <v/>
      </c>
    </row>
    <row r="1082">
      <c r="A1082" s="35" t="n"/>
      <c r="B1082" s="31" t="n"/>
      <c r="C1082" s="19">
        <f>IF(B1082="","",IF(COUNTIF(Config!$D$6:$D$15,B1082)&gt;0,"Entrada",IF(COUNTIF(Config!$F$6:$F$25,B1082)&gt;0,"Saída","Categoria inválida")))</f>
        <v/>
      </c>
      <c r="D1082" s="31" t="n"/>
      <c r="E1082" s="33" t="n"/>
      <c r="F1082" s="36" t="n"/>
      <c r="G1082" s="31" t="n"/>
      <c r="H1082" s="37">
        <f>IF(A1082="","",(YEAR(A1082)-YEAR(Config!$B$6))*12+MONTH(A1082)-MONTH(Config!$B$6)+1)</f>
        <v/>
      </c>
      <c r="I1082" s="19">
        <f>IF(AND(A1082="",B1082="",E1082=""),"",IF(A1082="","Falta data",IF(B1082="","Falta categoria",IF(E1082="","Falta valor",IF(C1082="Categoria inválida","Categoria inválida",IF(OR(H1082&lt;1,H1082&gt;12),"Fora dos 12 meses","OK"))))))</f>
        <v/>
      </c>
    </row>
    <row r="1083">
      <c r="A1083" s="35" t="n"/>
      <c r="B1083" s="31" t="n"/>
      <c r="C1083" s="19">
        <f>IF(B1083="","",IF(COUNTIF(Config!$D$6:$D$15,B1083)&gt;0,"Entrada",IF(COUNTIF(Config!$F$6:$F$25,B1083)&gt;0,"Saída","Categoria inválida")))</f>
        <v/>
      </c>
      <c r="D1083" s="31" t="n"/>
      <c r="E1083" s="33" t="n"/>
      <c r="F1083" s="36" t="n"/>
      <c r="G1083" s="31" t="n"/>
      <c r="H1083" s="37">
        <f>IF(A1083="","",(YEAR(A1083)-YEAR(Config!$B$6))*12+MONTH(A1083)-MONTH(Config!$B$6)+1)</f>
        <v/>
      </c>
      <c r="I1083" s="19">
        <f>IF(AND(A1083="",B1083="",E1083=""),"",IF(A1083="","Falta data",IF(B1083="","Falta categoria",IF(E1083="","Falta valor",IF(C1083="Categoria inválida","Categoria inválida",IF(OR(H1083&lt;1,H1083&gt;12),"Fora dos 12 meses","OK"))))))</f>
        <v/>
      </c>
    </row>
    <row r="1084">
      <c r="A1084" s="35" t="n"/>
      <c r="B1084" s="31" t="n"/>
      <c r="C1084" s="19">
        <f>IF(B1084="","",IF(COUNTIF(Config!$D$6:$D$15,B1084)&gt;0,"Entrada",IF(COUNTIF(Config!$F$6:$F$25,B1084)&gt;0,"Saída","Categoria inválida")))</f>
        <v/>
      </c>
      <c r="D1084" s="31" t="n"/>
      <c r="E1084" s="33" t="n"/>
      <c r="F1084" s="36" t="n"/>
      <c r="G1084" s="31" t="n"/>
      <c r="H1084" s="37">
        <f>IF(A1084="","",(YEAR(A1084)-YEAR(Config!$B$6))*12+MONTH(A1084)-MONTH(Config!$B$6)+1)</f>
        <v/>
      </c>
      <c r="I1084" s="19">
        <f>IF(AND(A1084="",B1084="",E1084=""),"",IF(A1084="","Falta data",IF(B1084="","Falta categoria",IF(E1084="","Falta valor",IF(C1084="Categoria inválida","Categoria inválida",IF(OR(H1084&lt;1,H1084&gt;12),"Fora dos 12 meses","OK"))))))</f>
        <v/>
      </c>
    </row>
    <row r="1085">
      <c r="A1085" s="35" t="n"/>
      <c r="B1085" s="31" t="n"/>
      <c r="C1085" s="19">
        <f>IF(B1085="","",IF(COUNTIF(Config!$D$6:$D$15,B1085)&gt;0,"Entrada",IF(COUNTIF(Config!$F$6:$F$25,B1085)&gt;0,"Saída","Categoria inválida")))</f>
        <v/>
      </c>
      <c r="D1085" s="31" t="n"/>
      <c r="E1085" s="33" t="n"/>
      <c r="F1085" s="36" t="n"/>
      <c r="G1085" s="31" t="n"/>
      <c r="H1085" s="37">
        <f>IF(A1085="","",(YEAR(A1085)-YEAR(Config!$B$6))*12+MONTH(A1085)-MONTH(Config!$B$6)+1)</f>
        <v/>
      </c>
      <c r="I1085" s="19">
        <f>IF(AND(A1085="",B1085="",E1085=""),"",IF(A1085="","Falta data",IF(B1085="","Falta categoria",IF(E1085="","Falta valor",IF(C1085="Categoria inválida","Categoria inválida",IF(OR(H1085&lt;1,H1085&gt;12),"Fora dos 12 meses","OK"))))))</f>
        <v/>
      </c>
    </row>
    <row r="1086">
      <c r="A1086" s="35" t="n"/>
      <c r="B1086" s="31" t="n"/>
      <c r="C1086" s="19">
        <f>IF(B1086="","",IF(COUNTIF(Config!$D$6:$D$15,B1086)&gt;0,"Entrada",IF(COUNTIF(Config!$F$6:$F$25,B1086)&gt;0,"Saída","Categoria inválida")))</f>
        <v/>
      </c>
      <c r="D1086" s="31" t="n"/>
      <c r="E1086" s="33" t="n"/>
      <c r="F1086" s="36" t="n"/>
      <c r="G1086" s="31" t="n"/>
      <c r="H1086" s="37">
        <f>IF(A1086="","",(YEAR(A1086)-YEAR(Config!$B$6))*12+MONTH(A1086)-MONTH(Config!$B$6)+1)</f>
        <v/>
      </c>
      <c r="I1086" s="19">
        <f>IF(AND(A1086="",B1086="",E1086=""),"",IF(A1086="","Falta data",IF(B1086="","Falta categoria",IF(E1086="","Falta valor",IF(C1086="Categoria inválida","Categoria inválida",IF(OR(H1086&lt;1,H1086&gt;12),"Fora dos 12 meses","OK"))))))</f>
        <v/>
      </c>
    </row>
    <row r="1087">
      <c r="A1087" s="35" t="n"/>
      <c r="B1087" s="31" t="n"/>
      <c r="C1087" s="19">
        <f>IF(B1087="","",IF(COUNTIF(Config!$D$6:$D$15,B1087)&gt;0,"Entrada",IF(COUNTIF(Config!$F$6:$F$25,B1087)&gt;0,"Saída","Categoria inválida")))</f>
        <v/>
      </c>
      <c r="D1087" s="31" t="n"/>
      <c r="E1087" s="33" t="n"/>
      <c r="F1087" s="36" t="n"/>
      <c r="G1087" s="31" t="n"/>
      <c r="H1087" s="37">
        <f>IF(A1087="","",(YEAR(A1087)-YEAR(Config!$B$6))*12+MONTH(A1087)-MONTH(Config!$B$6)+1)</f>
        <v/>
      </c>
      <c r="I1087" s="19">
        <f>IF(AND(A1087="",B1087="",E1087=""),"",IF(A1087="","Falta data",IF(B1087="","Falta categoria",IF(E1087="","Falta valor",IF(C1087="Categoria inválida","Categoria inválida",IF(OR(H1087&lt;1,H1087&gt;12),"Fora dos 12 meses","OK"))))))</f>
        <v/>
      </c>
    </row>
    <row r="1088">
      <c r="A1088" s="35" t="n"/>
      <c r="B1088" s="31" t="n"/>
      <c r="C1088" s="19">
        <f>IF(B1088="","",IF(COUNTIF(Config!$D$6:$D$15,B1088)&gt;0,"Entrada",IF(COUNTIF(Config!$F$6:$F$25,B1088)&gt;0,"Saída","Categoria inválida")))</f>
        <v/>
      </c>
      <c r="D1088" s="31" t="n"/>
      <c r="E1088" s="33" t="n"/>
      <c r="F1088" s="36" t="n"/>
      <c r="G1088" s="31" t="n"/>
      <c r="H1088" s="37">
        <f>IF(A1088="","",(YEAR(A1088)-YEAR(Config!$B$6))*12+MONTH(A1088)-MONTH(Config!$B$6)+1)</f>
        <v/>
      </c>
      <c r="I1088" s="19">
        <f>IF(AND(A1088="",B1088="",E1088=""),"",IF(A1088="","Falta data",IF(B1088="","Falta categoria",IF(E1088="","Falta valor",IF(C1088="Categoria inválida","Categoria inválida",IF(OR(H1088&lt;1,H1088&gt;12),"Fora dos 12 meses","OK"))))))</f>
        <v/>
      </c>
    </row>
    <row r="1089">
      <c r="A1089" s="35" t="n"/>
      <c r="B1089" s="31" t="n"/>
      <c r="C1089" s="19">
        <f>IF(B1089="","",IF(COUNTIF(Config!$D$6:$D$15,B1089)&gt;0,"Entrada",IF(COUNTIF(Config!$F$6:$F$25,B1089)&gt;0,"Saída","Categoria inválida")))</f>
        <v/>
      </c>
      <c r="D1089" s="31" t="n"/>
      <c r="E1089" s="33" t="n"/>
      <c r="F1089" s="36" t="n"/>
      <c r="G1089" s="31" t="n"/>
      <c r="H1089" s="37">
        <f>IF(A1089="","",(YEAR(A1089)-YEAR(Config!$B$6))*12+MONTH(A1089)-MONTH(Config!$B$6)+1)</f>
        <v/>
      </c>
      <c r="I1089" s="19">
        <f>IF(AND(A1089="",B1089="",E1089=""),"",IF(A1089="","Falta data",IF(B1089="","Falta categoria",IF(E1089="","Falta valor",IF(C1089="Categoria inválida","Categoria inválida",IF(OR(H1089&lt;1,H1089&gt;12),"Fora dos 12 meses","OK"))))))</f>
        <v/>
      </c>
    </row>
    <row r="1090">
      <c r="A1090" s="35" t="n"/>
      <c r="B1090" s="31" t="n"/>
      <c r="C1090" s="19">
        <f>IF(B1090="","",IF(COUNTIF(Config!$D$6:$D$15,B1090)&gt;0,"Entrada",IF(COUNTIF(Config!$F$6:$F$25,B1090)&gt;0,"Saída","Categoria inválida")))</f>
        <v/>
      </c>
      <c r="D1090" s="31" t="n"/>
      <c r="E1090" s="33" t="n"/>
      <c r="F1090" s="36" t="n"/>
      <c r="G1090" s="31" t="n"/>
      <c r="H1090" s="37">
        <f>IF(A1090="","",(YEAR(A1090)-YEAR(Config!$B$6))*12+MONTH(A1090)-MONTH(Config!$B$6)+1)</f>
        <v/>
      </c>
      <c r="I1090" s="19">
        <f>IF(AND(A1090="",B1090="",E1090=""),"",IF(A1090="","Falta data",IF(B1090="","Falta categoria",IF(E1090="","Falta valor",IF(C1090="Categoria inválida","Categoria inválida",IF(OR(H1090&lt;1,H1090&gt;12),"Fora dos 12 meses","OK"))))))</f>
        <v/>
      </c>
    </row>
    <row r="1091">
      <c r="A1091" s="35" t="n"/>
      <c r="B1091" s="31" t="n"/>
      <c r="C1091" s="19">
        <f>IF(B1091="","",IF(COUNTIF(Config!$D$6:$D$15,B1091)&gt;0,"Entrada",IF(COUNTIF(Config!$F$6:$F$25,B1091)&gt;0,"Saída","Categoria inválida")))</f>
        <v/>
      </c>
      <c r="D1091" s="31" t="n"/>
      <c r="E1091" s="33" t="n"/>
      <c r="F1091" s="36" t="n"/>
      <c r="G1091" s="31" t="n"/>
      <c r="H1091" s="37">
        <f>IF(A1091="","",(YEAR(A1091)-YEAR(Config!$B$6))*12+MONTH(A1091)-MONTH(Config!$B$6)+1)</f>
        <v/>
      </c>
      <c r="I1091" s="19">
        <f>IF(AND(A1091="",B1091="",E1091=""),"",IF(A1091="","Falta data",IF(B1091="","Falta categoria",IF(E1091="","Falta valor",IF(C1091="Categoria inválida","Categoria inválida",IF(OR(H1091&lt;1,H1091&gt;12),"Fora dos 12 meses","OK"))))))</f>
        <v/>
      </c>
    </row>
    <row r="1092">
      <c r="A1092" s="35" t="n"/>
      <c r="B1092" s="31" t="n"/>
      <c r="C1092" s="19">
        <f>IF(B1092="","",IF(COUNTIF(Config!$D$6:$D$15,B1092)&gt;0,"Entrada",IF(COUNTIF(Config!$F$6:$F$25,B1092)&gt;0,"Saída","Categoria inválida")))</f>
        <v/>
      </c>
      <c r="D1092" s="31" t="n"/>
      <c r="E1092" s="33" t="n"/>
      <c r="F1092" s="36" t="n"/>
      <c r="G1092" s="31" t="n"/>
      <c r="H1092" s="37">
        <f>IF(A1092="","",(YEAR(A1092)-YEAR(Config!$B$6))*12+MONTH(A1092)-MONTH(Config!$B$6)+1)</f>
        <v/>
      </c>
      <c r="I1092" s="19">
        <f>IF(AND(A1092="",B1092="",E1092=""),"",IF(A1092="","Falta data",IF(B1092="","Falta categoria",IF(E1092="","Falta valor",IF(C1092="Categoria inválida","Categoria inválida",IF(OR(H1092&lt;1,H1092&gt;12),"Fora dos 12 meses","OK"))))))</f>
        <v/>
      </c>
    </row>
    <row r="1093">
      <c r="A1093" s="35" t="n"/>
      <c r="B1093" s="31" t="n"/>
      <c r="C1093" s="19">
        <f>IF(B1093="","",IF(COUNTIF(Config!$D$6:$D$15,B1093)&gt;0,"Entrada",IF(COUNTIF(Config!$F$6:$F$25,B1093)&gt;0,"Saída","Categoria inválida")))</f>
        <v/>
      </c>
      <c r="D1093" s="31" t="n"/>
      <c r="E1093" s="33" t="n"/>
      <c r="F1093" s="36" t="n"/>
      <c r="G1093" s="31" t="n"/>
      <c r="H1093" s="37">
        <f>IF(A1093="","",(YEAR(A1093)-YEAR(Config!$B$6))*12+MONTH(A1093)-MONTH(Config!$B$6)+1)</f>
        <v/>
      </c>
      <c r="I1093" s="19">
        <f>IF(AND(A1093="",B1093="",E1093=""),"",IF(A1093="","Falta data",IF(B1093="","Falta categoria",IF(E1093="","Falta valor",IF(C1093="Categoria inválida","Categoria inválida",IF(OR(H1093&lt;1,H1093&gt;12),"Fora dos 12 meses","OK"))))))</f>
        <v/>
      </c>
    </row>
    <row r="1094">
      <c r="A1094" s="35" t="n"/>
      <c r="B1094" s="31" t="n"/>
      <c r="C1094" s="19">
        <f>IF(B1094="","",IF(COUNTIF(Config!$D$6:$D$15,B1094)&gt;0,"Entrada",IF(COUNTIF(Config!$F$6:$F$25,B1094)&gt;0,"Saída","Categoria inválida")))</f>
        <v/>
      </c>
      <c r="D1094" s="31" t="n"/>
      <c r="E1094" s="33" t="n"/>
      <c r="F1094" s="36" t="n"/>
      <c r="G1094" s="31" t="n"/>
      <c r="H1094" s="37">
        <f>IF(A1094="","",(YEAR(A1094)-YEAR(Config!$B$6))*12+MONTH(A1094)-MONTH(Config!$B$6)+1)</f>
        <v/>
      </c>
      <c r="I1094" s="19">
        <f>IF(AND(A1094="",B1094="",E1094=""),"",IF(A1094="","Falta data",IF(B1094="","Falta categoria",IF(E1094="","Falta valor",IF(C1094="Categoria inválida","Categoria inválida",IF(OR(H1094&lt;1,H1094&gt;12),"Fora dos 12 meses","OK"))))))</f>
        <v/>
      </c>
    </row>
    <row r="1095">
      <c r="A1095" s="35" t="n"/>
      <c r="B1095" s="31" t="n"/>
      <c r="C1095" s="19">
        <f>IF(B1095="","",IF(COUNTIF(Config!$D$6:$D$15,B1095)&gt;0,"Entrada",IF(COUNTIF(Config!$F$6:$F$25,B1095)&gt;0,"Saída","Categoria inválida")))</f>
        <v/>
      </c>
      <c r="D1095" s="31" t="n"/>
      <c r="E1095" s="33" t="n"/>
      <c r="F1095" s="36" t="n"/>
      <c r="G1095" s="31" t="n"/>
      <c r="H1095" s="37">
        <f>IF(A1095="","",(YEAR(A1095)-YEAR(Config!$B$6))*12+MONTH(A1095)-MONTH(Config!$B$6)+1)</f>
        <v/>
      </c>
      <c r="I1095" s="19">
        <f>IF(AND(A1095="",B1095="",E1095=""),"",IF(A1095="","Falta data",IF(B1095="","Falta categoria",IF(E1095="","Falta valor",IF(C1095="Categoria inválida","Categoria inválida",IF(OR(H1095&lt;1,H1095&gt;12),"Fora dos 12 meses","OK"))))))</f>
        <v/>
      </c>
    </row>
    <row r="1096">
      <c r="A1096" s="35" t="n"/>
      <c r="B1096" s="31" t="n"/>
      <c r="C1096" s="19">
        <f>IF(B1096="","",IF(COUNTIF(Config!$D$6:$D$15,B1096)&gt;0,"Entrada",IF(COUNTIF(Config!$F$6:$F$25,B1096)&gt;0,"Saída","Categoria inválida")))</f>
        <v/>
      </c>
      <c r="D1096" s="31" t="n"/>
      <c r="E1096" s="33" t="n"/>
      <c r="F1096" s="36" t="n"/>
      <c r="G1096" s="31" t="n"/>
      <c r="H1096" s="37">
        <f>IF(A1096="","",(YEAR(A1096)-YEAR(Config!$B$6))*12+MONTH(A1096)-MONTH(Config!$B$6)+1)</f>
        <v/>
      </c>
      <c r="I1096" s="19">
        <f>IF(AND(A1096="",B1096="",E1096=""),"",IF(A1096="","Falta data",IF(B1096="","Falta categoria",IF(E1096="","Falta valor",IF(C1096="Categoria inválida","Categoria inválida",IF(OR(H1096&lt;1,H1096&gt;12),"Fora dos 12 meses","OK"))))))</f>
        <v/>
      </c>
    </row>
    <row r="1097">
      <c r="A1097" s="35" t="n"/>
      <c r="B1097" s="31" t="n"/>
      <c r="C1097" s="19">
        <f>IF(B1097="","",IF(COUNTIF(Config!$D$6:$D$15,B1097)&gt;0,"Entrada",IF(COUNTIF(Config!$F$6:$F$25,B1097)&gt;0,"Saída","Categoria inválida")))</f>
        <v/>
      </c>
      <c r="D1097" s="31" t="n"/>
      <c r="E1097" s="33" t="n"/>
      <c r="F1097" s="36" t="n"/>
      <c r="G1097" s="31" t="n"/>
      <c r="H1097" s="37">
        <f>IF(A1097="","",(YEAR(A1097)-YEAR(Config!$B$6))*12+MONTH(A1097)-MONTH(Config!$B$6)+1)</f>
        <v/>
      </c>
      <c r="I1097" s="19">
        <f>IF(AND(A1097="",B1097="",E1097=""),"",IF(A1097="","Falta data",IF(B1097="","Falta categoria",IF(E1097="","Falta valor",IF(C1097="Categoria inválida","Categoria inválida",IF(OR(H1097&lt;1,H1097&gt;12),"Fora dos 12 meses","OK"))))))</f>
        <v/>
      </c>
    </row>
    <row r="1098">
      <c r="A1098" s="35" t="n"/>
      <c r="B1098" s="31" t="n"/>
      <c r="C1098" s="19">
        <f>IF(B1098="","",IF(COUNTIF(Config!$D$6:$D$15,B1098)&gt;0,"Entrada",IF(COUNTIF(Config!$F$6:$F$25,B1098)&gt;0,"Saída","Categoria inválida")))</f>
        <v/>
      </c>
      <c r="D1098" s="31" t="n"/>
      <c r="E1098" s="33" t="n"/>
      <c r="F1098" s="36" t="n"/>
      <c r="G1098" s="31" t="n"/>
      <c r="H1098" s="37">
        <f>IF(A1098="","",(YEAR(A1098)-YEAR(Config!$B$6))*12+MONTH(A1098)-MONTH(Config!$B$6)+1)</f>
        <v/>
      </c>
      <c r="I1098" s="19">
        <f>IF(AND(A1098="",B1098="",E1098=""),"",IF(A1098="","Falta data",IF(B1098="","Falta categoria",IF(E1098="","Falta valor",IF(C1098="Categoria inválida","Categoria inválida",IF(OR(H1098&lt;1,H1098&gt;12),"Fora dos 12 meses","OK"))))))</f>
        <v/>
      </c>
    </row>
    <row r="1099">
      <c r="A1099" s="35" t="n"/>
      <c r="B1099" s="31" t="n"/>
      <c r="C1099" s="19">
        <f>IF(B1099="","",IF(COUNTIF(Config!$D$6:$D$15,B1099)&gt;0,"Entrada",IF(COUNTIF(Config!$F$6:$F$25,B1099)&gt;0,"Saída","Categoria inválida")))</f>
        <v/>
      </c>
      <c r="D1099" s="31" t="n"/>
      <c r="E1099" s="33" t="n"/>
      <c r="F1099" s="36" t="n"/>
      <c r="G1099" s="31" t="n"/>
      <c r="H1099" s="37">
        <f>IF(A1099="","",(YEAR(A1099)-YEAR(Config!$B$6))*12+MONTH(A1099)-MONTH(Config!$B$6)+1)</f>
        <v/>
      </c>
      <c r="I1099" s="19">
        <f>IF(AND(A1099="",B1099="",E1099=""),"",IF(A1099="","Falta data",IF(B1099="","Falta categoria",IF(E1099="","Falta valor",IF(C1099="Categoria inválida","Categoria inválida",IF(OR(H1099&lt;1,H1099&gt;12),"Fora dos 12 meses","OK"))))))</f>
        <v/>
      </c>
    </row>
    <row r="1100">
      <c r="A1100" s="35" t="n"/>
      <c r="B1100" s="31" t="n"/>
      <c r="C1100" s="19">
        <f>IF(B1100="","",IF(COUNTIF(Config!$D$6:$D$15,B1100)&gt;0,"Entrada",IF(COUNTIF(Config!$F$6:$F$25,B1100)&gt;0,"Saída","Categoria inválida")))</f>
        <v/>
      </c>
      <c r="D1100" s="31" t="n"/>
      <c r="E1100" s="33" t="n"/>
      <c r="F1100" s="36" t="n"/>
      <c r="G1100" s="31" t="n"/>
      <c r="H1100" s="37">
        <f>IF(A1100="","",(YEAR(A1100)-YEAR(Config!$B$6))*12+MONTH(A1100)-MONTH(Config!$B$6)+1)</f>
        <v/>
      </c>
      <c r="I1100" s="19">
        <f>IF(AND(A1100="",B1100="",E1100=""),"",IF(A1100="","Falta data",IF(B1100="","Falta categoria",IF(E1100="","Falta valor",IF(C1100="Categoria inválida","Categoria inválida",IF(OR(H1100&lt;1,H1100&gt;12),"Fora dos 12 meses","OK"))))))</f>
        <v/>
      </c>
    </row>
    <row r="1101">
      <c r="A1101" s="35" t="n"/>
      <c r="B1101" s="31" t="n"/>
      <c r="C1101" s="19">
        <f>IF(B1101="","",IF(COUNTIF(Config!$D$6:$D$15,B1101)&gt;0,"Entrada",IF(COUNTIF(Config!$F$6:$F$25,B1101)&gt;0,"Saída","Categoria inválida")))</f>
        <v/>
      </c>
      <c r="D1101" s="31" t="n"/>
      <c r="E1101" s="33" t="n"/>
      <c r="F1101" s="36" t="n"/>
      <c r="G1101" s="31" t="n"/>
      <c r="H1101" s="37">
        <f>IF(A1101="","",(YEAR(A1101)-YEAR(Config!$B$6))*12+MONTH(A1101)-MONTH(Config!$B$6)+1)</f>
        <v/>
      </c>
      <c r="I1101" s="19">
        <f>IF(AND(A1101="",B1101="",E1101=""),"",IF(A1101="","Falta data",IF(B1101="","Falta categoria",IF(E1101="","Falta valor",IF(C1101="Categoria inválida","Categoria inválida",IF(OR(H1101&lt;1,H1101&gt;12),"Fora dos 12 meses","OK"))))))</f>
        <v/>
      </c>
    </row>
    <row r="1102">
      <c r="A1102" s="35" t="n"/>
      <c r="B1102" s="31" t="n"/>
      <c r="C1102" s="19">
        <f>IF(B1102="","",IF(COUNTIF(Config!$D$6:$D$15,B1102)&gt;0,"Entrada",IF(COUNTIF(Config!$F$6:$F$25,B1102)&gt;0,"Saída","Categoria inválida")))</f>
        <v/>
      </c>
      <c r="D1102" s="31" t="n"/>
      <c r="E1102" s="33" t="n"/>
      <c r="F1102" s="36" t="n"/>
      <c r="G1102" s="31" t="n"/>
      <c r="H1102" s="37">
        <f>IF(A1102="","",(YEAR(A1102)-YEAR(Config!$B$6))*12+MONTH(A1102)-MONTH(Config!$B$6)+1)</f>
        <v/>
      </c>
      <c r="I1102" s="19">
        <f>IF(AND(A1102="",B1102="",E1102=""),"",IF(A1102="","Falta data",IF(B1102="","Falta categoria",IF(E1102="","Falta valor",IF(C1102="Categoria inválida","Categoria inválida",IF(OR(H1102&lt;1,H1102&gt;12),"Fora dos 12 meses","OK"))))))</f>
        <v/>
      </c>
    </row>
    <row r="1103">
      <c r="A1103" s="35" t="n"/>
      <c r="B1103" s="31" t="n"/>
      <c r="C1103" s="19">
        <f>IF(B1103="","",IF(COUNTIF(Config!$D$6:$D$15,B1103)&gt;0,"Entrada",IF(COUNTIF(Config!$F$6:$F$25,B1103)&gt;0,"Saída","Categoria inválida")))</f>
        <v/>
      </c>
      <c r="D1103" s="31" t="n"/>
      <c r="E1103" s="33" t="n"/>
      <c r="F1103" s="36" t="n"/>
      <c r="G1103" s="31" t="n"/>
      <c r="H1103" s="37">
        <f>IF(A1103="","",(YEAR(A1103)-YEAR(Config!$B$6))*12+MONTH(A1103)-MONTH(Config!$B$6)+1)</f>
        <v/>
      </c>
      <c r="I1103" s="19">
        <f>IF(AND(A1103="",B1103="",E1103=""),"",IF(A1103="","Falta data",IF(B1103="","Falta categoria",IF(E1103="","Falta valor",IF(C1103="Categoria inválida","Categoria inválida",IF(OR(H1103&lt;1,H1103&gt;12),"Fora dos 12 meses","OK"))))))</f>
        <v/>
      </c>
    </row>
    <row r="1104">
      <c r="A1104" s="35" t="n"/>
      <c r="B1104" s="31" t="n"/>
      <c r="C1104" s="19">
        <f>IF(B1104="","",IF(COUNTIF(Config!$D$6:$D$15,B1104)&gt;0,"Entrada",IF(COUNTIF(Config!$F$6:$F$25,B1104)&gt;0,"Saída","Categoria inválida")))</f>
        <v/>
      </c>
      <c r="D1104" s="31" t="n"/>
      <c r="E1104" s="33" t="n"/>
      <c r="F1104" s="36" t="n"/>
      <c r="G1104" s="31" t="n"/>
      <c r="H1104" s="37">
        <f>IF(A1104="","",(YEAR(A1104)-YEAR(Config!$B$6))*12+MONTH(A1104)-MONTH(Config!$B$6)+1)</f>
        <v/>
      </c>
      <c r="I1104" s="19">
        <f>IF(AND(A1104="",B1104="",E1104=""),"",IF(A1104="","Falta data",IF(B1104="","Falta categoria",IF(E1104="","Falta valor",IF(C1104="Categoria inválida","Categoria inválida",IF(OR(H1104&lt;1,H1104&gt;12),"Fora dos 12 meses","OK"))))))</f>
        <v/>
      </c>
    </row>
    <row r="1105">
      <c r="A1105" s="35" t="n"/>
      <c r="B1105" s="31" t="n"/>
      <c r="C1105" s="19">
        <f>IF(B1105="","",IF(COUNTIF(Config!$D$6:$D$15,B1105)&gt;0,"Entrada",IF(COUNTIF(Config!$F$6:$F$25,B1105)&gt;0,"Saída","Categoria inválida")))</f>
        <v/>
      </c>
      <c r="D1105" s="31" t="n"/>
      <c r="E1105" s="33" t="n"/>
      <c r="F1105" s="36" t="n"/>
      <c r="G1105" s="31" t="n"/>
      <c r="H1105" s="37">
        <f>IF(A1105="","",(YEAR(A1105)-YEAR(Config!$B$6))*12+MONTH(A1105)-MONTH(Config!$B$6)+1)</f>
        <v/>
      </c>
      <c r="I1105" s="19">
        <f>IF(AND(A1105="",B1105="",E1105=""),"",IF(A1105="","Falta data",IF(B1105="","Falta categoria",IF(E1105="","Falta valor",IF(C1105="Categoria inválida","Categoria inválida",IF(OR(H1105&lt;1,H1105&gt;12),"Fora dos 12 meses","OK"))))))</f>
        <v/>
      </c>
    </row>
    <row r="1106">
      <c r="A1106" s="35" t="n"/>
      <c r="B1106" s="31" t="n"/>
      <c r="C1106" s="19">
        <f>IF(B1106="","",IF(COUNTIF(Config!$D$6:$D$15,B1106)&gt;0,"Entrada",IF(COUNTIF(Config!$F$6:$F$25,B1106)&gt;0,"Saída","Categoria inválida")))</f>
        <v/>
      </c>
      <c r="D1106" s="31" t="n"/>
      <c r="E1106" s="33" t="n"/>
      <c r="F1106" s="36" t="n"/>
      <c r="G1106" s="31" t="n"/>
      <c r="H1106" s="37">
        <f>IF(A1106="","",(YEAR(A1106)-YEAR(Config!$B$6))*12+MONTH(A1106)-MONTH(Config!$B$6)+1)</f>
        <v/>
      </c>
      <c r="I1106" s="19">
        <f>IF(AND(A1106="",B1106="",E1106=""),"",IF(A1106="","Falta data",IF(B1106="","Falta categoria",IF(E1106="","Falta valor",IF(C1106="Categoria inválida","Categoria inválida",IF(OR(H1106&lt;1,H1106&gt;12),"Fora dos 12 meses","OK"))))))</f>
        <v/>
      </c>
    </row>
    <row r="1107">
      <c r="A1107" s="35" t="n"/>
      <c r="B1107" s="31" t="n"/>
      <c r="C1107" s="19">
        <f>IF(B1107="","",IF(COUNTIF(Config!$D$6:$D$15,B1107)&gt;0,"Entrada",IF(COUNTIF(Config!$F$6:$F$25,B1107)&gt;0,"Saída","Categoria inválida")))</f>
        <v/>
      </c>
      <c r="D1107" s="31" t="n"/>
      <c r="E1107" s="33" t="n"/>
      <c r="F1107" s="36" t="n"/>
      <c r="G1107" s="31" t="n"/>
      <c r="H1107" s="37">
        <f>IF(A1107="","",(YEAR(A1107)-YEAR(Config!$B$6))*12+MONTH(A1107)-MONTH(Config!$B$6)+1)</f>
        <v/>
      </c>
      <c r="I1107" s="19">
        <f>IF(AND(A1107="",B1107="",E1107=""),"",IF(A1107="","Falta data",IF(B1107="","Falta categoria",IF(E1107="","Falta valor",IF(C1107="Categoria inválida","Categoria inválida",IF(OR(H1107&lt;1,H1107&gt;12),"Fora dos 12 meses","OK"))))))</f>
        <v/>
      </c>
    </row>
    <row r="1108">
      <c r="A1108" s="35" t="n"/>
      <c r="B1108" s="31" t="n"/>
      <c r="C1108" s="19">
        <f>IF(B1108="","",IF(COUNTIF(Config!$D$6:$D$15,B1108)&gt;0,"Entrada",IF(COUNTIF(Config!$F$6:$F$25,B1108)&gt;0,"Saída","Categoria inválida")))</f>
        <v/>
      </c>
      <c r="D1108" s="31" t="n"/>
      <c r="E1108" s="33" t="n"/>
      <c r="F1108" s="36" t="n"/>
      <c r="G1108" s="31" t="n"/>
      <c r="H1108" s="37">
        <f>IF(A1108="","",(YEAR(A1108)-YEAR(Config!$B$6))*12+MONTH(A1108)-MONTH(Config!$B$6)+1)</f>
        <v/>
      </c>
      <c r="I1108" s="19">
        <f>IF(AND(A1108="",B1108="",E1108=""),"",IF(A1108="","Falta data",IF(B1108="","Falta categoria",IF(E1108="","Falta valor",IF(C1108="Categoria inválida","Categoria inválida",IF(OR(H1108&lt;1,H1108&gt;12),"Fora dos 12 meses","OK"))))))</f>
        <v/>
      </c>
    </row>
    <row r="1109">
      <c r="A1109" s="35" t="n"/>
      <c r="B1109" s="31" t="n"/>
      <c r="C1109" s="19">
        <f>IF(B1109="","",IF(COUNTIF(Config!$D$6:$D$15,B1109)&gt;0,"Entrada",IF(COUNTIF(Config!$F$6:$F$25,B1109)&gt;0,"Saída","Categoria inválida")))</f>
        <v/>
      </c>
      <c r="D1109" s="31" t="n"/>
      <c r="E1109" s="33" t="n"/>
      <c r="F1109" s="36" t="n"/>
      <c r="G1109" s="31" t="n"/>
      <c r="H1109" s="37">
        <f>IF(A1109="","",(YEAR(A1109)-YEAR(Config!$B$6))*12+MONTH(A1109)-MONTH(Config!$B$6)+1)</f>
        <v/>
      </c>
      <c r="I1109" s="19">
        <f>IF(AND(A1109="",B1109="",E1109=""),"",IF(A1109="","Falta data",IF(B1109="","Falta categoria",IF(E1109="","Falta valor",IF(C1109="Categoria inválida","Categoria inválida",IF(OR(H1109&lt;1,H1109&gt;12),"Fora dos 12 meses","OK"))))))</f>
        <v/>
      </c>
    </row>
    <row r="1110">
      <c r="A1110" s="35" t="n"/>
      <c r="B1110" s="31" t="n"/>
      <c r="C1110" s="19">
        <f>IF(B1110="","",IF(COUNTIF(Config!$D$6:$D$15,B1110)&gt;0,"Entrada",IF(COUNTIF(Config!$F$6:$F$25,B1110)&gt;0,"Saída","Categoria inválida")))</f>
        <v/>
      </c>
      <c r="D1110" s="31" t="n"/>
      <c r="E1110" s="33" t="n"/>
      <c r="F1110" s="36" t="n"/>
      <c r="G1110" s="31" t="n"/>
      <c r="H1110" s="37">
        <f>IF(A1110="","",(YEAR(A1110)-YEAR(Config!$B$6))*12+MONTH(A1110)-MONTH(Config!$B$6)+1)</f>
        <v/>
      </c>
      <c r="I1110" s="19">
        <f>IF(AND(A1110="",B1110="",E1110=""),"",IF(A1110="","Falta data",IF(B1110="","Falta categoria",IF(E1110="","Falta valor",IF(C1110="Categoria inválida","Categoria inválida",IF(OR(H1110&lt;1,H1110&gt;12),"Fora dos 12 meses","OK"))))))</f>
        <v/>
      </c>
    </row>
    <row r="1111">
      <c r="A1111" s="35" t="n"/>
      <c r="B1111" s="31" t="n"/>
      <c r="C1111" s="19">
        <f>IF(B1111="","",IF(COUNTIF(Config!$D$6:$D$15,B1111)&gt;0,"Entrada",IF(COUNTIF(Config!$F$6:$F$25,B1111)&gt;0,"Saída","Categoria inválida")))</f>
        <v/>
      </c>
      <c r="D1111" s="31" t="n"/>
      <c r="E1111" s="33" t="n"/>
      <c r="F1111" s="36" t="n"/>
      <c r="G1111" s="31" t="n"/>
      <c r="H1111" s="37">
        <f>IF(A1111="","",(YEAR(A1111)-YEAR(Config!$B$6))*12+MONTH(A1111)-MONTH(Config!$B$6)+1)</f>
        <v/>
      </c>
      <c r="I1111" s="19">
        <f>IF(AND(A1111="",B1111="",E1111=""),"",IF(A1111="","Falta data",IF(B1111="","Falta categoria",IF(E1111="","Falta valor",IF(C1111="Categoria inválida","Categoria inválida",IF(OR(H1111&lt;1,H1111&gt;12),"Fora dos 12 meses","OK"))))))</f>
        <v/>
      </c>
    </row>
    <row r="1112">
      <c r="A1112" s="35" t="n"/>
      <c r="B1112" s="31" t="n"/>
      <c r="C1112" s="19">
        <f>IF(B1112="","",IF(COUNTIF(Config!$D$6:$D$15,B1112)&gt;0,"Entrada",IF(COUNTIF(Config!$F$6:$F$25,B1112)&gt;0,"Saída","Categoria inválida")))</f>
        <v/>
      </c>
      <c r="D1112" s="31" t="n"/>
      <c r="E1112" s="33" t="n"/>
      <c r="F1112" s="36" t="n"/>
      <c r="G1112" s="31" t="n"/>
      <c r="H1112" s="37">
        <f>IF(A1112="","",(YEAR(A1112)-YEAR(Config!$B$6))*12+MONTH(A1112)-MONTH(Config!$B$6)+1)</f>
        <v/>
      </c>
      <c r="I1112" s="19">
        <f>IF(AND(A1112="",B1112="",E1112=""),"",IF(A1112="","Falta data",IF(B1112="","Falta categoria",IF(E1112="","Falta valor",IF(C1112="Categoria inválida","Categoria inválida",IF(OR(H1112&lt;1,H1112&gt;12),"Fora dos 12 meses","OK"))))))</f>
        <v/>
      </c>
    </row>
    <row r="1113">
      <c r="A1113" s="35" t="n"/>
      <c r="B1113" s="31" t="n"/>
      <c r="C1113" s="19">
        <f>IF(B1113="","",IF(COUNTIF(Config!$D$6:$D$15,B1113)&gt;0,"Entrada",IF(COUNTIF(Config!$F$6:$F$25,B1113)&gt;0,"Saída","Categoria inválida")))</f>
        <v/>
      </c>
      <c r="D1113" s="31" t="n"/>
      <c r="E1113" s="33" t="n"/>
      <c r="F1113" s="36" t="n"/>
      <c r="G1113" s="31" t="n"/>
      <c r="H1113" s="37">
        <f>IF(A1113="","",(YEAR(A1113)-YEAR(Config!$B$6))*12+MONTH(A1113)-MONTH(Config!$B$6)+1)</f>
        <v/>
      </c>
      <c r="I1113" s="19">
        <f>IF(AND(A1113="",B1113="",E1113=""),"",IF(A1113="","Falta data",IF(B1113="","Falta categoria",IF(E1113="","Falta valor",IF(C1113="Categoria inválida","Categoria inválida",IF(OR(H1113&lt;1,H1113&gt;12),"Fora dos 12 meses","OK"))))))</f>
        <v/>
      </c>
    </row>
    <row r="1114">
      <c r="A1114" s="35" t="n"/>
      <c r="B1114" s="31" t="n"/>
      <c r="C1114" s="19">
        <f>IF(B1114="","",IF(COUNTIF(Config!$D$6:$D$15,B1114)&gt;0,"Entrada",IF(COUNTIF(Config!$F$6:$F$25,B1114)&gt;0,"Saída","Categoria inválida")))</f>
        <v/>
      </c>
      <c r="D1114" s="31" t="n"/>
      <c r="E1114" s="33" t="n"/>
      <c r="F1114" s="36" t="n"/>
      <c r="G1114" s="31" t="n"/>
      <c r="H1114" s="37">
        <f>IF(A1114="","",(YEAR(A1114)-YEAR(Config!$B$6))*12+MONTH(A1114)-MONTH(Config!$B$6)+1)</f>
        <v/>
      </c>
      <c r="I1114" s="19">
        <f>IF(AND(A1114="",B1114="",E1114=""),"",IF(A1114="","Falta data",IF(B1114="","Falta categoria",IF(E1114="","Falta valor",IF(C1114="Categoria inválida","Categoria inválida",IF(OR(H1114&lt;1,H1114&gt;12),"Fora dos 12 meses","OK"))))))</f>
        <v/>
      </c>
    </row>
    <row r="1115">
      <c r="A1115" s="35" t="n"/>
      <c r="B1115" s="31" t="n"/>
      <c r="C1115" s="19">
        <f>IF(B1115="","",IF(COUNTIF(Config!$D$6:$D$15,B1115)&gt;0,"Entrada",IF(COUNTIF(Config!$F$6:$F$25,B1115)&gt;0,"Saída","Categoria inválida")))</f>
        <v/>
      </c>
      <c r="D1115" s="31" t="n"/>
      <c r="E1115" s="33" t="n"/>
      <c r="F1115" s="36" t="n"/>
      <c r="G1115" s="31" t="n"/>
      <c r="H1115" s="37">
        <f>IF(A1115="","",(YEAR(A1115)-YEAR(Config!$B$6))*12+MONTH(A1115)-MONTH(Config!$B$6)+1)</f>
        <v/>
      </c>
      <c r="I1115" s="19">
        <f>IF(AND(A1115="",B1115="",E1115=""),"",IF(A1115="","Falta data",IF(B1115="","Falta categoria",IF(E1115="","Falta valor",IF(C1115="Categoria inválida","Categoria inválida",IF(OR(H1115&lt;1,H1115&gt;12),"Fora dos 12 meses","OK"))))))</f>
        <v/>
      </c>
    </row>
    <row r="1116">
      <c r="A1116" s="35" t="n"/>
      <c r="B1116" s="31" t="n"/>
      <c r="C1116" s="19">
        <f>IF(B1116="","",IF(COUNTIF(Config!$D$6:$D$15,B1116)&gt;0,"Entrada",IF(COUNTIF(Config!$F$6:$F$25,B1116)&gt;0,"Saída","Categoria inválida")))</f>
        <v/>
      </c>
      <c r="D1116" s="31" t="n"/>
      <c r="E1116" s="33" t="n"/>
      <c r="F1116" s="36" t="n"/>
      <c r="G1116" s="31" t="n"/>
      <c r="H1116" s="37">
        <f>IF(A1116="","",(YEAR(A1116)-YEAR(Config!$B$6))*12+MONTH(A1116)-MONTH(Config!$B$6)+1)</f>
        <v/>
      </c>
      <c r="I1116" s="19">
        <f>IF(AND(A1116="",B1116="",E1116=""),"",IF(A1116="","Falta data",IF(B1116="","Falta categoria",IF(E1116="","Falta valor",IF(C1116="Categoria inválida","Categoria inválida",IF(OR(H1116&lt;1,H1116&gt;12),"Fora dos 12 meses","OK"))))))</f>
        <v/>
      </c>
    </row>
    <row r="1117">
      <c r="A1117" s="35" t="n"/>
      <c r="B1117" s="31" t="n"/>
      <c r="C1117" s="19">
        <f>IF(B1117="","",IF(COUNTIF(Config!$D$6:$D$15,B1117)&gt;0,"Entrada",IF(COUNTIF(Config!$F$6:$F$25,B1117)&gt;0,"Saída","Categoria inválida")))</f>
        <v/>
      </c>
      <c r="D1117" s="31" t="n"/>
      <c r="E1117" s="33" t="n"/>
      <c r="F1117" s="36" t="n"/>
      <c r="G1117" s="31" t="n"/>
      <c r="H1117" s="37">
        <f>IF(A1117="","",(YEAR(A1117)-YEAR(Config!$B$6))*12+MONTH(A1117)-MONTH(Config!$B$6)+1)</f>
        <v/>
      </c>
      <c r="I1117" s="19">
        <f>IF(AND(A1117="",B1117="",E1117=""),"",IF(A1117="","Falta data",IF(B1117="","Falta categoria",IF(E1117="","Falta valor",IF(C1117="Categoria inválida","Categoria inválida",IF(OR(H1117&lt;1,H1117&gt;12),"Fora dos 12 meses","OK"))))))</f>
        <v/>
      </c>
    </row>
    <row r="1118">
      <c r="A1118" s="35" t="n"/>
      <c r="B1118" s="31" t="n"/>
      <c r="C1118" s="19">
        <f>IF(B1118="","",IF(COUNTIF(Config!$D$6:$D$15,B1118)&gt;0,"Entrada",IF(COUNTIF(Config!$F$6:$F$25,B1118)&gt;0,"Saída","Categoria inválida")))</f>
        <v/>
      </c>
      <c r="D1118" s="31" t="n"/>
      <c r="E1118" s="33" t="n"/>
      <c r="F1118" s="36" t="n"/>
      <c r="G1118" s="31" t="n"/>
      <c r="H1118" s="37">
        <f>IF(A1118="","",(YEAR(A1118)-YEAR(Config!$B$6))*12+MONTH(A1118)-MONTH(Config!$B$6)+1)</f>
        <v/>
      </c>
      <c r="I1118" s="19">
        <f>IF(AND(A1118="",B1118="",E1118=""),"",IF(A1118="","Falta data",IF(B1118="","Falta categoria",IF(E1118="","Falta valor",IF(C1118="Categoria inválida","Categoria inválida",IF(OR(H1118&lt;1,H1118&gt;12),"Fora dos 12 meses","OK"))))))</f>
        <v/>
      </c>
    </row>
    <row r="1119">
      <c r="A1119" s="35" t="n"/>
      <c r="B1119" s="31" t="n"/>
      <c r="C1119" s="19">
        <f>IF(B1119="","",IF(COUNTIF(Config!$D$6:$D$15,B1119)&gt;0,"Entrada",IF(COUNTIF(Config!$F$6:$F$25,B1119)&gt;0,"Saída","Categoria inválida")))</f>
        <v/>
      </c>
      <c r="D1119" s="31" t="n"/>
      <c r="E1119" s="33" t="n"/>
      <c r="F1119" s="36" t="n"/>
      <c r="G1119" s="31" t="n"/>
      <c r="H1119" s="37">
        <f>IF(A1119="","",(YEAR(A1119)-YEAR(Config!$B$6))*12+MONTH(A1119)-MONTH(Config!$B$6)+1)</f>
        <v/>
      </c>
      <c r="I1119" s="19">
        <f>IF(AND(A1119="",B1119="",E1119=""),"",IF(A1119="","Falta data",IF(B1119="","Falta categoria",IF(E1119="","Falta valor",IF(C1119="Categoria inválida","Categoria inválida",IF(OR(H1119&lt;1,H1119&gt;12),"Fora dos 12 meses","OK"))))))</f>
        <v/>
      </c>
    </row>
    <row r="1120">
      <c r="A1120" s="35" t="n"/>
      <c r="B1120" s="31" t="n"/>
      <c r="C1120" s="19">
        <f>IF(B1120="","",IF(COUNTIF(Config!$D$6:$D$15,B1120)&gt;0,"Entrada",IF(COUNTIF(Config!$F$6:$F$25,B1120)&gt;0,"Saída","Categoria inválida")))</f>
        <v/>
      </c>
      <c r="D1120" s="31" t="n"/>
      <c r="E1120" s="33" t="n"/>
      <c r="F1120" s="36" t="n"/>
      <c r="G1120" s="31" t="n"/>
      <c r="H1120" s="37">
        <f>IF(A1120="","",(YEAR(A1120)-YEAR(Config!$B$6))*12+MONTH(A1120)-MONTH(Config!$B$6)+1)</f>
        <v/>
      </c>
      <c r="I1120" s="19">
        <f>IF(AND(A1120="",B1120="",E1120=""),"",IF(A1120="","Falta data",IF(B1120="","Falta categoria",IF(E1120="","Falta valor",IF(C1120="Categoria inválida","Categoria inválida",IF(OR(H1120&lt;1,H1120&gt;12),"Fora dos 12 meses","OK"))))))</f>
        <v/>
      </c>
    </row>
    <row r="1121">
      <c r="A1121" s="35" t="n"/>
      <c r="B1121" s="31" t="n"/>
      <c r="C1121" s="19">
        <f>IF(B1121="","",IF(COUNTIF(Config!$D$6:$D$15,B1121)&gt;0,"Entrada",IF(COUNTIF(Config!$F$6:$F$25,B1121)&gt;0,"Saída","Categoria inválida")))</f>
        <v/>
      </c>
      <c r="D1121" s="31" t="n"/>
      <c r="E1121" s="33" t="n"/>
      <c r="F1121" s="36" t="n"/>
      <c r="G1121" s="31" t="n"/>
      <c r="H1121" s="37">
        <f>IF(A1121="","",(YEAR(A1121)-YEAR(Config!$B$6))*12+MONTH(A1121)-MONTH(Config!$B$6)+1)</f>
        <v/>
      </c>
      <c r="I1121" s="19">
        <f>IF(AND(A1121="",B1121="",E1121=""),"",IF(A1121="","Falta data",IF(B1121="","Falta categoria",IF(E1121="","Falta valor",IF(C1121="Categoria inválida","Categoria inválida",IF(OR(H1121&lt;1,H1121&gt;12),"Fora dos 12 meses","OK"))))))</f>
        <v/>
      </c>
    </row>
    <row r="1122">
      <c r="A1122" s="35" t="n"/>
      <c r="B1122" s="31" t="n"/>
      <c r="C1122" s="19">
        <f>IF(B1122="","",IF(COUNTIF(Config!$D$6:$D$15,B1122)&gt;0,"Entrada",IF(COUNTIF(Config!$F$6:$F$25,B1122)&gt;0,"Saída","Categoria inválida")))</f>
        <v/>
      </c>
      <c r="D1122" s="31" t="n"/>
      <c r="E1122" s="33" t="n"/>
      <c r="F1122" s="36" t="n"/>
      <c r="G1122" s="31" t="n"/>
      <c r="H1122" s="37">
        <f>IF(A1122="","",(YEAR(A1122)-YEAR(Config!$B$6))*12+MONTH(A1122)-MONTH(Config!$B$6)+1)</f>
        <v/>
      </c>
      <c r="I1122" s="19">
        <f>IF(AND(A1122="",B1122="",E1122=""),"",IF(A1122="","Falta data",IF(B1122="","Falta categoria",IF(E1122="","Falta valor",IF(C1122="Categoria inválida","Categoria inválida",IF(OR(H1122&lt;1,H1122&gt;12),"Fora dos 12 meses","OK"))))))</f>
        <v/>
      </c>
    </row>
    <row r="1123">
      <c r="A1123" s="35" t="n"/>
      <c r="B1123" s="31" t="n"/>
      <c r="C1123" s="19">
        <f>IF(B1123="","",IF(COUNTIF(Config!$D$6:$D$15,B1123)&gt;0,"Entrada",IF(COUNTIF(Config!$F$6:$F$25,B1123)&gt;0,"Saída","Categoria inválida")))</f>
        <v/>
      </c>
      <c r="D1123" s="31" t="n"/>
      <c r="E1123" s="33" t="n"/>
      <c r="F1123" s="36" t="n"/>
      <c r="G1123" s="31" t="n"/>
      <c r="H1123" s="37">
        <f>IF(A1123="","",(YEAR(A1123)-YEAR(Config!$B$6))*12+MONTH(A1123)-MONTH(Config!$B$6)+1)</f>
        <v/>
      </c>
      <c r="I1123" s="19">
        <f>IF(AND(A1123="",B1123="",E1123=""),"",IF(A1123="","Falta data",IF(B1123="","Falta categoria",IF(E1123="","Falta valor",IF(C1123="Categoria inválida","Categoria inválida",IF(OR(H1123&lt;1,H1123&gt;12),"Fora dos 12 meses","OK"))))))</f>
        <v/>
      </c>
    </row>
    <row r="1124">
      <c r="A1124" s="35" t="n"/>
      <c r="B1124" s="31" t="n"/>
      <c r="C1124" s="19">
        <f>IF(B1124="","",IF(COUNTIF(Config!$D$6:$D$15,B1124)&gt;0,"Entrada",IF(COUNTIF(Config!$F$6:$F$25,B1124)&gt;0,"Saída","Categoria inválida")))</f>
        <v/>
      </c>
      <c r="D1124" s="31" t="n"/>
      <c r="E1124" s="33" t="n"/>
      <c r="F1124" s="36" t="n"/>
      <c r="G1124" s="31" t="n"/>
      <c r="H1124" s="37">
        <f>IF(A1124="","",(YEAR(A1124)-YEAR(Config!$B$6))*12+MONTH(A1124)-MONTH(Config!$B$6)+1)</f>
        <v/>
      </c>
      <c r="I1124" s="19">
        <f>IF(AND(A1124="",B1124="",E1124=""),"",IF(A1124="","Falta data",IF(B1124="","Falta categoria",IF(E1124="","Falta valor",IF(C1124="Categoria inválida","Categoria inválida",IF(OR(H1124&lt;1,H1124&gt;12),"Fora dos 12 meses","OK"))))))</f>
        <v/>
      </c>
    </row>
    <row r="1125">
      <c r="A1125" s="35" t="n"/>
      <c r="B1125" s="31" t="n"/>
      <c r="C1125" s="19">
        <f>IF(B1125="","",IF(COUNTIF(Config!$D$6:$D$15,B1125)&gt;0,"Entrada",IF(COUNTIF(Config!$F$6:$F$25,B1125)&gt;0,"Saída","Categoria inválida")))</f>
        <v/>
      </c>
      <c r="D1125" s="31" t="n"/>
      <c r="E1125" s="33" t="n"/>
      <c r="F1125" s="36" t="n"/>
      <c r="G1125" s="31" t="n"/>
      <c r="H1125" s="37">
        <f>IF(A1125="","",(YEAR(A1125)-YEAR(Config!$B$6))*12+MONTH(A1125)-MONTH(Config!$B$6)+1)</f>
        <v/>
      </c>
      <c r="I1125" s="19">
        <f>IF(AND(A1125="",B1125="",E1125=""),"",IF(A1125="","Falta data",IF(B1125="","Falta categoria",IF(E1125="","Falta valor",IF(C1125="Categoria inválida","Categoria inválida",IF(OR(H1125&lt;1,H1125&gt;12),"Fora dos 12 meses","OK"))))))</f>
        <v/>
      </c>
    </row>
    <row r="1126">
      <c r="A1126" s="35" t="n"/>
      <c r="B1126" s="31" t="n"/>
      <c r="C1126" s="19">
        <f>IF(B1126="","",IF(COUNTIF(Config!$D$6:$D$15,B1126)&gt;0,"Entrada",IF(COUNTIF(Config!$F$6:$F$25,B1126)&gt;0,"Saída","Categoria inválida")))</f>
        <v/>
      </c>
      <c r="D1126" s="31" t="n"/>
      <c r="E1126" s="33" t="n"/>
      <c r="F1126" s="36" t="n"/>
      <c r="G1126" s="31" t="n"/>
      <c r="H1126" s="37">
        <f>IF(A1126="","",(YEAR(A1126)-YEAR(Config!$B$6))*12+MONTH(A1126)-MONTH(Config!$B$6)+1)</f>
        <v/>
      </c>
      <c r="I1126" s="19">
        <f>IF(AND(A1126="",B1126="",E1126=""),"",IF(A1126="","Falta data",IF(B1126="","Falta categoria",IF(E1126="","Falta valor",IF(C1126="Categoria inválida","Categoria inválida",IF(OR(H1126&lt;1,H1126&gt;12),"Fora dos 12 meses","OK"))))))</f>
        <v/>
      </c>
    </row>
    <row r="1127">
      <c r="A1127" s="35" t="n"/>
      <c r="B1127" s="31" t="n"/>
      <c r="C1127" s="19">
        <f>IF(B1127="","",IF(COUNTIF(Config!$D$6:$D$15,B1127)&gt;0,"Entrada",IF(COUNTIF(Config!$F$6:$F$25,B1127)&gt;0,"Saída","Categoria inválida")))</f>
        <v/>
      </c>
      <c r="D1127" s="31" t="n"/>
      <c r="E1127" s="33" t="n"/>
      <c r="F1127" s="36" t="n"/>
      <c r="G1127" s="31" t="n"/>
      <c r="H1127" s="37">
        <f>IF(A1127="","",(YEAR(A1127)-YEAR(Config!$B$6))*12+MONTH(A1127)-MONTH(Config!$B$6)+1)</f>
        <v/>
      </c>
      <c r="I1127" s="19">
        <f>IF(AND(A1127="",B1127="",E1127=""),"",IF(A1127="","Falta data",IF(B1127="","Falta categoria",IF(E1127="","Falta valor",IF(C1127="Categoria inválida","Categoria inválida",IF(OR(H1127&lt;1,H1127&gt;12),"Fora dos 12 meses","OK"))))))</f>
        <v/>
      </c>
    </row>
    <row r="1128">
      <c r="A1128" s="35" t="n"/>
      <c r="B1128" s="31" t="n"/>
      <c r="C1128" s="19">
        <f>IF(B1128="","",IF(COUNTIF(Config!$D$6:$D$15,B1128)&gt;0,"Entrada",IF(COUNTIF(Config!$F$6:$F$25,B1128)&gt;0,"Saída","Categoria inválida")))</f>
        <v/>
      </c>
      <c r="D1128" s="31" t="n"/>
      <c r="E1128" s="33" t="n"/>
      <c r="F1128" s="36" t="n"/>
      <c r="G1128" s="31" t="n"/>
      <c r="H1128" s="37">
        <f>IF(A1128="","",(YEAR(A1128)-YEAR(Config!$B$6))*12+MONTH(A1128)-MONTH(Config!$B$6)+1)</f>
        <v/>
      </c>
      <c r="I1128" s="19">
        <f>IF(AND(A1128="",B1128="",E1128=""),"",IF(A1128="","Falta data",IF(B1128="","Falta categoria",IF(E1128="","Falta valor",IF(C1128="Categoria inválida","Categoria inválida",IF(OR(H1128&lt;1,H1128&gt;12),"Fora dos 12 meses","OK"))))))</f>
        <v/>
      </c>
    </row>
    <row r="1129">
      <c r="A1129" s="35" t="n"/>
      <c r="B1129" s="31" t="n"/>
      <c r="C1129" s="19">
        <f>IF(B1129="","",IF(COUNTIF(Config!$D$6:$D$15,B1129)&gt;0,"Entrada",IF(COUNTIF(Config!$F$6:$F$25,B1129)&gt;0,"Saída","Categoria inválida")))</f>
        <v/>
      </c>
      <c r="D1129" s="31" t="n"/>
      <c r="E1129" s="33" t="n"/>
      <c r="F1129" s="36" t="n"/>
      <c r="G1129" s="31" t="n"/>
      <c r="H1129" s="37">
        <f>IF(A1129="","",(YEAR(A1129)-YEAR(Config!$B$6))*12+MONTH(A1129)-MONTH(Config!$B$6)+1)</f>
        <v/>
      </c>
      <c r="I1129" s="19">
        <f>IF(AND(A1129="",B1129="",E1129=""),"",IF(A1129="","Falta data",IF(B1129="","Falta categoria",IF(E1129="","Falta valor",IF(C1129="Categoria inválida","Categoria inválida",IF(OR(H1129&lt;1,H1129&gt;12),"Fora dos 12 meses","OK"))))))</f>
        <v/>
      </c>
    </row>
    <row r="1130">
      <c r="A1130" s="35" t="n"/>
      <c r="B1130" s="31" t="n"/>
      <c r="C1130" s="19">
        <f>IF(B1130="","",IF(COUNTIF(Config!$D$6:$D$15,B1130)&gt;0,"Entrada",IF(COUNTIF(Config!$F$6:$F$25,B1130)&gt;0,"Saída","Categoria inválida")))</f>
        <v/>
      </c>
      <c r="D1130" s="31" t="n"/>
      <c r="E1130" s="33" t="n"/>
      <c r="F1130" s="36" t="n"/>
      <c r="G1130" s="31" t="n"/>
      <c r="H1130" s="37">
        <f>IF(A1130="","",(YEAR(A1130)-YEAR(Config!$B$6))*12+MONTH(A1130)-MONTH(Config!$B$6)+1)</f>
        <v/>
      </c>
      <c r="I1130" s="19">
        <f>IF(AND(A1130="",B1130="",E1130=""),"",IF(A1130="","Falta data",IF(B1130="","Falta categoria",IF(E1130="","Falta valor",IF(C1130="Categoria inválida","Categoria inválida",IF(OR(H1130&lt;1,H1130&gt;12),"Fora dos 12 meses","OK"))))))</f>
        <v/>
      </c>
    </row>
    <row r="1131">
      <c r="A1131" s="35" t="n"/>
      <c r="B1131" s="31" t="n"/>
      <c r="C1131" s="19">
        <f>IF(B1131="","",IF(COUNTIF(Config!$D$6:$D$15,B1131)&gt;0,"Entrada",IF(COUNTIF(Config!$F$6:$F$25,B1131)&gt;0,"Saída","Categoria inválida")))</f>
        <v/>
      </c>
      <c r="D1131" s="31" t="n"/>
      <c r="E1131" s="33" t="n"/>
      <c r="F1131" s="36" t="n"/>
      <c r="G1131" s="31" t="n"/>
      <c r="H1131" s="37">
        <f>IF(A1131="","",(YEAR(A1131)-YEAR(Config!$B$6))*12+MONTH(A1131)-MONTH(Config!$B$6)+1)</f>
        <v/>
      </c>
      <c r="I1131" s="19">
        <f>IF(AND(A1131="",B1131="",E1131=""),"",IF(A1131="","Falta data",IF(B1131="","Falta categoria",IF(E1131="","Falta valor",IF(C1131="Categoria inválida","Categoria inválida",IF(OR(H1131&lt;1,H1131&gt;12),"Fora dos 12 meses","OK"))))))</f>
        <v/>
      </c>
    </row>
    <row r="1132">
      <c r="A1132" s="35" t="n"/>
      <c r="B1132" s="31" t="n"/>
      <c r="C1132" s="19">
        <f>IF(B1132="","",IF(COUNTIF(Config!$D$6:$D$15,B1132)&gt;0,"Entrada",IF(COUNTIF(Config!$F$6:$F$25,B1132)&gt;0,"Saída","Categoria inválida")))</f>
        <v/>
      </c>
      <c r="D1132" s="31" t="n"/>
      <c r="E1132" s="33" t="n"/>
      <c r="F1132" s="36" t="n"/>
      <c r="G1132" s="31" t="n"/>
      <c r="H1132" s="37">
        <f>IF(A1132="","",(YEAR(A1132)-YEAR(Config!$B$6))*12+MONTH(A1132)-MONTH(Config!$B$6)+1)</f>
        <v/>
      </c>
      <c r="I1132" s="19">
        <f>IF(AND(A1132="",B1132="",E1132=""),"",IF(A1132="","Falta data",IF(B1132="","Falta categoria",IF(E1132="","Falta valor",IF(C1132="Categoria inválida","Categoria inválida",IF(OR(H1132&lt;1,H1132&gt;12),"Fora dos 12 meses","OK"))))))</f>
        <v/>
      </c>
    </row>
    <row r="1133">
      <c r="A1133" s="35" t="n"/>
      <c r="B1133" s="31" t="n"/>
      <c r="C1133" s="19">
        <f>IF(B1133="","",IF(COUNTIF(Config!$D$6:$D$15,B1133)&gt;0,"Entrada",IF(COUNTIF(Config!$F$6:$F$25,B1133)&gt;0,"Saída","Categoria inválida")))</f>
        <v/>
      </c>
      <c r="D1133" s="31" t="n"/>
      <c r="E1133" s="33" t="n"/>
      <c r="F1133" s="36" t="n"/>
      <c r="G1133" s="31" t="n"/>
      <c r="H1133" s="37">
        <f>IF(A1133="","",(YEAR(A1133)-YEAR(Config!$B$6))*12+MONTH(A1133)-MONTH(Config!$B$6)+1)</f>
        <v/>
      </c>
      <c r="I1133" s="19">
        <f>IF(AND(A1133="",B1133="",E1133=""),"",IF(A1133="","Falta data",IF(B1133="","Falta categoria",IF(E1133="","Falta valor",IF(C1133="Categoria inválida","Categoria inválida",IF(OR(H1133&lt;1,H1133&gt;12),"Fora dos 12 meses","OK"))))))</f>
        <v/>
      </c>
    </row>
    <row r="1134">
      <c r="A1134" s="35" t="n"/>
      <c r="B1134" s="31" t="n"/>
      <c r="C1134" s="19">
        <f>IF(B1134="","",IF(COUNTIF(Config!$D$6:$D$15,B1134)&gt;0,"Entrada",IF(COUNTIF(Config!$F$6:$F$25,B1134)&gt;0,"Saída","Categoria inválida")))</f>
        <v/>
      </c>
      <c r="D1134" s="31" t="n"/>
      <c r="E1134" s="33" t="n"/>
      <c r="F1134" s="36" t="n"/>
      <c r="G1134" s="31" t="n"/>
      <c r="H1134" s="37">
        <f>IF(A1134="","",(YEAR(A1134)-YEAR(Config!$B$6))*12+MONTH(A1134)-MONTH(Config!$B$6)+1)</f>
        <v/>
      </c>
      <c r="I1134" s="19">
        <f>IF(AND(A1134="",B1134="",E1134=""),"",IF(A1134="","Falta data",IF(B1134="","Falta categoria",IF(E1134="","Falta valor",IF(C1134="Categoria inválida","Categoria inválida",IF(OR(H1134&lt;1,H1134&gt;12),"Fora dos 12 meses","OK"))))))</f>
        <v/>
      </c>
    </row>
    <row r="1135">
      <c r="A1135" s="35" t="n"/>
      <c r="B1135" s="31" t="n"/>
      <c r="C1135" s="19">
        <f>IF(B1135="","",IF(COUNTIF(Config!$D$6:$D$15,B1135)&gt;0,"Entrada",IF(COUNTIF(Config!$F$6:$F$25,B1135)&gt;0,"Saída","Categoria inválida")))</f>
        <v/>
      </c>
      <c r="D1135" s="31" t="n"/>
      <c r="E1135" s="33" t="n"/>
      <c r="F1135" s="36" t="n"/>
      <c r="G1135" s="31" t="n"/>
      <c r="H1135" s="37">
        <f>IF(A1135="","",(YEAR(A1135)-YEAR(Config!$B$6))*12+MONTH(A1135)-MONTH(Config!$B$6)+1)</f>
        <v/>
      </c>
      <c r="I1135" s="19">
        <f>IF(AND(A1135="",B1135="",E1135=""),"",IF(A1135="","Falta data",IF(B1135="","Falta categoria",IF(E1135="","Falta valor",IF(C1135="Categoria inválida","Categoria inválida",IF(OR(H1135&lt;1,H1135&gt;12),"Fora dos 12 meses","OK"))))))</f>
        <v/>
      </c>
    </row>
    <row r="1136">
      <c r="A1136" s="35" t="n"/>
      <c r="B1136" s="31" t="n"/>
      <c r="C1136" s="19">
        <f>IF(B1136="","",IF(COUNTIF(Config!$D$6:$D$15,B1136)&gt;0,"Entrada",IF(COUNTIF(Config!$F$6:$F$25,B1136)&gt;0,"Saída","Categoria inválida")))</f>
        <v/>
      </c>
      <c r="D1136" s="31" t="n"/>
      <c r="E1136" s="33" t="n"/>
      <c r="F1136" s="36" t="n"/>
      <c r="G1136" s="31" t="n"/>
      <c r="H1136" s="37">
        <f>IF(A1136="","",(YEAR(A1136)-YEAR(Config!$B$6))*12+MONTH(A1136)-MONTH(Config!$B$6)+1)</f>
        <v/>
      </c>
      <c r="I1136" s="19">
        <f>IF(AND(A1136="",B1136="",E1136=""),"",IF(A1136="","Falta data",IF(B1136="","Falta categoria",IF(E1136="","Falta valor",IF(C1136="Categoria inválida","Categoria inválida",IF(OR(H1136&lt;1,H1136&gt;12),"Fora dos 12 meses","OK"))))))</f>
        <v/>
      </c>
    </row>
    <row r="1137">
      <c r="A1137" s="35" t="n"/>
      <c r="B1137" s="31" t="n"/>
      <c r="C1137" s="19">
        <f>IF(B1137="","",IF(COUNTIF(Config!$D$6:$D$15,B1137)&gt;0,"Entrada",IF(COUNTIF(Config!$F$6:$F$25,B1137)&gt;0,"Saída","Categoria inválida")))</f>
        <v/>
      </c>
      <c r="D1137" s="31" t="n"/>
      <c r="E1137" s="33" t="n"/>
      <c r="F1137" s="36" t="n"/>
      <c r="G1137" s="31" t="n"/>
      <c r="H1137" s="37">
        <f>IF(A1137="","",(YEAR(A1137)-YEAR(Config!$B$6))*12+MONTH(A1137)-MONTH(Config!$B$6)+1)</f>
        <v/>
      </c>
      <c r="I1137" s="19">
        <f>IF(AND(A1137="",B1137="",E1137=""),"",IF(A1137="","Falta data",IF(B1137="","Falta categoria",IF(E1137="","Falta valor",IF(C1137="Categoria inválida","Categoria inválida",IF(OR(H1137&lt;1,H1137&gt;12),"Fora dos 12 meses","OK"))))))</f>
        <v/>
      </c>
    </row>
    <row r="1138">
      <c r="A1138" s="35" t="n"/>
      <c r="B1138" s="31" t="n"/>
      <c r="C1138" s="19">
        <f>IF(B1138="","",IF(COUNTIF(Config!$D$6:$D$15,B1138)&gt;0,"Entrada",IF(COUNTIF(Config!$F$6:$F$25,B1138)&gt;0,"Saída","Categoria inválida")))</f>
        <v/>
      </c>
      <c r="D1138" s="31" t="n"/>
      <c r="E1138" s="33" t="n"/>
      <c r="F1138" s="36" t="n"/>
      <c r="G1138" s="31" t="n"/>
      <c r="H1138" s="37">
        <f>IF(A1138="","",(YEAR(A1138)-YEAR(Config!$B$6))*12+MONTH(A1138)-MONTH(Config!$B$6)+1)</f>
        <v/>
      </c>
      <c r="I1138" s="19">
        <f>IF(AND(A1138="",B1138="",E1138=""),"",IF(A1138="","Falta data",IF(B1138="","Falta categoria",IF(E1138="","Falta valor",IF(C1138="Categoria inválida","Categoria inválida",IF(OR(H1138&lt;1,H1138&gt;12),"Fora dos 12 meses","OK"))))))</f>
        <v/>
      </c>
    </row>
    <row r="1139">
      <c r="A1139" s="35" t="n"/>
      <c r="B1139" s="31" t="n"/>
      <c r="C1139" s="19">
        <f>IF(B1139="","",IF(COUNTIF(Config!$D$6:$D$15,B1139)&gt;0,"Entrada",IF(COUNTIF(Config!$F$6:$F$25,B1139)&gt;0,"Saída","Categoria inválida")))</f>
        <v/>
      </c>
      <c r="D1139" s="31" t="n"/>
      <c r="E1139" s="33" t="n"/>
      <c r="F1139" s="36" t="n"/>
      <c r="G1139" s="31" t="n"/>
      <c r="H1139" s="37">
        <f>IF(A1139="","",(YEAR(A1139)-YEAR(Config!$B$6))*12+MONTH(A1139)-MONTH(Config!$B$6)+1)</f>
        <v/>
      </c>
      <c r="I1139" s="19">
        <f>IF(AND(A1139="",B1139="",E1139=""),"",IF(A1139="","Falta data",IF(B1139="","Falta categoria",IF(E1139="","Falta valor",IF(C1139="Categoria inválida","Categoria inválida",IF(OR(H1139&lt;1,H1139&gt;12),"Fora dos 12 meses","OK"))))))</f>
        <v/>
      </c>
    </row>
    <row r="1140">
      <c r="A1140" s="35" t="n"/>
      <c r="B1140" s="31" t="n"/>
      <c r="C1140" s="19">
        <f>IF(B1140="","",IF(COUNTIF(Config!$D$6:$D$15,B1140)&gt;0,"Entrada",IF(COUNTIF(Config!$F$6:$F$25,B1140)&gt;0,"Saída","Categoria inválida")))</f>
        <v/>
      </c>
      <c r="D1140" s="31" t="n"/>
      <c r="E1140" s="33" t="n"/>
      <c r="F1140" s="36" t="n"/>
      <c r="G1140" s="31" t="n"/>
      <c r="H1140" s="37">
        <f>IF(A1140="","",(YEAR(A1140)-YEAR(Config!$B$6))*12+MONTH(A1140)-MONTH(Config!$B$6)+1)</f>
        <v/>
      </c>
      <c r="I1140" s="19">
        <f>IF(AND(A1140="",B1140="",E1140=""),"",IF(A1140="","Falta data",IF(B1140="","Falta categoria",IF(E1140="","Falta valor",IF(C1140="Categoria inválida","Categoria inválida",IF(OR(H1140&lt;1,H1140&gt;12),"Fora dos 12 meses","OK"))))))</f>
        <v/>
      </c>
    </row>
    <row r="1141">
      <c r="A1141" s="35" t="n"/>
      <c r="B1141" s="31" t="n"/>
      <c r="C1141" s="19">
        <f>IF(B1141="","",IF(COUNTIF(Config!$D$6:$D$15,B1141)&gt;0,"Entrada",IF(COUNTIF(Config!$F$6:$F$25,B1141)&gt;0,"Saída","Categoria inválida")))</f>
        <v/>
      </c>
      <c r="D1141" s="31" t="n"/>
      <c r="E1141" s="33" t="n"/>
      <c r="F1141" s="36" t="n"/>
      <c r="G1141" s="31" t="n"/>
      <c r="H1141" s="37">
        <f>IF(A1141="","",(YEAR(A1141)-YEAR(Config!$B$6))*12+MONTH(A1141)-MONTH(Config!$B$6)+1)</f>
        <v/>
      </c>
      <c r="I1141" s="19">
        <f>IF(AND(A1141="",B1141="",E1141=""),"",IF(A1141="","Falta data",IF(B1141="","Falta categoria",IF(E1141="","Falta valor",IF(C1141="Categoria inválida","Categoria inválida",IF(OR(H1141&lt;1,H1141&gt;12),"Fora dos 12 meses","OK"))))))</f>
        <v/>
      </c>
    </row>
    <row r="1142">
      <c r="A1142" s="35" t="n"/>
      <c r="B1142" s="31" t="n"/>
      <c r="C1142" s="19">
        <f>IF(B1142="","",IF(COUNTIF(Config!$D$6:$D$15,B1142)&gt;0,"Entrada",IF(COUNTIF(Config!$F$6:$F$25,B1142)&gt;0,"Saída","Categoria inválida")))</f>
        <v/>
      </c>
      <c r="D1142" s="31" t="n"/>
      <c r="E1142" s="33" t="n"/>
      <c r="F1142" s="36" t="n"/>
      <c r="G1142" s="31" t="n"/>
      <c r="H1142" s="37">
        <f>IF(A1142="","",(YEAR(A1142)-YEAR(Config!$B$6))*12+MONTH(A1142)-MONTH(Config!$B$6)+1)</f>
        <v/>
      </c>
      <c r="I1142" s="19">
        <f>IF(AND(A1142="",B1142="",E1142=""),"",IF(A1142="","Falta data",IF(B1142="","Falta categoria",IF(E1142="","Falta valor",IF(C1142="Categoria inválida","Categoria inválida",IF(OR(H1142&lt;1,H1142&gt;12),"Fora dos 12 meses","OK"))))))</f>
        <v/>
      </c>
    </row>
    <row r="1143">
      <c r="A1143" s="35" t="n"/>
      <c r="B1143" s="31" t="n"/>
      <c r="C1143" s="19">
        <f>IF(B1143="","",IF(COUNTIF(Config!$D$6:$D$15,B1143)&gt;0,"Entrada",IF(COUNTIF(Config!$F$6:$F$25,B1143)&gt;0,"Saída","Categoria inválida")))</f>
        <v/>
      </c>
      <c r="D1143" s="31" t="n"/>
      <c r="E1143" s="33" t="n"/>
      <c r="F1143" s="36" t="n"/>
      <c r="G1143" s="31" t="n"/>
      <c r="H1143" s="37">
        <f>IF(A1143="","",(YEAR(A1143)-YEAR(Config!$B$6))*12+MONTH(A1143)-MONTH(Config!$B$6)+1)</f>
        <v/>
      </c>
      <c r="I1143" s="19">
        <f>IF(AND(A1143="",B1143="",E1143=""),"",IF(A1143="","Falta data",IF(B1143="","Falta categoria",IF(E1143="","Falta valor",IF(C1143="Categoria inválida","Categoria inválida",IF(OR(H1143&lt;1,H1143&gt;12),"Fora dos 12 meses","OK"))))))</f>
        <v/>
      </c>
    </row>
    <row r="1144">
      <c r="A1144" s="35" t="n"/>
      <c r="B1144" s="31" t="n"/>
      <c r="C1144" s="19">
        <f>IF(B1144="","",IF(COUNTIF(Config!$D$6:$D$15,B1144)&gt;0,"Entrada",IF(COUNTIF(Config!$F$6:$F$25,B1144)&gt;0,"Saída","Categoria inválida")))</f>
        <v/>
      </c>
      <c r="D1144" s="31" t="n"/>
      <c r="E1144" s="33" t="n"/>
      <c r="F1144" s="36" t="n"/>
      <c r="G1144" s="31" t="n"/>
      <c r="H1144" s="37">
        <f>IF(A1144="","",(YEAR(A1144)-YEAR(Config!$B$6))*12+MONTH(A1144)-MONTH(Config!$B$6)+1)</f>
        <v/>
      </c>
      <c r="I1144" s="19">
        <f>IF(AND(A1144="",B1144="",E1144=""),"",IF(A1144="","Falta data",IF(B1144="","Falta categoria",IF(E1144="","Falta valor",IF(C1144="Categoria inválida","Categoria inválida",IF(OR(H1144&lt;1,H1144&gt;12),"Fora dos 12 meses","OK"))))))</f>
        <v/>
      </c>
    </row>
    <row r="1145">
      <c r="A1145" s="35" t="n"/>
      <c r="B1145" s="31" t="n"/>
      <c r="C1145" s="19">
        <f>IF(B1145="","",IF(COUNTIF(Config!$D$6:$D$15,B1145)&gt;0,"Entrada",IF(COUNTIF(Config!$F$6:$F$25,B1145)&gt;0,"Saída","Categoria inválida")))</f>
        <v/>
      </c>
      <c r="D1145" s="31" t="n"/>
      <c r="E1145" s="33" t="n"/>
      <c r="F1145" s="36" t="n"/>
      <c r="G1145" s="31" t="n"/>
      <c r="H1145" s="37">
        <f>IF(A1145="","",(YEAR(A1145)-YEAR(Config!$B$6))*12+MONTH(A1145)-MONTH(Config!$B$6)+1)</f>
        <v/>
      </c>
      <c r="I1145" s="19">
        <f>IF(AND(A1145="",B1145="",E1145=""),"",IF(A1145="","Falta data",IF(B1145="","Falta categoria",IF(E1145="","Falta valor",IF(C1145="Categoria inválida","Categoria inválida",IF(OR(H1145&lt;1,H1145&gt;12),"Fora dos 12 meses","OK"))))))</f>
        <v/>
      </c>
    </row>
    <row r="1146">
      <c r="A1146" s="35" t="n"/>
      <c r="B1146" s="31" t="n"/>
      <c r="C1146" s="19">
        <f>IF(B1146="","",IF(COUNTIF(Config!$D$6:$D$15,B1146)&gt;0,"Entrada",IF(COUNTIF(Config!$F$6:$F$25,B1146)&gt;0,"Saída","Categoria inválida")))</f>
        <v/>
      </c>
      <c r="D1146" s="31" t="n"/>
      <c r="E1146" s="33" t="n"/>
      <c r="F1146" s="36" t="n"/>
      <c r="G1146" s="31" t="n"/>
      <c r="H1146" s="37">
        <f>IF(A1146="","",(YEAR(A1146)-YEAR(Config!$B$6))*12+MONTH(A1146)-MONTH(Config!$B$6)+1)</f>
        <v/>
      </c>
      <c r="I1146" s="19">
        <f>IF(AND(A1146="",B1146="",E1146=""),"",IF(A1146="","Falta data",IF(B1146="","Falta categoria",IF(E1146="","Falta valor",IF(C1146="Categoria inválida","Categoria inválida",IF(OR(H1146&lt;1,H1146&gt;12),"Fora dos 12 meses","OK"))))))</f>
        <v/>
      </c>
    </row>
    <row r="1147">
      <c r="A1147" s="35" t="n"/>
      <c r="B1147" s="31" t="n"/>
      <c r="C1147" s="19">
        <f>IF(B1147="","",IF(COUNTIF(Config!$D$6:$D$15,B1147)&gt;0,"Entrada",IF(COUNTIF(Config!$F$6:$F$25,B1147)&gt;0,"Saída","Categoria inválida")))</f>
        <v/>
      </c>
      <c r="D1147" s="31" t="n"/>
      <c r="E1147" s="33" t="n"/>
      <c r="F1147" s="36" t="n"/>
      <c r="G1147" s="31" t="n"/>
      <c r="H1147" s="37">
        <f>IF(A1147="","",(YEAR(A1147)-YEAR(Config!$B$6))*12+MONTH(A1147)-MONTH(Config!$B$6)+1)</f>
        <v/>
      </c>
      <c r="I1147" s="19">
        <f>IF(AND(A1147="",B1147="",E1147=""),"",IF(A1147="","Falta data",IF(B1147="","Falta categoria",IF(E1147="","Falta valor",IF(C1147="Categoria inválida","Categoria inválida",IF(OR(H1147&lt;1,H1147&gt;12),"Fora dos 12 meses","OK"))))))</f>
        <v/>
      </c>
    </row>
    <row r="1148">
      <c r="A1148" s="35" t="n"/>
      <c r="B1148" s="31" t="n"/>
      <c r="C1148" s="19">
        <f>IF(B1148="","",IF(COUNTIF(Config!$D$6:$D$15,B1148)&gt;0,"Entrada",IF(COUNTIF(Config!$F$6:$F$25,B1148)&gt;0,"Saída","Categoria inválida")))</f>
        <v/>
      </c>
      <c r="D1148" s="31" t="n"/>
      <c r="E1148" s="33" t="n"/>
      <c r="F1148" s="36" t="n"/>
      <c r="G1148" s="31" t="n"/>
      <c r="H1148" s="37">
        <f>IF(A1148="","",(YEAR(A1148)-YEAR(Config!$B$6))*12+MONTH(A1148)-MONTH(Config!$B$6)+1)</f>
        <v/>
      </c>
      <c r="I1148" s="19">
        <f>IF(AND(A1148="",B1148="",E1148=""),"",IF(A1148="","Falta data",IF(B1148="","Falta categoria",IF(E1148="","Falta valor",IF(C1148="Categoria inválida","Categoria inválida",IF(OR(H1148&lt;1,H1148&gt;12),"Fora dos 12 meses","OK"))))))</f>
        <v/>
      </c>
    </row>
    <row r="1149">
      <c r="A1149" s="35" t="n"/>
      <c r="B1149" s="31" t="n"/>
      <c r="C1149" s="19">
        <f>IF(B1149="","",IF(COUNTIF(Config!$D$6:$D$15,B1149)&gt;0,"Entrada",IF(COUNTIF(Config!$F$6:$F$25,B1149)&gt;0,"Saída","Categoria inválida")))</f>
        <v/>
      </c>
      <c r="D1149" s="31" t="n"/>
      <c r="E1149" s="33" t="n"/>
      <c r="F1149" s="36" t="n"/>
      <c r="G1149" s="31" t="n"/>
      <c r="H1149" s="37">
        <f>IF(A1149="","",(YEAR(A1149)-YEAR(Config!$B$6))*12+MONTH(A1149)-MONTH(Config!$B$6)+1)</f>
        <v/>
      </c>
      <c r="I1149" s="19">
        <f>IF(AND(A1149="",B1149="",E1149=""),"",IF(A1149="","Falta data",IF(B1149="","Falta categoria",IF(E1149="","Falta valor",IF(C1149="Categoria inválida","Categoria inválida",IF(OR(H1149&lt;1,H1149&gt;12),"Fora dos 12 meses","OK"))))))</f>
        <v/>
      </c>
    </row>
    <row r="1150">
      <c r="A1150" s="35" t="n"/>
      <c r="B1150" s="31" t="n"/>
      <c r="C1150" s="19">
        <f>IF(B1150="","",IF(COUNTIF(Config!$D$6:$D$15,B1150)&gt;0,"Entrada",IF(COUNTIF(Config!$F$6:$F$25,B1150)&gt;0,"Saída","Categoria inválida")))</f>
        <v/>
      </c>
      <c r="D1150" s="31" t="n"/>
      <c r="E1150" s="33" t="n"/>
      <c r="F1150" s="36" t="n"/>
      <c r="G1150" s="31" t="n"/>
      <c r="H1150" s="37">
        <f>IF(A1150="","",(YEAR(A1150)-YEAR(Config!$B$6))*12+MONTH(A1150)-MONTH(Config!$B$6)+1)</f>
        <v/>
      </c>
      <c r="I1150" s="19">
        <f>IF(AND(A1150="",B1150="",E1150=""),"",IF(A1150="","Falta data",IF(B1150="","Falta categoria",IF(E1150="","Falta valor",IF(C1150="Categoria inválida","Categoria inválida",IF(OR(H1150&lt;1,H1150&gt;12),"Fora dos 12 meses","OK"))))))</f>
        <v/>
      </c>
    </row>
    <row r="1151">
      <c r="A1151" s="35" t="n"/>
      <c r="B1151" s="31" t="n"/>
      <c r="C1151" s="19">
        <f>IF(B1151="","",IF(COUNTIF(Config!$D$6:$D$15,B1151)&gt;0,"Entrada",IF(COUNTIF(Config!$F$6:$F$25,B1151)&gt;0,"Saída","Categoria inválida")))</f>
        <v/>
      </c>
      <c r="D1151" s="31" t="n"/>
      <c r="E1151" s="33" t="n"/>
      <c r="F1151" s="36" t="n"/>
      <c r="G1151" s="31" t="n"/>
      <c r="H1151" s="37">
        <f>IF(A1151="","",(YEAR(A1151)-YEAR(Config!$B$6))*12+MONTH(A1151)-MONTH(Config!$B$6)+1)</f>
        <v/>
      </c>
      <c r="I1151" s="19">
        <f>IF(AND(A1151="",B1151="",E1151=""),"",IF(A1151="","Falta data",IF(B1151="","Falta categoria",IF(E1151="","Falta valor",IF(C1151="Categoria inválida","Categoria inválida",IF(OR(H1151&lt;1,H1151&gt;12),"Fora dos 12 meses","OK"))))))</f>
        <v/>
      </c>
    </row>
    <row r="1152">
      <c r="A1152" s="35" t="n"/>
      <c r="B1152" s="31" t="n"/>
      <c r="C1152" s="19">
        <f>IF(B1152="","",IF(COUNTIF(Config!$D$6:$D$15,B1152)&gt;0,"Entrada",IF(COUNTIF(Config!$F$6:$F$25,B1152)&gt;0,"Saída","Categoria inválida")))</f>
        <v/>
      </c>
      <c r="D1152" s="31" t="n"/>
      <c r="E1152" s="33" t="n"/>
      <c r="F1152" s="36" t="n"/>
      <c r="G1152" s="31" t="n"/>
      <c r="H1152" s="37">
        <f>IF(A1152="","",(YEAR(A1152)-YEAR(Config!$B$6))*12+MONTH(A1152)-MONTH(Config!$B$6)+1)</f>
        <v/>
      </c>
      <c r="I1152" s="19">
        <f>IF(AND(A1152="",B1152="",E1152=""),"",IF(A1152="","Falta data",IF(B1152="","Falta categoria",IF(E1152="","Falta valor",IF(C1152="Categoria inválida","Categoria inválida",IF(OR(H1152&lt;1,H1152&gt;12),"Fora dos 12 meses","OK"))))))</f>
        <v/>
      </c>
    </row>
    <row r="1153">
      <c r="A1153" s="35" t="n"/>
      <c r="B1153" s="31" t="n"/>
      <c r="C1153" s="19">
        <f>IF(B1153="","",IF(COUNTIF(Config!$D$6:$D$15,B1153)&gt;0,"Entrada",IF(COUNTIF(Config!$F$6:$F$25,B1153)&gt;0,"Saída","Categoria inválida")))</f>
        <v/>
      </c>
      <c r="D1153" s="31" t="n"/>
      <c r="E1153" s="33" t="n"/>
      <c r="F1153" s="36" t="n"/>
      <c r="G1153" s="31" t="n"/>
      <c r="H1153" s="37">
        <f>IF(A1153="","",(YEAR(A1153)-YEAR(Config!$B$6))*12+MONTH(A1153)-MONTH(Config!$B$6)+1)</f>
        <v/>
      </c>
      <c r="I1153" s="19">
        <f>IF(AND(A1153="",B1153="",E1153=""),"",IF(A1153="","Falta data",IF(B1153="","Falta categoria",IF(E1153="","Falta valor",IF(C1153="Categoria inválida","Categoria inválida",IF(OR(H1153&lt;1,H1153&gt;12),"Fora dos 12 meses","OK"))))))</f>
        <v/>
      </c>
    </row>
    <row r="1154">
      <c r="A1154" s="35" t="n"/>
      <c r="B1154" s="31" t="n"/>
      <c r="C1154" s="19">
        <f>IF(B1154="","",IF(COUNTIF(Config!$D$6:$D$15,B1154)&gt;0,"Entrada",IF(COUNTIF(Config!$F$6:$F$25,B1154)&gt;0,"Saída","Categoria inválida")))</f>
        <v/>
      </c>
      <c r="D1154" s="31" t="n"/>
      <c r="E1154" s="33" t="n"/>
      <c r="F1154" s="36" t="n"/>
      <c r="G1154" s="31" t="n"/>
      <c r="H1154" s="37">
        <f>IF(A1154="","",(YEAR(A1154)-YEAR(Config!$B$6))*12+MONTH(A1154)-MONTH(Config!$B$6)+1)</f>
        <v/>
      </c>
      <c r="I1154" s="19">
        <f>IF(AND(A1154="",B1154="",E1154=""),"",IF(A1154="","Falta data",IF(B1154="","Falta categoria",IF(E1154="","Falta valor",IF(C1154="Categoria inválida","Categoria inválida",IF(OR(H1154&lt;1,H1154&gt;12),"Fora dos 12 meses","OK"))))))</f>
        <v/>
      </c>
    </row>
    <row r="1155">
      <c r="A1155" s="35" t="n"/>
      <c r="B1155" s="31" t="n"/>
      <c r="C1155" s="19">
        <f>IF(B1155="","",IF(COUNTIF(Config!$D$6:$D$15,B1155)&gt;0,"Entrada",IF(COUNTIF(Config!$F$6:$F$25,B1155)&gt;0,"Saída","Categoria inválida")))</f>
        <v/>
      </c>
      <c r="D1155" s="31" t="n"/>
      <c r="E1155" s="33" t="n"/>
      <c r="F1155" s="36" t="n"/>
      <c r="G1155" s="31" t="n"/>
      <c r="H1155" s="37">
        <f>IF(A1155="","",(YEAR(A1155)-YEAR(Config!$B$6))*12+MONTH(A1155)-MONTH(Config!$B$6)+1)</f>
        <v/>
      </c>
      <c r="I1155" s="19">
        <f>IF(AND(A1155="",B1155="",E1155=""),"",IF(A1155="","Falta data",IF(B1155="","Falta categoria",IF(E1155="","Falta valor",IF(C1155="Categoria inválida","Categoria inválida",IF(OR(H1155&lt;1,H1155&gt;12),"Fora dos 12 meses","OK"))))))</f>
        <v/>
      </c>
    </row>
    <row r="1156">
      <c r="A1156" s="35" t="n"/>
      <c r="B1156" s="31" t="n"/>
      <c r="C1156" s="19">
        <f>IF(B1156="","",IF(COUNTIF(Config!$D$6:$D$15,B1156)&gt;0,"Entrada",IF(COUNTIF(Config!$F$6:$F$25,B1156)&gt;0,"Saída","Categoria inválida")))</f>
        <v/>
      </c>
      <c r="D1156" s="31" t="n"/>
      <c r="E1156" s="33" t="n"/>
      <c r="F1156" s="36" t="n"/>
      <c r="G1156" s="31" t="n"/>
      <c r="H1156" s="37">
        <f>IF(A1156="","",(YEAR(A1156)-YEAR(Config!$B$6))*12+MONTH(A1156)-MONTH(Config!$B$6)+1)</f>
        <v/>
      </c>
      <c r="I1156" s="19">
        <f>IF(AND(A1156="",B1156="",E1156=""),"",IF(A1156="","Falta data",IF(B1156="","Falta categoria",IF(E1156="","Falta valor",IF(C1156="Categoria inválida","Categoria inválida",IF(OR(H1156&lt;1,H1156&gt;12),"Fora dos 12 meses","OK"))))))</f>
        <v/>
      </c>
    </row>
    <row r="1157">
      <c r="A1157" s="35" t="n"/>
      <c r="B1157" s="31" t="n"/>
      <c r="C1157" s="19">
        <f>IF(B1157="","",IF(COUNTIF(Config!$D$6:$D$15,B1157)&gt;0,"Entrada",IF(COUNTIF(Config!$F$6:$F$25,B1157)&gt;0,"Saída","Categoria inválida")))</f>
        <v/>
      </c>
      <c r="D1157" s="31" t="n"/>
      <c r="E1157" s="33" t="n"/>
      <c r="F1157" s="36" t="n"/>
      <c r="G1157" s="31" t="n"/>
      <c r="H1157" s="37">
        <f>IF(A1157="","",(YEAR(A1157)-YEAR(Config!$B$6))*12+MONTH(A1157)-MONTH(Config!$B$6)+1)</f>
        <v/>
      </c>
      <c r="I1157" s="19">
        <f>IF(AND(A1157="",B1157="",E1157=""),"",IF(A1157="","Falta data",IF(B1157="","Falta categoria",IF(E1157="","Falta valor",IF(C1157="Categoria inválida","Categoria inválida",IF(OR(H1157&lt;1,H1157&gt;12),"Fora dos 12 meses","OK"))))))</f>
        <v/>
      </c>
    </row>
    <row r="1158">
      <c r="A1158" s="35" t="n"/>
      <c r="B1158" s="31" t="n"/>
      <c r="C1158" s="19">
        <f>IF(B1158="","",IF(COUNTIF(Config!$D$6:$D$15,B1158)&gt;0,"Entrada",IF(COUNTIF(Config!$F$6:$F$25,B1158)&gt;0,"Saída","Categoria inválida")))</f>
        <v/>
      </c>
      <c r="D1158" s="31" t="n"/>
      <c r="E1158" s="33" t="n"/>
      <c r="F1158" s="36" t="n"/>
      <c r="G1158" s="31" t="n"/>
      <c r="H1158" s="37">
        <f>IF(A1158="","",(YEAR(A1158)-YEAR(Config!$B$6))*12+MONTH(A1158)-MONTH(Config!$B$6)+1)</f>
        <v/>
      </c>
      <c r="I1158" s="19">
        <f>IF(AND(A1158="",B1158="",E1158=""),"",IF(A1158="","Falta data",IF(B1158="","Falta categoria",IF(E1158="","Falta valor",IF(C1158="Categoria inválida","Categoria inválida",IF(OR(H1158&lt;1,H1158&gt;12),"Fora dos 12 meses","OK"))))))</f>
        <v/>
      </c>
    </row>
    <row r="1159">
      <c r="A1159" s="35" t="n"/>
      <c r="B1159" s="31" t="n"/>
      <c r="C1159" s="19">
        <f>IF(B1159="","",IF(COUNTIF(Config!$D$6:$D$15,B1159)&gt;0,"Entrada",IF(COUNTIF(Config!$F$6:$F$25,B1159)&gt;0,"Saída","Categoria inválida")))</f>
        <v/>
      </c>
      <c r="D1159" s="31" t="n"/>
      <c r="E1159" s="33" t="n"/>
      <c r="F1159" s="36" t="n"/>
      <c r="G1159" s="31" t="n"/>
      <c r="H1159" s="37">
        <f>IF(A1159="","",(YEAR(A1159)-YEAR(Config!$B$6))*12+MONTH(A1159)-MONTH(Config!$B$6)+1)</f>
        <v/>
      </c>
      <c r="I1159" s="19">
        <f>IF(AND(A1159="",B1159="",E1159=""),"",IF(A1159="","Falta data",IF(B1159="","Falta categoria",IF(E1159="","Falta valor",IF(C1159="Categoria inválida","Categoria inválida",IF(OR(H1159&lt;1,H1159&gt;12),"Fora dos 12 meses","OK"))))))</f>
        <v/>
      </c>
    </row>
    <row r="1160">
      <c r="A1160" s="35" t="n"/>
      <c r="B1160" s="31" t="n"/>
      <c r="C1160" s="19">
        <f>IF(B1160="","",IF(COUNTIF(Config!$D$6:$D$15,B1160)&gt;0,"Entrada",IF(COUNTIF(Config!$F$6:$F$25,B1160)&gt;0,"Saída","Categoria inválida")))</f>
        <v/>
      </c>
      <c r="D1160" s="31" t="n"/>
      <c r="E1160" s="33" t="n"/>
      <c r="F1160" s="36" t="n"/>
      <c r="G1160" s="31" t="n"/>
      <c r="H1160" s="37">
        <f>IF(A1160="","",(YEAR(A1160)-YEAR(Config!$B$6))*12+MONTH(A1160)-MONTH(Config!$B$6)+1)</f>
        <v/>
      </c>
      <c r="I1160" s="19">
        <f>IF(AND(A1160="",B1160="",E1160=""),"",IF(A1160="","Falta data",IF(B1160="","Falta categoria",IF(E1160="","Falta valor",IF(C1160="Categoria inválida","Categoria inválida",IF(OR(H1160&lt;1,H1160&gt;12),"Fora dos 12 meses","OK"))))))</f>
        <v/>
      </c>
    </row>
    <row r="1161">
      <c r="A1161" s="35" t="n"/>
      <c r="B1161" s="31" t="n"/>
      <c r="C1161" s="19">
        <f>IF(B1161="","",IF(COUNTIF(Config!$D$6:$D$15,B1161)&gt;0,"Entrada",IF(COUNTIF(Config!$F$6:$F$25,B1161)&gt;0,"Saída","Categoria inválida")))</f>
        <v/>
      </c>
      <c r="D1161" s="31" t="n"/>
      <c r="E1161" s="33" t="n"/>
      <c r="F1161" s="36" t="n"/>
      <c r="G1161" s="31" t="n"/>
      <c r="H1161" s="37">
        <f>IF(A1161="","",(YEAR(A1161)-YEAR(Config!$B$6))*12+MONTH(A1161)-MONTH(Config!$B$6)+1)</f>
        <v/>
      </c>
      <c r="I1161" s="19">
        <f>IF(AND(A1161="",B1161="",E1161=""),"",IF(A1161="","Falta data",IF(B1161="","Falta categoria",IF(E1161="","Falta valor",IF(C1161="Categoria inválida","Categoria inválida",IF(OR(H1161&lt;1,H1161&gt;12),"Fora dos 12 meses","OK"))))))</f>
        <v/>
      </c>
    </row>
    <row r="1162">
      <c r="A1162" s="35" t="n"/>
      <c r="B1162" s="31" t="n"/>
      <c r="C1162" s="19">
        <f>IF(B1162="","",IF(COUNTIF(Config!$D$6:$D$15,B1162)&gt;0,"Entrada",IF(COUNTIF(Config!$F$6:$F$25,B1162)&gt;0,"Saída","Categoria inválida")))</f>
        <v/>
      </c>
      <c r="D1162" s="31" t="n"/>
      <c r="E1162" s="33" t="n"/>
      <c r="F1162" s="36" t="n"/>
      <c r="G1162" s="31" t="n"/>
      <c r="H1162" s="37">
        <f>IF(A1162="","",(YEAR(A1162)-YEAR(Config!$B$6))*12+MONTH(A1162)-MONTH(Config!$B$6)+1)</f>
        <v/>
      </c>
      <c r="I1162" s="19">
        <f>IF(AND(A1162="",B1162="",E1162=""),"",IF(A1162="","Falta data",IF(B1162="","Falta categoria",IF(E1162="","Falta valor",IF(C1162="Categoria inválida","Categoria inválida",IF(OR(H1162&lt;1,H1162&gt;12),"Fora dos 12 meses","OK"))))))</f>
        <v/>
      </c>
    </row>
    <row r="1163">
      <c r="A1163" s="35" t="n"/>
      <c r="B1163" s="31" t="n"/>
      <c r="C1163" s="19">
        <f>IF(B1163="","",IF(COUNTIF(Config!$D$6:$D$15,B1163)&gt;0,"Entrada",IF(COUNTIF(Config!$F$6:$F$25,B1163)&gt;0,"Saída","Categoria inválida")))</f>
        <v/>
      </c>
      <c r="D1163" s="31" t="n"/>
      <c r="E1163" s="33" t="n"/>
      <c r="F1163" s="36" t="n"/>
      <c r="G1163" s="31" t="n"/>
      <c r="H1163" s="37">
        <f>IF(A1163="","",(YEAR(A1163)-YEAR(Config!$B$6))*12+MONTH(A1163)-MONTH(Config!$B$6)+1)</f>
        <v/>
      </c>
      <c r="I1163" s="19">
        <f>IF(AND(A1163="",B1163="",E1163=""),"",IF(A1163="","Falta data",IF(B1163="","Falta categoria",IF(E1163="","Falta valor",IF(C1163="Categoria inválida","Categoria inválida",IF(OR(H1163&lt;1,H1163&gt;12),"Fora dos 12 meses","OK"))))))</f>
        <v/>
      </c>
    </row>
    <row r="1164">
      <c r="A1164" s="35" t="n"/>
      <c r="B1164" s="31" t="n"/>
      <c r="C1164" s="19">
        <f>IF(B1164="","",IF(COUNTIF(Config!$D$6:$D$15,B1164)&gt;0,"Entrada",IF(COUNTIF(Config!$F$6:$F$25,B1164)&gt;0,"Saída","Categoria inválida")))</f>
        <v/>
      </c>
      <c r="D1164" s="31" t="n"/>
      <c r="E1164" s="33" t="n"/>
      <c r="F1164" s="36" t="n"/>
      <c r="G1164" s="31" t="n"/>
      <c r="H1164" s="37">
        <f>IF(A1164="","",(YEAR(A1164)-YEAR(Config!$B$6))*12+MONTH(A1164)-MONTH(Config!$B$6)+1)</f>
        <v/>
      </c>
      <c r="I1164" s="19">
        <f>IF(AND(A1164="",B1164="",E1164=""),"",IF(A1164="","Falta data",IF(B1164="","Falta categoria",IF(E1164="","Falta valor",IF(C1164="Categoria inválida","Categoria inválida",IF(OR(H1164&lt;1,H1164&gt;12),"Fora dos 12 meses","OK"))))))</f>
        <v/>
      </c>
    </row>
    <row r="1165">
      <c r="A1165" s="35" t="n"/>
      <c r="B1165" s="31" t="n"/>
      <c r="C1165" s="19">
        <f>IF(B1165="","",IF(COUNTIF(Config!$D$6:$D$15,B1165)&gt;0,"Entrada",IF(COUNTIF(Config!$F$6:$F$25,B1165)&gt;0,"Saída","Categoria inválida")))</f>
        <v/>
      </c>
      <c r="D1165" s="31" t="n"/>
      <c r="E1165" s="33" t="n"/>
      <c r="F1165" s="36" t="n"/>
      <c r="G1165" s="31" t="n"/>
      <c r="H1165" s="37">
        <f>IF(A1165="","",(YEAR(A1165)-YEAR(Config!$B$6))*12+MONTH(A1165)-MONTH(Config!$B$6)+1)</f>
        <v/>
      </c>
      <c r="I1165" s="19">
        <f>IF(AND(A1165="",B1165="",E1165=""),"",IF(A1165="","Falta data",IF(B1165="","Falta categoria",IF(E1165="","Falta valor",IF(C1165="Categoria inválida","Categoria inválida",IF(OR(H1165&lt;1,H1165&gt;12),"Fora dos 12 meses","OK"))))))</f>
        <v/>
      </c>
    </row>
    <row r="1166">
      <c r="A1166" s="35" t="n"/>
      <c r="B1166" s="31" t="n"/>
      <c r="C1166" s="19">
        <f>IF(B1166="","",IF(COUNTIF(Config!$D$6:$D$15,B1166)&gt;0,"Entrada",IF(COUNTIF(Config!$F$6:$F$25,B1166)&gt;0,"Saída","Categoria inválida")))</f>
        <v/>
      </c>
      <c r="D1166" s="31" t="n"/>
      <c r="E1166" s="33" t="n"/>
      <c r="F1166" s="36" t="n"/>
      <c r="G1166" s="31" t="n"/>
      <c r="H1166" s="37">
        <f>IF(A1166="","",(YEAR(A1166)-YEAR(Config!$B$6))*12+MONTH(A1166)-MONTH(Config!$B$6)+1)</f>
        <v/>
      </c>
      <c r="I1166" s="19">
        <f>IF(AND(A1166="",B1166="",E1166=""),"",IF(A1166="","Falta data",IF(B1166="","Falta categoria",IF(E1166="","Falta valor",IF(C1166="Categoria inválida","Categoria inválida",IF(OR(H1166&lt;1,H1166&gt;12),"Fora dos 12 meses","OK"))))))</f>
        <v/>
      </c>
    </row>
    <row r="1167">
      <c r="A1167" s="35" t="n"/>
      <c r="B1167" s="31" t="n"/>
      <c r="C1167" s="19">
        <f>IF(B1167="","",IF(COUNTIF(Config!$D$6:$D$15,B1167)&gt;0,"Entrada",IF(COUNTIF(Config!$F$6:$F$25,B1167)&gt;0,"Saída","Categoria inválida")))</f>
        <v/>
      </c>
      <c r="D1167" s="31" t="n"/>
      <c r="E1167" s="33" t="n"/>
      <c r="F1167" s="36" t="n"/>
      <c r="G1167" s="31" t="n"/>
      <c r="H1167" s="37">
        <f>IF(A1167="","",(YEAR(A1167)-YEAR(Config!$B$6))*12+MONTH(A1167)-MONTH(Config!$B$6)+1)</f>
        <v/>
      </c>
      <c r="I1167" s="19">
        <f>IF(AND(A1167="",B1167="",E1167=""),"",IF(A1167="","Falta data",IF(B1167="","Falta categoria",IF(E1167="","Falta valor",IF(C1167="Categoria inválida","Categoria inválida",IF(OR(H1167&lt;1,H1167&gt;12),"Fora dos 12 meses","OK"))))))</f>
        <v/>
      </c>
    </row>
    <row r="1168">
      <c r="A1168" s="35" t="n"/>
      <c r="B1168" s="31" t="n"/>
      <c r="C1168" s="19">
        <f>IF(B1168="","",IF(COUNTIF(Config!$D$6:$D$15,B1168)&gt;0,"Entrada",IF(COUNTIF(Config!$F$6:$F$25,B1168)&gt;0,"Saída","Categoria inválida")))</f>
        <v/>
      </c>
      <c r="D1168" s="31" t="n"/>
      <c r="E1168" s="33" t="n"/>
      <c r="F1168" s="36" t="n"/>
      <c r="G1168" s="31" t="n"/>
      <c r="H1168" s="37">
        <f>IF(A1168="","",(YEAR(A1168)-YEAR(Config!$B$6))*12+MONTH(A1168)-MONTH(Config!$B$6)+1)</f>
        <v/>
      </c>
      <c r="I1168" s="19">
        <f>IF(AND(A1168="",B1168="",E1168=""),"",IF(A1168="","Falta data",IF(B1168="","Falta categoria",IF(E1168="","Falta valor",IF(C1168="Categoria inválida","Categoria inválida",IF(OR(H1168&lt;1,H1168&gt;12),"Fora dos 12 meses","OK"))))))</f>
        <v/>
      </c>
    </row>
    <row r="1169">
      <c r="A1169" s="35" t="n"/>
      <c r="B1169" s="31" t="n"/>
      <c r="C1169" s="19">
        <f>IF(B1169="","",IF(COUNTIF(Config!$D$6:$D$15,B1169)&gt;0,"Entrada",IF(COUNTIF(Config!$F$6:$F$25,B1169)&gt;0,"Saída","Categoria inválida")))</f>
        <v/>
      </c>
      <c r="D1169" s="31" t="n"/>
      <c r="E1169" s="33" t="n"/>
      <c r="F1169" s="36" t="n"/>
      <c r="G1169" s="31" t="n"/>
      <c r="H1169" s="37">
        <f>IF(A1169="","",(YEAR(A1169)-YEAR(Config!$B$6))*12+MONTH(A1169)-MONTH(Config!$B$6)+1)</f>
        <v/>
      </c>
      <c r="I1169" s="19">
        <f>IF(AND(A1169="",B1169="",E1169=""),"",IF(A1169="","Falta data",IF(B1169="","Falta categoria",IF(E1169="","Falta valor",IF(C1169="Categoria inválida","Categoria inválida",IF(OR(H1169&lt;1,H1169&gt;12),"Fora dos 12 meses","OK"))))))</f>
        <v/>
      </c>
    </row>
    <row r="1170">
      <c r="A1170" s="35" t="n"/>
      <c r="B1170" s="31" t="n"/>
      <c r="C1170" s="19">
        <f>IF(B1170="","",IF(COUNTIF(Config!$D$6:$D$15,B1170)&gt;0,"Entrada",IF(COUNTIF(Config!$F$6:$F$25,B1170)&gt;0,"Saída","Categoria inválida")))</f>
        <v/>
      </c>
      <c r="D1170" s="31" t="n"/>
      <c r="E1170" s="33" t="n"/>
      <c r="F1170" s="36" t="n"/>
      <c r="G1170" s="31" t="n"/>
      <c r="H1170" s="37">
        <f>IF(A1170="","",(YEAR(A1170)-YEAR(Config!$B$6))*12+MONTH(A1170)-MONTH(Config!$B$6)+1)</f>
        <v/>
      </c>
      <c r="I1170" s="19">
        <f>IF(AND(A1170="",B1170="",E1170=""),"",IF(A1170="","Falta data",IF(B1170="","Falta categoria",IF(E1170="","Falta valor",IF(C1170="Categoria inválida","Categoria inválida",IF(OR(H1170&lt;1,H1170&gt;12),"Fora dos 12 meses","OK"))))))</f>
        <v/>
      </c>
    </row>
    <row r="1171">
      <c r="A1171" s="35" t="n"/>
      <c r="B1171" s="31" t="n"/>
      <c r="C1171" s="19">
        <f>IF(B1171="","",IF(COUNTIF(Config!$D$6:$D$15,B1171)&gt;0,"Entrada",IF(COUNTIF(Config!$F$6:$F$25,B1171)&gt;0,"Saída","Categoria inválida")))</f>
        <v/>
      </c>
      <c r="D1171" s="31" t="n"/>
      <c r="E1171" s="33" t="n"/>
      <c r="F1171" s="36" t="n"/>
      <c r="G1171" s="31" t="n"/>
      <c r="H1171" s="37">
        <f>IF(A1171="","",(YEAR(A1171)-YEAR(Config!$B$6))*12+MONTH(A1171)-MONTH(Config!$B$6)+1)</f>
        <v/>
      </c>
      <c r="I1171" s="19">
        <f>IF(AND(A1171="",B1171="",E1171=""),"",IF(A1171="","Falta data",IF(B1171="","Falta categoria",IF(E1171="","Falta valor",IF(C1171="Categoria inválida","Categoria inválida",IF(OR(H1171&lt;1,H1171&gt;12),"Fora dos 12 meses","OK"))))))</f>
        <v/>
      </c>
    </row>
    <row r="1172">
      <c r="A1172" s="35" t="n"/>
      <c r="B1172" s="31" t="n"/>
      <c r="C1172" s="19">
        <f>IF(B1172="","",IF(COUNTIF(Config!$D$6:$D$15,B1172)&gt;0,"Entrada",IF(COUNTIF(Config!$F$6:$F$25,B1172)&gt;0,"Saída","Categoria inválida")))</f>
        <v/>
      </c>
      <c r="D1172" s="31" t="n"/>
      <c r="E1172" s="33" t="n"/>
      <c r="F1172" s="36" t="n"/>
      <c r="G1172" s="31" t="n"/>
      <c r="H1172" s="37">
        <f>IF(A1172="","",(YEAR(A1172)-YEAR(Config!$B$6))*12+MONTH(A1172)-MONTH(Config!$B$6)+1)</f>
        <v/>
      </c>
      <c r="I1172" s="19">
        <f>IF(AND(A1172="",B1172="",E1172=""),"",IF(A1172="","Falta data",IF(B1172="","Falta categoria",IF(E1172="","Falta valor",IF(C1172="Categoria inválida","Categoria inválida",IF(OR(H1172&lt;1,H1172&gt;12),"Fora dos 12 meses","OK"))))))</f>
        <v/>
      </c>
    </row>
    <row r="1173">
      <c r="A1173" s="35" t="n"/>
      <c r="B1173" s="31" t="n"/>
      <c r="C1173" s="19">
        <f>IF(B1173="","",IF(COUNTIF(Config!$D$6:$D$15,B1173)&gt;0,"Entrada",IF(COUNTIF(Config!$F$6:$F$25,B1173)&gt;0,"Saída","Categoria inválida")))</f>
        <v/>
      </c>
      <c r="D1173" s="31" t="n"/>
      <c r="E1173" s="33" t="n"/>
      <c r="F1173" s="36" t="n"/>
      <c r="G1173" s="31" t="n"/>
      <c r="H1173" s="37">
        <f>IF(A1173="","",(YEAR(A1173)-YEAR(Config!$B$6))*12+MONTH(A1173)-MONTH(Config!$B$6)+1)</f>
        <v/>
      </c>
      <c r="I1173" s="19">
        <f>IF(AND(A1173="",B1173="",E1173=""),"",IF(A1173="","Falta data",IF(B1173="","Falta categoria",IF(E1173="","Falta valor",IF(C1173="Categoria inválida","Categoria inválida",IF(OR(H1173&lt;1,H1173&gt;12),"Fora dos 12 meses","OK"))))))</f>
        <v/>
      </c>
    </row>
    <row r="1174">
      <c r="A1174" s="35" t="n"/>
      <c r="B1174" s="31" t="n"/>
      <c r="C1174" s="19">
        <f>IF(B1174="","",IF(COUNTIF(Config!$D$6:$D$15,B1174)&gt;0,"Entrada",IF(COUNTIF(Config!$F$6:$F$25,B1174)&gt;0,"Saída","Categoria inválida")))</f>
        <v/>
      </c>
      <c r="D1174" s="31" t="n"/>
      <c r="E1174" s="33" t="n"/>
      <c r="F1174" s="36" t="n"/>
      <c r="G1174" s="31" t="n"/>
      <c r="H1174" s="37">
        <f>IF(A1174="","",(YEAR(A1174)-YEAR(Config!$B$6))*12+MONTH(A1174)-MONTH(Config!$B$6)+1)</f>
        <v/>
      </c>
      <c r="I1174" s="19">
        <f>IF(AND(A1174="",B1174="",E1174=""),"",IF(A1174="","Falta data",IF(B1174="","Falta categoria",IF(E1174="","Falta valor",IF(C1174="Categoria inválida","Categoria inválida",IF(OR(H1174&lt;1,H1174&gt;12),"Fora dos 12 meses","OK"))))))</f>
        <v/>
      </c>
    </row>
    <row r="1175">
      <c r="A1175" s="35" t="n"/>
      <c r="B1175" s="31" t="n"/>
      <c r="C1175" s="19">
        <f>IF(B1175="","",IF(COUNTIF(Config!$D$6:$D$15,B1175)&gt;0,"Entrada",IF(COUNTIF(Config!$F$6:$F$25,B1175)&gt;0,"Saída","Categoria inválida")))</f>
        <v/>
      </c>
      <c r="D1175" s="31" t="n"/>
      <c r="E1175" s="33" t="n"/>
      <c r="F1175" s="36" t="n"/>
      <c r="G1175" s="31" t="n"/>
      <c r="H1175" s="37">
        <f>IF(A1175="","",(YEAR(A1175)-YEAR(Config!$B$6))*12+MONTH(A1175)-MONTH(Config!$B$6)+1)</f>
        <v/>
      </c>
      <c r="I1175" s="19">
        <f>IF(AND(A1175="",B1175="",E1175=""),"",IF(A1175="","Falta data",IF(B1175="","Falta categoria",IF(E1175="","Falta valor",IF(C1175="Categoria inválida","Categoria inválida",IF(OR(H1175&lt;1,H1175&gt;12),"Fora dos 12 meses","OK"))))))</f>
        <v/>
      </c>
    </row>
    <row r="1176">
      <c r="A1176" s="35" t="n"/>
      <c r="B1176" s="31" t="n"/>
      <c r="C1176" s="19">
        <f>IF(B1176="","",IF(COUNTIF(Config!$D$6:$D$15,B1176)&gt;0,"Entrada",IF(COUNTIF(Config!$F$6:$F$25,B1176)&gt;0,"Saída","Categoria inválida")))</f>
        <v/>
      </c>
      <c r="D1176" s="31" t="n"/>
      <c r="E1176" s="33" t="n"/>
      <c r="F1176" s="36" t="n"/>
      <c r="G1176" s="31" t="n"/>
      <c r="H1176" s="37">
        <f>IF(A1176="","",(YEAR(A1176)-YEAR(Config!$B$6))*12+MONTH(A1176)-MONTH(Config!$B$6)+1)</f>
        <v/>
      </c>
      <c r="I1176" s="19">
        <f>IF(AND(A1176="",B1176="",E1176=""),"",IF(A1176="","Falta data",IF(B1176="","Falta categoria",IF(E1176="","Falta valor",IF(C1176="Categoria inválida","Categoria inválida",IF(OR(H1176&lt;1,H1176&gt;12),"Fora dos 12 meses","OK"))))))</f>
        <v/>
      </c>
    </row>
    <row r="1177">
      <c r="A1177" s="35" t="n"/>
      <c r="B1177" s="31" t="n"/>
      <c r="C1177" s="19">
        <f>IF(B1177="","",IF(COUNTIF(Config!$D$6:$D$15,B1177)&gt;0,"Entrada",IF(COUNTIF(Config!$F$6:$F$25,B1177)&gt;0,"Saída","Categoria inválida")))</f>
        <v/>
      </c>
      <c r="D1177" s="31" t="n"/>
      <c r="E1177" s="33" t="n"/>
      <c r="F1177" s="36" t="n"/>
      <c r="G1177" s="31" t="n"/>
      <c r="H1177" s="37">
        <f>IF(A1177="","",(YEAR(A1177)-YEAR(Config!$B$6))*12+MONTH(A1177)-MONTH(Config!$B$6)+1)</f>
        <v/>
      </c>
      <c r="I1177" s="19">
        <f>IF(AND(A1177="",B1177="",E1177=""),"",IF(A1177="","Falta data",IF(B1177="","Falta categoria",IF(E1177="","Falta valor",IF(C1177="Categoria inválida","Categoria inválida",IF(OR(H1177&lt;1,H1177&gt;12),"Fora dos 12 meses","OK"))))))</f>
        <v/>
      </c>
    </row>
    <row r="1178">
      <c r="A1178" s="35" t="n"/>
      <c r="B1178" s="31" t="n"/>
      <c r="C1178" s="19">
        <f>IF(B1178="","",IF(COUNTIF(Config!$D$6:$D$15,B1178)&gt;0,"Entrada",IF(COUNTIF(Config!$F$6:$F$25,B1178)&gt;0,"Saída","Categoria inválida")))</f>
        <v/>
      </c>
      <c r="D1178" s="31" t="n"/>
      <c r="E1178" s="33" t="n"/>
      <c r="F1178" s="36" t="n"/>
      <c r="G1178" s="31" t="n"/>
      <c r="H1178" s="37">
        <f>IF(A1178="","",(YEAR(A1178)-YEAR(Config!$B$6))*12+MONTH(A1178)-MONTH(Config!$B$6)+1)</f>
        <v/>
      </c>
      <c r="I1178" s="19">
        <f>IF(AND(A1178="",B1178="",E1178=""),"",IF(A1178="","Falta data",IF(B1178="","Falta categoria",IF(E1178="","Falta valor",IF(C1178="Categoria inválida","Categoria inválida",IF(OR(H1178&lt;1,H1178&gt;12),"Fora dos 12 meses","OK"))))))</f>
        <v/>
      </c>
    </row>
    <row r="1179">
      <c r="A1179" s="35" t="n"/>
      <c r="B1179" s="31" t="n"/>
      <c r="C1179" s="19">
        <f>IF(B1179="","",IF(COUNTIF(Config!$D$6:$D$15,B1179)&gt;0,"Entrada",IF(COUNTIF(Config!$F$6:$F$25,B1179)&gt;0,"Saída","Categoria inválida")))</f>
        <v/>
      </c>
      <c r="D1179" s="31" t="n"/>
      <c r="E1179" s="33" t="n"/>
      <c r="F1179" s="36" t="n"/>
      <c r="G1179" s="31" t="n"/>
      <c r="H1179" s="37">
        <f>IF(A1179="","",(YEAR(A1179)-YEAR(Config!$B$6))*12+MONTH(A1179)-MONTH(Config!$B$6)+1)</f>
        <v/>
      </c>
      <c r="I1179" s="19">
        <f>IF(AND(A1179="",B1179="",E1179=""),"",IF(A1179="","Falta data",IF(B1179="","Falta categoria",IF(E1179="","Falta valor",IF(C1179="Categoria inválida","Categoria inválida",IF(OR(H1179&lt;1,H1179&gt;12),"Fora dos 12 meses","OK"))))))</f>
        <v/>
      </c>
    </row>
    <row r="1180">
      <c r="A1180" s="35" t="n"/>
      <c r="B1180" s="31" t="n"/>
      <c r="C1180" s="19">
        <f>IF(B1180="","",IF(COUNTIF(Config!$D$6:$D$15,B1180)&gt;0,"Entrada",IF(COUNTIF(Config!$F$6:$F$25,B1180)&gt;0,"Saída","Categoria inválida")))</f>
        <v/>
      </c>
      <c r="D1180" s="31" t="n"/>
      <c r="E1180" s="33" t="n"/>
      <c r="F1180" s="36" t="n"/>
      <c r="G1180" s="31" t="n"/>
      <c r="H1180" s="37">
        <f>IF(A1180="","",(YEAR(A1180)-YEAR(Config!$B$6))*12+MONTH(A1180)-MONTH(Config!$B$6)+1)</f>
        <v/>
      </c>
      <c r="I1180" s="19">
        <f>IF(AND(A1180="",B1180="",E1180=""),"",IF(A1180="","Falta data",IF(B1180="","Falta categoria",IF(E1180="","Falta valor",IF(C1180="Categoria inválida","Categoria inválida",IF(OR(H1180&lt;1,H1180&gt;12),"Fora dos 12 meses","OK"))))))</f>
        <v/>
      </c>
    </row>
    <row r="1181">
      <c r="A1181" s="35" t="n"/>
      <c r="B1181" s="31" t="n"/>
      <c r="C1181" s="19">
        <f>IF(B1181="","",IF(COUNTIF(Config!$D$6:$D$15,B1181)&gt;0,"Entrada",IF(COUNTIF(Config!$F$6:$F$25,B1181)&gt;0,"Saída","Categoria inválida")))</f>
        <v/>
      </c>
      <c r="D1181" s="31" t="n"/>
      <c r="E1181" s="33" t="n"/>
      <c r="F1181" s="36" t="n"/>
      <c r="G1181" s="31" t="n"/>
      <c r="H1181" s="37">
        <f>IF(A1181="","",(YEAR(A1181)-YEAR(Config!$B$6))*12+MONTH(A1181)-MONTH(Config!$B$6)+1)</f>
        <v/>
      </c>
      <c r="I1181" s="19">
        <f>IF(AND(A1181="",B1181="",E1181=""),"",IF(A1181="","Falta data",IF(B1181="","Falta categoria",IF(E1181="","Falta valor",IF(C1181="Categoria inválida","Categoria inválida",IF(OR(H1181&lt;1,H1181&gt;12),"Fora dos 12 meses","OK"))))))</f>
        <v/>
      </c>
    </row>
    <row r="1182">
      <c r="A1182" s="35" t="n"/>
      <c r="B1182" s="31" t="n"/>
      <c r="C1182" s="19">
        <f>IF(B1182="","",IF(COUNTIF(Config!$D$6:$D$15,B1182)&gt;0,"Entrada",IF(COUNTIF(Config!$F$6:$F$25,B1182)&gt;0,"Saída","Categoria inválida")))</f>
        <v/>
      </c>
      <c r="D1182" s="31" t="n"/>
      <c r="E1182" s="33" t="n"/>
      <c r="F1182" s="36" t="n"/>
      <c r="G1182" s="31" t="n"/>
      <c r="H1182" s="37">
        <f>IF(A1182="","",(YEAR(A1182)-YEAR(Config!$B$6))*12+MONTH(A1182)-MONTH(Config!$B$6)+1)</f>
        <v/>
      </c>
      <c r="I1182" s="19">
        <f>IF(AND(A1182="",B1182="",E1182=""),"",IF(A1182="","Falta data",IF(B1182="","Falta categoria",IF(E1182="","Falta valor",IF(C1182="Categoria inválida","Categoria inválida",IF(OR(H1182&lt;1,H1182&gt;12),"Fora dos 12 meses","OK"))))))</f>
        <v/>
      </c>
    </row>
    <row r="1183">
      <c r="A1183" s="35" t="n"/>
      <c r="B1183" s="31" t="n"/>
      <c r="C1183" s="19">
        <f>IF(B1183="","",IF(COUNTIF(Config!$D$6:$D$15,B1183)&gt;0,"Entrada",IF(COUNTIF(Config!$F$6:$F$25,B1183)&gt;0,"Saída","Categoria inválida")))</f>
        <v/>
      </c>
      <c r="D1183" s="31" t="n"/>
      <c r="E1183" s="33" t="n"/>
      <c r="F1183" s="36" t="n"/>
      <c r="G1183" s="31" t="n"/>
      <c r="H1183" s="37">
        <f>IF(A1183="","",(YEAR(A1183)-YEAR(Config!$B$6))*12+MONTH(A1183)-MONTH(Config!$B$6)+1)</f>
        <v/>
      </c>
      <c r="I1183" s="19">
        <f>IF(AND(A1183="",B1183="",E1183=""),"",IF(A1183="","Falta data",IF(B1183="","Falta categoria",IF(E1183="","Falta valor",IF(C1183="Categoria inválida","Categoria inválida",IF(OR(H1183&lt;1,H1183&gt;12),"Fora dos 12 meses","OK"))))))</f>
        <v/>
      </c>
    </row>
    <row r="1184">
      <c r="A1184" s="35" t="n"/>
      <c r="B1184" s="31" t="n"/>
      <c r="C1184" s="19">
        <f>IF(B1184="","",IF(COUNTIF(Config!$D$6:$D$15,B1184)&gt;0,"Entrada",IF(COUNTIF(Config!$F$6:$F$25,B1184)&gt;0,"Saída","Categoria inválida")))</f>
        <v/>
      </c>
      <c r="D1184" s="31" t="n"/>
      <c r="E1184" s="33" t="n"/>
      <c r="F1184" s="36" t="n"/>
      <c r="G1184" s="31" t="n"/>
      <c r="H1184" s="37">
        <f>IF(A1184="","",(YEAR(A1184)-YEAR(Config!$B$6))*12+MONTH(A1184)-MONTH(Config!$B$6)+1)</f>
        <v/>
      </c>
      <c r="I1184" s="19">
        <f>IF(AND(A1184="",B1184="",E1184=""),"",IF(A1184="","Falta data",IF(B1184="","Falta categoria",IF(E1184="","Falta valor",IF(C1184="Categoria inválida","Categoria inválida",IF(OR(H1184&lt;1,H1184&gt;12),"Fora dos 12 meses","OK"))))))</f>
        <v/>
      </c>
    </row>
    <row r="1185">
      <c r="A1185" s="35" t="n"/>
      <c r="B1185" s="31" t="n"/>
      <c r="C1185" s="19">
        <f>IF(B1185="","",IF(COUNTIF(Config!$D$6:$D$15,B1185)&gt;0,"Entrada",IF(COUNTIF(Config!$F$6:$F$25,B1185)&gt;0,"Saída","Categoria inválida")))</f>
        <v/>
      </c>
      <c r="D1185" s="31" t="n"/>
      <c r="E1185" s="33" t="n"/>
      <c r="F1185" s="36" t="n"/>
      <c r="G1185" s="31" t="n"/>
      <c r="H1185" s="37">
        <f>IF(A1185="","",(YEAR(A1185)-YEAR(Config!$B$6))*12+MONTH(A1185)-MONTH(Config!$B$6)+1)</f>
        <v/>
      </c>
      <c r="I1185" s="19">
        <f>IF(AND(A1185="",B1185="",E1185=""),"",IF(A1185="","Falta data",IF(B1185="","Falta categoria",IF(E1185="","Falta valor",IF(C1185="Categoria inválida","Categoria inválida",IF(OR(H1185&lt;1,H1185&gt;12),"Fora dos 12 meses","OK"))))))</f>
        <v/>
      </c>
    </row>
    <row r="1186">
      <c r="A1186" s="35" t="n"/>
      <c r="B1186" s="31" t="n"/>
      <c r="C1186" s="19">
        <f>IF(B1186="","",IF(COUNTIF(Config!$D$6:$D$15,B1186)&gt;0,"Entrada",IF(COUNTIF(Config!$F$6:$F$25,B1186)&gt;0,"Saída","Categoria inválida")))</f>
        <v/>
      </c>
      <c r="D1186" s="31" t="n"/>
      <c r="E1186" s="33" t="n"/>
      <c r="F1186" s="36" t="n"/>
      <c r="G1186" s="31" t="n"/>
      <c r="H1186" s="37">
        <f>IF(A1186="","",(YEAR(A1186)-YEAR(Config!$B$6))*12+MONTH(A1186)-MONTH(Config!$B$6)+1)</f>
        <v/>
      </c>
      <c r="I1186" s="19">
        <f>IF(AND(A1186="",B1186="",E1186=""),"",IF(A1186="","Falta data",IF(B1186="","Falta categoria",IF(E1186="","Falta valor",IF(C1186="Categoria inválida","Categoria inválida",IF(OR(H1186&lt;1,H1186&gt;12),"Fora dos 12 meses","OK"))))))</f>
        <v/>
      </c>
    </row>
    <row r="1187">
      <c r="A1187" s="35" t="n"/>
      <c r="B1187" s="31" t="n"/>
      <c r="C1187" s="19">
        <f>IF(B1187="","",IF(COUNTIF(Config!$D$6:$D$15,B1187)&gt;0,"Entrada",IF(COUNTIF(Config!$F$6:$F$25,B1187)&gt;0,"Saída","Categoria inválida")))</f>
        <v/>
      </c>
      <c r="D1187" s="31" t="n"/>
      <c r="E1187" s="33" t="n"/>
      <c r="F1187" s="36" t="n"/>
      <c r="G1187" s="31" t="n"/>
      <c r="H1187" s="37">
        <f>IF(A1187="","",(YEAR(A1187)-YEAR(Config!$B$6))*12+MONTH(A1187)-MONTH(Config!$B$6)+1)</f>
        <v/>
      </c>
      <c r="I1187" s="19">
        <f>IF(AND(A1187="",B1187="",E1187=""),"",IF(A1187="","Falta data",IF(B1187="","Falta categoria",IF(E1187="","Falta valor",IF(C1187="Categoria inválida","Categoria inválida",IF(OR(H1187&lt;1,H1187&gt;12),"Fora dos 12 meses","OK"))))))</f>
        <v/>
      </c>
    </row>
    <row r="1188">
      <c r="A1188" s="35" t="n"/>
      <c r="B1188" s="31" t="n"/>
      <c r="C1188" s="19">
        <f>IF(B1188="","",IF(COUNTIF(Config!$D$6:$D$15,B1188)&gt;0,"Entrada",IF(COUNTIF(Config!$F$6:$F$25,B1188)&gt;0,"Saída","Categoria inválida")))</f>
        <v/>
      </c>
      <c r="D1188" s="31" t="n"/>
      <c r="E1188" s="33" t="n"/>
      <c r="F1188" s="36" t="n"/>
      <c r="G1188" s="31" t="n"/>
      <c r="H1188" s="37">
        <f>IF(A1188="","",(YEAR(A1188)-YEAR(Config!$B$6))*12+MONTH(A1188)-MONTH(Config!$B$6)+1)</f>
        <v/>
      </c>
      <c r="I1188" s="19">
        <f>IF(AND(A1188="",B1188="",E1188=""),"",IF(A1188="","Falta data",IF(B1188="","Falta categoria",IF(E1188="","Falta valor",IF(C1188="Categoria inválida","Categoria inválida",IF(OR(H1188&lt;1,H1188&gt;12),"Fora dos 12 meses","OK"))))))</f>
        <v/>
      </c>
    </row>
    <row r="1189">
      <c r="A1189" s="35" t="n"/>
      <c r="B1189" s="31" t="n"/>
      <c r="C1189" s="19">
        <f>IF(B1189="","",IF(COUNTIF(Config!$D$6:$D$15,B1189)&gt;0,"Entrada",IF(COUNTIF(Config!$F$6:$F$25,B1189)&gt;0,"Saída","Categoria inválida")))</f>
        <v/>
      </c>
      <c r="D1189" s="31" t="n"/>
      <c r="E1189" s="33" t="n"/>
      <c r="F1189" s="36" t="n"/>
      <c r="G1189" s="31" t="n"/>
      <c r="H1189" s="37">
        <f>IF(A1189="","",(YEAR(A1189)-YEAR(Config!$B$6))*12+MONTH(A1189)-MONTH(Config!$B$6)+1)</f>
        <v/>
      </c>
      <c r="I1189" s="19">
        <f>IF(AND(A1189="",B1189="",E1189=""),"",IF(A1189="","Falta data",IF(B1189="","Falta categoria",IF(E1189="","Falta valor",IF(C1189="Categoria inválida","Categoria inválida",IF(OR(H1189&lt;1,H1189&gt;12),"Fora dos 12 meses","OK"))))))</f>
        <v/>
      </c>
    </row>
    <row r="1190">
      <c r="A1190" s="35" t="n"/>
      <c r="B1190" s="31" t="n"/>
      <c r="C1190" s="19">
        <f>IF(B1190="","",IF(COUNTIF(Config!$D$6:$D$15,B1190)&gt;0,"Entrada",IF(COUNTIF(Config!$F$6:$F$25,B1190)&gt;0,"Saída","Categoria inválida")))</f>
        <v/>
      </c>
      <c r="D1190" s="31" t="n"/>
      <c r="E1190" s="33" t="n"/>
      <c r="F1190" s="36" t="n"/>
      <c r="G1190" s="31" t="n"/>
      <c r="H1190" s="37">
        <f>IF(A1190="","",(YEAR(A1190)-YEAR(Config!$B$6))*12+MONTH(A1190)-MONTH(Config!$B$6)+1)</f>
        <v/>
      </c>
      <c r="I1190" s="19">
        <f>IF(AND(A1190="",B1190="",E1190=""),"",IF(A1190="","Falta data",IF(B1190="","Falta categoria",IF(E1190="","Falta valor",IF(C1190="Categoria inválida","Categoria inválida",IF(OR(H1190&lt;1,H1190&gt;12),"Fora dos 12 meses","OK"))))))</f>
        <v/>
      </c>
    </row>
    <row r="1191">
      <c r="A1191" s="35" t="n"/>
      <c r="B1191" s="31" t="n"/>
      <c r="C1191" s="19">
        <f>IF(B1191="","",IF(COUNTIF(Config!$D$6:$D$15,B1191)&gt;0,"Entrada",IF(COUNTIF(Config!$F$6:$F$25,B1191)&gt;0,"Saída","Categoria inválida")))</f>
        <v/>
      </c>
      <c r="D1191" s="31" t="n"/>
      <c r="E1191" s="33" t="n"/>
      <c r="F1191" s="36" t="n"/>
      <c r="G1191" s="31" t="n"/>
      <c r="H1191" s="37">
        <f>IF(A1191="","",(YEAR(A1191)-YEAR(Config!$B$6))*12+MONTH(A1191)-MONTH(Config!$B$6)+1)</f>
        <v/>
      </c>
      <c r="I1191" s="19">
        <f>IF(AND(A1191="",B1191="",E1191=""),"",IF(A1191="","Falta data",IF(B1191="","Falta categoria",IF(E1191="","Falta valor",IF(C1191="Categoria inválida","Categoria inválida",IF(OR(H1191&lt;1,H1191&gt;12),"Fora dos 12 meses","OK"))))))</f>
        <v/>
      </c>
    </row>
    <row r="1192">
      <c r="A1192" s="35" t="n"/>
      <c r="B1192" s="31" t="n"/>
      <c r="C1192" s="19">
        <f>IF(B1192="","",IF(COUNTIF(Config!$D$6:$D$15,B1192)&gt;0,"Entrada",IF(COUNTIF(Config!$F$6:$F$25,B1192)&gt;0,"Saída","Categoria inválida")))</f>
        <v/>
      </c>
      <c r="D1192" s="31" t="n"/>
      <c r="E1192" s="33" t="n"/>
      <c r="F1192" s="36" t="n"/>
      <c r="G1192" s="31" t="n"/>
      <c r="H1192" s="37">
        <f>IF(A1192="","",(YEAR(A1192)-YEAR(Config!$B$6))*12+MONTH(A1192)-MONTH(Config!$B$6)+1)</f>
        <v/>
      </c>
      <c r="I1192" s="19">
        <f>IF(AND(A1192="",B1192="",E1192=""),"",IF(A1192="","Falta data",IF(B1192="","Falta categoria",IF(E1192="","Falta valor",IF(C1192="Categoria inválida","Categoria inválida",IF(OR(H1192&lt;1,H1192&gt;12),"Fora dos 12 meses","OK"))))))</f>
        <v/>
      </c>
    </row>
    <row r="1193">
      <c r="A1193" s="35" t="n"/>
      <c r="B1193" s="31" t="n"/>
      <c r="C1193" s="19">
        <f>IF(B1193="","",IF(COUNTIF(Config!$D$6:$D$15,B1193)&gt;0,"Entrada",IF(COUNTIF(Config!$F$6:$F$25,B1193)&gt;0,"Saída","Categoria inválida")))</f>
        <v/>
      </c>
      <c r="D1193" s="31" t="n"/>
      <c r="E1193" s="33" t="n"/>
      <c r="F1193" s="36" t="n"/>
      <c r="G1193" s="31" t="n"/>
      <c r="H1193" s="37">
        <f>IF(A1193="","",(YEAR(A1193)-YEAR(Config!$B$6))*12+MONTH(A1193)-MONTH(Config!$B$6)+1)</f>
        <v/>
      </c>
      <c r="I1193" s="19">
        <f>IF(AND(A1193="",B1193="",E1193=""),"",IF(A1193="","Falta data",IF(B1193="","Falta categoria",IF(E1193="","Falta valor",IF(C1193="Categoria inválida","Categoria inválida",IF(OR(H1193&lt;1,H1193&gt;12),"Fora dos 12 meses","OK"))))))</f>
        <v/>
      </c>
    </row>
    <row r="1194">
      <c r="A1194" s="35" t="n"/>
      <c r="B1194" s="31" t="n"/>
      <c r="C1194" s="19">
        <f>IF(B1194="","",IF(COUNTIF(Config!$D$6:$D$15,B1194)&gt;0,"Entrada",IF(COUNTIF(Config!$F$6:$F$25,B1194)&gt;0,"Saída","Categoria inválida")))</f>
        <v/>
      </c>
      <c r="D1194" s="31" t="n"/>
      <c r="E1194" s="33" t="n"/>
      <c r="F1194" s="36" t="n"/>
      <c r="G1194" s="31" t="n"/>
      <c r="H1194" s="37">
        <f>IF(A1194="","",(YEAR(A1194)-YEAR(Config!$B$6))*12+MONTH(A1194)-MONTH(Config!$B$6)+1)</f>
        <v/>
      </c>
      <c r="I1194" s="19">
        <f>IF(AND(A1194="",B1194="",E1194=""),"",IF(A1194="","Falta data",IF(B1194="","Falta categoria",IF(E1194="","Falta valor",IF(C1194="Categoria inválida","Categoria inválida",IF(OR(H1194&lt;1,H1194&gt;12),"Fora dos 12 meses","OK"))))))</f>
        <v/>
      </c>
    </row>
    <row r="1195">
      <c r="A1195" s="35" t="n"/>
      <c r="B1195" s="31" t="n"/>
      <c r="C1195" s="19">
        <f>IF(B1195="","",IF(COUNTIF(Config!$D$6:$D$15,B1195)&gt;0,"Entrada",IF(COUNTIF(Config!$F$6:$F$25,B1195)&gt;0,"Saída","Categoria inválida")))</f>
        <v/>
      </c>
      <c r="D1195" s="31" t="n"/>
      <c r="E1195" s="33" t="n"/>
      <c r="F1195" s="36" t="n"/>
      <c r="G1195" s="31" t="n"/>
      <c r="H1195" s="37">
        <f>IF(A1195="","",(YEAR(A1195)-YEAR(Config!$B$6))*12+MONTH(A1195)-MONTH(Config!$B$6)+1)</f>
        <v/>
      </c>
      <c r="I1195" s="19">
        <f>IF(AND(A1195="",B1195="",E1195=""),"",IF(A1195="","Falta data",IF(B1195="","Falta categoria",IF(E1195="","Falta valor",IF(C1195="Categoria inválida","Categoria inválida",IF(OR(H1195&lt;1,H1195&gt;12),"Fora dos 12 meses","OK"))))))</f>
        <v/>
      </c>
    </row>
    <row r="1196">
      <c r="A1196" s="35" t="n"/>
      <c r="B1196" s="31" t="n"/>
      <c r="C1196" s="19">
        <f>IF(B1196="","",IF(COUNTIF(Config!$D$6:$D$15,B1196)&gt;0,"Entrada",IF(COUNTIF(Config!$F$6:$F$25,B1196)&gt;0,"Saída","Categoria inválida")))</f>
        <v/>
      </c>
      <c r="D1196" s="31" t="n"/>
      <c r="E1196" s="33" t="n"/>
      <c r="F1196" s="36" t="n"/>
      <c r="G1196" s="31" t="n"/>
      <c r="H1196" s="37">
        <f>IF(A1196="","",(YEAR(A1196)-YEAR(Config!$B$6))*12+MONTH(A1196)-MONTH(Config!$B$6)+1)</f>
        <v/>
      </c>
      <c r="I1196" s="19">
        <f>IF(AND(A1196="",B1196="",E1196=""),"",IF(A1196="","Falta data",IF(B1196="","Falta categoria",IF(E1196="","Falta valor",IF(C1196="Categoria inválida","Categoria inválida",IF(OR(H1196&lt;1,H1196&gt;12),"Fora dos 12 meses","OK"))))))</f>
        <v/>
      </c>
    </row>
    <row r="1197">
      <c r="A1197" s="35" t="n"/>
      <c r="B1197" s="31" t="n"/>
      <c r="C1197" s="19">
        <f>IF(B1197="","",IF(COUNTIF(Config!$D$6:$D$15,B1197)&gt;0,"Entrada",IF(COUNTIF(Config!$F$6:$F$25,B1197)&gt;0,"Saída","Categoria inválida")))</f>
        <v/>
      </c>
      <c r="D1197" s="31" t="n"/>
      <c r="E1197" s="33" t="n"/>
      <c r="F1197" s="36" t="n"/>
      <c r="G1197" s="31" t="n"/>
      <c r="H1197" s="37">
        <f>IF(A1197="","",(YEAR(A1197)-YEAR(Config!$B$6))*12+MONTH(A1197)-MONTH(Config!$B$6)+1)</f>
        <v/>
      </c>
      <c r="I1197" s="19">
        <f>IF(AND(A1197="",B1197="",E1197=""),"",IF(A1197="","Falta data",IF(B1197="","Falta categoria",IF(E1197="","Falta valor",IF(C1197="Categoria inválida","Categoria inválida",IF(OR(H1197&lt;1,H1197&gt;12),"Fora dos 12 meses","OK"))))))</f>
        <v/>
      </c>
    </row>
    <row r="1198">
      <c r="A1198" s="35" t="n"/>
      <c r="B1198" s="31" t="n"/>
      <c r="C1198" s="19">
        <f>IF(B1198="","",IF(COUNTIF(Config!$D$6:$D$15,B1198)&gt;0,"Entrada",IF(COUNTIF(Config!$F$6:$F$25,B1198)&gt;0,"Saída","Categoria inválida")))</f>
        <v/>
      </c>
      <c r="D1198" s="31" t="n"/>
      <c r="E1198" s="33" t="n"/>
      <c r="F1198" s="36" t="n"/>
      <c r="G1198" s="31" t="n"/>
      <c r="H1198" s="37">
        <f>IF(A1198="","",(YEAR(A1198)-YEAR(Config!$B$6))*12+MONTH(A1198)-MONTH(Config!$B$6)+1)</f>
        <v/>
      </c>
      <c r="I1198" s="19">
        <f>IF(AND(A1198="",B1198="",E1198=""),"",IF(A1198="","Falta data",IF(B1198="","Falta categoria",IF(E1198="","Falta valor",IF(C1198="Categoria inválida","Categoria inválida",IF(OR(H1198&lt;1,H1198&gt;12),"Fora dos 12 meses","OK"))))))</f>
        <v/>
      </c>
    </row>
    <row r="1199">
      <c r="A1199" s="35" t="n"/>
      <c r="B1199" s="31" t="n"/>
      <c r="C1199" s="19">
        <f>IF(B1199="","",IF(COUNTIF(Config!$D$6:$D$15,B1199)&gt;0,"Entrada",IF(COUNTIF(Config!$F$6:$F$25,B1199)&gt;0,"Saída","Categoria inválida")))</f>
        <v/>
      </c>
      <c r="D1199" s="31" t="n"/>
      <c r="E1199" s="33" t="n"/>
      <c r="F1199" s="36" t="n"/>
      <c r="G1199" s="31" t="n"/>
      <c r="H1199" s="37">
        <f>IF(A1199="","",(YEAR(A1199)-YEAR(Config!$B$6))*12+MONTH(A1199)-MONTH(Config!$B$6)+1)</f>
        <v/>
      </c>
      <c r="I1199" s="19">
        <f>IF(AND(A1199="",B1199="",E1199=""),"",IF(A1199="","Falta data",IF(B1199="","Falta categoria",IF(E1199="","Falta valor",IF(C1199="Categoria inválida","Categoria inválida",IF(OR(H1199&lt;1,H1199&gt;12),"Fora dos 12 meses","OK"))))))</f>
        <v/>
      </c>
    </row>
    <row r="1200">
      <c r="A1200" s="35" t="n"/>
      <c r="B1200" s="31" t="n"/>
      <c r="C1200" s="19">
        <f>IF(B1200="","",IF(COUNTIF(Config!$D$6:$D$15,B1200)&gt;0,"Entrada",IF(COUNTIF(Config!$F$6:$F$25,B1200)&gt;0,"Saída","Categoria inválida")))</f>
        <v/>
      </c>
      <c r="D1200" s="31" t="n"/>
      <c r="E1200" s="33" t="n"/>
      <c r="F1200" s="36" t="n"/>
      <c r="G1200" s="31" t="n"/>
      <c r="H1200" s="37">
        <f>IF(A1200="","",(YEAR(A1200)-YEAR(Config!$B$6))*12+MONTH(A1200)-MONTH(Config!$B$6)+1)</f>
        <v/>
      </c>
      <c r="I1200" s="19">
        <f>IF(AND(A1200="",B1200="",E1200=""),"",IF(A1200="","Falta data",IF(B1200="","Falta categoria",IF(E1200="","Falta valor",IF(C1200="Categoria inválida","Categoria inválida",IF(OR(H1200&lt;1,H1200&gt;12),"Fora dos 12 meses","OK"))))))</f>
        <v/>
      </c>
    </row>
    <row r="1201">
      <c r="A1201" s="35" t="n"/>
      <c r="B1201" s="31" t="n"/>
      <c r="C1201" s="19">
        <f>IF(B1201="","",IF(COUNTIF(Config!$D$6:$D$15,B1201)&gt;0,"Entrada",IF(COUNTIF(Config!$F$6:$F$25,B1201)&gt;0,"Saída","Categoria inválida")))</f>
        <v/>
      </c>
      <c r="D1201" s="31" t="n"/>
      <c r="E1201" s="33" t="n"/>
      <c r="F1201" s="36" t="n"/>
      <c r="G1201" s="31" t="n"/>
      <c r="H1201" s="37">
        <f>IF(A1201="","",(YEAR(A1201)-YEAR(Config!$B$6))*12+MONTH(A1201)-MONTH(Config!$B$6)+1)</f>
        <v/>
      </c>
      <c r="I1201" s="19">
        <f>IF(AND(A1201="",B1201="",E1201=""),"",IF(A1201="","Falta data",IF(B1201="","Falta categoria",IF(E1201="","Falta valor",IF(C1201="Categoria inválida","Categoria inválida",IF(OR(H1201&lt;1,H1201&gt;12),"Fora dos 12 meses","OK"))))))</f>
        <v/>
      </c>
    </row>
    <row r="1202">
      <c r="A1202" s="35" t="n"/>
      <c r="B1202" s="31" t="n"/>
      <c r="C1202" s="19">
        <f>IF(B1202="","",IF(COUNTIF(Config!$D$6:$D$15,B1202)&gt;0,"Entrada",IF(COUNTIF(Config!$F$6:$F$25,B1202)&gt;0,"Saída","Categoria inválida")))</f>
        <v/>
      </c>
      <c r="D1202" s="31" t="n"/>
      <c r="E1202" s="33" t="n"/>
      <c r="F1202" s="36" t="n"/>
      <c r="G1202" s="31" t="n"/>
      <c r="H1202" s="37">
        <f>IF(A1202="","",(YEAR(A1202)-YEAR(Config!$B$6))*12+MONTH(A1202)-MONTH(Config!$B$6)+1)</f>
        <v/>
      </c>
      <c r="I1202" s="19">
        <f>IF(AND(A1202="",B1202="",E1202=""),"",IF(A1202="","Falta data",IF(B1202="","Falta categoria",IF(E1202="","Falta valor",IF(C1202="Categoria inválida","Categoria inválida",IF(OR(H1202&lt;1,H1202&gt;12),"Fora dos 12 meses","OK"))))))</f>
        <v/>
      </c>
    </row>
    <row r="1203">
      <c r="A1203" s="35" t="n"/>
      <c r="B1203" s="31" t="n"/>
      <c r="C1203" s="19">
        <f>IF(B1203="","",IF(COUNTIF(Config!$D$6:$D$15,B1203)&gt;0,"Entrada",IF(COUNTIF(Config!$F$6:$F$25,B1203)&gt;0,"Saída","Categoria inválida")))</f>
        <v/>
      </c>
      <c r="D1203" s="31" t="n"/>
      <c r="E1203" s="33" t="n"/>
      <c r="F1203" s="36" t="n"/>
      <c r="G1203" s="31" t="n"/>
      <c r="H1203" s="37">
        <f>IF(A1203="","",(YEAR(A1203)-YEAR(Config!$B$6))*12+MONTH(A1203)-MONTH(Config!$B$6)+1)</f>
        <v/>
      </c>
      <c r="I1203" s="19">
        <f>IF(AND(A1203="",B1203="",E1203=""),"",IF(A1203="","Falta data",IF(B1203="","Falta categoria",IF(E1203="","Falta valor",IF(C1203="Categoria inválida","Categoria inválida",IF(OR(H1203&lt;1,H1203&gt;12),"Fora dos 12 meses","OK"))))))</f>
        <v/>
      </c>
    </row>
    <row r="1204">
      <c r="A1204" s="35" t="n"/>
      <c r="B1204" s="31" t="n"/>
      <c r="C1204" s="19">
        <f>IF(B1204="","",IF(COUNTIF(Config!$D$6:$D$15,B1204)&gt;0,"Entrada",IF(COUNTIF(Config!$F$6:$F$25,B1204)&gt;0,"Saída","Categoria inválida")))</f>
        <v/>
      </c>
      <c r="D1204" s="31" t="n"/>
      <c r="E1204" s="33" t="n"/>
      <c r="F1204" s="36" t="n"/>
      <c r="G1204" s="31" t="n"/>
      <c r="H1204" s="37">
        <f>IF(A1204="","",(YEAR(A1204)-YEAR(Config!$B$6))*12+MONTH(A1204)-MONTH(Config!$B$6)+1)</f>
        <v/>
      </c>
      <c r="I1204" s="19">
        <f>IF(AND(A1204="",B1204="",E1204=""),"",IF(A1204="","Falta data",IF(B1204="","Falta categoria",IF(E1204="","Falta valor",IF(C1204="Categoria inválida","Categoria inválida",IF(OR(H1204&lt;1,H1204&gt;12),"Fora dos 12 meses","OK"))))))</f>
        <v/>
      </c>
    </row>
    <row r="1205">
      <c r="A1205" s="35" t="n"/>
      <c r="B1205" s="31" t="n"/>
      <c r="C1205" s="19">
        <f>IF(B1205="","",IF(COUNTIF(Config!$D$6:$D$15,B1205)&gt;0,"Entrada",IF(COUNTIF(Config!$F$6:$F$25,B1205)&gt;0,"Saída","Categoria inválida")))</f>
        <v/>
      </c>
      <c r="D1205" s="31" t="n"/>
      <c r="E1205" s="33" t="n"/>
      <c r="F1205" s="36" t="n"/>
      <c r="G1205" s="31" t="n"/>
      <c r="H1205" s="37">
        <f>IF(A1205="","",(YEAR(A1205)-YEAR(Config!$B$6))*12+MONTH(A1205)-MONTH(Config!$B$6)+1)</f>
        <v/>
      </c>
      <c r="I1205" s="19">
        <f>IF(AND(A1205="",B1205="",E1205=""),"",IF(A1205="","Falta data",IF(B1205="","Falta categoria",IF(E1205="","Falta valor",IF(C1205="Categoria inválida","Categoria inválida",IF(OR(H1205&lt;1,H1205&gt;12),"Fora dos 12 meses","OK"))))))</f>
        <v/>
      </c>
    </row>
    <row r="1206">
      <c r="A1206" s="35" t="n"/>
      <c r="B1206" s="31" t="n"/>
      <c r="C1206" s="19">
        <f>IF(B1206="","",IF(COUNTIF(Config!$D$6:$D$15,B1206)&gt;0,"Entrada",IF(COUNTIF(Config!$F$6:$F$25,B1206)&gt;0,"Saída","Categoria inválida")))</f>
        <v/>
      </c>
      <c r="D1206" s="31" t="n"/>
      <c r="E1206" s="33" t="n"/>
      <c r="F1206" s="36" t="n"/>
      <c r="G1206" s="31" t="n"/>
      <c r="H1206" s="37">
        <f>IF(A1206="","",(YEAR(A1206)-YEAR(Config!$B$6))*12+MONTH(A1206)-MONTH(Config!$B$6)+1)</f>
        <v/>
      </c>
      <c r="I1206" s="19">
        <f>IF(AND(A1206="",B1206="",E1206=""),"",IF(A1206="","Falta data",IF(B1206="","Falta categoria",IF(E1206="","Falta valor",IF(C1206="Categoria inválida","Categoria inválida",IF(OR(H1206&lt;1,H1206&gt;12),"Fora dos 12 meses","OK"))))))</f>
        <v/>
      </c>
    </row>
    <row r="1207">
      <c r="A1207" s="35" t="n"/>
      <c r="B1207" s="31" t="n"/>
      <c r="C1207" s="19">
        <f>IF(B1207="","",IF(COUNTIF(Config!$D$6:$D$15,B1207)&gt;0,"Entrada",IF(COUNTIF(Config!$F$6:$F$25,B1207)&gt;0,"Saída","Categoria inválida")))</f>
        <v/>
      </c>
      <c r="D1207" s="31" t="n"/>
      <c r="E1207" s="33" t="n"/>
      <c r="F1207" s="36" t="n"/>
      <c r="G1207" s="31" t="n"/>
      <c r="H1207" s="37">
        <f>IF(A1207="","",(YEAR(A1207)-YEAR(Config!$B$6))*12+MONTH(A1207)-MONTH(Config!$B$6)+1)</f>
        <v/>
      </c>
      <c r="I1207" s="19">
        <f>IF(AND(A1207="",B1207="",E1207=""),"",IF(A1207="","Falta data",IF(B1207="","Falta categoria",IF(E1207="","Falta valor",IF(C1207="Categoria inválida","Categoria inválida",IF(OR(H1207&lt;1,H1207&gt;12),"Fora dos 12 meses","OK"))))))</f>
        <v/>
      </c>
    </row>
    <row r="1208">
      <c r="A1208" s="35" t="n"/>
      <c r="B1208" s="31" t="n"/>
      <c r="C1208" s="19">
        <f>IF(B1208="","",IF(COUNTIF(Config!$D$6:$D$15,B1208)&gt;0,"Entrada",IF(COUNTIF(Config!$F$6:$F$25,B1208)&gt;0,"Saída","Categoria inválida")))</f>
        <v/>
      </c>
      <c r="D1208" s="31" t="n"/>
      <c r="E1208" s="33" t="n"/>
      <c r="F1208" s="36" t="n"/>
      <c r="G1208" s="31" t="n"/>
      <c r="H1208" s="37">
        <f>IF(A1208="","",(YEAR(A1208)-YEAR(Config!$B$6))*12+MONTH(A1208)-MONTH(Config!$B$6)+1)</f>
        <v/>
      </c>
      <c r="I1208" s="19">
        <f>IF(AND(A1208="",B1208="",E1208=""),"",IF(A1208="","Falta data",IF(B1208="","Falta categoria",IF(E1208="","Falta valor",IF(C1208="Categoria inválida","Categoria inválida",IF(OR(H1208&lt;1,H1208&gt;12),"Fora dos 12 meses","OK"))))))</f>
        <v/>
      </c>
    </row>
    <row r="1209">
      <c r="A1209" s="35" t="n"/>
      <c r="B1209" s="31" t="n"/>
      <c r="C1209" s="19">
        <f>IF(B1209="","",IF(COUNTIF(Config!$D$6:$D$15,B1209)&gt;0,"Entrada",IF(COUNTIF(Config!$F$6:$F$25,B1209)&gt;0,"Saída","Categoria inválida")))</f>
        <v/>
      </c>
      <c r="D1209" s="31" t="n"/>
      <c r="E1209" s="33" t="n"/>
      <c r="F1209" s="36" t="n"/>
      <c r="G1209" s="31" t="n"/>
      <c r="H1209" s="37">
        <f>IF(A1209="","",(YEAR(A1209)-YEAR(Config!$B$6))*12+MONTH(A1209)-MONTH(Config!$B$6)+1)</f>
        <v/>
      </c>
      <c r="I1209" s="19">
        <f>IF(AND(A1209="",B1209="",E1209=""),"",IF(A1209="","Falta data",IF(B1209="","Falta categoria",IF(E1209="","Falta valor",IF(C1209="Categoria inválida","Categoria inválida",IF(OR(H1209&lt;1,H1209&gt;12),"Fora dos 12 meses","OK"))))))</f>
        <v/>
      </c>
    </row>
    <row r="1210">
      <c r="A1210" s="35" t="n"/>
      <c r="B1210" s="31" t="n"/>
      <c r="C1210" s="19">
        <f>IF(B1210="","",IF(COUNTIF(Config!$D$6:$D$15,B1210)&gt;0,"Entrada",IF(COUNTIF(Config!$F$6:$F$25,B1210)&gt;0,"Saída","Categoria inválida")))</f>
        <v/>
      </c>
      <c r="D1210" s="31" t="n"/>
      <c r="E1210" s="33" t="n"/>
      <c r="F1210" s="36" t="n"/>
      <c r="G1210" s="31" t="n"/>
      <c r="H1210" s="37">
        <f>IF(A1210="","",(YEAR(A1210)-YEAR(Config!$B$6))*12+MONTH(A1210)-MONTH(Config!$B$6)+1)</f>
        <v/>
      </c>
      <c r="I1210" s="19">
        <f>IF(AND(A1210="",B1210="",E1210=""),"",IF(A1210="","Falta data",IF(B1210="","Falta categoria",IF(E1210="","Falta valor",IF(C1210="Categoria inválida","Categoria inválida",IF(OR(H1210&lt;1,H1210&gt;12),"Fora dos 12 meses","OK"))))))</f>
        <v/>
      </c>
    </row>
    <row r="1211">
      <c r="A1211" s="35" t="n"/>
      <c r="B1211" s="31" t="n"/>
      <c r="C1211" s="19">
        <f>IF(B1211="","",IF(COUNTIF(Config!$D$6:$D$15,B1211)&gt;0,"Entrada",IF(COUNTIF(Config!$F$6:$F$25,B1211)&gt;0,"Saída","Categoria inválida")))</f>
        <v/>
      </c>
      <c r="D1211" s="31" t="n"/>
      <c r="E1211" s="33" t="n"/>
      <c r="F1211" s="36" t="n"/>
      <c r="G1211" s="31" t="n"/>
      <c r="H1211" s="37">
        <f>IF(A1211="","",(YEAR(A1211)-YEAR(Config!$B$6))*12+MONTH(A1211)-MONTH(Config!$B$6)+1)</f>
        <v/>
      </c>
      <c r="I1211" s="19">
        <f>IF(AND(A1211="",B1211="",E1211=""),"",IF(A1211="","Falta data",IF(B1211="","Falta categoria",IF(E1211="","Falta valor",IF(C1211="Categoria inválida","Categoria inválida",IF(OR(H1211&lt;1,H1211&gt;12),"Fora dos 12 meses","OK"))))))</f>
        <v/>
      </c>
    </row>
    <row r="1212">
      <c r="A1212" s="35" t="n"/>
      <c r="B1212" s="31" t="n"/>
      <c r="C1212" s="19">
        <f>IF(B1212="","",IF(COUNTIF(Config!$D$6:$D$15,B1212)&gt;0,"Entrada",IF(COUNTIF(Config!$F$6:$F$25,B1212)&gt;0,"Saída","Categoria inválida")))</f>
        <v/>
      </c>
      <c r="D1212" s="31" t="n"/>
      <c r="E1212" s="33" t="n"/>
      <c r="F1212" s="36" t="n"/>
      <c r="G1212" s="31" t="n"/>
      <c r="H1212" s="37">
        <f>IF(A1212="","",(YEAR(A1212)-YEAR(Config!$B$6))*12+MONTH(A1212)-MONTH(Config!$B$6)+1)</f>
        <v/>
      </c>
      <c r="I1212" s="19">
        <f>IF(AND(A1212="",B1212="",E1212=""),"",IF(A1212="","Falta data",IF(B1212="","Falta categoria",IF(E1212="","Falta valor",IF(C1212="Categoria inválida","Categoria inválida",IF(OR(H1212&lt;1,H1212&gt;12),"Fora dos 12 meses","OK"))))))</f>
        <v/>
      </c>
    </row>
    <row r="1213">
      <c r="A1213" s="35" t="n"/>
      <c r="B1213" s="31" t="n"/>
      <c r="C1213" s="19">
        <f>IF(B1213="","",IF(COUNTIF(Config!$D$6:$D$15,B1213)&gt;0,"Entrada",IF(COUNTIF(Config!$F$6:$F$25,B1213)&gt;0,"Saída","Categoria inválida")))</f>
        <v/>
      </c>
      <c r="D1213" s="31" t="n"/>
      <c r="E1213" s="33" t="n"/>
      <c r="F1213" s="36" t="n"/>
      <c r="G1213" s="31" t="n"/>
      <c r="H1213" s="37">
        <f>IF(A1213="","",(YEAR(A1213)-YEAR(Config!$B$6))*12+MONTH(A1213)-MONTH(Config!$B$6)+1)</f>
        <v/>
      </c>
      <c r="I1213" s="19">
        <f>IF(AND(A1213="",B1213="",E1213=""),"",IF(A1213="","Falta data",IF(B1213="","Falta categoria",IF(E1213="","Falta valor",IF(C1213="Categoria inválida","Categoria inválida",IF(OR(H1213&lt;1,H1213&gt;12),"Fora dos 12 meses","OK"))))))</f>
        <v/>
      </c>
    </row>
    <row r="1214">
      <c r="A1214" s="35" t="n"/>
      <c r="B1214" s="31" t="n"/>
      <c r="C1214" s="19">
        <f>IF(B1214="","",IF(COUNTIF(Config!$D$6:$D$15,B1214)&gt;0,"Entrada",IF(COUNTIF(Config!$F$6:$F$25,B1214)&gt;0,"Saída","Categoria inválida")))</f>
        <v/>
      </c>
      <c r="D1214" s="31" t="n"/>
      <c r="E1214" s="33" t="n"/>
      <c r="F1214" s="36" t="n"/>
      <c r="G1214" s="31" t="n"/>
      <c r="H1214" s="37">
        <f>IF(A1214="","",(YEAR(A1214)-YEAR(Config!$B$6))*12+MONTH(A1214)-MONTH(Config!$B$6)+1)</f>
        <v/>
      </c>
      <c r="I1214" s="19">
        <f>IF(AND(A1214="",B1214="",E1214=""),"",IF(A1214="","Falta data",IF(B1214="","Falta categoria",IF(E1214="","Falta valor",IF(C1214="Categoria inválida","Categoria inválida",IF(OR(H1214&lt;1,H1214&gt;12),"Fora dos 12 meses","OK"))))))</f>
        <v/>
      </c>
    </row>
    <row r="1215">
      <c r="A1215" s="35" t="n"/>
      <c r="B1215" s="31" t="n"/>
      <c r="C1215" s="19">
        <f>IF(B1215="","",IF(COUNTIF(Config!$D$6:$D$15,B1215)&gt;0,"Entrada",IF(COUNTIF(Config!$F$6:$F$25,B1215)&gt;0,"Saída","Categoria inválida")))</f>
        <v/>
      </c>
      <c r="D1215" s="31" t="n"/>
      <c r="E1215" s="33" t="n"/>
      <c r="F1215" s="36" t="n"/>
      <c r="G1215" s="31" t="n"/>
      <c r="H1215" s="37">
        <f>IF(A1215="","",(YEAR(A1215)-YEAR(Config!$B$6))*12+MONTH(A1215)-MONTH(Config!$B$6)+1)</f>
        <v/>
      </c>
      <c r="I1215" s="19">
        <f>IF(AND(A1215="",B1215="",E1215=""),"",IF(A1215="","Falta data",IF(B1215="","Falta categoria",IF(E1215="","Falta valor",IF(C1215="Categoria inválida","Categoria inválida",IF(OR(H1215&lt;1,H1215&gt;12),"Fora dos 12 meses","OK"))))))</f>
        <v/>
      </c>
    </row>
    <row r="1216">
      <c r="A1216" s="35" t="n"/>
      <c r="B1216" s="31" t="n"/>
      <c r="C1216" s="19">
        <f>IF(B1216="","",IF(COUNTIF(Config!$D$6:$D$15,B1216)&gt;0,"Entrada",IF(COUNTIF(Config!$F$6:$F$25,B1216)&gt;0,"Saída","Categoria inválida")))</f>
        <v/>
      </c>
      <c r="D1216" s="31" t="n"/>
      <c r="E1216" s="33" t="n"/>
      <c r="F1216" s="36" t="n"/>
      <c r="G1216" s="31" t="n"/>
      <c r="H1216" s="37">
        <f>IF(A1216="","",(YEAR(A1216)-YEAR(Config!$B$6))*12+MONTH(A1216)-MONTH(Config!$B$6)+1)</f>
        <v/>
      </c>
      <c r="I1216" s="19">
        <f>IF(AND(A1216="",B1216="",E1216=""),"",IF(A1216="","Falta data",IF(B1216="","Falta categoria",IF(E1216="","Falta valor",IF(C1216="Categoria inválida","Categoria inválida",IF(OR(H1216&lt;1,H1216&gt;12),"Fora dos 12 meses","OK"))))))</f>
        <v/>
      </c>
    </row>
    <row r="1217">
      <c r="A1217" s="35" t="n"/>
      <c r="B1217" s="31" t="n"/>
      <c r="C1217" s="19">
        <f>IF(B1217="","",IF(COUNTIF(Config!$D$6:$D$15,B1217)&gt;0,"Entrada",IF(COUNTIF(Config!$F$6:$F$25,B1217)&gt;0,"Saída","Categoria inválida")))</f>
        <v/>
      </c>
      <c r="D1217" s="31" t="n"/>
      <c r="E1217" s="33" t="n"/>
      <c r="F1217" s="36" t="n"/>
      <c r="G1217" s="31" t="n"/>
      <c r="H1217" s="37">
        <f>IF(A1217="","",(YEAR(A1217)-YEAR(Config!$B$6))*12+MONTH(A1217)-MONTH(Config!$B$6)+1)</f>
        <v/>
      </c>
      <c r="I1217" s="19">
        <f>IF(AND(A1217="",B1217="",E1217=""),"",IF(A1217="","Falta data",IF(B1217="","Falta categoria",IF(E1217="","Falta valor",IF(C1217="Categoria inválida","Categoria inválida",IF(OR(H1217&lt;1,H1217&gt;12),"Fora dos 12 meses","OK"))))))</f>
        <v/>
      </c>
    </row>
    <row r="1218">
      <c r="A1218" s="35" t="n"/>
      <c r="B1218" s="31" t="n"/>
      <c r="C1218" s="19">
        <f>IF(B1218="","",IF(COUNTIF(Config!$D$6:$D$15,B1218)&gt;0,"Entrada",IF(COUNTIF(Config!$F$6:$F$25,B1218)&gt;0,"Saída","Categoria inválida")))</f>
        <v/>
      </c>
      <c r="D1218" s="31" t="n"/>
      <c r="E1218" s="33" t="n"/>
      <c r="F1218" s="36" t="n"/>
      <c r="G1218" s="31" t="n"/>
      <c r="H1218" s="37">
        <f>IF(A1218="","",(YEAR(A1218)-YEAR(Config!$B$6))*12+MONTH(A1218)-MONTH(Config!$B$6)+1)</f>
        <v/>
      </c>
      <c r="I1218" s="19">
        <f>IF(AND(A1218="",B1218="",E1218=""),"",IF(A1218="","Falta data",IF(B1218="","Falta categoria",IF(E1218="","Falta valor",IF(C1218="Categoria inválida","Categoria inválida",IF(OR(H1218&lt;1,H1218&gt;12),"Fora dos 12 meses","OK"))))))</f>
        <v/>
      </c>
    </row>
    <row r="1219">
      <c r="A1219" s="35" t="n"/>
      <c r="B1219" s="31" t="n"/>
      <c r="C1219" s="19">
        <f>IF(B1219="","",IF(COUNTIF(Config!$D$6:$D$15,B1219)&gt;0,"Entrada",IF(COUNTIF(Config!$F$6:$F$25,B1219)&gt;0,"Saída","Categoria inválida")))</f>
        <v/>
      </c>
      <c r="D1219" s="31" t="n"/>
      <c r="E1219" s="33" t="n"/>
      <c r="F1219" s="36" t="n"/>
      <c r="G1219" s="31" t="n"/>
      <c r="H1219" s="37">
        <f>IF(A1219="","",(YEAR(A1219)-YEAR(Config!$B$6))*12+MONTH(A1219)-MONTH(Config!$B$6)+1)</f>
        <v/>
      </c>
      <c r="I1219" s="19">
        <f>IF(AND(A1219="",B1219="",E1219=""),"",IF(A1219="","Falta data",IF(B1219="","Falta categoria",IF(E1219="","Falta valor",IF(C1219="Categoria inválida","Categoria inválida",IF(OR(H1219&lt;1,H1219&gt;12),"Fora dos 12 meses","OK"))))))</f>
        <v/>
      </c>
    </row>
    <row r="1220">
      <c r="A1220" s="35" t="n"/>
      <c r="B1220" s="31" t="n"/>
      <c r="C1220" s="19">
        <f>IF(B1220="","",IF(COUNTIF(Config!$D$6:$D$15,B1220)&gt;0,"Entrada",IF(COUNTIF(Config!$F$6:$F$25,B1220)&gt;0,"Saída","Categoria inválida")))</f>
        <v/>
      </c>
      <c r="D1220" s="31" t="n"/>
      <c r="E1220" s="33" t="n"/>
      <c r="F1220" s="36" t="n"/>
      <c r="G1220" s="31" t="n"/>
      <c r="H1220" s="37">
        <f>IF(A1220="","",(YEAR(A1220)-YEAR(Config!$B$6))*12+MONTH(A1220)-MONTH(Config!$B$6)+1)</f>
        <v/>
      </c>
      <c r="I1220" s="19">
        <f>IF(AND(A1220="",B1220="",E1220=""),"",IF(A1220="","Falta data",IF(B1220="","Falta categoria",IF(E1220="","Falta valor",IF(C1220="Categoria inválida","Categoria inválida",IF(OR(H1220&lt;1,H1220&gt;12),"Fora dos 12 meses","OK"))))))</f>
        <v/>
      </c>
    </row>
    <row r="1221">
      <c r="A1221" s="35" t="n"/>
      <c r="B1221" s="31" t="n"/>
      <c r="C1221" s="19">
        <f>IF(B1221="","",IF(COUNTIF(Config!$D$6:$D$15,B1221)&gt;0,"Entrada",IF(COUNTIF(Config!$F$6:$F$25,B1221)&gt;0,"Saída","Categoria inválida")))</f>
        <v/>
      </c>
      <c r="D1221" s="31" t="n"/>
      <c r="E1221" s="33" t="n"/>
      <c r="F1221" s="36" t="n"/>
      <c r="G1221" s="31" t="n"/>
      <c r="H1221" s="37">
        <f>IF(A1221="","",(YEAR(A1221)-YEAR(Config!$B$6))*12+MONTH(A1221)-MONTH(Config!$B$6)+1)</f>
        <v/>
      </c>
      <c r="I1221" s="19">
        <f>IF(AND(A1221="",B1221="",E1221=""),"",IF(A1221="","Falta data",IF(B1221="","Falta categoria",IF(E1221="","Falta valor",IF(C1221="Categoria inválida","Categoria inválida",IF(OR(H1221&lt;1,H1221&gt;12),"Fora dos 12 meses","OK"))))))</f>
        <v/>
      </c>
    </row>
    <row r="1222">
      <c r="A1222" s="35" t="n"/>
      <c r="B1222" s="31" t="n"/>
      <c r="C1222" s="19">
        <f>IF(B1222="","",IF(COUNTIF(Config!$D$6:$D$15,B1222)&gt;0,"Entrada",IF(COUNTIF(Config!$F$6:$F$25,B1222)&gt;0,"Saída","Categoria inválida")))</f>
        <v/>
      </c>
      <c r="D1222" s="31" t="n"/>
      <c r="E1222" s="33" t="n"/>
      <c r="F1222" s="36" t="n"/>
      <c r="G1222" s="31" t="n"/>
      <c r="H1222" s="37">
        <f>IF(A1222="","",(YEAR(A1222)-YEAR(Config!$B$6))*12+MONTH(A1222)-MONTH(Config!$B$6)+1)</f>
        <v/>
      </c>
      <c r="I1222" s="19">
        <f>IF(AND(A1222="",B1222="",E1222=""),"",IF(A1222="","Falta data",IF(B1222="","Falta categoria",IF(E1222="","Falta valor",IF(C1222="Categoria inválida","Categoria inválida",IF(OR(H1222&lt;1,H1222&gt;12),"Fora dos 12 meses","OK"))))))</f>
        <v/>
      </c>
    </row>
    <row r="1223">
      <c r="A1223" s="35" t="n"/>
      <c r="B1223" s="31" t="n"/>
      <c r="C1223" s="19">
        <f>IF(B1223="","",IF(COUNTIF(Config!$D$6:$D$15,B1223)&gt;0,"Entrada",IF(COUNTIF(Config!$F$6:$F$25,B1223)&gt;0,"Saída","Categoria inválida")))</f>
        <v/>
      </c>
      <c r="D1223" s="31" t="n"/>
      <c r="E1223" s="33" t="n"/>
      <c r="F1223" s="36" t="n"/>
      <c r="G1223" s="31" t="n"/>
      <c r="H1223" s="37">
        <f>IF(A1223="","",(YEAR(A1223)-YEAR(Config!$B$6))*12+MONTH(A1223)-MONTH(Config!$B$6)+1)</f>
        <v/>
      </c>
      <c r="I1223" s="19">
        <f>IF(AND(A1223="",B1223="",E1223=""),"",IF(A1223="","Falta data",IF(B1223="","Falta categoria",IF(E1223="","Falta valor",IF(C1223="Categoria inválida","Categoria inválida",IF(OR(H1223&lt;1,H1223&gt;12),"Fora dos 12 meses","OK"))))))</f>
        <v/>
      </c>
    </row>
    <row r="1224">
      <c r="A1224" s="35" t="n"/>
      <c r="B1224" s="31" t="n"/>
      <c r="C1224" s="19">
        <f>IF(B1224="","",IF(COUNTIF(Config!$D$6:$D$15,B1224)&gt;0,"Entrada",IF(COUNTIF(Config!$F$6:$F$25,B1224)&gt;0,"Saída","Categoria inválida")))</f>
        <v/>
      </c>
      <c r="D1224" s="31" t="n"/>
      <c r="E1224" s="33" t="n"/>
      <c r="F1224" s="36" t="n"/>
      <c r="G1224" s="31" t="n"/>
      <c r="H1224" s="37">
        <f>IF(A1224="","",(YEAR(A1224)-YEAR(Config!$B$6))*12+MONTH(A1224)-MONTH(Config!$B$6)+1)</f>
        <v/>
      </c>
      <c r="I1224" s="19">
        <f>IF(AND(A1224="",B1224="",E1224=""),"",IF(A1224="","Falta data",IF(B1224="","Falta categoria",IF(E1224="","Falta valor",IF(C1224="Categoria inválida","Categoria inválida",IF(OR(H1224&lt;1,H1224&gt;12),"Fora dos 12 meses","OK"))))))</f>
        <v/>
      </c>
    </row>
    <row r="1225">
      <c r="A1225" s="35" t="n"/>
      <c r="B1225" s="31" t="n"/>
      <c r="C1225" s="19">
        <f>IF(B1225="","",IF(COUNTIF(Config!$D$6:$D$15,B1225)&gt;0,"Entrada",IF(COUNTIF(Config!$F$6:$F$25,B1225)&gt;0,"Saída","Categoria inválida")))</f>
        <v/>
      </c>
      <c r="D1225" s="31" t="n"/>
      <c r="E1225" s="33" t="n"/>
      <c r="F1225" s="36" t="n"/>
      <c r="G1225" s="31" t="n"/>
      <c r="H1225" s="37">
        <f>IF(A1225="","",(YEAR(A1225)-YEAR(Config!$B$6))*12+MONTH(A1225)-MONTH(Config!$B$6)+1)</f>
        <v/>
      </c>
      <c r="I1225" s="19">
        <f>IF(AND(A1225="",B1225="",E1225=""),"",IF(A1225="","Falta data",IF(B1225="","Falta categoria",IF(E1225="","Falta valor",IF(C1225="Categoria inválida","Categoria inválida",IF(OR(H1225&lt;1,H1225&gt;12),"Fora dos 12 meses","OK"))))))</f>
        <v/>
      </c>
    </row>
    <row r="1226">
      <c r="A1226" s="35" t="n"/>
      <c r="B1226" s="31" t="n"/>
      <c r="C1226" s="19">
        <f>IF(B1226="","",IF(COUNTIF(Config!$D$6:$D$15,B1226)&gt;0,"Entrada",IF(COUNTIF(Config!$F$6:$F$25,B1226)&gt;0,"Saída","Categoria inválida")))</f>
        <v/>
      </c>
      <c r="D1226" s="31" t="n"/>
      <c r="E1226" s="33" t="n"/>
      <c r="F1226" s="36" t="n"/>
      <c r="G1226" s="31" t="n"/>
      <c r="H1226" s="37">
        <f>IF(A1226="","",(YEAR(A1226)-YEAR(Config!$B$6))*12+MONTH(A1226)-MONTH(Config!$B$6)+1)</f>
        <v/>
      </c>
      <c r="I1226" s="19">
        <f>IF(AND(A1226="",B1226="",E1226=""),"",IF(A1226="","Falta data",IF(B1226="","Falta categoria",IF(E1226="","Falta valor",IF(C1226="Categoria inválida","Categoria inválida",IF(OR(H1226&lt;1,H1226&gt;12),"Fora dos 12 meses","OK"))))))</f>
        <v/>
      </c>
    </row>
    <row r="1227">
      <c r="A1227" s="35" t="n"/>
      <c r="B1227" s="31" t="n"/>
      <c r="C1227" s="19">
        <f>IF(B1227="","",IF(COUNTIF(Config!$D$6:$D$15,B1227)&gt;0,"Entrada",IF(COUNTIF(Config!$F$6:$F$25,B1227)&gt;0,"Saída","Categoria inválida")))</f>
        <v/>
      </c>
      <c r="D1227" s="31" t="n"/>
      <c r="E1227" s="33" t="n"/>
      <c r="F1227" s="36" t="n"/>
      <c r="G1227" s="31" t="n"/>
      <c r="H1227" s="37">
        <f>IF(A1227="","",(YEAR(A1227)-YEAR(Config!$B$6))*12+MONTH(A1227)-MONTH(Config!$B$6)+1)</f>
        <v/>
      </c>
      <c r="I1227" s="19">
        <f>IF(AND(A1227="",B1227="",E1227=""),"",IF(A1227="","Falta data",IF(B1227="","Falta categoria",IF(E1227="","Falta valor",IF(C1227="Categoria inválida","Categoria inválida",IF(OR(H1227&lt;1,H1227&gt;12),"Fora dos 12 meses","OK"))))))</f>
        <v/>
      </c>
    </row>
    <row r="1228">
      <c r="A1228" s="35" t="n"/>
      <c r="B1228" s="31" t="n"/>
      <c r="C1228" s="19">
        <f>IF(B1228="","",IF(COUNTIF(Config!$D$6:$D$15,B1228)&gt;0,"Entrada",IF(COUNTIF(Config!$F$6:$F$25,B1228)&gt;0,"Saída","Categoria inválida")))</f>
        <v/>
      </c>
      <c r="D1228" s="31" t="n"/>
      <c r="E1228" s="33" t="n"/>
      <c r="F1228" s="36" t="n"/>
      <c r="G1228" s="31" t="n"/>
      <c r="H1228" s="37">
        <f>IF(A1228="","",(YEAR(A1228)-YEAR(Config!$B$6))*12+MONTH(A1228)-MONTH(Config!$B$6)+1)</f>
        <v/>
      </c>
      <c r="I1228" s="19">
        <f>IF(AND(A1228="",B1228="",E1228=""),"",IF(A1228="","Falta data",IF(B1228="","Falta categoria",IF(E1228="","Falta valor",IF(C1228="Categoria inválida","Categoria inválida",IF(OR(H1228&lt;1,H1228&gt;12),"Fora dos 12 meses","OK"))))))</f>
        <v/>
      </c>
    </row>
    <row r="1229">
      <c r="A1229" s="35" t="n"/>
      <c r="B1229" s="31" t="n"/>
      <c r="C1229" s="19">
        <f>IF(B1229="","",IF(COUNTIF(Config!$D$6:$D$15,B1229)&gt;0,"Entrada",IF(COUNTIF(Config!$F$6:$F$25,B1229)&gt;0,"Saída","Categoria inválida")))</f>
        <v/>
      </c>
      <c r="D1229" s="31" t="n"/>
      <c r="E1229" s="33" t="n"/>
      <c r="F1229" s="36" t="n"/>
      <c r="G1229" s="31" t="n"/>
      <c r="H1229" s="37">
        <f>IF(A1229="","",(YEAR(A1229)-YEAR(Config!$B$6))*12+MONTH(A1229)-MONTH(Config!$B$6)+1)</f>
        <v/>
      </c>
      <c r="I1229" s="19">
        <f>IF(AND(A1229="",B1229="",E1229=""),"",IF(A1229="","Falta data",IF(B1229="","Falta categoria",IF(E1229="","Falta valor",IF(C1229="Categoria inválida","Categoria inválida",IF(OR(H1229&lt;1,H1229&gt;12),"Fora dos 12 meses","OK"))))))</f>
        <v/>
      </c>
    </row>
    <row r="1230">
      <c r="A1230" s="35" t="n"/>
      <c r="B1230" s="31" t="n"/>
      <c r="C1230" s="19">
        <f>IF(B1230="","",IF(COUNTIF(Config!$D$6:$D$15,B1230)&gt;0,"Entrada",IF(COUNTIF(Config!$F$6:$F$25,B1230)&gt;0,"Saída","Categoria inválida")))</f>
        <v/>
      </c>
      <c r="D1230" s="31" t="n"/>
      <c r="E1230" s="33" t="n"/>
      <c r="F1230" s="36" t="n"/>
      <c r="G1230" s="31" t="n"/>
      <c r="H1230" s="37">
        <f>IF(A1230="","",(YEAR(A1230)-YEAR(Config!$B$6))*12+MONTH(A1230)-MONTH(Config!$B$6)+1)</f>
        <v/>
      </c>
      <c r="I1230" s="19">
        <f>IF(AND(A1230="",B1230="",E1230=""),"",IF(A1230="","Falta data",IF(B1230="","Falta categoria",IF(E1230="","Falta valor",IF(C1230="Categoria inválida","Categoria inválida",IF(OR(H1230&lt;1,H1230&gt;12),"Fora dos 12 meses","OK"))))))</f>
        <v/>
      </c>
    </row>
    <row r="1231">
      <c r="A1231" s="35" t="n"/>
      <c r="B1231" s="31" t="n"/>
      <c r="C1231" s="19">
        <f>IF(B1231="","",IF(COUNTIF(Config!$D$6:$D$15,B1231)&gt;0,"Entrada",IF(COUNTIF(Config!$F$6:$F$25,B1231)&gt;0,"Saída","Categoria inválida")))</f>
        <v/>
      </c>
      <c r="D1231" s="31" t="n"/>
      <c r="E1231" s="33" t="n"/>
      <c r="F1231" s="36" t="n"/>
      <c r="G1231" s="31" t="n"/>
      <c r="H1231" s="37">
        <f>IF(A1231="","",(YEAR(A1231)-YEAR(Config!$B$6))*12+MONTH(A1231)-MONTH(Config!$B$6)+1)</f>
        <v/>
      </c>
      <c r="I1231" s="19">
        <f>IF(AND(A1231="",B1231="",E1231=""),"",IF(A1231="","Falta data",IF(B1231="","Falta categoria",IF(E1231="","Falta valor",IF(C1231="Categoria inválida","Categoria inválida",IF(OR(H1231&lt;1,H1231&gt;12),"Fora dos 12 meses","OK"))))))</f>
        <v/>
      </c>
    </row>
    <row r="1232">
      <c r="A1232" s="35" t="n"/>
      <c r="B1232" s="31" t="n"/>
      <c r="C1232" s="19">
        <f>IF(B1232="","",IF(COUNTIF(Config!$D$6:$D$15,B1232)&gt;0,"Entrada",IF(COUNTIF(Config!$F$6:$F$25,B1232)&gt;0,"Saída","Categoria inválida")))</f>
        <v/>
      </c>
      <c r="D1232" s="31" t="n"/>
      <c r="E1232" s="33" t="n"/>
      <c r="F1232" s="36" t="n"/>
      <c r="G1232" s="31" t="n"/>
      <c r="H1232" s="37">
        <f>IF(A1232="","",(YEAR(A1232)-YEAR(Config!$B$6))*12+MONTH(A1232)-MONTH(Config!$B$6)+1)</f>
        <v/>
      </c>
      <c r="I1232" s="19">
        <f>IF(AND(A1232="",B1232="",E1232=""),"",IF(A1232="","Falta data",IF(B1232="","Falta categoria",IF(E1232="","Falta valor",IF(C1232="Categoria inválida","Categoria inválida",IF(OR(H1232&lt;1,H1232&gt;12),"Fora dos 12 meses","OK"))))))</f>
        <v/>
      </c>
    </row>
    <row r="1233">
      <c r="A1233" s="35" t="n"/>
      <c r="B1233" s="31" t="n"/>
      <c r="C1233" s="19">
        <f>IF(B1233="","",IF(COUNTIF(Config!$D$6:$D$15,B1233)&gt;0,"Entrada",IF(COUNTIF(Config!$F$6:$F$25,B1233)&gt;0,"Saída","Categoria inválida")))</f>
        <v/>
      </c>
      <c r="D1233" s="31" t="n"/>
      <c r="E1233" s="33" t="n"/>
      <c r="F1233" s="36" t="n"/>
      <c r="G1233" s="31" t="n"/>
      <c r="H1233" s="37">
        <f>IF(A1233="","",(YEAR(A1233)-YEAR(Config!$B$6))*12+MONTH(A1233)-MONTH(Config!$B$6)+1)</f>
        <v/>
      </c>
      <c r="I1233" s="19">
        <f>IF(AND(A1233="",B1233="",E1233=""),"",IF(A1233="","Falta data",IF(B1233="","Falta categoria",IF(E1233="","Falta valor",IF(C1233="Categoria inválida","Categoria inválida",IF(OR(H1233&lt;1,H1233&gt;12),"Fora dos 12 meses","OK"))))))</f>
        <v/>
      </c>
    </row>
    <row r="1234">
      <c r="A1234" s="35" t="n"/>
      <c r="B1234" s="31" t="n"/>
      <c r="C1234" s="19">
        <f>IF(B1234="","",IF(COUNTIF(Config!$D$6:$D$15,B1234)&gt;0,"Entrada",IF(COUNTIF(Config!$F$6:$F$25,B1234)&gt;0,"Saída","Categoria inválida")))</f>
        <v/>
      </c>
      <c r="D1234" s="31" t="n"/>
      <c r="E1234" s="33" t="n"/>
      <c r="F1234" s="36" t="n"/>
      <c r="G1234" s="31" t="n"/>
      <c r="H1234" s="37">
        <f>IF(A1234="","",(YEAR(A1234)-YEAR(Config!$B$6))*12+MONTH(A1234)-MONTH(Config!$B$6)+1)</f>
        <v/>
      </c>
      <c r="I1234" s="19">
        <f>IF(AND(A1234="",B1234="",E1234=""),"",IF(A1234="","Falta data",IF(B1234="","Falta categoria",IF(E1234="","Falta valor",IF(C1234="Categoria inválida","Categoria inválida",IF(OR(H1234&lt;1,H1234&gt;12),"Fora dos 12 meses","OK"))))))</f>
        <v/>
      </c>
    </row>
    <row r="1235">
      <c r="A1235" s="35" t="n"/>
      <c r="B1235" s="31" t="n"/>
      <c r="C1235" s="19">
        <f>IF(B1235="","",IF(COUNTIF(Config!$D$6:$D$15,B1235)&gt;0,"Entrada",IF(COUNTIF(Config!$F$6:$F$25,B1235)&gt;0,"Saída","Categoria inválida")))</f>
        <v/>
      </c>
      <c r="D1235" s="31" t="n"/>
      <c r="E1235" s="33" t="n"/>
      <c r="F1235" s="36" t="n"/>
      <c r="G1235" s="31" t="n"/>
      <c r="H1235" s="37">
        <f>IF(A1235="","",(YEAR(A1235)-YEAR(Config!$B$6))*12+MONTH(A1235)-MONTH(Config!$B$6)+1)</f>
        <v/>
      </c>
      <c r="I1235" s="19">
        <f>IF(AND(A1235="",B1235="",E1235=""),"",IF(A1235="","Falta data",IF(B1235="","Falta categoria",IF(E1235="","Falta valor",IF(C1235="Categoria inválida","Categoria inválida",IF(OR(H1235&lt;1,H1235&gt;12),"Fora dos 12 meses","OK"))))))</f>
        <v/>
      </c>
    </row>
    <row r="1236">
      <c r="A1236" s="35" t="n"/>
      <c r="B1236" s="31" t="n"/>
      <c r="C1236" s="19">
        <f>IF(B1236="","",IF(COUNTIF(Config!$D$6:$D$15,B1236)&gt;0,"Entrada",IF(COUNTIF(Config!$F$6:$F$25,B1236)&gt;0,"Saída","Categoria inválida")))</f>
        <v/>
      </c>
      <c r="D1236" s="31" t="n"/>
      <c r="E1236" s="33" t="n"/>
      <c r="F1236" s="36" t="n"/>
      <c r="G1236" s="31" t="n"/>
      <c r="H1236" s="37">
        <f>IF(A1236="","",(YEAR(A1236)-YEAR(Config!$B$6))*12+MONTH(A1236)-MONTH(Config!$B$6)+1)</f>
        <v/>
      </c>
      <c r="I1236" s="19">
        <f>IF(AND(A1236="",B1236="",E1236=""),"",IF(A1236="","Falta data",IF(B1236="","Falta categoria",IF(E1236="","Falta valor",IF(C1236="Categoria inválida","Categoria inválida",IF(OR(H1236&lt;1,H1236&gt;12),"Fora dos 12 meses","OK"))))))</f>
        <v/>
      </c>
    </row>
    <row r="1237">
      <c r="A1237" s="35" t="n"/>
      <c r="B1237" s="31" t="n"/>
      <c r="C1237" s="19">
        <f>IF(B1237="","",IF(COUNTIF(Config!$D$6:$D$15,B1237)&gt;0,"Entrada",IF(COUNTIF(Config!$F$6:$F$25,B1237)&gt;0,"Saída","Categoria inválida")))</f>
        <v/>
      </c>
      <c r="D1237" s="31" t="n"/>
      <c r="E1237" s="33" t="n"/>
      <c r="F1237" s="36" t="n"/>
      <c r="G1237" s="31" t="n"/>
      <c r="H1237" s="37">
        <f>IF(A1237="","",(YEAR(A1237)-YEAR(Config!$B$6))*12+MONTH(A1237)-MONTH(Config!$B$6)+1)</f>
        <v/>
      </c>
      <c r="I1237" s="19">
        <f>IF(AND(A1237="",B1237="",E1237=""),"",IF(A1237="","Falta data",IF(B1237="","Falta categoria",IF(E1237="","Falta valor",IF(C1237="Categoria inválida","Categoria inválida",IF(OR(H1237&lt;1,H1237&gt;12),"Fora dos 12 meses","OK"))))))</f>
        <v/>
      </c>
    </row>
    <row r="1238">
      <c r="A1238" s="35" t="n"/>
      <c r="B1238" s="31" t="n"/>
      <c r="C1238" s="19">
        <f>IF(B1238="","",IF(COUNTIF(Config!$D$6:$D$15,B1238)&gt;0,"Entrada",IF(COUNTIF(Config!$F$6:$F$25,B1238)&gt;0,"Saída","Categoria inválida")))</f>
        <v/>
      </c>
      <c r="D1238" s="31" t="n"/>
      <c r="E1238" s="33" t="n"/>
      <c r="F1238" s="36" t="n"/>
      <c r="G1238" s="31" t="n"/>
      <c r="H1238" s="37">
        <f>IF(A1238="","",(YEAR(A1238)-YEAR(Config!$B$6))*12+MONTH(A1238)-MONTH(Config!$B$6)+1)</f>
        <v/>
      </c>
      <c r="I1238" s="19">
        <f>IF(AND(A1238="",B1238="",E1238=""),"",IF(A1238="","Falta data",IF(B1238="","Falta categoria",IF(E1238="","Falta valor",IF(C1238="Categoria inválida","Categoria inválida",IF(OR(H1238&lt;1,H1238&gt;12),"Fora dos 12 meses","OK"))))))</f>
        <v/>
      </c>
    </row>
    <row r="1239">
      <c r="A1239" s="35" t="n"/>
      <c r="B1239" s="31" t="n"/>
      <c r="C1239" s="19">
        <f>IF(B1239="","",IF(COUNTIF(Config!$D$6:$D$15,B1239)&gt;0,"Entrada",IF(COUNTIF(Config!$F$6:$F$25,B1239)&gt;0,"Saída","Categoria inválida")))</f>
        <v/>
      </c>
      <c r="D1239" s="31" t="n"/>
      <c r="E1239" s="33" t="n"/>
      <c r="F1239" s="36" t="n"/>
      <c r="G1239" s="31" t="n"/>
      <c r="H1239" s="37">
        <f>IF(A1239="","",(YEAR(A1239)-YEAR(Config!$B$6))*12+MONTH(A1239)-MONTH(Config!$B$6)+1)</f>
        <v/>
      </c>
      <c r="I1239" s="19">
        <f>IF(AND(A1239="",B1239="",E1239=""),"",IF(A1239="","Falta data",IF(B1239="","Falta categoria",IF(E1239="","Falta valor",IF(C1239="Categoria inválida","Categoria inválida",IF(OR(H1239&lt;1,H1239&gt;12),"Fora dos 12 meses","OK"))))))</f>
        <v/>
      </c>
    </row>
    <row r="1240">
      <c r="A1240" s="35" t="n"/>
      <c r="B1240" s="31" t="n"/>
      <c r="C1240" s="19">
        <f>IF(B1240="","",IF(COUNTIF(Config!$D$6:$D$15,B1240)&gt;0,"Entrada",IF(COUNTIF(Config!$F$6:$F$25,B1240)&gt;0,"Saída","Categoria inválida")))</f>
        <v/>
      </c>
      <c r="D1240" s="31" t="n"/>
      <c r="E1240" s="33" t="n"/>
      <c r="F1240" s="36" t="n"/>
      <c r="G1240" s="31" t="n"/>
      <c r="H1240" s="37">
        <f>IF(A1240="","",(YEAR(A1240)-YEAR(Config!$B$6))*12+MONTH(A1240)-MONTH(Config!$B$6)+1)</f>
        <v/>
      </c>
      <c r="I1240" s="19">
        <f>IF(AND(A1240="",B1240="",E1240=""),"",IF(A1240="","Falta data",IF(B1240="","Falta categoria",IF(E1240="","Falta valor",IF(C1240="Categoria inválida","Categoria inválida",IF(OR(H1240&lt;1,H1240&gt;12),"Fora dos 12 meses","OK"))))))</f>
        <v/>
      </c>
    </row>
    <row r="1241">
      <c r="A1241" s="35" t="n"/>
      <c r="B1241" s="31" t="n"/>
      <c r="C1241" s="19">
        <f>IF(B1241="","",IF(COUNTIF(Config!$D$6:$D$15,B1241)&gt;0,"Entrada",IF(COUNTIF(Config!$F$6:$F$25,B1241)&gt;0,"Saída","Categoria inválida")))</f>
        <v/>
      </c>
      <c r="D1241" s="31" t="n"/>
      <c r="E1241" s="33" t="n"/>
      <c r="F1241" s="36" t="n"/>
      <c r="G1241" s="31" t="n"/>
      <c r="H1241" s="37">
        <f>IF(A1241="","",(YEAR(A1241)-YEAR(Config!$B$6))*12+MONTH(A1241)-MONTH(Config!$B$6)+1)</f>
        <v/>
      </c>
      <c r="I1241" s="19">
        <f>IF(AND(A1241="",B1241="",E1241=""),"",IF(A1241="","Falta data",IF(B1241="","Falta categoria",IF(E1241="","Falta valor",IF(C1241="Categoria inválida","Categoria inválida",IF(OR(H1241&lt;1,H1241&gt;12),"Fora dos 12 meses","OK"))))))</f>
        <v/>
      </c>
    </row>
    <row r="1242">
      <c r="A1242" s="35" t="n"/>
      <c r="B1242" s="31" t="n"/>
      <c r="C1242" s="19">
        <f>IF(B1242="","",IF(COUNTIF(Config!$D$6:$D$15,B1242)&gt;0,"Entrada",IF(COUNTIF(Config!$F$6:$F$25,B1242)&gt;0,"Saída","Categoria inválida")))</f>
        <v/>
      </c>
      <c r="D1242" s="31" t="n"/>
      <c r="E1242" s="33" t="n"/>
      <c r="F1242" s="36" t="n"/>
      <c r="G1242" s="31" t="n"/>
      <c r="H1242" s="37">
        <f>IF(A1242="","",(YEAR(A1242)-YEAR(Config!$B$6))*12+MONTH(A1242)-MONTH(Config!$B$6)+1)</f>
        <v/>
      </c>
      <c r="I1242" s="19">
        <f>IF(AND(A1242="",B1242="",E1242=""),"",IF(A1242="","Falta data",IF(B1242="","Falta categoria",IF(E1242="","Falta valor",IF(C1242="Categoria inválida","Categoria inválida",IF(OR(H1242&lt;1,H1242&gt;12),"Fora dos 12 meses","OK"))))))</f>
        <v/>
      </c>
    </row>
    <row r="1243">
      <c r="A1243" s="35" t="n"/>
      <c r="B1243" s="31" t="n"/>
      <c r="C1243" s="19">
        <f>IF(B1243="","",IF(COUNTIF(Config!$D$6:$D$15,B1243)&gt;0,"Entrada",IF(COUNTIF(Config!$F$6:$F$25,B1243)&gt;0,"Saída","Categoria inválida")))</f>
        <v/>
      </c>
      <c r="D1243" s="31" t="n"/>
      <c r="E1243" s="33" t="n"/>
      <c r="F1243" s="36" t="n"/>
      <c r="G1243" s="31" t="n"/>
      <c r="H1243" s="37">
        <f>IF(A1243="","",(YEAR(A1243)-YEAR(Config!$B$6))*12+MONTH(A1243)-MONTH(Config!$B$6)+1)</f>
        <v/>
      </c>
      <c r="I1243" s="19">
        <f>IF(AND(A1243="",B1243="",E1243=""),"",IF(A1243="","Falta data",IF(B1243="","Falta categoria",IF(E1243="","Falta valor",IF(C1243="Categoria inválida","Categoria inválida",IF(OR(H1243&lt;1,H1243&gt;12),"Fora dos 12 meses","OK"))))))</f>
        <v/>
      </c>
    </row>
    <row r="1244">
      <c r="A1244" s="35" t="n"/>
      <c r="B1244" s="31" t="n"/>
      <c r="C1244" s="19">
        <f>IF(B1244="","",IF(COUNTIF(Config!$D$6:$D$15,B1244)&gt;0,"Entrada",IF(COUNTIF(Config!$F$6:$F$25,B1244)&gt;0,"Saída","Categoria inválida")))</f>
        <v/>
      </c>
      <c r="D1244" s="31" t="n"/>
      <c r="E1244" s="33" t="n"/>
      <c r="F1244" s="36" t="n"/>
      <c r="G1244" s="31" t="n"/>
      <c r="H1244" s="37">
        <f>IF(A1244="","",(YEAR(A1244)-YEAR(Config!$B$6))*12+MONTH(A1244)-MONTH(Config!$B$6)+1)</f>
        <v/>
      </c>
      <c r="I1244" s="19">
        <f>IF(AND(A1244="",B1244="",E1244=""),"",IF(A1244="","Falta data",IF(B1244="","Falta categoria",IF(E1244="","Falta valor",IF(C1244="Categoria inválida","Categoria inválida",IF(OR(H1244&lt;1,H1244&gt;12),"Fora dos 12 meses","OK"))))))</f>
        <v/>
      </c>
    </row>
    <row r="1245">
      <c r="A1245" s="35" t="n"/>
      <c r="B1245" s="31" t="n"/>
      <c r="C1245" s="19">
        <f>IF(B1245="","",IF(COUNTIF(Config!$D$6:$D$15,B1245)&gt;0,"Entrada",IF(COUNTIF(Config!$F$6:$F$25,B1245)&gt;0,"Saída","Categoria inválida")))</f>
        <v/>
      </c>
      <c r="D1245" s="31" t="n"/>
      <c r="E1245" s="33" t="n"/>
      <c r="F1245" s="36" t="n"/>
      <c r="G1245" s="31" t="n"/>
      <c r="H1245" s="37">
        <f>IF(A1245="","",(YEAR(A1245)-YEAR(Config!$B$6))*12+MONTH(A1245)-MONTH(Config!$B$6)+1)</f>
        <v/>
      </c>
      <c r="I1245" s="19">
        <f>IF(AND(A1245="",B1245="",E1245=""),"",IF(A1245="","Falta data",IF(B1245="","Falta categoria",IF(E1245="","Falta valor",IF(C1245="Categoria inválida","Categoria inválida",IF(OR(H1245&lt;1,H1245&gt;12),"Fora dos 12 meses","OK"))))))</f>
        <v/>
      </c>
    </row>
    <row r="1246">
      <c r="A1246" s="35" t="n"/>
      <c r="B1246" s="31" t="n"/>
      <c r="C1246" s="19">
        <f>IF(B1246="","",IF(COUNTIF(Config!$D$6:$D$15,B1246)&gt;0,"Entrada",IF(COUNTIF(Config!$F$6:$F$25,B1246)&gt;0,"Saída","Categoria inválida")))</f>
        <v/>
      </c>
      <c r="D1246" s="31" t="n"/>
      <c r="E1246" s="33" t="n"/>
      <c r="F1246" s="36" t="n"/>
      <c r="G1246" s="31" t="n"/>
      <c r="H1246" s="37">
        <f>IF(A1246="","",(YEAR(A1246)-YEAR(Config!$B$6))*12+MONTH(A1246)-MONTH(Config!$B$6)+1)</f>
        <v/>
      </c>
      <c r="I1246" s="19">
        <f>IF(AND(A1246="",B1246="",E1246=""),"",IF(A1246="","Falta data",IF(B1246="","Falta categoria",IF(E1246="","Falta valor",IF(C1246="Categoria inválida","Categoria inválida",IF(OR(H1246&lt;1,H1246&gt;12),"Fora dos 12 meses","OK"))))))</f>
        <v/>
      </c>
    </row>
    <row r="1247">
      <c r="A1247" s="35" t="n"/>
      <c r="B1247" s="31" t="n"/>
      <c r="C1247" s="19">
        <f>IF(B1247="","",IF(COUNTIF(Config!$D$6:$D$15,B1247)&gt;0,"Entrada",IF(COUNTIF(Config!$F$6:$F$25,B1247)&gt;0,"Saída","Categoria inválida")))</f>
        <v/>
      </c>
      <c r="D1247" s="31" t="n"/>
      <c r="E1247" s="33" t="n"/>
      <c r="F1247" s="36" t="n"/>
      <c r="G1247" s="31" t="n"/>
      <c r="H1247" s="37">
        <f>IF(A1247="","",(YEAR(A1247)-YEAR(Config!$B$6))*12+MONTH(A1247)-MONTH(Config!$B$6)+1)</f>
        <v/>
      </c>
      <c r="I1247" s="19">
        <f>IF(AND(A1247="",B1247="",E1247=""),"",IF(A1247="","Falta data",IF(B1247="","Falta categoria",IF(E1247="","Falta valor",IF(C1247="Categoria inválida","Categoria inválida",IF(OR(H1247&lt;1,H1247&gt;12),"Fora dos 12 meses","OK"))))))</f>
        <v/>
      </c>
    </row>
    <row r="1248">
      <c r="A1248" s="35" t="n"/>
      <c r="B1248" s="31" t="n"/>
      <c r="C1248" s="19">
        <f>IF(B1248="","",IF(COUNTIF(Config!$D$6:$D$15,B1248)&gt;0,"Entrada",IF(COUNTIF(Config!$F$6:$F$25,B1248)&gt;0,"Saída","Categoria inválida")))</f>
        <v/>
      </c>
      <c r="D1248" s="31" t="n"/>
      <c r="E1248" s="33" t="n"/>
      <c r="F1248" s="36" t="n"/>
      <c r="G1248" s="31" t="n"/>
      <c r="H1248" s="37">
        <f>IF(A1248="","",(YEAR(A1248)-YEAR(Config!$B$6))*12+MONTH(A1248)-MONTH(Config!$B$6)+1)</f>
        <v/>
      </c>
      <c r="I1248" s="19">
        <f>IF(AND(A1248="",B1248="",E1248=""),"",IF(A1248="","Falta data",IF(B1248="","Falta categoria",IF(E1248="","Falta valor",IF(C1248="Categoria inválida","Categoria inválida",IF(OR(H1248&lt;1,H1248&gt;12),"Fora dos 12 meses","OK"))))))</f>
        <v/>
      </c>
    </row>
    <row r="1249">
      <c r="A1249" s="35" t="n"/>
      <c r="B1249" s="31" t="n"/>
      <c r="C1249" s="19">
        <f>IF(B1249="","",IF(COUNTIF(Config!$D$6:$D$15,B1249)&gt;0,"Entrada",IF(COUNTIF(Config!$F$6:$F$25,B1249)&gt;0,"Saída","Categoria inválida")))</f>
        <v/>
      </c>
      <c r="D1249" s="31" t="n"/>
      <c r="E1249" s="33" t="n"/>
      <c r="F1249" s="36" t="n"/>
      <c r="G1249" s="31" t="n"/>
      <c r="H1249" s="37">
        <f>IF(A1249="","",(YEAR(A1249)-YEAR(Config!$B$6))*12+MONTH(A1249)-MONTH(Config!$B$6)+1)</f>
        <v/>
      </c>
      <c r="I1249" s="19">
        <f>IF(AND(A1249="",B1249="",E1249=""),"",IF(A1249="","Falta data",IF(B1249="","Falta categoria",IF(E1249="","Falta valor",IF(C1249="Categoria inválida","Categoria inválida",IF(OR(H1249&lt;1,H1249&gt;12),"Fora dos 12 meses","OK"))))))</f>
        <v/>
      </c>
    </row>
    <row r="1250">
      <c r="A1250" s="35" t="n"/>
      <c r="B1250" s="31" t="n"/>
      <c r="C1250" s="19">
        <f>IF(B1250="","",IF(COUNTIF(Config!$D$6:$D$15,B1250)&gt;0,"Entrada",IF(COUNTIF(Config!$F$6:$F$25,B1250)&gt;0,"Saída","Categoria inválida")))</f>
        <v/>
      </c>
      <c r="D1250" s="31" t="n"/>
      <c r="E1250" s="33" t="n"/>
      <c r="F1250" s="36" t="n"/>
      <c r="G1250" s="31" t="n"/>
      <c r="H1250" s="37">
        <f>IF(A1250="","",(YEAR(A1250)-YEAR(Config!$B$6))*12+MONTH(A1250)-MONTH(Config!$B$6)+1)</f>
        <v/>
      </c>
      <c r="I1250" s="19">
        <f>IF(AND(A1250="",B1250="",E1250=""),"",IF(A1250="","Falta data",IF(B1250="","Falta categoria",IF(E1250="","Falta valor",IF(C1250="Categoria inválida","Categoria inválida",IF(OR(H1250&lt;1,H1250&gt;12),"Fora dos 12 meses","OK"))))))</f>
        <v/>
      </c>
    </row>
    <row r="1251">
      <c r="A1251" s="35" t="n"/>
      <c r="B1251" s="31" t="n"/>
      <c r="C1251" s="19">
        <f>IF(B1251="","",IF(COUNTIF(Config!$D$6:$D$15,B1251)&gt;0,"Entrada",IF(COUNTIF(Config!$F$6:$F$25,B1251)&gt;0,"Saída","Categoria inválida")))</f>
        <v/>
      </c>
      <c r="D1251" s="31" t="n"/>
      <c r="E1251" s="33" t="n"/>
      <c r="F1251" s="36" t="n"/>
      <c r="G1251" s="31" t="n"/>
      <c r="H1251" s="37">
        <f>IF(A1251="","",(YEAR(A1251)-YEAR(Config!$B$6))*12+MONTH(A1251)-MONTH(Config!$B$6)+1)</f>
        <v/>
      </c>
      <c r="I1251" s="19">
        <f>IF(AND(A1251="",B1251="",E1251=""),"",IF(A1251="","Falta data",IF(B1251="","Falta categoria",IF(E1251="","Falta valor",IF(C1251="Categoria inválida","Categoria inválida",IF(OR(H1251&lt;1,H1251&gt;12),"Fora dos 12 meses","OK"))))))</f>
        <v/>
      </c>
    </row>
    <row r="1252">
      <c r="A1252" s="35" t="n"/>
      <c r="B1252" s="31" t="n"/>
      <c r="C1252" s="19">
        <f>IF(B1252="","",IF(COUNTIF(Config!$D$6:$D$15,B1252)&gt;0,"Entrada",IF(COUNTIF(Config!$F$6:$F$25,B1252)&gt;0,"Saída","Categoria inválida")))</f>
        <v/>
      </c>
      <c r="D1252" s="31" t="n"/>
      <c r="E1252" s="33" t="n"/>
      <c r="F1252" s="36" t="n"/>
      <c r="G1252" s="31" t="n"/>
      <c r="H1252" s="37">
        <f>IF(A1252="","",(YEAR(A1252)-YEAR(Config!$B$6))*12+MONTH(A1252)-MONTH(Config!$B$6)+1)</f>
        <v/>
      </c>
      <c r="I1252" s="19">
        <f>IF(AND(A1252="",B1252="",E1252=""),"",IF(A1252="","Falta data",IF(B1252="","Falta categoria",IF(E1252="","Falta valor",IF(C1252="Categoria inválida","Categoria inválida",IF(OR(H1252&lt;1,H1252&gt;12),"Fora dos 12 meses","OK"))))))</f>
        <v/>
      </c>
    </row>
    <row r="1253">
      <c r="A1253" s="35" t="n"/>
      <c r="B1253" s="31" t="n"/>
      <c r="C1253" s="19">
        <f>IF(B1253="","",IF(COUNTIF(Config!$D$6:$D$15,B1253)&gt;0,"Entrada",IF(COUNTIF(Config!$F$6:$F$25,B1253)&gt;0,"Saída","Categoria inválida")))</f>
        <v/>
      </c>
      <c r="D1253" s="31" t="n"/>
      <c r="E1253" s="33" t="n"/>
      <c r="F1253" s="36" t="n"/>
      <c r="G1253" s="31" t="n"/>
      <c r="H1253" s="37">
        <f>IF(A1253="","",(YEAR(A1253)-YEAR(Config!$B$6))*12+MONTH(A1253)-MONTH(Config!$B$6)+1)</f>
        <v/>
      </c>
      <c r="I1253" s="19">
        <f>IF(AND(A1253="",B1253="",E1253=""),"",IF(A1253="","Falta data",IF(B1253="","Falta categoria",IF(E1253="","Falta valor",IF(C1253="Categoria inválida","Categoria inválida",IF(OR(H1253&lt;1,H1253&gt;12),"Fora dos 12 meses","OK"))))))</f>
        <v/>
      </c>
    </row>
    <row r="1254">
      <c r="A1254" s="35" t="n"/>
      <c r="B1254" s="31" t="n"/>
      <c r="C1254" s="19">
        <f>IF(B1254="","",IF(COUNTIF(Config!$D$6:$D$15,B1254)&gt;0,"Entrada",IF(COUNTIF(Config!$F$6:$F$25,B1254)&gt;0,"Saída","Categoria inválida")))</f>
        <v/>
      </c>
      <c r="D1254" s="31" t="n"/>
      <c r="E1254" s="33" t="n"/>
      <c r="F1254" s="36" t="n"/>
      <c r="G1254" s="31" t="n"/>
      <c r="H1254" s="37">
        <f>IF(A1254="","",(YEAR(A1254)-YEAR(Config!$B$6))*12+MONTH(A1254)-MONTH(Config!$B$6)+1)</f>
        <v/>
      </c>
      <c r="I1254" s="19">
        <f>IF(AND(A1254="",B1254="",E1254=""),"",IF(A1254="","Falta data",IF(B1254="","Falta categoria",IF(E1254="","Falta valor",IF(C1254="Categoria inválida","Categoria inválida",IF(OR(H1254&lt;1,H1254&gt;12),"Fora dos 12 meses","OK"))))))</f>
        <v/>
      </c>
    </row>
    <row r="1255">
      <c r="A1255" s="35" t="n"/>
      <c r="B1255" s="31" t="n"/>
      <c r="C1255" s="19">
        <f>IF(B1255="","",IF(COUNTIF(Config!$D$6:$D$15,B1255)&gt;0,"Entrada",IF(COUNTIF(Config!$F$6:$F$25,B1255)&gt;0,"Saída","Categoria inválida")))</f>
        <v/>
      </c>
      <c r="D1255" s="31" t="n"/>
      <c r="E1255" s="33" t="n"/>
      <c r="F1255" s="36" t="n"/>
      <c r="G1255" s="31" t="n"/>
      <c r="H1255" s="37">
        <f>IF(A1255="","",(YEAR(A1255)-YEAR(Config!$B$6))*12+MONTH(A1255)-MONTH(Config!$B$6)+1)</f>
        <v/>
      </c>
      <c r="I1255" s="19">
        <f>IF(AND(A1255="",B1255="",E1255=""),"",IF(A1255="","Falta data",IF(B1255="","Falta categoria",IF(E1255="","Falta valor",IF(C1255="Categoria inválida","Categoria inválida",IF(OR(H1255&lt;1,H1255&gt;12),"Fora dos 12 meses","OK"))))))</f>
        <v/>
      </c>
    </row>
    <row r="1256">
      <c r="A1256" s="35" t="n"/>
      <c r="B1256" s="31" t="n"/>
      <c r="C1256" s="19">
        <f>IF(B1256="","",IF(COUNTIF(Config!$D$6:$D$15,B1256)&gt;0,"Entrada",IF(COUNTIF(Config!$F$6:$F$25,B1256)&gt;0,"Saída","Categoria inválida")))</f>
        <v/>
      </c>
      <c r="D1256" s="31" t="n"/>
      <c r="E1256" s="33" t="n"/>
      <c r="F1256" s="36" t="n"/>
      <c r="G1256" s="31" t="n"/>
      <c r="H1256" s="37">
        <f>IF(A1256="","",(YEAR(A1256)-YEAR(Config!$B$6))*12+MONTH(A1256)-MONTH(Config!$B$6)+1)</f>
        <v/>
      </c>
      <c r="I1256" s="19">
        <f>IF(AND(A1256="",B1256="",E1256=""),"",IF(A1256="","Falta data",IF(B1256="","Falta categoria",IF(E1256="","Falta valor",IF(C1256="Categoria inválida","Categoria inválida",IF(OR(H1256&lt;1,H1256&gt;12),"Fora dos 12 meses","OK"))))))</f>
        <v/>
      </c>
    </row>
    <row r="1257">
      <c r="A1257" s="35" t="n"/>
      <c r="B1257" s="31" t="n"/>
      <c r="C1257" s="19">
        <f>IF(B1257="","",IF(COUNTIF(Config!$D$6:$D$15,B1257)&gt;0,"Entrada",IF(COUNTIF(Config!$F$6:$F$25,B1257)&gt;0,"Saída","Categoria inválida")))</f>
        <v/>
      </c>
      <c r="D1257" s="31" t="n"/>
      <c r="E1257" s="33" t="n"/>
      <c r="F1257" s="36" t="n"/>
      <c r="G1257" s="31" t="n"/>
      <c r="H1257" s="37">
        <f>IF(A1257="","",(YEAR(A1257)-YEAR(Config!$B$6))*12+MONTH(A1257)-MONTH(Config!$B$6)+1)</f>
        <v/>
      </c>
      <c r="I1257" s="19">
        <f>IF(AND(A1257="",B1257="",E1257=""),"",IF(A1257="","Falta data",IF(B1257="","Falta categoria",IF(E1257="","Falta valor",IF(C1257="Categoria inválida","Categoria inválida",IF(OR(H1257&lt;1,H1257&gt;12),"Fora dos 12 meses","OK"))))))</f>
        <v/>
      </c>
    </row>
    <row r="1258">
      <c r="A1258" s="35" t="n"/>
      <c r="B1258" s="31" t="n"/>
      <c r="C1258" s="19">
        <f>IF(B1258="","",IF(COUNTIF(Config!$D$6:$D$15,B1258)&gt;0,"Entrada",IF(COUNTIF(Config!$F$6:$F$25,B1258)&gt;0,"Saída","Categoria inválida")))</f>
        <v/>
      </c>
      <c r="D1258" s="31" t="n"/>
      <c r="E1258" s="33" t="n"/>
      <c r="F1258" s="36" t="n"/>
      <c r="G1258" s="31" t="n"/>
      <c r="H1258" s="37">
        <f>IF(A1258="","",(YEAR(A1258)-YEAR(Config!$B$6))*12+MONTH(A1258)-MONTH(Config!$B$6)+1)</f>
        <v/>
      </c>
      <c r="I1258" s="19">
        <f>IF(AND(A1258="",B1258="",E1258=""),"",IF(A1258="","Falta data",IF(B1258="","Falta categoria",IF(E1258="","Falta valor",IF(C1258="Categoria inválida","Categoria inválida",IF(OR(H1258&lt;1,H1258&gt;12),"Fora dos 12 meses","OK"))))))</f>
        <v/>
      </c>
    </row>
    <row r="1259">
      <c r="A1259" s="35" t="n"/>
      <c r="B1259" s="31" t="n"/>
      <c r="C1259" s="19">
        <f>IF(B1259="","",IF(COUNTIF(Config!$D$6:$D$15,B1259)&gt;0,"Entrada",IF(COUNTIF(Config!$F$6:$F$25,B1259)&gt;0,"Saída","Categoria inválida")))</f>
        <v/>
      </c>
      <c r="D1259" s="31" t="n"/>
      <c r="E1259" s="33" t="n"/>
      <c r="F1259" s="36" t="n"/>
      <c r="G1259" s="31" t="n"/>
      <c r="H1259" s="37">
        <f>IF(A1259="","",(YEAR(A1259)-YEAR(Config!$B$6))*12+MONTH(A1259)-MONTH(Config!$B$6)+1)</f>
        <v/>
      </c>
      <c r="I1259" s="19">
        <f>IF(AND(A1259="",B1259="",E1259=""),"",IF(A1259="","Falta data",IF(B1259="","Falta categoria",IF(E1259="","Falta valor",IF(C1259="Categoria inválida","Categoria inválida",IF(OR(H1259&lt;1,H1259&gt;12),"Fora dos 12 meses","OK"))))))</f>
        <v/>
      </c>
    </row>
    <row r="1260">
      <c r="A1260" s="35" t="n"/>
      <c r="B1260" s="31" t="n"/>
      <c r="C1260" s="19">
        <f>IF(B1260="","",IF(COUNTIF(Config!$D$6:$D$15,B1260)&gt;0,"Entrada",IF(COUNTIF(Config!$F$6:$F$25,B1260)&gt;0,"Saída","Categoria inválida")))</f>
        <v/>
      </c>
      <c r="D1260" s="31" t="n"/>
      <c r="E1260" s="33" t="n"/>
      <c r="F1260" s="36" t="n"/>
      <c r="G1260" s="31" t="n"/>
      <c r="H1260" s="37">
        <f>IF(A1260="","",(YEAR(A1260)-YEAR(Config!$B$6))*12+MONTH(A1260)-MONTH(Config!$B$6)+1)</f>
        <v/>
      </c>
      <c r="I1260" s="19">
        <f>IF(AND(A1260="",B1260="",E1260=""),"",IF(A1260="","Falta data",IF(B1260="","Falta categoria",IF(E1260="","Falta valor",IF(C1260="Categoria inválida","Categoria inválida",IF(OR(H1260&lt;1,H1260&gt;12),"Fora dos 12 meses","OK"))))))</f>
        <v/>
      </c>
    </row>
    <row r="1261">
      <c r="A1261" s="35" t="n"/>
      <c r="B1261" s="31" t="n"/>
      <c r="C1261" s="19">
        <f>IF(B1261="","",IF(COUNTIF(Config!$D$6:$D$15,B1261)&gt;0,"Entrada",IF(COUNTIF(Config!$F$6:$F$25,B1261)&gt;0,"Saída","Categoria inválida")))</f>
        <v/>
      </c>
      <c r="D1261" s="31" t="n"/>
      <c r="E1261" s="33" t="n"/>
      <c r="F1261" s="36" t="n"/>
      <c r="G1261" s="31" t="n"/>
      <c r="H1261" s="37">
        <f>IF(A1261="","",(YEAR(A1261)-YEAR(Config!$B$6))*12+MONTH(A1261)-MONTH(Config!$B$6)+1)</f>
        <v/>
      </c>
      <c r="I1261" s="19">
        <f>IF(AND(A1261="",B1261="",E1261=""),"",IF(A1261="","Falta data",IF(B1261="","Falta categoria",IF(E1261="","Falta valor",IF(C1261="Categoria inválida","Categoria inválida",IF(OR(H1261&lt;1,H1261&gt;12),"Fora dos 12 meses","OK"))))))</f>
        <v/>
      </c>
    </row>
    <row r="1262">
      <c r="A1262" s="35" t="n"/>
      <c r="B1262" s="31" t="n"/>
      <c r="C1262" s="19">
        <f>IF(B1262="","",IF(COUNTIF(Config!$D$6:$D$15,B1262)&gt;0,"Entrada",IF(COUNTIF(Config!$F$6:$F$25,B1262)&gt;0,"Saída","Categoria inválida")))</f>
        <v/>
      </c>
      <c r="D1262" s="31" t="n"/>
      <c r="E1262" s="33" t="n"/>
      <c r="F1262" s="36" t="n"/>
      <c r="G1262" s="31" t="n"/>
      <c r="H1262" s="37">
        <f>IF(A1262="","",(YEAR(A1262)-YEAR(Config!$B$6))*12+MONTH(A1262)-MONTH(Config!$B$6)+1)</f>
        <v/>
      </c>
      <c r="I1262" s="19">
        <f>IF(AND(A1262="",B1262="",E1262=""),"",IF(A1262="","Falta data",IF(B1262="","Falta categoria",IF(E1262="","Falta valor",IF(C1262="Categoria inválida","Categoria inválida",IF(OR(H1262&lt;1,H1262&gt;12),"Fora dos 12 meses","OK"))))))</f>
        <v/>
      </c>
    </row>
    <row r="1263">
      <c r="A1263" s="35" t="n"/>
      <c r="B1263" s="31" t="n"/>
      <c r="C1263" s="19">
        <f>IF(B1263="","",IF(COUNTIF(Config!$D$6:$D$15,B1263)&gt;0,"Entrada",IF(COUNTIF(Config!$F$6:$F$25,B1263)&gt;0,"Saída","Categoria inválida")))</f>
        <v/>
      </c>
      <c r="D1263" s="31" t="n"/>
      <c r="E1263" s="33" t="n"/>
      <c r="F1263" s="36" t="n"/>
      <c r="G1263" s="31" t="n"/>
      <c r="H1263" s="37">
        <f>IF(A1263="","",(YEAR(A1263)-YEAR(Config!$B$6))*12+MONTH(A1263)-MONTH(Config!$B$6)+1)</f>
        <v/>
      </c>
      <c r="I1263" s="19">
        <f>IF(AND(A1263="",B1263="",E1263=""),"",IF(A1263="","Falta data",IF(B1263="","Falta categoria",IF(E1263="","Falta valor",IF(C1263="Categoria inválida","Categoria inválida",IF(OR(H1263&lt;1,H1263&gt;12),"Fora dos 12 meses","OK"))))))</f>
        <v/>
      </c>
    </row>
    <row r="1264">
      <c r="A1264" s="35" t="n"/>
      <c r="B1264" s="31" t="n"/>
      <c r="C1264" s="19">
        <f>IF(B1264="","",IF(COUNTIF(Config!$D$6:$D$15,B1264)&gt;0,"Entrada",IF(COUNTIF(Config!$F$6:$F$25,B1264)&gt;0,"Saída","Categoria inválida")))</f>
        <v/>
      </c>
      <c r="D1264" s="31" t="n"/>
      <c r="E1264" s="33" t="n"/>
      <c r="F1264" s="36" t="n"/>
      <c r="G1264" s="31" t="n"/>
      <c r="H1264" s="37">
        <f>IF(A1264="","",(YEAR(A1264)-YEAR(Config!$B$6))*12+MONTH(A1264)-MONTH(Config!$B$6)+1)</f>
        <v/>
      </c>
      <c r="I1264" s="19">
        <f>IF(AND(A1264="",B1264="",E1264=""),"",IF(A1264="","Falta data",IF(B1264="","Falta categoria",IF(E1264="","Falta valor",IF(C1264="Categoria inválida","Categoria inválida",IF(OR(H1264&lt;1,H1264&gt;12),"Fora dos 12 meses","OK"))))))</f>
        <v/>
      </c>
    </row>
    <row r="1265">
      <c r="A1265" s="35" t="n"/>
      <c r="B1265" s="31" t="n"/>
      <c r="C1265" s="19">
        <f>IF(B1265="","",IF(COUNTIF(Config!$D$6:$D$15,B1265)&gt;0,"Entrada",IF(COUNTIF(Config!$F$6:$F$25,B1265)&gt;0,"Saída","Categoria inválida")))</f>
        <v/>
      </c>
      <c r="D1265" s="31" t="n"/>
      <c r="E1265" s="33" t="n"/>
      <c r="F1265" s="36" t="n"/>
      <c r="G1265" s="31" t="n"/>
      <c r="H1265" s="37">
        <f>IF(A1265="","",(YEAR(A1265)-YEAR(Config!$B$6))*12+MONTH(A1265)-MONTH(Config!$B$6)+1)</f>
        <v/>
      </c>
      <c r="I1265" s="19">
        <f>IF(AND(A1265="",B1265="",E1265=""),"",IF(A1265="","Falta data",IF(B1265="","Falta categoria",IF(E1265="","Falta valor",IF(C1265="Categoria inválida","Categoria inválida",IF(OR(H1265&lt;1,H1265&gt;12),"Fora dos 12 meses","OK"))))))</f>
        <v/>
      </c>
    </row>
    <row r="1266">
      <c r="A1266" s="35" t="n"/>
      <c r="B1266" s="31" t="n"/>
      <c r="C1266" s="19">
        <f>IF(B1266="","",IF(COUNTIF(Config!$D$6:$D$15,B1266)&gt;0,"Entrada",IF(COUNTIF(Config!$F$6:$F$25,B1266)&gt;0,"Saída","Categoria inválida")))</f>
        <v/>
      </c>
      <c r="D1266" s="31" t="n"/>
      <c r="E1266" s="33" t="n"/>
      <c r="F1266" s="36" t="n"/>
      <c r="G1266" s="31" t="n"/>
      <c r="H1266" s="37">
        <f>IF(A1266="","",(YEAR(A1266)-YEAR(Config!$B$6))*12+MONTH(A1266)-MONTH(Config!$B$6)+1)</f>
        <v/>
      </c>
      <c r="I1266" s="19">
        <f>IF(AND(A1266="",B1266="",E1266=""),"",IF(A1266="","Falta data",IF(B1266="","Falta categoria",IF(E1266="","Falta valor",IF(C1266="Categoria inválida","Categoria inválida",IF(OR(H1266&lt;1,H1266&gt;12),"Fora dos 12 meses","OK"))))))</f>
        <v/>
      </c>
    </row>
    <row r="1267">
      <c r="A1267" s="35" t="n"/>
      <c r="B1267" s="31" t="n"/>
      <c r="C1267" s="19">
        <f>IF(B1267="","",IF(COUNTIF(Config!$D$6:$D$15,B1267)&gt;0,"Entrada",IF(COUNTIF(Config!$F$6:$F$25,B1267)&gt;0,"Saída","Categoria inválida")))</f>
        <v/>
      </c>
      <c r="D1267" s="31" t="n"/>
      <c r="E1267" s="33" t="n"/>
      <c r="F1267" s="36" t="n"/>
      <c r="G1267" s="31" t="n"/>
      <c r="H1267" s="37">
        <f>IF(A1267="","",(YEAR(A1267)-YEAR(Config!$B$6))*12+MONTH(A1267)-MONTH(Config!$B$6)+1)</f>
        <v/>
      </c>
      <c r="I1267" s="19">
        <f>IF(AND(A1267="",B1267="",E1267=""),"",IF(A1267="","Falta data",IF(B1267="","Falta categoria",IF(E1267="","Falta valor",IF(C1267="Categoria inválida","Categoria inválida",IF(OR(H1267&lt;1,H1267&gt;12),"Fora dos 12 meses","OK"))))))</f>
        <v/>
      </c>
    </row>
    <row r="1268">
      <c r="A1268" s="35" t="n"/>
      <c r="B1268" s="31" t="n"/>
      <c r="C1268" s="19">
        <f>IF(B1268="","",IF(COUNTIF(Config!$D$6:$D$15,B1268)&gt;0,"Entrada",IF(COUNTIF(Config!$F$6:$F$25,B1268)&gt;0,"Saída","Categoria inválida")))</f>
        <v/>
      </c>
      <c r="D1268" s="31" t="n"/>
      <c r="E1268" s="33" t="n"/>
      <c r="F1268" s="36" t="n"/>
      <c r="G1268" s="31" t="n"/>
      <c r="H1268" s="37">
        <f>IF(A1268="","",(YEAR(A1268)-YEAR(Config!$B$6))*12+MONTH(A1268)-MONTH(Config!$B$6)+1)</f>
        <v/>
      </c>
      <c r="I1268" s="19">
        <f>IF(AND(A1268="",B1268="",E1268=""),"",IF(A1268="","Falta data",IF(B1268="","Falta categoria",IF(E1268="","Falta valor",IF(C1268="Categoria inválida","Categoria inválida",IF(OR(H1268&lt;1,H1268&gt;12),"Fora dos 12 meses","OK"))))))</f>
        <v/>
      </c>
    </row>
    <row r="1269">
      <c r="A1269" s="35" t="n"/>
      <c r="B1269" s="31" t="n"/>
      <c r="C1269" s="19">
        <f>IF(B1269="","",IF(COUNTIF(Config!$D$6:$D$15,B1269)&gt;0,"Entrada",IF(COUNTIF(Config!$F$6:$F$25,B1269)&gt;0,"Saída","Categoria inválida")))</f>
        <v/>
      </c>
      <c r="D1269" s="31" t="n"/>
      <c r="E1269" s="33" t="n"/>
      <c r="F1269" s="36" t="n"/>
      <c r="G1269" s="31" t="n"/>
      <c r="H1269" s="37">
        <f>IF(A1269="","",(YEAR(A1269)-YEAR(Config!$B$6))*12+MONTH(A1269)-MONTH(Config!$B$6)+1)</f>
        <v/>
      </c>
      <c r="I1269" s="19">
        <f>IF(AND(A1269="",B1269="",E1269=""),"",IF(A1269="","Falta data",IF(B1269="","Falta categoria",IF(E1269="","Falta valor",IF(C1269="Categoria inválida","Categoria inválida",IF(OR(H1269&lt;1,H1269&gt;12),"Fora dos 12 meses","OK"))))))</f>
        <v/>
      </c>
    </row>
    <row r="1270">
      <c r="A1270" s="35" t="n"/>
      <c r="B1270" s="31" t="n"/>
      <c r="C1270" s="19">
        <f>IF(B1270="","",IF(COUNTIF(Config!$D$6:$D$15,B1270)&gt;0,"Entrada",IF(COUNTIF(Config!$F$6:$F$25,B1270)&gt;0,"Saída","Categoria inválida")))</f>
        <v/>
      </c>
      <c r="D1270" s="31" t="n"/>
      <c r="E1270" s="33" t="n"/>
      <c r="F1270" s="36" t="n"/>
      <c r="G1270" s="31" t="n"/>
      <c r="H1270" s="37">
        <f>IF(A1270="","",(YEAR(A1270)-YEAR(Config!$B$6))*12+MONTH(A1270)-MONTH(Config!$B$6)+1)</f>
        <v/>
      </c>
      <c r="I1270" s="19">
        <f>IF(AND(A1270="",B1270="",E1270=""),"",IF(A1270="","Falta data",IF(B1270="","Falta categoria",IF(E1270="","Falta valor",IF(C1270="Categoria inválida","Categoria inválida",IF(OR(H1270&lt;1,H1270&gt;12),"Fora dos 12 meses","OK"))))))</f>
        <v/>
      </c>
    </row>
    <row r="1271">
      <c r="A1271" s="35" t="n"/>
      <c r="B1271" s="31" t="n"/>
      <c r="C1271" s="19">
        <f>IF(B1271="","",IF(COUNTIF(Config!$D$6:$D$15,B1271)&gt;0,"Entrada",IF(COUNTIF(Config!$F$6:$F$25,B1271)&gt;0,"Saída","Categoria inválida")))</f>
        <v/>
      </c>
      <c r="D1271" s="31" t="n"/>
      <c r="E1271" s="33" t="n"/>
      <c r="F1271" s="36" t="n"/>
      <c r="G1271" s="31" t="n"/>
      <c r="H1271" s="37">
        <f>IF(A1271="","",(YEAR(A1271)-YEAR(Config!$B$6))*12+MONTH(A1271)-MONTH(Config!$B$6)+1)</f>
        <v/>
      </c>
      <c r="I1271" s="19">
        <f>IF(AND(A1271="",B1271="",E1271=""),"",IF(A1271="","Falta data",IF(B1271="","Falta categoria",IF(E1271="","Falta valor",IF(C1271="Categoria inválida","Categoria inválida",IF(OR(H1271&lt;1,H1271&gt;12),"Fora dos 12 meses","OK"))))))</f>
        <v/>
      </c>
    </row>
    <row r="1272">
      <c r="A1272" s="35" t="n"/>
      <c r="B1272" s="31" t="n"/>
      <c r="C1272" s="19">
        <f>IF(B1272="","",IF(COUNTIF(Config!$D$6:$D$15,B1272)&gt;0,"Entrada",IF(COUNTIF(Config!$F$6:$F$25,B1272)&gt;0,"Saída","Categoria inválida")))</f>
        <v/>
      </c>
      <c r="D1272" s="31" t="n"/>
      <c r="E1272" s="33" t="n"/>
      <c r="F1272" s="36" t="n"/>
      <c r="G1272" s="31" t="n"/>
      <c r="H1272" s="37">
        <f>IF(A1272="","",(YEAR(A1272)-YEAR(Config!$B$6))*12+MONTH(A1272)-MONTH(Config!$B$6)+1)</f>
        <v/>
      </c>
      <c r="I1272" s="19">
        <f>IF(AND(A1272="",B1272="",E1272=""),"",IF(A1272="","Falta data",IF(B1272="","Falta categoria",IF(E1272="","Falta valor",IF(C1272="Categoria inválida","Categoria inválida",IF(OR(H1272&lt;1,H1272&gt;12),"Fora dos 12 meses","OK"))))))</f>
        <v/>
      </c>
    </row>
    <row r="1273">
      <c r="A1273" s="35" t="n"/>
      <c r="B1273" s="31" t="n"/>
      <c r="C1273" s="19">
        <f>IF(B1273="","",IF(COUNTIF(Config!$D$6:$D$15,B1273)&gt;0,"Entrada",IF(COUNTIF(Config!$F$6:$F$25,B1273)&gt;0,"Saída","Categoria inválida")))</f>
        <v/>
      </c>
      <c r="D1273" s="31" t="n"/>
      <c r="E1273" s="33" t="n"/>
      <c r="F1273" s="36" t="n"/>
      <c r="G1273" s="31" t="n"/>
      <c r="H1273" s="37">
        <f>IF(A1273="","",(YEAR(A1273)-YEAR(Config!$B$6))*12+MONTH(A1273)-MONTH(Config!$B$6)+1)</f>
        <v/>
      </c>
      <c r="I1273" s="19">
        <f>IF(AND(A1273="",B1273="",E1273=""),"",IF(A1273="","Falta data",IF(B1273="","Falta categoria",IF(E1273="","Falta valor",IF(C1273="Categoria inválida","Categoria inválida",IF(OR(H1273&lt;1,H1273&gt;12),"Fora dos 12 meses","OK"))))))</f>
        <v/>
      </c>
    </row>
    <row r="1274">
      <c r="A1274" s="35" t="n"/>
      <c r="B1274" s="31" t="n"/>
      <c r="C1274" s="19">
        <f>IF(B1274="","",IF(COUNTIF(Config!$D$6:$D$15,B1274)&gt;0,"Entrada",IF(COUNTIF(Config!$F$6:$F$25,B1274)&gt;0,"Saída","Categoria inválida")))</f>
        <v/>
      </c>
      <c r="D1274" s="31" t="n"/>
      <c r="E1274" s="33" t="n"/>
      <c r="F1274" s="36" t="n"/>
      <c r="G1274" s="31" t="n"/>
      <c r="H1274" s="37">
        <f>IF(A1274="","",(YEAR(A1274)-YEAR(Config!$B$6))*12+MONTH(A1274)-MONTH(Config!$B$6)+1)</f>
        <v/>
      </c>
      <c r="I1274" s="19">
        <f>IF(AND(A1274="",B1274="",E1274=""),"",IF(A1274="","Falta data",IF(B1274="","Falta categoria",IF(E1274="","Falta valor",IF(C1274="Categoria inválida","Categoria inválida",IF(OR(H1274&lt;1,H1274&gt;12),"Fora dos 12 meses","OK"))))))</f>
        <v/>
      </c>
    </row>
    <row r="1275">
      <c r="A1275" s="35" t="n"/>
      <c r="B1275" s="31" t="n"/>
      <c r="C1275" s="19">
        <f>IF(B1275="","",IF(COUNTIF(Config!$D$6:$D$15,B1275)&gt;0,"Entrada",IF(COUNTIF(Config!$F$6:$F$25,B1275)&gt;0,"Saída","Categoria inválida")))</f>
        <v/>
      </c>
      <c r="D1275" s="31" t="n"/>
      <c r="E1275" s="33" t="n"/>
      <c r="F1275" s="36" t="n"/>
      <c r="G1275" s="31" t="n"/>
      <c r="H1275" s="37">
        <f>IF(A1275="","",(YEAR(A1275)-YEAR(Config!$B$6))*12+MONTH(A1275)-MONTH(Config!$B$6)+1)</f>
        <v/>
      </c>
      <c r="I1275" s="19">
        <f>IF(AND(A1275="",B1275="",E1275=""),"",IF(A1275="","Falta data",IF(B1275="","Falta categoria",IF(E1275="","Falta valor",IF(C1275="Categoria inválida","Categoria inválida",IF(OR(H1275&lt;1,H1275&gt;12),"Fora dos 12 meses","OK"))))))</f>
        <v/>
      </c>
    </row>
    <row r="1276">
      <c r="A1276" s="35" t="n"/>
      <c r="B1276" s="31" t="n"/>
      <c r="C1276" s="19">
        <f>IF(B1276="","",IF(COUNTIF(Config!$D$6:$D$15,B1276)&gt;0,"Entrada",IF(COUNTIF(Config!$F$6:$F$25,B1276)&gt;0,"Saída","Categoria inválida")))</f>
        <v/>
      </c>
      <c r="D1276" s="31" t="n"/>
      <c r="E1276" s="33" t="n"/>
      <c r="F1276" s="36" t="n"/>
      <c r="G1276" s="31" t="n"/>
      <c r="H1276" s="37">
        <f>IF(A1276="","",(YEAR(A1276)-YEAR(Config!$B$6))*12+MONTH(A1276)-MONTH(Config!$B$6)+1)</f>
        <v/>
      </c>
      <c r="I1276" s="19">
        <f>IF(AND(A1276="",B1276="",E1276=""),"",IF(A1276="","Falta data",IF(B1276="","Falta categoria",IF(E1276="","Falta valor",IF(C1276="Categoria inválida","Categoria inválida",IF(OR(H1276&lt;1,H1276&gt;12),"Fora dos 12 meses","OK"))))))</f>
        <v/>
      </c>
    </row>
    <row r="1277">
      <c r="A1277" s="35" t="n"/>
      <c r="B1277" s="31" t="n"/>
      <c r="C1277" s="19">
        <f>IF(B1277="","",IF(COUNTIF(Config!$D$6:$D$15,B1277)&gt;0,"Entrada",IF(COUNTIF(Config!$F$6:$F$25,B1277)&gt;0,"Saída","Categoria inválida")))</f>
        <v/>
      </c>
      <c r="D1277" s="31" t="n"/>
      <c r="E1277" s="33" t="n"/>
      <c r="F1277" s="36" t="n"/>
      <c r="G1277" s="31" t="n"/>
      <c r="H1277" s="37">
        <f>IF(A1277="","",(YEAR(A1277)-YEAR(Config!$B$6))*12+MONTH(A1277)-MONTH(Config!$B$6)+1)</f>
        <v/>
      </c>
      <c r="I1277" s="19">
        <f>IF(AND(A1277="",B1277="",E1277=""),"",IF(A1277="","Falta data",IF(B1277="","Falta categoria",IF(E1277="","Falta valor",IF(C1277="Categoria inválida","Categoria inválida",IF(OR(H1277&lt;1,H1277&gt;12),"Fora dos 12 meses","OK"))))))</f>
        <v/>
      </c>
    </row>
    <row r="1278">
      <c r="A1278" s="35" t="n"/>
      <c r="B1278" s="31" t="n"/>
      <c r="C1278" s="19">
        <f>IF(B1278="","",IF(COUNTIF(Config!$D$6:$D$15,B1278)&gt;0,"Entrada",IF(COUNTIF(Config!$F$6:$F$25,B1278)&gt;0,"Saída","Categoria inválida")))</f>
        <v/>
      </c>
      <c r="D1278" s="31" t="n"/>
      <c r="E1278" s="33" t="n"/>
      <c r="F1278" s="36" t="n"/>
      <c r="G1278" s="31" t="n"/>
      <c r="H1278" s="37">
        <f>IF(A1278="","",(YEAR(A1278)-YEAR(Config!$B$6))*12+MONTH(A1278)-MONTH(Config!$B$6)+1)</f>
        <v/>
      </c>
      <c r="I1278" s="19">
        <f>IF(AND(A1278="",B1278="",E1278=""),"",IF(A1278="","Falta data",IF(B1278="","Falta categoria",IF(E1278="","Falta valor",IF(C1278="Categoria inválida","Categoria inválida",IF(OR(H1278&lt;1,H1278&gt;12),"Fora dos 12 meses","OK"))))))</f>
        <v/>
      </c>
    </row>
    <row r="1279">
      <c r="A1279" s="35" t="n"/>
      <c r="B1279" s="31" t="n"/>
      <c r="C1279" s="19">
        <f>IF(B1279="","",IF(COUNTIF(Config!$D$6:$D$15,B1279)&gt;0,"Entrada",IF(COUNTIF(Config!$F$6:$F$25,B1279)&gt;0,"Saída","Categoria inválida")))</f>
        <v/>
      </c>
      <c r="D1279" s="31" t="n"/>
      <c r="E1279" s="33" t="n"/>
      <c r="F1279" s="36" t="n"/>
      <c r="G1279" s="31" t="n"/>
      <c r="H1279" s="37">
        <f>IF(A1279="","",(YEAR(A1279)-YEAR(Config!$B$6))*12+MONTH(A1279)-MONTH(Config!$B$6)+1)</f>
        <v/>
      </c>
      <c r="I1279" s="19">
        <f>IF(AND(A1279="",B1279="",E1279=""),"",IF(A1279="","Falta data",IF(B1279="","Falta categoria",IF(E1279="","Falta valor",IF(C1279="Categoria inválida","Categoria inválida",IF(OR(H1279&lt;1,H1279&gt;12),"Fora dos 12 meses","OK"))))))</f>
        <v/>
      </c>
    </row>
    <row r="1280">
      <c r="A1280" s="35" t="n"/>
      <c r="B1280" s="31" t="n"/>
      <c r="C1280" s="19">
        <f>IF(B1280="","",IF(COUNTIF(Config!$D$6:$D$15,B1280)&gt;0,"Entrada",IF(COUNTIF(Config!$F$6:$F$25,B1280)&gt;0,"Saída","Categoria inválida")))</f>
        <v/>
      </c>
      <c r="D1280" s="31" t="n"/>
      <c r="E1280" s="33" t="n"/>
      <c r="F1280" s="36" t="n"/>
      <c r="G1280" s="31" t="n"/>
      <c r="H1280" s="37">
        <f>IF(A1280="","",(YEAR(A1280)-YEAR(Config!$B$6))*12+MONTH(A1280)-MONTH(Config!$B$6)+1)</f>
        <v/>
      </c>
      <c r="I1280" s="19">
        <f>IF(AND(A1280="",B1280="",E1280=""),"",IF(A1280="","Falta data",IF(B1280="","Falta categoria",IF(E1280="","Falta valor",IF(C1280="Categoria inválida","Categoria inválida",IF(OR(H1280&lt;1,H1280&gt;12),"Fora dos 12 meses","OK"))))))</f>
        <v/>
      </c>
    </row>
    <row r="1281">
      <c r="A1281" s="35" t="n"/>
      <c r="B1281" s="31" t="n"/>
      <c r="C1281" s="19">
        <f>IF(B1281="","",IF(COUNTIF(Config!$D$6:$D$15,B1281)&gt;0,"Entrada",IF(COUNTIF(Config!$F$6:$F$25,B1281)&gt;0,"Saída","Categoria inválida")))</f>
        <v/>
      </c>
      <c r="D1281" s="31" t="n"/>
      <c r="E1281" s="33" t="n"/>
      <c r="F1281" s="36" t="n"/>
      <c r="G1281" s="31" t="n"/>
      <c r="H1281" s="37">
        <f>IF(A1281="","",(YEAR(A1281)-YEAR(Config!$B$6))*12+MONTH(A1281)-MONTH(Config!$B$6)+1)</f>
        <v/>
      </c>
      <c r="I1281" s="19">
        <f>IF(AND(A1281="",B1281="",E1281=""),"",IF(A1281="","Falta data",IF(B1281="","Falta categoria",IF(E1281="","Falta valor",IF(C1281="Categoria inválida","Categoria inválida",IF(OR(H1281&lt;1,H1281&gt;12),"Fora dos 12 meses","OK"))))))</f>
        <v/>
      </c>
    </row>
    <row r="1282">
      <c r="A1282" s="35" t="n"/>
      <c r="B1282" s="31" t="n"/>
      <c r="C1282" s="19">
        <f>IF(B1282="","",IF(COUNTIF(Config!$D$6:$D$15,B1282)&gt;0,"Entrada",IF(COUNTIF(Config!$F$6:$F$25,B1282)&gt;0,"Saída","Categoria inválida")))</f>
        <v/>
      </c>
      <c r="D1282" s="31" t="n"/>
      <c r="E1282" s="33" t="n"/>
      <c r="F1282" s="36" t="n"/>
      <c r="G1282" s="31" t="n"/>
      <c r="H1282" s="37">
        <f>IF(A1282="","",(YEAR(A1282)-YEAR(Config!$B$6))*12+MONTH(A1282)-MONTH(Config!$B$6)+1)</f>
        <v/>
      </c>
      <c r="I1282" s="19">
        <f>IF(AND(A1282="",B1282="",E1282=""),"",IF(A1282="","Falta data",IF(B1282="","Falta categoria",IF(E1282="","Falta valor",IF(C1282="Categoria inválida","Categoria inválida",IF(OR(H1282&lt;1,H1282&gt;12),"Fora dos 12 meses","OK"))))))</f>
        <v/>
      </c>
    </row>
    <row r="1283">
      <c r="A1283" s="35" t="n"/>
      <c r="B1283" s="31" t="n"/>
      <c r="C1283" s="19">
        <f>IF(B1283="","",IF(COUNTIF(Config!$D$6:$D$15,B1283)&gt;0,"Entrada",IF(COUNTIF(Config!$F$6:$F$25,B1283)&gt;0,"Saída","Categoria inválida")))</f>
        <v/>
      </c>
      <c r="D1283" s="31" t="n"/>
      <c r="E1283" s="33" t="n"/>
      <c r="F1283" s="36" t="n"/>
      <c r="G1283" s="31" t="n"/>
      <c r="H1283" s="37">
        <f>IF(A1283="","",(YEAR(A1283)-YEAR(Config!$B$6))*12+MONTH(A1283)-MONTH(Config!$B$6)+1)</f>
        <v/>
      </c>
      <c r="I1283" s="19">
        <f>IF(AND(A1283="",B1283="",E1283=""),"",IF(A1283="","Falta data",IF(B1283="","Falta categoria",IF(E1283="","Falta valor",IF(C1283="Categoria inválida","Categoria inválida",IF(OR(H1283&lt;1,H1283&gt;12),"Fora dos 12 meses","OK"))))))</f>
        <v/>
      </c>
    </row>
    <row r="1284">
      <c r="A1284" s="35" t="n"/>
      <c r="B1284" s="31" t="n"/>
      <c r="C1284" s="19">
        <f>IF(B1284="","",IF(COUNTIF(Config!$D$6:$D$15,B1284)&gt;0,"Entrada",IF(COUNTIF(Config!$F$6:$F$25,B1284)&gt;0,"Saída","Categoria inválida")))</f>
        <v/>
      </c>
      <c r="D1284" s="31" t="n"/>
      <c r="E1284" s="33" t="n"/>
      <c r="F1284" s="36" t="n"/>
      <c r="G1284" s="31" t="n"/>
      <c r="H1284" s="37">
        <f>IF(A1284="","",(YEAR(A1284)-YEAR(Config!$B$6))*12+MONTH(A1284)-MONTH(Config!$B$6)+1)</f>
        <v/>
      </c>
      <c r="I1284" s="19">
        <f>IF(AND(A1284="",B1284="",E1284=""),"",IF(A1284="","Falta data",IF(B1284="","Falta categoria",IF(E1284="","Falta valor",IF(C1284="Categoria inválida","Categoria inválida",IF(OR(H1284&lt;1,H1284&gt;12),"Fora dos 12 meses","OK"))))))</f>
        <v/>
      </c>
    </row>
    <row r="1285">
      <c r="A1285" s="35" t="n"/>
      <c r="B1285" s="31" t="n"/>
      <c r="C1285" s="19">
        <f>IF(B1285="","",IF(COUNTIF(Config!$D$6:$D$15,B1285)&gt;0,"Entrada",IF(COUNTIF(Config!$F$6:$F$25,B1285)&gt;0,"Saída","Categoria inválida")))</f>
        <v/>
      </c>
      <c r="D1285" s="31" t="n"/>
      <c r="E1285" s="33" t="n"/>
      <c r="F1285" s="36" t="n"/>
      <c r="G1285" s="31" t="n"/>
      <c r="H1285" s="37">
        <f>IF(A1285="","",(YEAR(A1285)-YEAR(Config!$B$6))*12+MONTH(A1285)-MONTH(Config!$B$6)+1)</f>
        <v/>
      </c>
      <c r="I1285" s="19">
        <f>IF(AND(A1285="",B1285="",E1285=""),"",IF(A1285="","Falta data",IF(B1285="","Falta categoria",IF(E1285="","Falta valor",IF(C1285="Categoria inválida","Categoria inválida",IF(OR(H1285&lt;1,H1285&gt;12),"Fora dos 12 meses","OK"))))))</f>
        <v/>
      </c>
    </row>
    <row r="1286">
      <c r="A1286" s="35" t="n"/>
      <c r="B1286" s="31" t="n"/>
      <c r="C1286" s="19">
        <f>IF(B1286="","",IF(COUNTIF(Config!$D$6:$D$15,B1286)&gt;0,"Entrada",IF(COUNTIF(Config!$F$6:$F$25,B1286)&gt;0,"Saída","Categoria inválida")))</f>
        <v/>
      </c>
      <c r="D1286" s="31" t="n"/>
      <c r="E1286" s="33" t="n"/>
      <c r="F1286" s="36" t="n"/>
      <c r="G1286" s="31" t="n"/>
      <c r="H1286" s="37">
        <f>IF(A1286="","",(YEAR(A1286)-YEAR(Config!$B$6))*12+MONTH(A1286)-MONTH(Config!$B$6)+1)</f>
        <v/>
      </c>
      <c r="I1286" s="19">
        <f>IF(AND(A1286="",B1286="",E1286=""),"",IF(A1286="","Falta data",IF(B1286="","Falta categoria",IF(E1286="","Falta valor",IF(C1286="Categoria inválida","Categoria inválida",IF(OR(H1286&lt;1,H1286&gt;12),"Fora dos 12 meses","OK"))))))</f>
        <v/>
      </c>
    </row>
    <row r="1287">
      <c r="A1287" s="35" t="n"/>
      <c r="B1287" s="31" t="n"/>
      <c r="C1287" s="19">
        <f>IF(B1287="","",IF(COUNTIF(Config!$D$6:$D$15,B1287)&gt;0,"Entrada",IF(COUNTIF(Config!$F$6:$F$25,B1287)&gt;0,"Saída","Categoria inválida")))</f>
        <v/>
      </c>
      <c r="D1287" s="31" t="n"/>
      <c r="E1287" s="33" t="n"/>
      <c r="F1287" s="36" t="n"/>
      <c r="G1287" s="31" t="n"/>
      <c r="H1287" s="37">
        <f>IF(A1287="","",(YEAR(A1287)-YEAR(Config!$B$6))*12+MONTH(A1287)-MONTH(Config!$B$6)+1)</f>
        <v/>
      </c>
      <c r="I1287" s="19">
        <f>IF(AND(A1287="",B1287="",E1287=""),"",IF(A1287="","Falta data",IF(B1287="","Falta categoria",IF(E1287="","Falta valor",IF(C1287="Categoria inválida","Categoria inválida",IF(OR(H1287&lt;1,H1287&gt;12),"Fora dos 12 meses","OK"))))))</f>
        <v/>
      </c>
    </row>
    <row r="1288">
      <c r="A1288" s="35" t="n"/>
      <c r="B1288" s="31" t="n"/>
      <c r="C1288" s="19">
        <f>IF(B1288="","",IF(COUNTIF(Config!$D$6:$D$15,B1288)&gt;0,"Entrada",IF(COUNTIF(Config!$F$6:$F$25,B1288)&gt;0,"Saída","Categoria inválida")))</f>
        <v/>
      </c>
      <c r="D1288" s="31" t="n"/>
      <c r="E1288" s="33" t="n"/>
      <c r="F1288" s="36" t="n"/>
      <c r="G1288" s="31" t="n"/>
      <c r="H1288" s="37">
        <f>IF(A1288="","",(YEAR(A1288)-YEAR(Config!$B$6))*12+MONTH(A1288)-MONTH(Config!$B$6)+1)</f>
        <v/>
      </c>
      <c r="I1288" s="19">
        <f>IF(AND(A1288="",B1288="",E1288=""),"",IF(A1288="","Falta data",IF(B1288="","Falta categoria",IF(E1288="","Falta valor",IF(C1288="Categoria inválida","Categoria inválida",IF(OR(H1288&lt;1,H1288&gt;12),"Fora dos 12 meses","OK"))))))</f>
        <v/>
      </c>
    </row>
    <row r="1289">
      <c r="A1289" s="35" t="n"/>
      <c r="B1289" s="31" t="n"/>
      <c r="C1289" s="19">
        <f>IF(B1289="","",IF(COUNTIF(Config!$D$6:$D$15,B1289)&gt;0,"Entrada",IF(COUNTIF(Config!$F$6:$F$25,B1289)&gt;0,"Saída","Categoria inválida")))</f>
        <v/>
      </c>
      <c r="D1289" s="31" t="n"/>
      <c r="E1289" s="33" t="n"/>
      <c r="F1289" s="36" t="n"/>
      <c r="G1289" s="31" t="n"/>
      <c r="H1289" s="37">
        <f>IF(A1289="","",(YEAR(A1289)-YEAR(Config!$B$6))*12+MONTH(A1289)-MONTH(Config!$B$6)+1)</f>
        <v/>
      </c>
      <c r="I1289" s="19">
        <f>IF(AND(A1289="",B1289="",E1289=""),"",IF(A1289="","Falta data",IF(B1289="","Falta categoria",IF(E1289="","Falta valor",IF(C1289="Categoria inválida","Categoria inválida",IF(OR(H1289&lt;1,H1289&gt;12),"Fora dos 12 meses","OK"))))))</f>
        <v/>
      </c>
    </row>
    <row r="1290">
      <c r="A1290" s="35" t="n"/>
      <c r="B1290" s="31" t="n"/>
      <c r="C1290" s="19">
        <f>IF(B1290="","",IF(COUNTIF(Config!$D$6:$D$15,B1290)&gt;0,"Entrada",IF(COUNTIF(Config!$F$6:$F$25,B1290)&gt;0,"Saída","Categoria inválida")))</f>
        <v/>
      </c>
      <c r="D1290" s="31" t="n"/>
      <c r="E1290" s="33" t="n"/>
      <c r="F1290" s="36" t="n"/>
      <c r="G1290" s="31" t="n"/>
      <c r="H1290" s="37">
        <f>IF(A1290="","",(YEAR(A1290)-YEAR(Config!$B$6))*12+MONTH(A1290)-MONTH(Config!$B$6)+1)</f>
        <v/>
      </c>
      <c r="I1290" s="19">
        <f>IF(AND(A1290="",B1290="",E1290=""),"",IF(A1290="","Falta data",IF(B1290="","Falta categoria",IF(E1290="","Falta valor",IF(C1290="Categoria inválida","Categoria inválida",IF(OR(H1290&lt;1,H1290&gt;12),"Fora dos 12 meses","OK"))))))</f>
        <v/>
      </c>
    </row>
    <row r="1291">
      <c r="A1291" s="35" t="n"/>
      <c r="B1291" s="31" t="n"/>
      <c r="C1291" s="19">
        <f>IF(B1291="","",IF(COUNTIF(Config!$D$6:$D$15,B1291)&gt;0,"Entrada",IF(COUNTIF(Config!$F$6:$F$25,B1291)&gt;0,"Saída","Categoria inválida")))</f>
        <v/>
      </c>
      <c r="D1291" s="31" t="n"/>
      <c r="E1291" s="33" t="n"/>
      <c r="F1291" s="36" t="n"/>
      <c r="G1291" s="31" t="n"/>
      <c r="H1291" s="37">
        <f>IF(A1291="","",(YEAR(A1291)-YEAR(Config!$B$6))*12+MONTH(A1291)-MONTH(Config!$B$6)+1)</f>
        <v/>
      </c>
      <c r="I1291" s="19">
        <f>IF(AND(A1291="",B1291="",E1291=""),"",IF(A1291="","Falta data",IF(B1291="","Falta categoria",IF(E1291="","Falta valor",IF(C1291="Categoria inválida","Categoria inválida",IF(OR(H1291&lt;1,H1291&gt;12),"Fora dos 12 meses","OK"))))))</f>
        <v/>
      </c>
    </row>
    <row r="1292">
      <c r="A1292" s="35" t="n"/>
      <c r="B1292" s="31" t="n"/>
      <c r="C1292" s="19">
        <f>IF(B1292="","",IF(COUNTIF(Config!$D$6:$D$15,B1292)&gt;0,"Entrada",IF(COUNTIF(Config!$F$6:$F$25,B1292)&gt;0,"Saída","Categoria inválida")))</f>
        <v/>
      </c>
      <c r="D1292" s="31" t="n"/>
      <c r="E1292" s="33" t="n"/>
      <c r="F1292" s="36" t="n"/>
      <c r="G1292" s="31" t="n"/>
      <c r="H1292" s="37">
        <f>IF(A1292="","",(YEAR(A1292)-YEAR(Config!$B$6))*12+MONTH(A1292)-MONTH(Config!$B$6)+1)</f>
        <v/>
      </c>
      <c r="I1292" s="19">
        <f>IF(AND(A1292="",B1292="",E1292=""),"",IF(A1292="","Falta data",IF(B1292="","Falta categoria",IF(E1292="","Falta valor",IF(C1292="Categoria inválida","Categoria inválida",IF(OR(H1292&lt;1,H1292&gt;12),"Fora dos 12 meses","OK"))))))</f>
        <v/>
      </c>
    </row>
    <row r="1293">
      <c r="A1293" s="35" t="n"/>
      <c r="B1293" s="31" t="n"/>
      <c r="C1293" s="19">
        <f>IF(B1293="","",IF(COUNTIF(Config!$D$6:$D$15,B1293)&gt;0,"Entrada",IF(COUNTIF(Config!$F$6:$F$25,B1293)&gt;0,"Saída","Categoria inválida")))</f>
        <v/>
      </c>
      <c r="D1293" s="31" t="n"/>
      <c r="E1293" s="33" t="n"/>
      <c r="F1293" s="36" t="n"/>
      <c r="G1293" s="31" t="n"/>
      <c r="H1293" s="37">
        <f>IF(A1293="","",(YEAR(A1293)-YEAR(Config!$B$6))*12+MONTH(A1293)-MONTH(Config!$B$6)+1)</f>
        <v/>
      </c>
      <c r="I1293" s="19">
        <f>IF(AND(A1293="",B1293="",E1293=""),"",IF(A1293="","Falta data",IF(B1293="","Falta categoria",IF(E1293="","Falta valor",IF(C1293="Categoria inválida","Categoria inválida",IF(OR(H1293&lt;1,H1293&gt;12),"Fora dos 12 meses","OK"))))))</f>
        <v/>
      </c>
    </row>
    <row r="1294">
      <c r="A1294" s="35" t="n"/>
      <c r="B1294" s="31" t="n"/>
      <c r="C1294" s="19">
        <f>IF(B1294="","",IF(COUNTIF(Config!$D$6:$D$15,B1294)&gt;0,"Entrada",IF(COUNTIF(Config!$F$6:$F$25,B1294)&gt;0,"Saída","Categoria inválida")))</f>
        <v/>
      </c>
      <c r="D1294" s="31" t="n"/>
      <c r="E1294" s="33" t="n"/>
      <c r="F1294" s="36" t="n"/>
      <c r="G1294" s="31" t="n"/>
      <c r="H1294" s="37">
        <f>IF(A1294="","",(YEAR(A1294)-YEAR(Config!$B$6))*12+MONTH(A1294)-MONTH(Config!$B$6)+1)</f>
        <v/>
      </c>
      <c r="I1294" s="19">
        <f>IF(AND(A1294="",B1294="",E1294=""),"",IF(A1294="","Falta data",IF(B1294="","Falta categoria",IF(E1294="","Falta valor",IF(C1294="Categoria inválida","Categoria inválida",IF(OR(H1294&lt;1,H1294&gt;12),"Fora dos 12 meses","OK"))))))</f>
        <v/>
      </c>
    </row>
    <row r="1295">
      <c r="A1295" s="35" t="n"/>
      <c r="B1295" s="31" t="n"/>
      <c r="C1295" s="19">
        <f>IF(B1295="","",IF(COUNTIF(Config!$D$6:$D$15,B1295)&gt;0,"Entrada",IF(COUNTIF(Config!$F$6:$F$25,B1295)&gt;0,"Saída","Categoria inválida")))</f>
        <v/>
      </c>
      <c r="D1295" s="31" t="n"/>
      <c r="E1295" s="33" t="n"/>
      <c r="F1295" s="36" t="n"/>
      <c r="G1295" s="31" t="n"/>
      <c r="H1295" s="37">
        <f>IF(A1295="","",(YEAR(A1295)-YEAR(Config!$B$6))*12+MONTH(A1295)-MONTH(Config!$B$6)+1)</f>
        <v/>
      </c>
      <c r="I1295" s="19">
        <f>IF(AND(A1295="",B1295="",E1295=""),"",IF(A1295="","Falta data",IF(B1295="","Falta categoria",IF(E1295="","Falta valor",IF(C1295="Categoria inválida","Categoria inválida",IF(OR(H1295&lt;1,H1295&gt;12),"Fora dos 12 meses","OK"))))))</f>
        <v/>
      </c>
    </row>
    <row r="1296">
      <c r="A1296" s="35" t="n"/>
      <c r="B1296" s="31" t="n"/>
      <c r="C1296" s="19">
        <f>IF(B1296="","",IF(COUNTIF(Config!$D$6:$D$15,B1296)&gt;0,"Entrada",IF(COUNTIF(Config!$F$6:$F$25,B1296)&gt;0,"Saída","Categoria inválida")))</f>
        <v/>
      </c>
      <c r="D1296" s="31" t="n"/>
      <c r="E1296" s="33" t="n"/>
      <c r="F1296" s="36" t="n"/>
      <c r="G1296" s="31" t="n"/>
      <c r="H1296" s="37">
        <f>IF(A1296="","",(YEAR(A1296)-YEAR(Config!$B$6))*12+MONTH(A1296)-MONTH(Config!$B$6)+1)</f>
        <v/>
      </c>
      <c r="I1296" s="19">
        <f>IF(AND(A1296="",B1296="",E1296=""),"",IF(A1296="","Falta data",IF(B1296="","Falta categoria",IF(E1296="","Falta valor",IF(C1296="Categoria inválida","Categoria inválida",IF(OR(H1296&lt;1,H1296&gt;12),"Fora dos 12 meses","OK"))))))</f>
        <v/>
      </c>
    </row>
    <row r="1297">
      <c r="A1297" s="35" t="n"/>
      <c r="B1297" s="31" t="n"/>
      <c r="C1297" s="19">
        <f>IF(B1297="","",IF(COUNTIF(Config!$D$6:$D$15,B1297)&gt;0,"Entrada",IF(COUNTIF(Config!$F$6:$F$25,B1297)&gt;0,"Saída","Categoria inválida")))</f>
        <v/>
      </c>
      <c r="D1297" s="31" t="n"/>
      <c r="E1297" s="33" t="n"/>
      <c r="F1297" s="36" t="n"/>
      <c r="G1297" s="31" t="n"/>
      <c r="H1297" s="37">
        <f>IF(A1297="","",(YEAR(A1297)-YEAR(Config!$B$6))*12+MONTH(A1297)-MONTH(Config!$B$6)+1)</f>
        <v/>
      </c>
      <c r="I1297" s="19">
        <f>IF(AND(A1297="",B1297="",E1297=""),"",IF(A1297="","Falta data",IF(B1297="","Falta categoria",IF(E1297="","Falta valor",IF(C1297="Categoria inválida","Categoria inválida",IF(OR(H1297&lt;1,H1297&gt;12),"Fora dos 12 meses","OK"))))))</f>
        <v/>
      </c>
    </row>
    <row r="1298">
      <c r="A1298" s="35" t="n"/>
      <c r="B1298" s="31" t="n"/>
      <c r="C1298" s="19">
        <f>IF(B1298="","",IF(COUNTIF(Config!$D$6:$D$15,B1298)&gt;0,"Entrada",IF(COUNTIF(Config!$F$6:$F$25,B1298)&gt;0,"Saída","Categoria inválida")))</f>
        <v/>
      </c>
      <c r="D1298" s="31" t="n"/>
      <c r="E1298" s="33" t="n"/>
      <c r="F1298" s="36" t="n"/>
      <c r="G1298" s="31" t="n"/>
      <c r="H1298" s="37">
        <f>IF(A1298="","",(YEAR(A1298)-YEAR(Config!$B$6))*12+MONTH(A1298)-MONTH(Config!$B$6)+1)</f>
        <v/>
      </c>
      <c r="I1298" s="19">
        <f>IF(AND(A1298="",B1298="",E1298=""),"",IF(A1298="","Falta data",IF(B1298="","Falta categoria",IF(E1298="","Falta valor",IF(C1298="Categoria inválida","Categoria inválida",IF(OR(H1298&lt;1,H1298&gt;12),"Fora dos 12 meses","OK"))))))</f>
        <v/>
      </c>
    </row>
    <row r="1299">
      <c r="A1299" s="35" t="n"/>
      <c r="B1299" s="31" t="n"/>
      <c r="C1299" s="19">
        <f>IF(B1299="","",IF(COUNTIF(Config!$D$6:$D$15,B1299)&gt;0,"Entrada",IF(COUNTIF(Config!$F$6:$F$25,B1299)&gt;0,"Saída","Categoria inválida")))</f>
        <v/>
      </c>
      <c r="D1299" s="31" t="n"/>
      <c r="E1299" s="33" t="n"/>
      <c r="F1299" s="36" t="n"/>
      <c r="G1299" s="31" t="n"/>
      <c r="H1299" s="37">
        <f>IF(A1299="","",(YEAR(A1299)-YEAR(Config!$B$6))*12+MONTH(A1299)-MONTH(Config!$B$6)+1)</f>
        <v/>
      </c>
      <c r="I1299" s="19">
        <f>IF(AND(A1299="",B1299="",E1299=""),"",IF(A1299="","Falta data",IF(B1299="","Falta categoria",IF(E1299="","Falta valor",IF(C1299="Categoria inválida","Categoria inválida",IF(OR(H1299&lt;1,H1299&gt;12),"Fora dos 12 meses","OK"))))))</f>
        <v/>
      </c>
    </row>
    <row r="1300">
      <c r="A1300" s="35" t="n"/>
      <c r="B1300" s="31" t="n"/>
      <c r="C1300" s="19">
        <f>IF(B1300="","",IF(COUNTIF(Config!$D$6:$D$15,B1300)&gt;0,"Entrada",IF(COUNTIF(Config!$F$6:$F$25,B1300)&gt;0,"Saída","Categoria inválida")))</f>
        <v/>
      </c>
      <c r="D1300" s="31" t="n"/>
      <c r="E1300" s="33" t="n"/>
      <c r="F1300" s="36" t="n"/>
      <c r="G1300" s="31" t="n"/>
      <c r="H1300" s="37">
        <f>IF(A1300="","",(YEAR(A1300)-YEAR(Config!$B$6))*12+MONTH(A1300)-MONTH(Config!$B$6)+1)</f>
        <v/>
      </c>
      <c r="I1300" s="19">
        <f>IF(AND(A1300="",B1300="",E1300=""),"",IF(A1300="","Falta data",IF(B1300="","Falta categoria",IF(E1300="","Falta valor",IF(C1300="Categoria inválida","Categoria inválida",IF(OR(H1300&lt;1,H1300&gt;12),"Fora dos 12 meses","OK"))))))</f>
        <v/>
      </c>
    </row>
    <row r="1301">
      <c r="A1301" s="35" t="n"/>
      <c r="B1301" s="31" t="n"/>
      <c r="C1301" s="19">
        <f>IF(B1301="","",IF(COUNTIF(Config!$D$6:$D$15,B1301)&gt;0,"Entrada",IF(COUNTIF(Config!$F$6:$F$25,B1301)&gt;0,"Saída","Categoria inválida")))</f>
        <v/>
      </c>
      <c r="D1301" s="31" t="n"/>
      <c r="E1301" s="33" t="n"/>
      <c r="F1301" s="36" t="n"/>
      <c r="G1301" s="31" t="n"/>
      <c r="H1301" s="37">
        <f>IF(A1301="","",(YEAR(A1301)-YEAR(Config!$B$6))*12+MONTH(A1301)-MONTH(Config!$B$6)+1)</f>
        <v/>
      </c>
      <c r="I1301" s="19">
        <f>IF(AND(A1301="",B1301="",E1301=""),"",IF(A1301="","Falta data",IF(B1301="","Falta categoria",IF(E1301="","Falta valor",IF(C1301="Categoria inválida","Categoria inválida",IF(OR(H1301&lt;1,H1301&gt;12),"Fora dos 12 meses","OK"))))))</f>
        <v/>
      </c>
    </row>
    <row r="1302">
      <c r="A1302" s="35" t="n"/>
      <c r="B1302" s="31" t="n"/>
      <c r="C1302" s="19">
        <f>IF(B1302="","",IF(COUNTIF(Config!$D$6:$D$15,B1302)&gt;0,"Entrada",IF(COUNTIF(Config!$F$6:$F$25,B1302)&gt;0,"Saída","Categoria inválida")))</f>
        <v/>
      </c>
      <c r="D1302" s="31" t="n"/>
      <c r="E1302" s="33" t="n"/>
      <c r="F1302" s="36" t="n"/>
      <c r="G1302" s="31" t="n"/>
      <c r="H1302" s="37">
        <f>IF(A1302="","",(YEAR(A1302)-YEAR(Config!$B$6))*12+MONTH(A1302)-MONTH(Config!$B$6)+1)</f>
        <v/>
      </c>
      <c r="I1302" s="19">
        <f>IF(AND(A1302="",B1302="",E1302=""),"",IF(A1302="","Falta data",IF(B1302="","Falta categoria",IF(E1302="","Falta valor",IF(C1302="Categoria inválida","Categoria inválida",IF(OR(H1302&lt;1,H1302&gt;12),"Fora dos 12 meses","OK"))))))</f>
        <v/>
      </c>
    </row>
    <row r="1303">
      <c r="A1303" s="35" t="n"/>
      <c r="B1303" s="31" t="n"/>
      <c r="C1303" s="19">
        <f>IF(B1303="","",IF(COUNTIF(Config!$D$6:$D$15,B1303)&gt;0,"Entrada",IF(COUNTIF(Config!$F$6:$F$25,B1303)&gt;0,"Saída","Categoria inválida")))</f>
        <v/>
      </c>
      <c r="D1303" s="31" t="n"/>
      <c r="E1303" s="33" t="n"/>
      <c r="F1303" s="36" t="n"/>
      <c r="G1303" s="31" t="n"/>
      <c r="H1303" s="37">
        <f>IF(A1303="","",(YEAR(A1303)-YEAR(Config!$B$6))*12+MONTH(A1303)-MONTH(Config!$B$6)+1)</f>
        <v/>
      </c>
      <c r="I1303" s="19">
        <f>IF(AND(A1303="",B1303="",E1303=""),"",IF(A1303="","Falta data",IF(B1303="","Falta categoria",IF(E1303="","Falta valor",IF(C1303="Categoria inválida","Categoria inválida",IF(OR(H1303&lt;1,H1303&gt;12),"Fora dos 12 meses","OK"))))))</f>
        <v/>
      </c>
    </row>
    <row r="1304">
      <c r="A1304" s="35" t="n"/>
      <c r="B1304" s="31" t="n"/>
      <c r="C1304" s="19">
        <f>IF(B1304="","",IF(COUNTIF(Config!$D$6:$D$15,B1304)&gt;0,"Entrada",IF(COUNTIF(Config!$F$6:$F$25,B1304)&gt;0,"Saída","Categoria inválida")))</f>
        <v/>
      </c>
      <c r="D1304" s="31" t="n"/>
      <c r="E1304" s="33" t="n"/>
      <c r="F1304" s="36" t="n"/>
      <c r="G1304" s="31" t="n"/>
      <c r="H1304" s="37">
        <f>IF(A1304="","",(YEAR(A1304)-YEAR(Config!$B$6))*12+MONTH(A1304)-MONTH(Config!$B$6)+1)</f>
        <v/>
      </c>
      <c r="I1304" s="19">
        <f>IF(AND(A1304="",B1304="",E1304=""),"",IF(A1304="","Falta data",IF(B1304="","Falta categoria",IF(E1304="","Falta valor",IF(C1304="Categoria inválida","Categoria inválida",IF(OR(H1304&lt;1,H1304&gt;12),"Fora dos 12 meses","OK"))))))</f>
        <v/>
      </c>
    </row>
    <row r="1305">
      <c r="A1305" s="35" t="n"/>
      <c r="B1305" s="31" t="n"/>
      <c r="C1305" s="19">
        <f>IF(B1305="","",IF(COUNTIF(Config!$D$6:$D$15,B1305)&gt;0,"Entrada",IF(COUNTIF(Config!$F$6:$F$25,B1305)&gt;0,"Saída","Categoria inválida")))</f>
        <v/>
      </c>
      <c r="D1305" s="31" t="n"/>
      <c r="E1305" s="33" t="n"/>
      <c r="F1305" s="36" t="n"/>
      <c r="G1305" s="31" t="n"/>
      <c r="H1305" s="37">
        <f>IF(A1305="","",(YEAR(A1305)-YEAR(Config!$B$6))*12+MONTH(A1305)-MONTH(Config!$B$6)+1)</f>
        <v/>
      </c>
      <c r="I1305" s="19">
        <f>IF(AND(A1305="",B1305="",E1305=""),"",IF(A1305="","Falta data",IF(B1305="","Falta categoria",IF(E1305="","Falta valor",IF(C1305="Categoria inválida","Categoria inválida",IF(OR(H1305&lt;1,H1305&gt;12),"Fora dos 12 meses","OK"))))))</f>
        <v/>
      </c>
    </row>
    <row r="1306">
      <c r="A1306" s="35" t="n"/>
      <c r="B1306" s="31" t="n"/>
      <c r="C1306" s="19">
        <f>IF(B1306="","",IF(COUNTIF(Config!$D$6:$D$15,B1306)&gt;0,"Entrada",IF(COUNTIF(Config!$F$6:$F$25,B1306)&gt;0,"Saída","Categoria inválida")))</f>
        <v/>
      </c>
      <c r="D1306" s="31" t="n"/>
      <c r="E1306" s="33" t="n"/>
      <c r="F1306" s="36" t="n"/>
      <c r="G1306" s="31" t="n"/>
      <c r="H1306" s="37">
        <f>IF(A1306="","",(YEAR(A1306)-YEAR(Config!$B$6))*12+MONTH(A1306)-MONTH(Config!$B$6)+1)</f>
        <v/>
      </c>
      <c r="I1306" s="19">
        <f>IF(AND(A1306="",B1306="",E1306=""),"",IF(A1306="","Falta data",IF(B1306="","Falta categoria",IF(E1306="","Falta valor",IF(C1306="Categoria inválida","Categoria inválida",IF(OR(H1306&lt;1,H1306&gt;12),"Fora dos 12 meses","OK"))))))</f>
        <v/>
      </c>
    </row>
    <row r="1307">
      <c r="A1307" s="35" t="n"/>
      <c r="B1307" s="31" t="n"/>
      <c r="C1307" s="19">
        <f>IF(B1307="","",IF(COUNTIF(Config!$D$6:$D$15,B1307)&gt;0,"Entrada",IF(COUNTIF(Config!$F$6:$F$25,B1307)&gt;0,"Saída","Categoria inválida")))</f>
        <v/>
      </c>
      <c r="D1307" s="31" t="n"/>
      <c r="E1307" s="33" t="n"/>
      <c r="F1307" s="36" t="n"/>
      <c r="G1307" s="31" t="n"/>
      <c r="H1307" s="37">
        <f>IF(A1307="","",(YEAR(A1307)-YEAR(Config!$B$6))*12+MONTH(A1307)-MONTH(Config!$B$6)+1)</f>
        <v/>
      </c>
      <c r="I1307" s="19">
        <f>IF(AND(A1307="",B1307="",E1307=""),"",IF(A1307="","Falta data",IF(B1307="","Falta categoria",IF(E1307="","Falta valor",IF(C1307="Categoria inválida","Categoria inválida",IF(OR(H1307&lt;1,H1307&gt;12),"Fora dos 12 meses","OK"))))))</f>
        <v/>
      </c>
    </row>
    <row r="1308">
      <c r="A1308" s="35" t="n"/>
      <c r="B1308" s="31" t="n"/>
      <c r="C1308" s="19">
        <f>IF(B1308="","",IF(COUNTIF(Config!$D$6:$D$15,B1308)&gt;0,"Entrada",IF(COUNTIF(Config!$F$6:$F$25,B1308)&gt;0,"Saída","Categoria inválida")))</f>
        <v/>
      </c>
      <c r="D1308" s="31" t="n"/>
      <c r="E1308" s="33" t="n"/>
      <c r="F1308" s="36" t="n"/>
      <c r="G1308" s="31" t="n"/>
      <c r="H1308" s="37">
        <f>IF(A1308="","",(YEAR(A1308)-YEAR(Config!$B$6))*12+MONTH(A1308)-MONTH(Config!$B$6)+1)</f>
        <v/>
      </c>
      <c r="I1308" s="19">
        <f>IF(AND(A1308="",B1308="",E1308=""),"",IF(A1308="","Falta data",IF(B1308="","Falta categoria",IF(E1308="","Falta valor",IF(C1308="Categoria inválida","Categoria inválida",IF(OR(H1308&lt;1,H1308&gt;12),"Fora dos 12 meses","OK"))))))</f>
        <v/>
      </c>
    </row>
    <row r="1309">
      <c r="A1309" s="35" t="n"/>
      <c r="B1309" s="31" t="n"/>
      <c r="C1309" s="19">
        <f>IF(B1309="","",IF(COUNTIF(Config!$D$6:$D$15,B1309)&gt;0,"Entrada",IF(COUNTIF(Config!$F$6:$F$25,B1309)&gt;0,"Saída","Categoria inválida")))</f>
        <v/>
      </c>
      <c r="D1309" s="31" t="n"/>
      <c r="E1309" s="33" t="n"/>
      <c r="F1309" s="36" t="n"/>
      <c r="G1309" s="31" t="n"/>
      <c r="H1309" s="37">
        <f>IF(A1309="","",(YEAR(A1309)-YEAR(Config!$B$6))*12+MONTH(A1309)-MONTH(Config!$B$6)+1)</f>
        <v/>
      </c>
      <c r="I1309" s="19">
        <f>IF(AND(A1309="",B1309="",E1309=""),"",IF(A1309="","Falta data",IF(B1309="","Falta categoria",IF(E1309="","Falta valor",IF(C1309="Categoria inválida","Categoria inválida",IF(OR(H1309&lt;1,H1309&gt;12),"Fora dos 12 meses","OK"))))))</f>
        <v/>
      </c>
    </row>
    <row r="1310">
      <c r="A1310" s="35" t="n"/>
      <c r="B1310" s="31" t="n"/>
      <c r="C1310" s="19">
        <f>IF(B1310="","",IF(COUNTIF(Config!$D$6:$D$15,B1310)&gt;0,"Entrada",IF(COUNTIF(Config!$F$6:$F$25,B1310)&gt;0,"Saída","Categoria inválida")))</f>
        <v/>
      </c>
      <c r="D1310" s="31" t="n"/>
      <c r="E1310" s="33" t="n"/>
      <c r="F1310" s="36" t="n"/>
      <c r="G1310" s="31" t="n"/>
      <c r="H1310" s="37">
        <f>IF(A1310="","",(YEAR(A1310)-YEAR(Config!$B$6))*12+MONTH(A1310)-MONTH(Config!$B$6)+1)</f>
        <v/>
      </c>
      <c r="I1310" s="19">
        <f>IF(AND(A1310="",B1310="",E1310=""),"",IF(A1310="","Falta data",IF(B1310="","Falta categoria",IF(E1310="","Falta valor",IF(C1310="Categoria inválida","Categoria inválida",IF(OR(H1310&lt;1,H1310&gt;12),"Fora dos 12 meses","OK"))))))</f>
        <v/>
      </c>
    </row>
    <row r="1311">
      <c r="A1311" s="35" t="n"/>
      <c r="B1311" s="31" t="n"/>
      <c r="C1311" s="19">
        <f>IF(B1311="","",IF(COUNTIF(Config!$D$6:$D$15,B1311)&gt;0,"Entrada",IF(COUNTIF(Config!$F$6:$F$25,B1311)&gt;0,"Saída","Categoria inválida")))</f>
        <v/>
      </c>
      <c r="D1311" s="31" t="n"/>
      <c r="E1311" s="33" t="n"/>
      <c r="F1311" s="36" t="n"/>
      <c r="G1311" s="31" t="n"/>
      <c r="H1311" s="37">
        <f>IF(A1311="","",(YEAR(A1311)-YEAR(Config!$B$6))*12+MONTH(A1311)-MONTH(Config!$B$6)+1)</f>
        <v/>
      </c>
      <c r="I1311" s="19">
        <f>IF(AND(A1311="",B1311="",E1311=""),"",IF(A1311="","Falta data",IF(B1311="","Falta categoria",IF(E1311="","Falta valor",IF(C1311="Categoria inválida","Categoria inválida",IF(OR(H1311&lt;1,H1311&gt;12),"Fora dos 12 meses","OK"))))))</f>
        <v/>
      </c>
    </row>
    <row r="1312">
      <c r="A1312" s="35" t="n"/>
      <c r="B1312" s="31" t="n"/>
      <c r="C1312" s="19">
        <f>IF(B1312="","",IF(COUNTIF(Config!$D$6:$D$15,B1312)&gt;0,"Entrada",IF(COUNTIF(Config!$F$6:$F$25,B1312)&gt;0,"Saída","Categoria inválida")))</f>
        <v/>
      </c>
      <c r="D1312" s="31" t="n"/>
      <c r="E1312" s="33" t="n"/>
      <c r="F1312" s="36" t="n"/>
      <c r="G1312" s="31" t="n"/>
      <c r="H1312" s="37">
        <f>IF(A1312="","",(YEAR(A1312)-YEAR(Config!$B$6))*12+MONTH(A1312)-MONTH(Config!$B$6)+1)</f>
        <v/>
      </c>
      <c r="I1312" s="19">
        <f>IF(AND(A1312="",B1312="",E1312=""),"",IF(A1312="","Falta data",IF(B1312="","Falta categoria",IF(E1312="","Falta valor",IF(C1312="Categoria inválida","Categoria inválida",IF(OR(H1312&lt;1,H1312&gt;12),"Fora dos 12 meses","OK"))))))</f>
        <v/>
      </c>
    </row>
    <row r="1313">
      <c r="A1313" s="35" t="n"/>
      <c r="B1313" s="31" t="n"/>
      <c r="C1313" s="19">
        <f>IF(B1313="","",IF(COUNTIF(Config!$D$6:$D$15,B1313)&gt;0,"Entrada",IF(COUNTIF(Config!$F$6:$F$25,B1313)&gt;0,"Saída","Categoria inválida")))</f>
        <v/>
      </c>
      <c r="D1313" s="31" t="n"/>
      <c r="E1313" s="33" t="n"/>
      <c r="F1313" s="36" t="n"/>
      <c r="G1313" s="31" t="n"/>
      <c r="H1313" s="37">
        <f>IF(A1313="","",(YEAR(A1313)-YEAR(Config!$B$6))*12+MONTH(A1313)-MONTH(Config!$B$6)+1)</f>
        <v/>
      </c>
      <c r="I1313" s="19">
        <f>IF(AND(A1313="",B1313="",E1313=""),"",IF(A1313="","Falta data",IF(B1313="","Falta categoria",IF(E1313="","Falta valor",IF(C1313="Categoria inválida","Categoria inválida",IF(OR(H1313&lt;1,H1313&gt;12),"Fora dos 12 meses","OK"))))))</f>
        <v/>
      </c>
    </row>
    <row r="1314">
      <c r="A1314" s="35" t="n"/>
      <c r="B1314" s="31" t="n"/>
      <c r="C1314" s="19">
        <f>IF(B1314="","",IF(COUNTIF(Config!$D$6:$D$15,B1314)&gt;0,"Entrada",IF(COUNTIF(Config!$F$6:$F$25,B1314)&gt;0,"Saída","Categoria inválida")))</f>
        <v/>
      </c>
      <c r="D1314" s="31" t="n"/>
      <c r="E1314" s="33" t="n"/>
      <c r="F1314" s="36" t="n"/>
      <c r="G1314" s="31" t="n"/>
      <c r="H1314" s="37">
        <f>IF(A1314="","",(YEAR(A1314)-YEAR(Config!$B$6))*12+MONTH(A1314)-MONTH(Config!$B$6)+1)</f>
        <v/>
      </c>
      <c r="I1314" s="19">
        <f>IF(AND(A1314="",B1314="",E1314=""),"",IF(A1314="","Falta data",IF(B1314="","Falta categoria",IF(E1314="","Falta valor",IF(C1314="Categoria inválida","Categoria inválida",IF(OR(H1314&lt;1,H1314&gt;12),"Fora dos 12 meses","OK"))))))</f>
        <v/>
      </c>
    </row>
    <row r="1315">
      <c r="A1315" s="35" t="n"/>
      <c r="B1315" s="31" t="n"/>
      <c r="C1315" s="19">
        <f>IF(B1315="","",IF(COUNTIF(Config!$D$6:$D$15,B1315)&gt;0,"Entrada",IF(COUNTIF(Config!$F$6:$F$25,B1315)&gt;0,"Saída","Categoria inválida")))</f>
        <v/>
      </c>
      <c r="D1315" s="31" t="n"/>
      <c r="E1315" s="33" t="n"/>
      <c r="F1315" s="36" t="n"/>
      <c r="G1315" s="31" t="n"/>
      <c r="H1315" s="37">
        <f>IF(A1315="","",(YEAR(A1315)-YEAR(Config!$B$6))*12+MONTH(A1315)-MONTH(Config!$B$6)+1)</f>
        <v/>
      </c>
      <c r="I1315" s="19">
        <f>IF(AND(A1315="",B1315="",E1315=""),"",IF(A1315="","Falta data",IF(B1315="","Falta categoria",IF(E1315="","Falta valor",IF(C1315="Categoria inválida","Categoria inválida",IF(OR(H1315&lt;1,H1315&gt;12),"Fora dos 12 meses","OK"))))))</f>
        <v/>
      </c>
    </row>
    <row r="1316">
      <c r="A1316" s="35" t="n"/>
      <c r="B1316" s="31" t="n"/>
      <c r="C1316" s="19">
        <f>IF(B1316="","",IF(COUNTIF(Config!$D$6:$D$15,B1316)&gt;0,"Entrada",IF(COUNTIF(Config!$F$6:$F$25,B1316)&gt;0,"Saída","Categoria inválida")))</f>
        <v/>
      </c>
      <c r="D1316" s="31" t="n"/>
      <c r="E1316" s="33" t="n"/>
      <c r="F1316" s="36" t="n"/>
      <c r="G1316" s="31" t="n"/>
      <c r="H1316" s="37">
        <f>IF(A1316="","",(YEAR(A1316)-YEAR(Config!$B$6))*12+MONTH(A1316)-MONTH(Config!$B$6)+1)</f>
        <v/>
      </c>
      <c r="I1316" s="19">
        <f>IF(AND(A1316="",B1316="",E1316=""),"",IF(A1316="","Falta data",IF(B1316="","Falta categoria",IF(E1316="","Falta valor",IF(C1316="Categoria inválida","Categoria inválida",IF(OR(H1316&lt;1,H1316&gt;12),"Fora dos 12 meses","OK"))))))</f>
        <v/>
      </c>
    </row>
    <row r="1317">
      <c r="A1317" s="35" t="n"/>
      <c r="B1317" s="31" t="n"/>
      <c r="C1317" s="19">
        <f>IF(B1317="","",IF(COUNTIF(Config!$D$6:$D$15,B1317)&gt;0,"Entrada",IF(COUNTIF(Config!$F$6:$F$25,B1317)&gt;0,"Saída","Categoria inválida")))</f>
        <v/>
      </c>
      <c r="D1317" s="31" t="n"/>
      <c r="E1317" s="33" t="n"/>
      <c r="F1317" s="36" t="n"/>
      <c r="G1317" s="31" t="n"/>
      <c r="H1317" s="37">
        <f>IF(A1317="","",(YEAR(A1317)-YEAR(Config!$B$6))*12+MONTH(A1317)-MONTH(Config!$B$6)+1)</f>
        <v/>
      </c>
      <c r="I1317" s="19">
        <f>IF(AND(A1317="",B1317="",E1317=""),"",IF(A1317="","Falta data",IF(B1317="","Falta categoria",IF(E1317="","Falta valor",IF(C1317="Categoria inválida","Categoria inválida",IF(OR(H1317&lt;1,H1317&gt;12),"Fora dos 12 meses","OK"))))))</f>
        <v/>
      </c>
    </row>
    <row r="1318">
      <c r="A1318" s="35" t="n"/>
      <c r="B1318" s="31" t="n"/>
      <c r="C1318" s="19">
        <f>IF(B1318="","",IF(COUNTIF(Config!$D$6:$D$15,B1318)&gt;0,"Entrada",IF(COUNTIF(Config!$F$6:$F$25,B1318)&gt;0,"Saída","Categoria inválida")))</f>
        <v/>
      </c>
      <c r="D1318" s="31" t="n"/>
      <c r="E1318" s="33" t="n"/>
      <c r="F1318" s="36" t="n"/>
      <c r="G1318" s="31" t="n"/>
      <c r="H1318" s="37">
        <f>IF(A1318="","",(YEAR(A1318)-YEAR(Config!$B$6))*12+MONTH(A1318)-MONTH(Config!$B$6)+1)</f>
        <v/>
      </c>
      <c r="I1318" s="19">
        <f>IF(AND(A1318="",B1318="",E1318=""),"",IF(A1318="","Falta data",IF(B1318="","Falta categoria",IF(E1318="","Falta valor",IF(C1318="Categoria inválida","Categoria inválida",IF(OR(H1318&lt;1,H1318&gt;12),"Fora dos 12 meses","OK"))))))</f>
        <v/>
      </c>
    </row>
    <row r="1319">
      <c r="A1319" s="35" t="n"/>
      <c r="B1319" s="31" t="n"/>
      <c r="C1319" s="19">
        <f>IF(B1319="","",IF(COUNTIF(Config!$D$6:$D$15,B1319)&gt;0,"Entrada",IF(COUNTIF(Config!$F$6:$F$25,B1319)&gt;0,"Saída","Categoria inválida")))</f>
        <v/>
      </c>
      <c r="D1319" s="31" t="n"/>
      <c r="E1319" s="33" t="n"/>
      <c r="F1319" s="36" t="n"/>
      <c r="G1319" s="31" t="n"/>
      <c r="H1319" s="37">
        <f>IF(A1319="","",(YEAR(A1319)-YEAR(Config!$B$6))*12+MONTH(A1319)-MONTH(Config!$B$6)+1)</f>
        <v/>
      </c>
      <c r="I1319" s="19">
        <f>IF(AND(A1319="",B1319="",E1319=""),"",IF(A1319="","Falta data",IF(B1319="","Falta categoria",IF(E1319="","Falta valor",IF(C1319="Categoria inválida","Categoria inválida",IF(OR(H1319&lt;1,H1319&gt;12),"Fora dos 12 meses","OK"))))))</f>
        <v/>
      </c>
    </row>
    <row r="1320">
      <c r="A1320" s="35" t="n"/>
      <c r="B1320" s="31" t="n"/>
      <c r="C1320" s="19">
        <f>IF(B1320="","",IF(COUNTIF(Config!$D$6:$D$15,B1320)&gt;0,"Entrada",IF(COUNTIF(Config!$F$6:$F$25,B1320)&gt;0,"Saída","Categoria inválida")))</f>
        <v/>
      </c>
      <c r="D1320" s="31" t="n"/>
      <c r="E1320" s="33" t="n"/>
      <c r="F1320" s="36" t="n"/>
      <c r="G1320" s="31" t="n"/>
      <c r="H1320" s="37">
        <f>IF(A1320="","",(YEAR(A1320)-YEAR(Config!$B$6))*12+MONTH(A1320)-MONTH(Config!$B$6)+1)</f>
        <v/>
      </c>
      <c r="I1320" s="19">
        <f>IF(AND(A1320="",B1320="",E1320=""),"",IF(A1320="","Falta data",IF(B1320="","Falta categoria",IF(E1320="","Falta valor",IF(C1320="Categoria inválida","Categoria inválida",IF(OR(H1320&lt;1,H1320&gt;12),"Fora dos 12 meses","OK"))))))</f>
        <v/>
      </c>
    </row>
    <row r="1321">
      <c r="A1321" s="35" t="n"/>
      <c r="B1321" s="31" t="n"/>
      <c r="C1321" s="19">
        <f>IF(B1321="","",IF(COUNTIF(Config!$D$6:$D$15,B1321)&gt;0,"Entrada",IF(COUNTIF(Config!$F$6:$F$25,B1321)&gt;0,"Saída","Categoria inválida")))</f>
        <v/>
      </c>
      <c r="D1321" s="31" t="n"/>
      <c r="E1321" s="33" t="n"/>
      <c r="F1321" s="36" t="n"/>
      <c r="G1321" s="31" t="n"/>
      <c r="H1321" s="37">
        <f>IF(A1321="","",(YEAR(A1321)-YEAR(Config!$B$6))*12+MONTH(A1321)-MONTH(Config!$B$6)+1)</f>
        <v/>
      </c>
      <c r="I1321" s="19">
        <f>IF(AND(A1321="",B1321="",E1321=""),"",IF(A1321="","Falta data",IF(B1321="","Falta categoria",IF(E1321="","Falta valor",IF(C1321="Categoria inválida","Categoria inválida",IF(OR(H1321&lt;1,H1321&gt;12),"Fora dos 12 meses","OK"))))))</f>
        <v/>
      </c>
    </row>
    <row r="1322">
      <c r="A1322" s="35" t="n"/>
      <c r="B1322" s="31" t="n"/>
      <c r="C1322" s="19">
        <f>IF(B1322="","",IF(COUNTIF(Config!$D$6:$D$15,B1322)&gt;0,"Entrada",IF(COUNTIF(Config!$F$6:$F$25,B1322)&gt;0,"Saída","Categoria inválida")))</f>
        <v/>
      </c>
      <c r="D1322" s="31" t="n"/>
      <c r="E1322" s="33" t="n"/>
      <c r="F1322" s="36" t="n"/>
      <c r="G1322" s="31" t="n"/>
      <c r="H1322" s="37">
        <f>IF(A1322="","",(YEAR(A1322)-YEAR(Config!$B$6))*12+MONTH(A1322)-MONTH(Config!$B$6)+1)</f>
        <v/>
      </c>
      <c r="I1322" s="19">
        <f>IF(AND(A1322="",B1322="",E1322=""),"",IF(A1322="","Falta data",IF(B1322="","Falta categoria",IF(E1322="","Falta valor",IF(C1322="Categoria inválida","Categoria inválida",IF(OR(H1322&lt;1,H1322&gt;12),"Fora dos 12 meses","OK"))))))</f>
        <v/>
      </c>
    </row>
    <row r="1323">
      <c r="A1323" s="35" t="n"/>
      <c r="B1323" s="31" t="n"/>
      <c r="C1323" s="19">
        <f>IF(B1323="","",IF(COUNTIF(Config!$D$6:$D$15,B1323)&gt;0,"Entrada",IF(COUNTIF(Config!$F$6:$F$25,B1323)&gt;0,"Saída","Categoria inválida")))</f>
        <v/>
      </c>
      <c r="D1323" s="31" t="n"/>
      <c r="E1323" s="33" t="n"/>
      <c r="F1323" s="36" t="n"/>
      <c r="G1323" s="31" t="n"/>
      <c r="H1323" s="37">
        <f>IF(A1323="","",(YEAR(A1323)-YEAR(Config!$B$6))*12+MONTH(A1323)-MONTH(Config!$B$6)+1)</f>
        <v/>
      </c>
      <c r="I1323" s="19">
        <f>IF(AND(A1323="",B1323="",E1323=""),"",IF(A1323="","Falta data",IF(B1323="","Falta categoria",IF(E1323="","Falta valor",IF(C1323="Categoria inválida","Categoria inválida",IF(OR(H1323&lt;1,H1323&gt;12),"Fora dos 12 meses","OK"))))))</f>
        <v/>
      </c>
    </row>
    <row r="1324">
      <c r="A1324" s="35" t="n"/>
      <c r="B1324" s="31" t="n"/>
      <c r="C1324" s="19">
        <f>IF(B1324="","",IF(COUNTIF(Config!$D$6:$D$15,B1324)&gt;0,"Entrada",IF(COUNTIF(Config!$F$6:$F$25,B1324)&gt;0,"Saída","Categoria inválida")))</f>
        <v/>
      </c>
      <c r="D1324" s="31" t="n"/>
      <c r="E1324" s="33" t="n"/>
      <c r="F1324" s="36" t="n"/>
      <c r="G1324" s="31" t="n"/>
      <c r="H1324" s="37">
        <f>IF(A1324="","",(YEAR(A1324)-YEAR(Config!$B$6))*12+MONTH(A1324)-MONTH(Config!$B$6)+1)</f>
        <v/>
      </c>
      <c r="I1324" s="19">
        <f>IF(AND(A1324="",B1324="",E1324=""),"",IF(A1324="","Falta data",IF(B1324="","Falta categoria",IF(E1324="","Falta valor",IF(C1324="Categoria inválida","Categoria inválida",IF(OR(H1324&lt;1,H1324&gt;12),"Fora dos 12 meses","OK"))))))</f>
        <v/>
      </c>
    </row>
    <row r="1325">
      <c r="A1325" s="35" t="n"/>
      <c r="B1325" s="31" t="n"/>
      <c r="C1325" s="19">
        <f>IF(B1325="","",IF(COUNTIF(Config!$D$6:$D$15,B1325)&gt;0,"Entrada",IF(COUNTIF(Config!$F$6:$F$25,B1325)&gt;0,"Saída","Categoria inválida")))</f>
        <v/>
      </c>
      <c r="D1325" s="31" t="n"/>
      <c r="E1325" s="33" t="n"/>
      <c r="F1325" s="36" t="n"/>
      <c r="G1325" s="31" t="n"/>
      <c r="H1325" s="37">
        <f>IF(A1325="","",(YEAR(A1325)-YEAR(Config!$B$6))*12+MONTH(A1325)-MONTH(Config!$B$6)+1)</f>
        <v/>
      </c>
      <c r="I1325" s="19">
        <f>IF(AND(A1325="",B1325="",E1325=""),"",IF(A1325="","Falta data",IF(B1325="","Falta categoria",IF(E1325="","Falta valor",IF(C1325="Categoria inválida","Categoria inválida",IF(OR(H1325&lt;1,H1325&gt;12),"Fora dos 12 meses","OK"))))))</f>
        <v/>
      </c>
    </row>
    <row r="1326">
      <c r="A1326" s="35" t="n"/>
      <c r="B1326" s="31" t="n"/>
      <c r="C1326" s="19">
        <f>IF(B1326="","",IF(COUNTIF(Config!$D$6:$D$15,B1326)&gt;0,"Entrada",IF(COUNTIF(Config!$F$6:$F$25,B1326)&gt;0,"Saída","Categoria inválida")))</f>
        <v/>
      </c>
      <c r="D1326" s="31" t="n"/>
      <c r="E1326" s="33" t="n"/>
      <c r="F1326" s="36" t="n"/>
      <c r="G1326" s="31" t="n"/>
      <c r="H1326" s="37">
        <f>IF(A1326="","",(YEAR(A1326)-YEAR(Config!$B$6))*12+MONTH(A1326)-MONTH(Config!$B$6)+1)</f>
        <v/>
      </c>
      <c r="I1326" s="19">
        <f>IF(AND(A1326="",B1326="",E1326=""),"",IF(A1326="","Falta data",IF(B1326="","Falta categoria",IF(E1326="","Falta valor",IF(C1326="Categoria inválida","Categoria inválida",IF(OR(H1326&lt;1,H1326&gt;12),"Fora dos 12 meses","OK"))))))</f>
        <v/>
      </c>
    </row>
    <row r="1327">
      <c r="A1327" s="35" t="n"/>
      <c r="B1327" s="31" t="n"/>
      <c r="C1327" s="19">
        <f>IF(B1327="","",IF(COUNTIF(Config!$D$6:$D$15,B1327)&gt;0,"Entrada",IF(COUNTIF(Config!$F$6:$F$25,B1327)&gt;0,"Saída","Categoria inválida")))</f>
        <v/>
      </c>
      <c r="D1327" s="31" t="n"/>
      <c r="E1327" s="33" t="n"/>
      <c r="F1327" s="36" t="n"/>
      <c r="G1327" s="31" t="n"/>
      <c r="H1327" s="37">
        <f>IF(A1327="","",(YEAR(A1327)-YEAR(Config!$B$6))*12+MONTH(A1327)-MONTH(Config!$B$6)+1)</f>
        <v/>
      </c>
      <c r="I1327" s="19">
        <f>IF(AND(A1327="",B1327="",E1327=""),"",IF(A1327="","Falta data",IF(B1327="","Falta categoria",IF(E1327="","Falta valor",IF(C1327="Categoria inválida","Categoria inválida",IF(OR(H1327&lt;1,H1327&gt;12),"Fora dos 12 meses","OK"))))))</f>
        <v/>
      </c>
    </row>
    <row r="1328">
      <c r="A1328" s="35" t="n"/>
      <c r="B1328" s="31" t="n"/>
      <c r="C1328" s="19">
        <f>IF(B1328="","",IF(COUNTIF(Config!$D$6:$D$15,B1328)&gt;0,"Entrada",IF(COUNTIF(Config!$F$6:$F$25,B1328)&gt;0,"Saída","Categoria inválida")))</f>
        <v/>
      </c>
      <c r="D1328" s="31" t="n"/>
      <c r="E1328" s="33" t="n"/>
      <c r="F1328" s="36" t="n"/>
      <c r="G1328" s="31" t="n"/>
      <c r="H1328" s="37">
        <f>IF(A1328="","",(YEAR(A1328)-YEAR(Config!$B$6))*12+MONTH(A1328)-MONTH(Config!$B$6)+1)</f>
        <v/>
      </c>
      <c r="I1328" s="19">
        <f>IF(AND(A1328="",B1328="",E1328=""),"",IF(A1328="","Falta data",IF(B1328="","Falta categoria",IF(E1328="","Falta valor",IF(C1328="Categoria inválida","Categoria inválida",IF(OR(H1328&lt;1,H1328&gt;12),"Fora dos 12 meses","OK"))))))</f>
        <v/>
      </c>
    </row>
    <row r="1329">
      <c r="A1329" s="35" t="n"/>
      <c r="B1329" s="31" t="n"/>
      <c r="C1329" s="19">
        <f>IF(B1329="","",IF(COUNTIF(Config!$D$6:$D$15,B1329)&gt;0,"Entrada",IF(COUNTIF(Config!$F$6:$F$25,B1329)&gt;0,"Saída","Categoria inválida")))</f>
        <v/>
      </c>
      <c r="D1329" s="31" t="n"/>
      <c r="E1329" s="33" t="n"/>
      <c r="F1329" s="36" t="n"/>
      <c r="G1329" s="31" t="n"/>
      <c r="H1329" s="37">
        <f>IF(A1329="","",(YEAR(A1329)-YEAR(Config!$B$6))*12+MONTH(A1329)-MONTH(Config!$B$6)+1)</f>
        <v/>
      </c>
      <c r="I1329" s="19">
        <f>IF(AND(A1329="",B1329="",E1329=""),"",IF(A1329="","Falta data",IF(B1329="","Falta categoria",IF(E1329="","Falta valor",IF(C1329="Categoria inválida","Categoria inválida",IF(OR(H1329&lt;1,H1329&gt;12),"Fora dos 12 meses","OK"))))))</f>
        <v/>
      </c>
    </row>
    <row r="1330">
      <c r="A1330" s="35" t="n"/>
      <c r="B1330" s="31" t="n"/>
      <c r="C1330" s="19">
        <f>IF(B1330="","",IF(COUNTIF(Config!$D$6:$D$15,B1330)&gt;0,"Entrada",IF(COUNTIF(Config!$F$6:$F$25,B1330)&gt;0,"Saída","Categoria inválida")))</f>
        <v/>
      </c>
      <c r="D1330" s="31" t="n"/>
      <c r="E1330" s="33" t="n"/>
      <c r="F1330" s="36" t="n"/>
      <c r="G1330" s="31" t="n"/>
      <c r="H1330" s="37">
        <f>IF(A1330="","",(YEAR(A1330)-YEAR(Config!$B$6))*12+MONTH(A1330)-MONTH(Config!$B$6)+1)</f>
        <v/>
      </c>
      <c r="I1330" s="19">
        <f>IF(AND(A1330="",B1330="",E1330=""),"",IF(A1330="","Falta data",IF(B1330="","Falta categoria",IF(E1330="","Falta valor",IF(C1330="Categoria inválida","Categoria inválida",IF(OR(H1330&lt;1,H1330&gt;12),"Fora dos 12 meses","OK"))))))</f>
        <v/>
      </c>
    </row>
    <row r="1331">
      <c r="A1331" s="35" t="n"/>
      <c r="B1331" s="31" t="n"/>
      <c r="C1331" s="19">
        <f>IF(B1331="","",IF(COUNTIF(Config!$D$6:$D$15,B1331)&gt;0,"Entrada",IF(COUNTIF(Config!$F$6:$F$25,B1331)&gt;0,"Saída","Categoria inválida")))</f>
        <v/>
      </c>
      <c r="D1331" s="31" t="n"/>
      <c r="E1331" s="33" t="n"/>
      <c r="F1331" s="36" t="n"/>
      <c r="G1331" s="31" t="n"/>
      <c r="H1331" s="37">
        <f>IF(A1331="","",(YEAR(A1331)-YEAR(Config!$B$6))*12+MONTH(A1331)-MONTH(Config!$B$6)+1)</f>
        <v/>
      </c>
      <c r="I1331" s="19">
        <f>IF(AND(A1331="",B1331="",E1331=""),"",IF(A1331="","Falta data",IF(B1331="","Falta categoria",IF(E1331="","Falta valor",IF(C1331="Categoria inválida","Categoria inválida",IF(OR(H1331&lt;1,H1331&gt;12),"Fora dos 12 meses","OK"))))))</f>
        <v/>
      </c>
    </row>
    <row r="1332">
      <c r="A1332" s="35" t="n"/>
      <c r="B1332" s="31" t="n"/>
      <c r="C1332" s="19">
        <f>IF(B1332="","",IF(COUNTIF(Config!$D$6:$D$15,B1332)&gt;0,"Entrada",IF(COUNTIF(Config!$F$6:$F$25,B1332)&gt;0,"Saída","Categoria inválida")))</f>
        <v/>
      </c>
      <c r="D1332" s="31" t="n"/>
      <c r="E1332" s="33" t="n"/>
      <c r="F1332" s="36" t="n"/>
      <c r="G1332" s="31" t="n"/>
      <c r="H1332" s="37">
        <f>IF(A1332="","",(YEAR(A1332)-YEAR(Config!$B$6))*12+MONTH(A1332)-MONTH(Config!$B$6)+1)</f>
        <v/>
      </c>
      <c r="I1332" s="19">
        <f>IF(AND(A1332="",B1332="",E1332=""),"",IF(A1332="","Falta data",IF(B1332="","Falta categoria",IF(E1332="","Falta valor",IF(C1332="Categoria inválida","Categoria inválida",IF(OR(H1332&lt;1,H1332&gt;12),"Fora dos 12 meses","OK"))))))</f>
        <v/>
      </c>
    </row>
    <row r="1333">
      <c r="A1333" s="35" t="n"/>
      <c r="B1333" s="31" t="n"/>
      <c r="C1333" s="19">
        <f>IF(B1333="","",IF(COUNTIF(Config!$D$6:$D$15,B1333)&gt;0,"Entrada",IF(COUNTIF(Config!$F$6:$F$25,B1333)&gt;0,"Saída","Categoria inválida")))</f>
        <v/>
      </c>
      <c r="D1333" s="31" t="n"/>
      <c r="E1333" s="33" t="n"/>
      <c r="F1333" s="36" t="n"/>
      <c r="G1333" s="31" t="n"/>
      <c r="H1333" s="37">
        <f>IF(A1333="","",(YEAR(A1333)-YEAR(Config!$B$6))*12+MONTH(A1333)-MONTH(Config!$B$6)+1)</f>
        <v/>
      </c>
      <c r="I1333" s="19">
        <f>IF(AND(A1333="",B1333="",E1333=""),"",IF(A1333="","Falta data",IF(B1333="","Falta categoria",IF(E1333="","Falta valor",IF(C1333="Categoria inválida","Categoria inválida",IF(OR(H1333&lt;1,H1333&gt;12),"Fora dos 12 meses","OK"))))))</f>
        <v/>
      </c>
    </row>
    <row r="1334">
      <c r="A1334" s="35" t="n"/>
      <c r="B1334" s="31" t="n"/>
      <c r="C1334" s="19">
        <f>IF(B1334="","",IF(COUNTIF(Config!$D$6:$D$15,B1334)&gt;0,"Entrada",IF(COUNTIF(Config!$F$6:$F$25,B1334)&gt;0,"Saída","Categoria inválida")))</f>
        <v/>
      </c>
      <c r="D1334" s="31" t="n"/>
      <c r="E1334" s="33" t="n"/>
      <c r="F1334" s="36" t="n"/>
      <c r="G1334" s="31" t="n"/>
      <c r="H1334" s="37">
        <f>IF(A1334="","",(YEAR(A1334)-YEAR(Config!$B$6))*12+MONTH(A1334)-MONTH(Config!$B$6)+1)</f>
        <v/>
      </c>
      <c r="I1334" s="19">
        <f>IF(AND(A1334="",B1334="",E1334=""),"",IF(A1334="","Falta data",IF(B1334="","Falta categoria",IF(E1334="","Falta valor",IF(C1334="Categoria inválida","Categoria inválida",IF(OR(H1334&lt;1,H1334&gt;12),"Fora dos 12 meses","OK"))))))</f>
        <v/>
      </c>
    </row>
    <row r="1335">
      <c r="A1335" s="35" t="n"/>
      <c r="B1335" s="31" t="n"/>
      <c r="C1335" s="19">
        <f>IF(B1335="","",IF(COUNTIF(Config!$D$6:$D$15,B1335)&gt;0,"Entrada",IF(COUNTIF(Config!$F$6:$F$25,B1335)&gt;0,"Saída","Categoria inválida")))</f>
        <v/>
      </c>
      <c r="D1335" s="31" t="n"/>
      <c r="E1335" s="33" t="n"/>
      <c r="F1335" s="36" t="n"/>
      <c r="G1335" s="31" t="n"/>
      <c r="H1335" s="37">
        <f>IF(A1335="","",(YEAR(A1335)-YEAR(Config!$B$6))*12+MONTH(A1335)-MONTH(Config!$B$6)+1)</f>
        <v/>
      </c>
      <c r="I1335" s="19">
        <f>IF(AND(A1335="",B1335="",E1335=""),"",IF(A1335="","Falta data",IF(B1335="","Falta categoria",IF(E1335="","Falta valor",IF(C1335="Categoria inválida","Categoria inválida",IF(OR(H1335&lt;1,H1335&gt;12),"Fora dos 12 meses","OK"))))))</f>
        <v/>
      </c>
    </row>
    <row r="1336">
      <c r="A1336" s="35" t="n"/>
      <c r="B1336" s="31" t="n"/>
      <c r="C1336" s="19">
        <f>IF(B1336="","",IF(COUNTIF(Config!$D$6:$D$15,B1336)&gt;0,"Entrada",IF(COUNTIF(Config!$F$6:$F$25,B1336)&gt;0,"Saída","Categoria inválida")))</f>
        <v/>
      </c>
      <c r="D1336" s="31" t="n"/>
      <c r="E1336" s="33" t="n"/>
      <c r="F1336" s="36" t="n"/>
      <c r="G1336" s="31" t="n"/>
      <c r="H1336" s="37">
        <f>IF(A1336="","",(YEAR(A1336)-YEAR(Config!$B$6))*12+MONTH(A1336)-MONTH(Config!$B$6)+1)</f>
        <v/>
      </c>
      <c r="I1336" s="19">
        <f>IF(AND(A1336="",B1336="",E1336=""),"",IF(A1336="","Falta data",IF(B1336="","Falta categoria",IF(E1336="","Falta valor",IF(C1336="Categoria inválida","Categoria inválida",IF(OR(H1336&lt;1,H1336&gt;12),"Fora dos 12 meses","OK"))))))</f>
        <v/>
      </c>
    </row>
    <row r="1337">
      <c r="A1337" s="35" t="n"/>
      <c r="B1337" s="31" t="n"/>
      <c r="C1337" s="19">
        <f>IF(B1337="","",IF(COUNTIF(Config!$D$6:$D$15,B1337)&gt;0,"Entrada",IF(COUNTIF(Config!$F$6:$F$25,B1337)&gt;0,"Saída","Categoria inválida")))</f>
        <v/>
      </c>
      <c r="D1337" s="31" t="n"/>
      <c r="E1337" s="33" t="n"/>
      <c r="F1337" s="36" t="n"/>
      <c r="G1337" s="31" t="n"/>
      <c r="H1337" s="37">
        <f>IF(A1337="","",(YEAR(A1337)-YEAR(Config!$B$6))*12+MONTH(A1337)-MONTH(Config!$B$6)+1)</f>
        <v/>
      </c>
      <c r="I1337" s="19">
        <f>IF(AND(A1337="",B1337="",E1337=""),"",IF(A1337="","Falta data",IF(B1337="","Falta categoria",IF(E1337="","Falta valor",IF(C1337="Categoria inválida","Categoria inválida",IF(OR(H1337&lt;1,H1337&gt;12),"Fora dos 12 meses","OK"))))))</f>
        <v/>
      </c>
    </row>
    <row r="1338">
      <c r="A1338" s="35" t="n"/>
      <c r="B1338" s="31" t="n"/>
      <c r="C1338" s="19">
        <f>IF(B1338="","",IF(COUNTIF(Config!$D$6:$D$15,B1338)&gt;0,"Entrada",IF(COUNTIF(Config!$F$6:$F$25,B1338)&gt;0,"Saída","Categoria inválida")))</f>
        <v/>
      </c>
      <c r="D1338" s="31" t="n"/>
      <c r="E1338" s="33" t="n"/>
      <c r="F1338" s="36" t="n"/>
      <c r="G1338" s="31" t="n"/>
      <c r="H1338" s="37">
        <f>IF(A1338="","",(YEAR(A1338)-YEAR(Config!$B$6))*12+MONTH(A1338)-MONTH(Config!$B$6)+1)</f>
        <v/>
      </c>
      <c r="I1338" s="19">
        <f>IF(AND(A1338="",B1338="",E1338=""),"",IF(A1338="","Falta data",IF(B1338="","Falta categoria",IF(E1338="","Falta valor",IF(C1338="Categoria inválida","Categoria inválida",IF(OR(H1338&lt;1,H1338&gt;12),"Fora dos 12 meses","OK"))))))</f>
        <v/>
      </c>
    </row>
    <row r="1339">
      <c r="A1339" s="35" t="n"/>
      <c r="B1339" s="31" t="n"/>
      <c r="C1339" s="19">
        <f>IF(B1339="","",IF(COUNTIF(Config!$D$6:$D$15,B1339)&gt;0,"Entrada",IF(COUNTIF(Config!$F$6:$F$25,B1339)&gt;0,"Saída","Categoria inválida")))</f>
        <v/>
      </c>
      <c r="D1339" s="31" t="n"/>
      <c r="E1339" s="33" t="n"/>
      <c r="F1339" s="36" t="n"/>
      <c r="G1339" s="31" t="n"/>
      <c r="H1339" s="37">
        <f>IF(A1339="","",(YEAR(A1339)-YEAR(Config!$B$6))*12+MONTH(A1339)-MONTH(Config!$B$6)+1)</f>
        <v/>
      </c>
      <c r="I1339" s="19">
        <f>IF(AND(A1339="",B1339="",E1339=""),"",IF(A1339="","Falta data",IF(B1339="","Falta categoria",IF(E1339="","Falta valor",IF(C1339="Categoria inválida","Categoria inválida",IF(OR(H1339&lt;1,H1339&gt;12),"Fora dos 12 meses","OK"))))))</f>
        <v/>
      </c>
    </row>
    <row r="1340">
      <c r="A1340" s="35" t="n"/>
      <c r="B1340" s="31" t="n"/>
      <c r="C1340" s="19">
        <f>IF(B1340="","",IF(COUNTIF(Config!$D$6:$D$15,B1340)&gt;0,"Entrada",IF(COUNTIF(Config!$F$6:$F$25,B1340)&gt;0,"Saída","Categoria inválida")))</f>
        <v/>
      </c>
      <c r="D1340" s="31" t="n"/>
      <c r="E1340" s="33" t="n"/>
      <c r="F1340" s="36" t="n"/>
      <c r="G1340" s="31" t="n"/>
      <c r="H1340" s="37">
        <f>IF(A1340="","",(YEAR(A1340)-YEAR(Config!$B$6))*12+MONTH(A1340)-MONTH(Config!$B$6)+1)</f>
        <v/>
      </c>
      <c r="I1340" s="19">
        <f>IF(AND(A1340="",B1340="",E1340=""),"",IF(A1340="","Falta data",IF(B1340="","Falta categoria",IF(E1340="","Falta valor",IF(C1340="Categoria inválida","Categoria inválida",IF(OR(H1340&lt;1,H1340&gt;12),"Fora dos 12 meses","OK"))))))</f>
        <v/>
      </c>
    </row>
    <row r="1341">
      <c r="A1341" s="35" t="n"/>
      <c r="B1341" s="31" t="n"/>
      <c r="C1341" s="19">
        <f>IF(B1341="","",IF(COUNTIF(Config!$D$6:$D$15,B1341)&gt;0,"Entrada",IF(COUNTIF(Config!$F$6:$F$25,B1341)&gt;0,"Saída","Categoria inválida")))</f>
        <v/>
      </c>
      <c r="D1341" s="31" t="n"/>
      <c r="E1341" s="33" t="n"/>
      <c r="F1341" s="36" t="n"/>
      <c r="G1341" s="31" t="n"/>
      <c r="H1341" s="37">
        <f>IF(A1341="","",(YEAR(A1341)-YEAR(Config!$B$6))*12+MONTH(A1341)-MONTH(Config!$B$6)+1)</f>
        <v/>
      </c>
      <c r="I1341" s="19">
        <f>IF(AND(A1341="",B1341="",E1341=""),"",IF(A1341="","Falta data",IF(B1341="","Falta categoria",IF(E1341="","Falta valor",IF(C1341="Categoria inválida","Categoria inválida",IF(OR(H1341&lt;1,H1341&gt;12),"Fora dos 12 meses","OK"))))))</f>
        <v/>
      </c>
    </row>
    <row r="1342">
      <c r="A1342" s="35" t="n"/>
      <c r="B1342" s="31" t="n"/>
      <c r="C1342" s="19">
        <f>IF(B1342="","",IF(COUNTIF(Config!$D$6:$D$15,B1342)&gt;0,"Entrada",IF(COUNTIF(Config!$F$6:$F$25,B1342)&gt;0,"Saída","Categoria inválida")))</f>
        <v/>
      </c>
      <c r="D1342" s="31" t="n"/>
      <c r="E1342" s="33" t="n"/>
      <c r="F1342" s="36" t="n"/>
      <c r="G1342" s="31" t="n"/>
      <c r="H1342" s="37">
        <f>IF(A1342="","",(YEAR(A1342)-YEAR(Config!$B$6))*12+MONTH(A1342)-MONTH(Config!$B$6)+1)</f>
        <v/>
      </c>
      <c r="I1342" s="19">
        <f>IF(AND(A1342="",B1342="",E1342=""),"",IF(A1342="","Falta data",IF(B1342="","Falta categoria",IF(E1342="","Falta valor",IF(C1342="Categoria inválida","Categoria inválida",IF(OR(H1342&lt;1,H1342&gt;12),"Fora dos 12 meses","OK"))))))</f>
        <v/>
      </c>
    </row>
    <row r="1343">
      <c r="A1343" s="35" t="n"/>
      <c r="B1343" s="31" t="n"/>
      <c r="C1343" s="19">
        <f>IF(B1343="","",IF(COUNTIF(Config!$D$6:$D$15,B1343)&gt;0,"Entrada",IF(COUNTIF(Config!$F$6:$F$25,B1343)&gt;0,"Saída","Categoria inválida")))</f>
        <v/>
      </c>
      <c r="D1343" s="31" t="n"/>
      <c r="E1343" s="33" t="n"/>
      <c r="F1343" s="36" t="n"/>
      <c r="G1343" s="31" t="n"/>
      <c r="H1343" s="37">
        <f>IF(A1343="","",(YEAR(A1343)-YEAR(Config!$B$6))*12+MONTH(A1343)-MONTH(Config!$B$6)+1)</f>
        <v/>
      </c>
      <c r="I1343" s="19">
        <f>IF(AND(A1343="",B1343="",E1343=""),"",IF(A1343="","Falta data",IF(B1343="","Falta categoria",IF(E1343="","Falta valor",IF(C1343="Categoria inválida","Categoria inválida",IF(OR(H1343&lt;1,H1343&gt;12),"Fora dos 12 meses","OK"))))))</f>
        <v/>
      </c>
    </row>
    <row r="1344">
      <c r="A1344" s="35" t="n"/>
      <c r="B1344" s="31" t="n"/>
      <c r="C1344" s="19">
        <f>IF(B1344="","",IF(COUNTIF(Config!$D$6:$D$15,B1344)&gt;0,"Entrada",IF(COUNTIF(Config!$F$6:$F$25,B1344)&gt;0,"Saída","Categoria inválida")))</f>
        <v/>
      </c>
      <c r="D1344" s="31" t="n"/>
      <c r="E1344" s="33" t="n"/>
      <c r="F1344" s="36" t="n"/>
      <c r="G1344" s="31" t="n"/>
      <c r="H1344" s="37">
        <f>IF(A1344="","",(YEAR(A1344)-YEAR(Config!$B$6))*12+MONTH(A1344)-MONTH(Config!$B$6)+1)</f>
        <v/>
      </c>
      <c r="I1344" s="19">
        <f>IF(AND(A1344="",B1344="",E1344=""),"",IF(A1344="","Falta data",IF(B1344="","Falta categoria",IF(E1344="","Falta valor",IF(C1344="Categoria inválida","Categoria inválida",IF(OR(H1344&lt;1,H1344&gt;12),"Fora dos 12 meses","OK"))))))</f>
        <v/>
      </c>
    </row>
    <row r="1345">
      <c r="A1345" s="35" t="n"/>
      <c r="B1345" s="31" t="n"/>
      <c r="C1345" s="19">
        <f>IF(B1345="","",IF(COUNTIF(Config!$D$6:$D$15,B1345)&gt;0,"Entrada",IF(COUNTIF(Config!$F$6:$F$25,B1345)&gt;0,"Saída","Categoria inválida")))</f>
        <v/>
      </c>
      <c r="D1345" s="31" t="n"/>
      <c r="E1345" s="33" t="n"/>
      <c r="F1345" s="36" t="n"/>
      <c r="G1345" s="31" t="n"/>
      <c r="H1345" s="37">
        <f>IF(A1345="","",(YEAR(A1345)-YEAR(Config!$B$6))*12+MONTH(A1345)-MONTH(Config!$B$6)+1)</f>
        <v/>
      </c>
      <c r="I1345" s="19">
        <f>IF(AND(A1345="",B1345="",E1345=""),"",IF(A1345="","Falta data",IF(B1345="","Falta categoria",IF(E1345="","Falta valor",IF(C1345="Categoria inválida","Categoria inválida",IF(OR(H1345&lt;1,H1345&gt;12),"Fora dos 12 meses","OK"))))))</f>
        <v/>
      </c>
    </row>
    <row r="1346">
      <c r="A1346" s="35" t="n"/>
      <c r="B1346" s="31" t="n"/>
      <c r="C1346" s="19">
        <f>IF(B1346="","",IF(COUNTIF(Config!$D$6:$D$15,B1346)&gt;0,"Entrada",IF(COUNTIF(Config!$F$6:$F$25,B1346)&gt;0,"Saída","Categoria inválida")))</f>
        <v/>
      </c>
      <c r="D1346" s="31" t="n"/>
      <c r="E1346" s="33" t="n"/>
      <c r="F1346" s="36" t="n"/>
      <c r="G1346" s="31" t="n"/>
      <c r="H1346" s="37">
        <f>IF(A1346="","",(YEAR(A1346)-YEAR(Config!$B$6))*12+MONTH(A1346)-MONTH(Config!$B$6)+1)</f>
        <v/>
      </c>
      <c r="I1346" s="19">
        <f>IF(AND(A1346="",B1346="",E1346=""),"",IF(A1346="","Falta data",IF(B1346="","Falta categoria",IF(E1346="","Falta valor",IF(C1346="Categoria inválida","Categoria inválida",IF(OR(H1346&lt;1,H1346&gt;12),"Fora dos 12 meses","OK"))))))</f>
        <v/>
      </c>
    </row>
    <row r="1347">
      <c r="A1347" s="35" t="n"/>
      <c r="B1347" s="31" t="n"/>
      <c r="C1347" s="19">
        <f>IF(B1347="","",IF(COUNTIF(Config!$D$6:$D$15,B1347)&gt;0,"Entrada",IF(COUNTIF(Config!$F$6:$F$25,B1347)&gt;0,"Saída","Categoria inválida")))</f>
        <v/>
      </c>
      <c r="D1347" s="31" t="n"/>
      <c r="E1347" s="33" t="n"/>
      <c r="F1347" s="36" t="n"/>
      <c r="G1347" s="31" t="n"/>
      <c r="H1347" s="37">
        <f>IF(A1347="","",(YEAR(A1347)-YEAR(Config!$B$6))*12+MONTH(A1347)-MONTH(Config!$B$6)+1)</f>
        <v/>
      </c>
      <c r="I1347" s="19">
        <f>IF(AND(A1347="",B1347="",E1347=""),"",IF(A1347="","Falta data",IF(B1347="","Falta categoria",IF(E1347="","Falta valor",IF(C1347="Categoria inválida","Categoria inválida",IF(OR(H1347&lt;1,H1347&gt;12),"Fora dos 12 meses","OK"))))))</f>
        <v/>
      </c>
    </row>
    <row r="1348">
      <c r="A1348" s="35" t="n"/>
      <c r="B1348" s="31" t="n"/>
      <c r="C1348" s="19">
        <f>IF(B1348="","",IF(COUNTIF(Config!$D$6:$D$15,B1348)&gt;0,"Entrada",IF(COUNTIF(Config!$F$6:$F$25,B1348)&gt;0,"Saída","Categoria inválida")))</f>
        <v/>
      </c>
      <c r="D1348" s="31" t="n"/>
      <c r="E1348" s="33" t="n"/>
      <c r="F1348" s="36" t="n"/>
      <c r="G1348" s="31" t="n"/>
      <c r="H1348" s="37">
        <f>IF(A1348="","",(YEAR(A1348)-YEAR(Config!$B$6))*12+MONTH(A1348)-MONTH(Config!$B$6)+1)</f>
        <v/>
      </c>
      <c r="I1348" s="19">
        <f>IF(AND(A1348="",B1348="",E1348=""),"",IF(A1348="","Falta data",IF(B1348="","Falta categoria",IF(E1348="","Falta valor",IF(C1348="Categoria inválida","Categoria inválida",IF(OR(H1348&lt;1,H1348&gt;12),"Fora dos 12 meses","OK"))))))</f>
        <v/>
      </c>
    </row>
    <row r="1349">
      <c r="A1349" s="35" t="n"/>
      <c r="B1349" s="31" t="n"/>
      <c r="C1349" s="19">
        <f>IF(B1349="","",IF(COUNTIF(Config!$D$6:$D$15,B1349)&gt;0,"Entrada",IF(COUNTIF(Config!$F$6:$F$25,B1349)&gt;0,"Saída","Categoria inválida")))</f>
        <v/>
      </c>
      <c r="D1349" s="31" t="n"/>
      <c r="E1349" s="33" t="n"/>
      <c r="F1349" s="36" t="n"/>
      <c r="G1349" s="31" t="n"/>
      <c r="H1349" s="37">
        <f>IF(A1349="","",(YEAR(A1349)-YEAR(Config!$B$6))*12+MONTH(A1349)-MONTH(Config!$B$6)+1)</f>
        <v/>
      </c>
      <c r="I1349" s="19">
        <f>IF(AND(A1349="",B1349="",E1349=""),"",IF(A1349="","Falta data",IF(B1349="","Falta categoria",IF(E1349="","Falta valor",IF(C1349="Categoria inválida","Categoria inválida",IF(OR(H1349&lt;1,H1349&gt;12),"Fora dos 12 meses","OK"))))))</f>
        <v/>
      </c>
    </row>
    <row r="1350">
      <c r="A1350" s="35" t="n"/>
      <c r="B1350" s="31" t="n"/>
      <c r="C1350" s="19">
        <f>IF(B1350="","",IF(COUNTIF(Config!$D$6:$D$15,B1350)&gt;0,"Entrada",IF(COUNTIF(Config!$F$6:$F$25,B1350)&gt;0,"Saída","Categoria inválida")))</f>
        <v/>
      </c>
      <c r="D1350" s="31" t="n"/>
      <c r="E1350" s="33" t="n"/>
      <c r="F1350" s="36" t="n"/>
      <c r="G1350" s="31" t="n"/>
      <c r="H1350" s="37">
        <f>IF(A1350="","",(YEAR(A1350)-YEAR(Config!$B$6))*12+MONTH(A1350)-MONTH(Config!$B$6)+1)</f>
        <v/>
      </c>
      <c r="I1350" s="19">
        <f>IF(AND(A1350="",B1350="",E1350=""),"",IF(A1350="","Falta data",IF(B1350="","Falta categoria",IF(E1350="","Falta valor",IF(C1350="Categoria inválida","Categoria inválida",IF(OR(H1350&lt;1,H1350&gt;12),"Fora dos 12 meses","OK"))))))</f>
        <v/>
      </c>
    </row>
    <row r="1351">
      <c r="A1351" s="35" t="n"/>
      <c r="B1351" s="31" t="n"/>
      <c r="C1351" s="19">
        <f>IF(B1351="","",IF(COUNTIF(Config!$D$6:$D$15,B1351)&gt;0,"Entrada",IF(COUNTIF(Config!$F$6:$F$25,B1351)&gt;0,"Saída","Categoria inválida")))</f>
        <v/>
      </c>
      <c r="D1351" s="31" t="n"/>
      <c r="E1351" s="33" t="n"/>
      <c r="F1351" s="36" t="n"/>
      <c r="G1351" s="31" t="n"/>
      <c r="H1351" s="37">
        <f>IF(A1351="","",(YEAR(A1351)-YEAR(Config!$B$6))*12+MONTH(A1351)-MONTH(Config!$B$6)+1)</f>
        <v/>
      </c>
      <c r="I1351" s="19">
        <f>IF(AND(A1351="",B1351="",E1351=""),"",IF(A1351="","Falta data",IF(B1351="","Falta categoria",IF(E1351="","Falta valor",IF(C1351="Categoria inválida","Categoria inválida",IF(OR(H1351&lt;1,H1351&gt;12),"Fora dos 12 meses","OK"))))))</f>
        <v/>
      </c>
    </row>
    <row r="1352">
      <c r="A1352" s="35" t="n"/>
      <c r="B1352" s="31" t="n"/>
      <c r="C1352" s="19">
        <f>IF(B1352="","",IF(COUNTIF(Config!$D$6:$D$15,B1352)&gt;0,"Entrada",IF(COUNTIF(Config!$F$6:$F$25,B1352)&gt;0,"Saída","Categoria inválida")))</f>
        <v/>
      </c>
      <c r="D1352" s="31" t="n"/>
      <c r="E1352" s="33" t="n"/>
      <c r="F1352" s="36" t="n"/>
      <c r="G1352" s="31" t="n"/>
      <c r="H1352" s="37">
        <f>IF(A1352="","",(YEAR(A1352)-YEAR(Config!$B$6))*12+MONTH(A1352)-MONTH(Config!$B$6)+1)</f>
        <v/>
      </c>
      <c r="I1352" s="19">
        <f>IF(AND(A1352="",B1352="",E1352=""),"",IF(A1352="","Falta data",IF(B1352="","Falta categoria",IF(E1352="","Falta valor",IF(C1352="Categoria inválida","Categoria inválida",IF(OR(H1352&lt;1,H1352&gt;12),"Fora dos 12 meses","OK"))))))</f>
        <v/>
      </c>
    </row>
    <row r="1353">
      <c r="A1353" s="35" t="n"/>
      <c r="B1353" s="31" t="n"/>
      <c r="C1353" s="19">
        <f>IF(B1353="","",IF(COUNTIF(Config!$D$6:$D$15,B1353)&gt;0,"Entrada",IF(COUNTIF(Config!$F$6:$F$25,B1353)&gt;0,"Saída","Categoria inválida")))</f>
        <v/>
      </c>
      <c r="D1353" s="31" t="n"/>
      <c r="E1353" s="33" t="n"/>
      <c r="F1353" s="36" t="n"/>
      <c r="G1353" s="31" t="n"/>
      <c r="H1353" s="37">
        <f>IF(A1353="","",(YEAR(A1353)-YEAR(Config!$B$6))*12+MONTH(A1353)-MONTH(Config!$B$6)+1)</f>
        <v/>
      </c>
      <c r="I1353" s="19">
        <f>IF(AND(A1353="",B1353="",E1353=""),"",IF(A1353="","Falta data",IF(B1353="","Falta categoria",IF(E1353="","Falta valor",IF(C1353="Categoria inválida","Categoria inválida",IF(OR(H1353&lt;1,H1353&gt;12),"Fora dos 12 meses","OK"))))))</f>
        <v/>
      </c>
    </row>
    <row r="1354">
      <c r="A1354" s="35" t="n"/>
      <c r="B1354" s="31" t="n"/>
      <c r="C1354" s="19">
        <f>IF(B1354="","",IF(COUNTIF(Config!$D$6:$D$15,B1354)&gt;0,"Entrada",IF(COUNTIF(Config!$F$6:$F$25,B1354)&gt;0,"Saída","Categoria inválida")))</f>
        <v/>
      </c>
      <c r="D1354" s="31" t="n"/>
      <c r="E1354" s="33" t="n"/>
      <c r="F1354" s="36" t="n"/>
      <c r="G1354" s="31" t="n"/>
      <c r="H1354" s="37">
        <f>IF(A1354="","",(YEAR(A1354)-YEAR(Config!$B$6))*12+MONTH(A1354)-MONTH(Config!$B$6)+1)</f>
        <v/>
      </c>
      <c r="I1354" s="19">
        <f>IF(AND(A1354="",B1354="",E1354=""),"",IF(A1354="","Falta data",IF(B1354="","Falta categoria",IF(E1354="","Falta valor",IF(C1354="Categoria inválida","Categoria inválida",IF(OR(H1354&lt;1,H1354&gt;12),"Fora dos 12 meses","OK"))))))</f>
        <v/>
      </c>
    </row>
    <row r="1355">
      <c r="A1355" s="35" t="n"/>
      <c r="B1355" s="31" t="n"/>
      <c r="C1355" s="19">
        <f>IF(B1355="","",IF(COUNTIF(Config!$D$6:$D$15,B1355)&gt;0,"Entrada",IF(COUNTIF(Config!$F$6:$F$25,B1355)&gt;0,"Saída","Categoria inválida")))</f>
        <v/>
      </c>
      <c r="D1355" s="31" t="n"/>
      <c r="E1355" s="33" t="n"/>
      <c r="F1355" s="36" t="n"/>
      <c r="G1355" s="31" t="n"/>
      <c r="H1355" s="37">
        <f>IF(A1355="","",(YEAR(A1355)-YEAR(Config!$B$6))*12+MONTH(A1355)-MONTH(Config!$B$6)+1)</f>
        <v/>
      </c>
      <c r="I1355" s="19">
        <f>IF(AND(A1355="",B1355="",E1355=""),"",IF(A1355="","Falta data",IF(B1355="","Falta categoria",IF(E1355="","Falta valor",IF(C1355="Categoria inválida","Categoria inválida",IF(OR(H1355&lt;1,H1355&gt;12),"Fora dos 12 meses","OK"))))))</f>
        <v/>
      </c>
    </row>
    <row r="1356">
      <c r="A1356" s="35" t="n"/>
      <c r="B1356" s="31" t="n"/>
      <c r="C1356" s="19">
        <f>IF(B1356="","",IF(COUNTIF(Config!$D$6:$D$15,B1356)&gt;0,"Entrada",IF(COUNTIF(Config!$F$6:$F$25,B1356)&gt;0,"Saída","Categoria inválida")))</f>
        <v/>
      </c>
      <c r="D1356" s="31" t="n"/>
      <c r="E1356" s="33" t="n"/>
      <c r="F1356" s="36" t="n"/>
      <c r="G1356" s="31" t="n"/>
      <c r="H1356" s="37">
        <f>IF(A1356="","",(YEAR(A1356)-YEAR(Config!$B$6))*12+MONTH(A1356)-MONTH(Config!$B$6)+1)</f>
        <v/>
      </c>
      <c r="I1356" s="19">
        <f>IF(AND(A1356="",B1356="",E1356=""),"",IF(A1356="","Falta data",IF(B1356="","Falta categoria",IF(E1356="","Falta valor",IF(C1356="Categoria inválida","Categoria inválida",IF(OR(H1356&lt;1,H1356&gt;12),"Fora dos 12 meses","OK"))))))</f>
        <v/>
      </c>
    </row>
    <row r="1357">
      <c r="A1357" s="35" t="n"/>
      <c r="B1357" s="31" t="n"/>
      <c r="C1357" s="19">
        <f>IF(B1357="","",IF(COUNTIF(Config!$D$6:$D$15,B1357)&gt;0,"Entrada",IF(COUNTIF(Config!$F$6:$F$25,B1357)&gt;0,"Saída","Categoria inválida")))</f>
        <v/>
      </c>
      <c r="D1357" s="31" t="n"/>
      <c r="E1357" s="33" t="n"/>
      <c r="F1357" s="36" t="n"/>
      <c r="G1357" s="31" t="n"/>
      <c r="H1357" s="37">
        <f>IF(A1357="","",(YEAR(A1357)-YEAR(Config!$B$6))*12+MONTH(A1357)-MONTH(Config!$B$6)+1)</f>
        <v/>
      </c>
      <c r="I1357" s="19">
        <f>IF(AND(A1357="",B1357="",E1357=""),"",IF(A1357="","Falta data",IF(B1357="","Falta categoria",IF(E1357="","Falta valor",IF(C1357="Categoria inválida","Categoria inválida",IF(OR(H1357&lt;1,H1357&gt;12),"Fora dos 12 meses","OK"))))))</f>
        <v/>
      </c>
    </row>
    <row r="1358">
      <c r="A1358" s="35" t="n"/>
      <c r="B1358" s="31" t="n"/>
      <c r="C1358" s="19">
        <f>IF(B1358="","",IF(COUNTIF(Config!$D$6:$D$15,B1358)&gt;0,"Entrada",IF(COUNTIF(Config!$F$6:$F$25,B1358)&gt;0,"Saída","Categoria inválida")))</f>
        <v/>
      </c>
      <c r="D1358" s="31" t="n"/>
      <c r="E1358" s="33" t="n"/>
      <c r="F1358" s="36" t="n"/>
      <c r="G1358" s="31" t="n"/>
      <c r="H1358" s="37">
        <f>IF(A1358="","",(YEAR(A1358)-YEAR(Config!$B$6))*12+MONTH(A1358)-MONTH(Config!$B$6)+1)</f>
        <v/>
      </c>
      <c r="I1358" s="19">
        <f>IF(AND(A1358="",B1358="",E1358=""),"",IF(A1358="","Falta data",IF(B1358="","Falta categoria",IF(E1358="","Falta valor",IF(C1358="Categoria inválida","Categoria inválida",IF(OR(H1358&lt;1,H1358&gt;12),"Fora dos 12 meses","OK"))))))</f>
        <v/>
      </c>
    </row>
    <row r="1359">
      <c r="A1359" s="35" t="n"/>
      <c r="B1359" s="31" t="n"/>
      <c r="C1359" s="19">
        <f>IF(B1359="","",IF(COUNTIF(Config!$D$6:$D$15,B1359)&gt;0,"Entrada",IF(COUNTIF(Config!$F$6:$F$25,B1359)&gt;0,"Saída","Categoria inválida")))</f>
        <v/>
      </c>
      <c r="D1359" s="31" t="n"/>
      <c r="E1359" s="33" t="n"/>
      <c r="F1359" s="36" t="n"/>
      <c r="G1359" s="31" t="n"/>
      <c r="H1359" s="37">
        <f>IF(A1359="","",(YEAR(A1359)-YEAR(Config!$B$6))*12+MONTH(A1359)-MONTH(Config!$B$6)+1)</f>
        <v/>
      </c>
      <c r="I1359" s="19">
        <f>IF(AND(A1359="",B1359="",E1359=""),"",IF(A1359="","Falta data",IF(B1359="","Falta categoria",IF(E1359="","Falta valor",IF(C1359="Categoria inválida","Categoria inválida",IF(OR(H1359&lt;1,H1359&gt;12),"Fora dos 12 meses","OK"))))))</f>
        <v/>
      </c>
    </row>
    <row r="1360">
      <c r="A1360" s="35" t="n"/>
      <c r="B1360" s="31" t="n"/>
      <c r="C1360" s="19">
        <f>IF(B1360="","",IF(COUNTIF(Config!$D$6:$D$15,B1360)&gt;0,"Entrada",IF(COUNTIF(Config!$F$6:$F$25,B1360)&gt;0,"Saída","Categoria inválida")))</f>
        <v/>
      </c>
      <c r="D1360" s="31" t="n"/>
      <c r="E1360" s="33" t="n"/>
      <c r="F1360" s="36" t="n"/>
      <c r="G1360" s="31" t="n"/>
      <c r="H1360" s="37">
        <f>IF(A1360="","",(YEAR(A1360)-YEAR(Config!$B$6))*12+MONTH(A1360)-MONTH(Config!$B$6)+1)</f>
        <v/>
      </c>
      <c r="I1360" s="19">
        <f>IF(AND(A1360="",B1360="",E1360=""),"",IF(A1360="","Falta data",IF(B1360="","Falta categoria",IF(E1360="","Falta valor",IF(C1360="Categoria inválida","Categoria inválida",IF(OR(H1360&lt;1,H1360&gt;12),"Fora dos 12 meses","OK"))))))</f>
        <v/>
      </c>
    </row>
    <row r="1361">
      <c r="A1361" s="35" t="n"/>
      <c r="B1361" s="31" t="n"/>
      <c r="C1361" s="19">
        <f>IF(B1361="","",IF(COUNTIF(Config!$D$6:$D$15,B1361)&gt;0,"Entrada",IF(COUNTIF(Config!$F$6:$F$25,B1361)&gt;0,"Saída","Categoria inválida")))</f>
        <v/>
      </c>
      <c r="D1361" s="31" t="n"/>
      <c r="E1361" s="33" t="n"/>
      <c r="F1361" s="36" t="n"/>
      <c r="G1361" s="31" t="n"/>
      <c r="H1361" s="37">
        <f>IF(A1361="","",(YEAR(A1361)-YEAR(Config!$B$6))*12+MONTH(A1361)-MONTH(Config!$B$6)+1)</f>
        <v/>
      </c>
      <c r="I1361" s="19">
        <f>IF(AND(A1361="",B1361="",E1361=""),"",IF(A1361="","Falta data",IF(B1361="","Falta categoria",IF(E1361="","Falta valor",IF(C1361="Categoria inválida","Categoria inválida",IF(OR(H1361&lt;1,H1361&gt;12),"Fora dos 12 meses","OK"))))))</f>
        <v/>
      </c>
    </row>
    <row r="1362">
      <c r="A1362" s="35" t="n"/>
      <c r="B1362" s="31" t="n"/>
      <c r="C1362" s="19">
        <f>IF(B1362="","",IF(COUNTIF(Config!$D$6:$D$15,B1362)&gt;0,"Entrada",IF(COUNTIF(Config!$F$6:$F$25,B1362)&gt;0,"Saída","Categoria inválida")))</f>
        <v/>
      </c>
      <c r="D1362" s="31" t="n"/>
      <c r="E1362" s="33" t="n"/>
      <c r="F1362" s="36" t="n"/>
      <c r="G1362" s="31" t="n"/>
      <c r="H1362" s="37">
        <f>IF(A1362="","",(YEAR(A1362)-YEAR(Config!$B$6))*12+MONTH(A1362)-MONTH(Config!$B$6)+1)</f>
        <v/>
      </c>
      <c r="I1362" s="19">
        <f>IF(AND(A1362="",B1362="",E1362=""),"",IF(A1362="","Falta data",IF(B1362="","Falta categoria",IF(E1362="","Falta valor",IF(C1362="Categoria inválida","Categoria inválida",IF(OR(H1362&lt;1,H1362&gt;12),"Fora dos 12 meses","OK"))))))</f>
        <v/>
      </c>
    </row>
    <row r="1363">
      <c r="A1363" s="35" t="n"/>
      <c r="B1363" s="31" t="n"/>
      <c r="C1363" s="19">
        <f>IF(B1363="","",IF(COUNTIF(Config!$D$6:$D$15,B1363)&gt;0,"Entrada",IF(COUNTIF(Config!$F$6:$F$25,B1363)&gt;0,"Saída","Categoria inválida")))</f>
        <v/>
      </c>
      <c r="D1363" s="31" t="n"/>
      <c r="E1363" s="33" t="n"/>
      <c r="F1363" s="36" t="n"/>
      <c r="G1363" s="31" t="n"/>
      <c r="H1363" s="37">
        <f>IF(A1363="","",(YEAR(A1363)-YEAR(Config!$B$6))*12+MONTH(A1363)-MONTH(Config!$B$6)+1)</f>
        <v/>
      </c>
      <c r="I1363" s="19">
        <f>IF(AND(A1363="",B1363="",E1363=""),"",IF(A1363="","Falta data",IF(B1363="","Falta categoria",IF(E1363="","Falta valor",IF(C1363="Categoria inválida","Categoria inválida",IF(OR(H1363&lt;1,H1363&gt;12),"Fora dos 12 meses","OK"))))))</f>
        <v/>
      </c>
    </row>
    <row r="1364">
      <c r="A1364" s="35" t="n"/>
      <c r="B1364" s="31" t="n"/>
      <c r="C1364" s="19">
        <f>IF(B1364="","",IF(COUNTIF(Config!$D$6:$D$15,B1364)&gt;0,"Entrada",IF(COUNTIF(Config!$F$6:$F$25,B1364)&gt;0,"Saída","Categoria inválida")))</f>
        <v/>
      </c>
      <c r="D1364" s="31" t="n"/>
      <c r="E1364" s="33" t="n"/>
      <c r="F1364" s="36" t="n"/>
      <c r="G1364" s="31" t="n"/>
      <c r="H1364" s="37">
        <f>IF(A1364="","",(YEAR(A1364)-YEAR(Config!$B$6))*12+MONTH(A1364)-MONTH(Config!$B$6)+1)</f>
        <v/>
      </c>
      <c r="I1364" s="19">
        <f>IF(AND(A1364="",B1364="",E1364=""),"",IF(A1364="","Falta data",IF(B1364="","Falta categoria",IF(E1364="","Falta valor",IF(C1364="Categoria inválida","Categoria inválida",IF(OR(H1364&lt;1,H1364&gt;12),"Fora dos 12 meses","OK"))))))</f>
        <v/>
      </c>
    </row>
    <row r="1365">
      <c r="A1365" s="35" t="n"/>
      <c r="B1365" s="31" t="n"/>
      <c r="C1365" s="19">
        <f>IF(B1365="","",IF(COUNTIF(Config!$D$6:$D$15,B1365)&gt;0,"Entrada",IF(COUNTIF(Config!$F$6:$F$25,B1365)&gt;0,"Saída","Categoria inválida")))</f>
        <v/>
      </c>
      <c r="D1365" s="31" t="n"/>
      <c r="E1365" s="33" t="n"/>
      <c r="F1365" s="36" t="n"/>
      <c r="G1365" s="31" t="n"/>
      <c r="H1365" s="37">
        <f>IF(A1365="","",(YEAR(A1365)-YEAR(Config!$B$6))*12+MONTH(A1365)-MONTH(Config!$B$6)+1)</f>
        <v/>
      </c>
      <c r="I1365" s="19">
        <f>IF(AND(A1365="",B1365="",E1365=""),"",IF(A1365="","Falta data",IF(B1365="","Falta categoria",IF(E1365="","Falta valor",IF(C1365="Categoria inválida","Categoria inválida",IF(OR(H1365&lt;1,H1365&gt;12),"Fora dos 12 meses","OK"))))))</f>
        <v/>
      </c>
    </row>
    <row r="1366">
      <c r="A1366" s="35" t="n"/>
      <c r="B1366" s="31" t="n"/>
      <c r="C1366" s="19">
        <f>IF(B1366="","",IF(COUNTIF(Config!$D$6:$D$15,B1366)&gt;0,"Entrada",IF(COUNTIF(Config!$F$6:$F$25,B1366)&gt;0,"Saída","Categoria inválida")))</f>
        <v/>
      </c>
      <c r="D1366" s="31" t="n"/>
      <c r="E1366" s="33" t="n"/>
      <c r="F1366" s="36" t="n"/>
      <c r="G1366" s="31" t="n"/>
      <c r="H1366" s="37">
        <f>IF(A1366="","",(YEAR(A1366)-YEAR(Config!$B$6))*12+MONTH(A1366)-MONTH(Config!$B$6)+1)</f>
        <v/>
      </c>
      <c r="I1366" s="19">
        <f>IF(AND(A1366="",B1366="",E1366=""),"",IF(A1366="","Falta data",IF(B1366="","Falta categoria",IF(E1366="","Falta valor",IF(C1366="Categoria inválida","Categoria inválida",IF(OR(H1366&lt;1,H1366&gt;12),"Fora dos 12 meses","OK"))))))</f>
        <v/>
      </c>
    </row>
    <row r="1367">
      <c r="A1367" s="35" t="n"/>
      <c r="B1367" s="31" t="n"/>
      <c r="C1367" s="19">
        <f>IF(B1367="","",IF(COUNTIF(Config!$D$6:$D$15,B1367)&gt;0,"Entrada",IF(COUNTIF(Config!$F$6:$F$25,B1367)&gt;0,"Saída","Categoria inválida")))</f>
        <v/>
      </c>
      <c r="D1367" s="31" t="n"/>
      <c r="E1367" s="33" t="n"/>
      <c r="F1367" s="36" t="n"/>
      <c r="G1367" s="31" t="n"/>
      <c r="H1367" s="37">
        <f>IF(A1367="","",(YEAR(A1367)-YEAR(Config!$B$6))*12+MONTH(A1367)-MONTH(Config!$B$6)+1)</f>
        <v/>
      </c>
      <c r="I1367" s="19">
        <f>IF(AND(A1367="",B1367="",E1367=""),"",IF(A1367="","Falta data",IF(B1367="","Falta categoria",IF(E1367="","Falta valor",IF(C1367="Categoria inválida","Categoria inválida",IF(OR(H1367&lt;1,H1367&gt;12),"Fora dos 12 meses","OK"))))))</f>
        <v/>
      </c>
    </row>
    <row r="1368">
      <c r="A1368" s="35" t="n"/>
      <c r="B1368" s="31" t="n"/>
      <c r="C1368" s="19">
        <f>IF(B1368="","",IF(COUNTIF(Config!$D$6:$D$15,B1368)&gt;0,"Entrada",IF(COUNTIF(Config!$F$6:$F$25,B1368)&gt;0,"Saída","Categoria inválida")))</f>
        <v/>
      </c>
      <c r="D1368" s="31" t="n"/>
      <c r="E1368" s="33" t="n"/>
      <c r="F1368" s="36" t="n"/>
      <c r="G1368" s="31" t="n"/>
      <c r="H1368" s="37">
        <f>IF(A1368="","",(YEAR(A1368)-YEAR(Config!$B$6))*12+MONTH(A1368)-MONTH(Config!$B$6)+1)</f>
        <v/>
      </c>
      <c r="I1368" s="19">
        <f>IF(AND(A1368="",B1368="",E1368=""),"",IF(A1368="","Falta data",IF(B1368="","Falta categoria",IF(E1368="","Falta valor",IF(C1368="Categoria inválida","Categoria inválida",IF(OR(H1368&lt;1,H1368&gt;12),"Fora dos 12 meses","OK"))))))</f>
        <v/>
      </c>
    </row>
    <row r="1369">
      <c r="A1369" s="35" t="n"/>
      <c r="B1369" s="31" t="n"/>
      <c r="C1369" s="19">
        <f>IF(B1369="","",IF(COUNTIF(Config!$D$6:$D$15,B1369)&gt;0,"Entrada",IF(COUNTIF(Config!$F$6:$F$25,B1369)&gt;0,"Saída","Categoria inválida")))</f>
        <v/>
      </c>
      <c r="D1369" s="31" t="n"/>
      <c r="E1369" s="33" t="n"/>
      <c r="F1369" s="36" t="n"/>
      <c r="G1369" s="31" t="n"/>
      <c r="H1369" s="37">
        <f>IF(A1369="","",(YEAR(A1369)-YEAR(Config!$B$6))*12+MONTH(A1369)-MONTH(Config!$B$6)+1)</f>
        <v/>
      </c>
      <c r="I1369" s="19">
        <f>IF(AND(A1369="",B1369="",E1369=""),"",IF(A1369="","Falta data",IF(B1369="","Falta categoria",IF(E1369="","Falta valor",IF(C1369="Categoria inválida","Categoria inválida",IF(OR(H1369&lt;1,H1369&gt;12),"Fora dos 12 meses","OK"))))))</f>
        <v/>
      </c>
    </row>
    <row r="1370">
      <c r="A1370" s="35" t="n"/>
      <c r="B1370" s="31" t="n"/>
      <c r="C1370" s="19">
        <f>IF(B1370="","",IF(COUNTIF(Config!$D$6:$D$15,B1370)&gt;0,"Entrada",IF(COUNTIF(Config!$F$6:$F$25,B1370)&gt;0,"Saída","Categoria inválida")))</f>
        <v/>
      </c>
      <c r="D1370" s="31" t="n"/>
      <c r="E1370" s="33" t="n"/>
      <c r="F1370" s="36" t="n"/>
      <c r="G1370" s="31" t="n"/>
      <c r="H1370" s="37">
        <f>IF(A1370="","",(YEAR(A1370)-YEAR(Config!$B$6))*12+MONTH(A1370)-MONTH(Config!$B$6)+1)</f>
        <v/>
      </c>
      <c r="I1370" s="19">
        <f>IF(AND(A1370="",B1370="",E1370=""),"",IF(A1370="","Falta data",IF(B1370="","Falta categoria",IF(E1370="","Falta valor",IF(C1370="Categoria inválida","Categoria inválida",IF(OR(H1370&lt;1,H1370&gt;12),"Fora dos 12 meses","OK"))))))</f>
        <v/>
      </c>
    </row>
    <row r="1371">
      <c r="A1371" s="35" t="n"/>
      <c r="B1371" s="31" t="n"/>
      <c r="C1371" s="19">
        <f>IF(B1371="","",IF(COUNTIF(Config!$D$6:$D$15,B1371)&gt;0,"Entrada",IF(COUNTIF(Config!$F$6:$F$25,B1371)&gt;0,"Saída","Categoria inválida")))</f>
        <v/>
      </c>
      <c r="D1371" s="31" t="n"/>
      <c r="E1371" s="33" t="n"/>
      <c r="F1371" s="36" t="n"/>
      <c r="G1371" s="31" t="n"/>
      <c r="H1371" s="37">
        <f>IF(A1371="","",(YEAR(A1371)-YEAR(Config!$B$6))*12+MONTH(A1371)-MONTH(Config!$B$6)+1)</f>
        <v/>
      </c>
      <c r="I1371" s="19">
        <f>IF(AND(A1371="",B1371="",E1371=""),"",IF(A1371="","Falta data",IF(B1371="","Falta categoria",IF(E1371="","Falta valor",IF(C1371="Categoria inválida","Categoria inválida",IF(OR(H1371&lt;1,H1371&gt;12),"Fora dos 12 meses","OK"))))))</f>
        <v/>
      </c>
    </row>
    <row r="1372">
      <c r="A1372" s="35" t="n"/>
      <c r="B1372" s="31" t="n"/>
      <c r="C1372" s="19">
        <f>IF(B1372="","",IF(COUNTIF(Config!$D$6:$D$15,B1372)&gt;0,"Entrada",IF(COUNTIF(Config!$F$6:$F$25,B1372)&gt;0,"Saída","Categoria inválida")))</f>
        <v/>
      </c>
      <c r="D1372" s="31" t="n"/>
      <c r="E1372" s="33" t="n"/>
      <c r="F1372" s="36" t="n"/>
      <c r="G1372" s="31" t="n"/>
      <c r="H1372" s="37">
        <f>IF(A1372="","",(YEAR(A1372)-YEAR(Config!$B$6))*12+MONTH(A1372)-MONTH(Config!$B$6)+1)</f>
        <v/>
      </c>
      <c r="I1372" s="19">
        <f>IF(AND(A1372="",B1372="",E1372=""),"",IF(A1372="","Falta data",IF(B1372="","Falta categoria",IF(E1372="","Falta valor",IF(C1372="Categoria inválida","Categoria inválida",IF(OR(H1372&lt;1,H1372&gt;12),"Fora dos 12 meses","OK"))))))</f>
        <v/>
      </c>
    </row>
    <row r="1373">
      <c r="A1373" s="35" t="n"/>
      <c r="B1373" s="31" t="n"/>
      <c r="C1373" s="19">
        <f>IF(B1373="","",IF(COUNTIF(Config!$D$6:$D$15,B1373)&gt;0,"Entrada",IF(COUNTIF(Config!$F$6:$F$25,B1373)&gt;0,"Saída","Categoria inválida")))</f>
        <v/>
      </c>
      <c r="D1373" s="31" t="n"/>
      <c r="E1373" s="33" t="n"/>
      <c r="F1373" s="36" t="n"/>
      <c r="G1373" s="31" t="n"/>
      <c r="H1373" s="37">
        <f>IF(A1373="","",(YEAR(A1373)-YEAR(Config!$B$6))*12+MONTH(A1373)-MONTH(Config!$B$6)+1)</f>
        <v/>
      </c>
      <c r="I1373" s="19">
        <f>IF(AND(A1373="",B1373="",E1373=""),"",IF(A1373="","Falta data",IF(B1373="","Falta categoria",IF(E1373="","Falta valor",IF(C1373="Categoria inválida","Categoria inválida",IF(OR(H1373&lt;1,H1373&gt;12),"Fora dos 12 meses","OK"))))))</f>
        <v/>
      </c>
    </row>
    <row r="1374">
      <c r="A1374" s="35" t="n"/>
      <c r="B1374" s="31" t="n"/>
      <c r="C1374" s="19">
        <f>IF(B1374="","",IF(COUNTIF(Config!$D$6:$D$15,B1374)&gt;0,"Entrada",IF(COUNTIF(Config!$F$6:$F$25,B1374)&gt;0,"Saída","Categoria inválida")))</f>
        <v/>
      </c>
      <c r="D1374" s="31" t="n"/>
      <c r="E1374" s="33" t="n"/>
      <c r="F1374" s="36" t="n"/>
      <c r="G1374" s="31" t="n"/>
      <c r="H1374" s="37">
        <f>IF(A1374="","",(YEAR(A1374)-YEAR(Config!$B$6))*12+MONTH(A1374)-MONTH(Config!$B$6)+1)</f>
        <v/>
      </c>
      <c r="I1374" s="19">
        <f>IF(AND(A1374="",B1374="",E1374=""),"",IF(A1374="","Falta data",IF(B1374="","Falta categoria",IF(E1374="","Falta valor",IF(C1374="Categoria inválida","Categoria inválida",IF(OR(H1374&lt;1,H1374&gt;12),"Fora dos 12 meses","OK"))))))</f>
        <v/>
      </c>
    </row>
    <row r="1375">
      <c r="A1375" s="35" t="n"/>
      <c r="B1375" s="31" t="n"/>
      <c r="C1375" s="19">
        <f>IF(B1375="","",IF(COUNTIF(Config!$D$6:$D$15,B1375)&gt;0,"Entrada",IF(COUNTIF(Config!$F$6:$F$25,B1375)&gt;0,"Saída","Categoria inválida")))</f>
        <v/>
      </c>
      <c r="D1375" s="31" t="n"/>
      <c r="E1375" s="33" t="n"/>
      <c r="F1375" s="36" t="n"/>
      <c r="G1375" s="31" t="n"/>
      <c r="H1375" s="37">
        <f>IF(A1375="","",(YEAR(A1375)-YEAR(Config!$B$6))*12+MONTH(A1375)-MONTH(Config!$B$6)+1)</f>
        <v/>
      </c>
      <c r="I1375" s="19">
        <f>IF(AND(A1375="",B1375="",E1375=""),"",IF(A1375="","Falta data",IF(B1375="","Falta categoria",IF(E1375="","Falta valor",IF(C1375="Categoria inválida","Categoria inválida",IF(OR(H1375&lt;1,H1375&gt;12),"Fora dos 12 meses","OK"))))))</f>
        <v/>
      </c>
    </row>
    <row r="1376">
      <c r="A1376" s="35" t="n"/>
      <c r="B1376" s="31" t="n"/>
      <c r="C1376" s="19">
        <f>IF(B1376="","",IF(COUNTIF(Config!$D$6:$D$15,B1376)&gt;0,"Entrada",IF(COUNTIF(Config!$F$6:$F$25,B1376)&gt;0,"Saída","Categoria inválida")))</f>
        <v/>
      </c>
      <c r="D1376" s="31" t="n"/>
      <c r="E1376" s="33" t="n"/>
      <c r="F1376" s="36" t="n"/>
      <c r="G1376" s="31" t="n"/>
      <c r="H1376" s="37">
        <f>IF(A1376="","",(YEAR(A1376)-YEAR(Config!$B$6))*12+MONTH(A1376)-MONTH(Config!$B$6)+1)</f>
        <v/>
      </c>
      <c r="I1376" s="19">
        <f>IF(AND(A1376="",B1376="",E1376=""),"",IF(A1376="","Falta data",IF(B1376="","Falta categoria",IF(E1376="","Falta valor",IF(C1376="Categoria inválida","Categoria inválida",IF(OR(H1376&lt;1,H1376&gt;12),"Fora dos 12 meses","OK"))))))</f>
        <v/>
      </c>
    </row>
    <row r="1377">
      <c r="A1377" s="35" t="n"/>
      <c r="B1377" s="31" t="n"/>
      <c r="C1377" s="19">
        <f>IF(B1377="","",IF(COUNTIF(Config!$D$6:$D$15,B1377)&gt;0,"Entrada",IF(COUNTIF(Config!$F$6:$F$25,B1377)&gt;0,"Saída","Categoria inválida")))</f>
        <v/>
      </c>
      <c r="D1377" s="31" t="n"/>
      <c r="E1377" s="33" t="n"/>
      <c r="F1377" s="36" t="n"/>
      <c r="G1377" s="31" t="n"/>
      <c r="H1377" s="37">
        <f>IF(A1377="","",(YEAR(A1377)-YEAR(Config!$B$6))*12+MONTH(A1377)-MONTH(Config!$B$6)+1)</f>
        <v/>
      </c>
      <c r="I1377" s="19">
        <f>IF(AND(A1377="",B1377="",E1377=""),"",IF(A1377="","Falta data",IF(B1377="","Falta categoria",IF(E1377="","Falta valor",IF(C1377="Categoria inválida","Categoria inválida",IF(OR(H1377&lt;1,H1377&gt;12),"Fora dos 12 meses","OK"))))))</f>
        <v/>
      </c>
    </row>
    <row r="1378">
      <c r="A1378" s="35" t="n"/>
      <c r="B1378" s="31" t="n"/>
      <c r="C1378" s="19">
        <f>IF(B1378="","",IF(COUNTIF(Config!$D$6:$D$15,B1378)&gt;0,"Entrada",IF(COUNTIF(Config!$F$6:$F$25,B1378)&gt;0,"Saída","Categoria inválida")))</f>
        <v/>
      </c>
      <c r="D1378" s="31" t="n"/>
      <c r="E1378" s="33" t="n"/>
      <c r="F1378" s="36" t="n"/>
      <c r="G1378" s="31" t="n"/>
      <c r="H1378" s="37">
        <f>IF(A1378="","",(YEAR(A1378)-YEAR(Config!$B$6))*12+MONTH(A1378)-MONTH(Config!$B$6)+1)</f>
        <v/>
      </c>
      <c r="I1378" s="19">
        <f>IF(AND(A1378="",B1378="",E1378=""),"",IF(A1378="","Falta data",IF(B1378="","Falta categoria",IF(E1378="","Falta valor",IF(C1378="Categoria inválida","Categoria inválida",IF(OR(H1378&lt;1,H1378&gt;12),"Fora dos 12 meses","OK"))))))</f>
        <v/>
      </c>
    </row>
    <row r="1379">
      <c r="A1379" s="35" t="n"/>
      <c r="B1379" s="31" t="n"/>
      <c r="C1379" s="19">
        <f>IF(B1379="","",IF(COUNTIF(Config!$D$6:$D$15,B1379)&gt;0,"Entrada",IF(COUNTIF(Config!$F$6:$F$25,B1379)&gt;0,"Saída","Categoria inválida")))</f>
        <v/>
      </c>
      <c r="D1379" s="31" t="n"/>
      <c r="E1379" s="33" t="n"/>
      <c r="F1379" s="36" t="n"/>
      <c r="G1379" s="31" t="n"/>
      <c r="H1379" s="37">
        <f>IF(A1379="","",(YEAR(A1379)-YEAR(Config!$B$6))*12+MONTH(A1379)-MONTH(Config!$B$6)+1)</f>
        <v/>
      </c>
      <c r="I1379" s="19">
        <f>IF(AND(A1379="",B1379="",E1379=""),"",IF(A1379="","Falta data",IF(B1379="","Falta categoria",IF(E1379="","Falta valor",IF(C1379="Categoria inválida","Categoria inválida",IF(OR(H1379&lt;1,H1379&gt;12),"Fora dos 12 meses","OK"))))))</f>
        <v/>
      </c>
    </row>
    <row r="1380">
      <c r="A1380" s="35" t="n"/>
      <c r="B1380" s="31" t="n"/>
      <c r="C1380" s="19">
        <f>IF(B1380="","",IF(COUNTIF(Config!$D$6:$D$15,B1380)&gt;0,"Entrada",IF(COUNTIF(Config!$F$6:$F$25,B1380)&gt;0,"Saída","Categoria inválida")))</f>
        <v/>
      </c>
      <c r="D1380" s="31" t="n"/>
      <c r="E1380" s="33" t="n"/>
      <c r="F1380" s="36" t="n"/>
      <c r="G1380" s="31" t="n"/>
      <c r="H1380" s="37">
        <f>IF(A1380="","",(YEAR(A1380)-YEAR(Config!$B$6))*12+MONTH(A1380)-MONTH(Config!$B$6)+1)</f>
        <v/>
      </c>
      <c r="I1380" s="19">
        <f>IF(AND(A1380="",B1380="",E1380=""),"",IF(A1380="","Falta data",IF(B1380="","Falta categoria",IF(E1380="","Falta valor",IF(C1380="Categoria inválida","Categoria inválida",IF(OR(H1380&lt;1,H1380&gt;12),"Fora dos 12 meses","OK"))))))</f>
        <v/>
      </c>
    </row>
    <row r="1381">
      <c r="A1381" s="35" t="n"/>
      <c r="B1381" s="31" t="n"/>
      <c r="C1381" s="19">
        <f>IF(B1381="","",IF(COUNTIF(Config!$D$6:$D$15,B1381)&gt;0,"Entrada",IF(COUNTIF(Config!$F$6:$F$25,B1381)&gt;0,"Saída","Categoria inválida")))</f>
        <v/>
      </c>
      <c r="D1381" s="31" t="n"/>
      <c r="E1381" s="33" t="n"/>
      <c r="F1381" s="36" t="n"/>
      <c r="G1381" s="31" t="n"/>
      <c r="H1381" s="37">
        <f>IF(A1381="","",(YEAR(A1381)-YEAR(Config!$B$6))*12+MONTH(A1381)-MONTH(Config!$B$6)+1)</f>
        <v/>
      </c>
      <c r="I1381" s="19">
        <f>IF(AND(A1381="",B1381="",E1381=""),"",IF(A1381="","Falta data",IF(B1381="","Falta categoria",IF(E1381="","Falta valor",IF(C1381="Categoria inválida","Categoria inválida",IF(OR(H1381&lt;1,H1381&gt;12),"Fora dos 12 meses","OK"))))))</f>
        <v/>
      </c>
    </row>
    <row r="1382">
      <c r="A1382" s="35" t="n"/>
      <c r="B1382" s="31" t="n"/>
      <c r="C1382" s="19">
        <f>IF(B1382="","",IF(COUNTIF(Config!$D$6:$D$15,B1382)&gt;0,"Entrada",IF(COUNTIF(Config!$F$6:$F$25,B1382)&gt;0,"Saída","Categoria inválida")))</f>
        <v/>
      </c>
      <c r="D1382" s="31" t="n"/>
      <c r="E1382" s="33" t="n"/>
      <c r="F1382" s="36" t="n"/>
      <c r="G1382" s="31" t="n"/>
      <c r="H1382" s="37">
        <f>IF(A1382="","",(YEAR(A1382)-YEAR(Config!$B$6))*12+MONTH(A1382)-MONTH(Config!$B$6)+1)</f>
        <v/>
      </c>
      <c r="I1382" s="19">
        <f>IF(AND(A1382="",B1382="",E1382=""),"",IF(A1382="","Falta data",IF(B1382="","Falta categoria",IF(E1382="","Falta valor",IF(C1382="Categoria inválida","Categoria inválida",IF(OR(H1382&lt;1,H1382&gt;12),"Fora dos 12 meses","OK"))))))</f>
        <v/>
      </c>
    </row>
    <row r="1383">
      <c r="A1383" s="35" t="n"/>
      <c r="B1383" s="31" t="n"/>
      <c r="C1383" s="19">
        <f>IF(B1383="","",IF(COUNTIF(Config!$D$6:$D$15,B1383)&gt;0,"Entrada",IF(COUNTIF(Config!$F$6:$F$25,B1383)&gt;0,"Saída","Categoria inválida")))</f>
        <v/>
      </c>
      <c r="D1383" s="31" t="n"/>
      <c r="E1383" s="33" t="n"/>
      <c r="F1383" s="36" t="n"/>
      <c r="G1383" s="31" t="n"/>
      <c r="H1383" s="37">
        <f>IF(A1383="","",(YEAR(A1383)-YEAR(Config!$B$6))*12+MONTH(A1383)-MONTH(Config!$B$6)+1)</f>
        <v/>
      </c>
      <c r="I1383" s="19">
        <f>IF(AND(A1383="",B1383="",E1383=""),"",IF(A1383="","Falta data",IF(B1383="","Falta categoria",IF(E1383="","Falta valor",IF(C1383="Categoria inválida","Categoria inválida",IF(OR(H1383&lt;1,H1383&gt;12),"Fora dos 12 meses","OK"))))))</f>
        <v/>
      </c>
    </row>
    <row r="1384">
      <c r="A1384" s="35" t="n"/>
      <c r="B1384" s="31" t="n"/>
      <c r="C1384" s="19">
        <f>IF(B1384="","",IF(COUNTIF(Config!$D$6:$D$15,B1384)&gt;0,"Entrada",IF(COUNTIF(Config!$F$6:$F$25,B1384)&gt;0,"Saída","Categoria inválida")))</f>
        <v/>
      </c>
      <c r="D1384" s="31" t="n"/>
      <c r="E1384" s="33" t="n"/>
      <c r="F1384" s="36" t="n"/>
      <c r="G1384" s="31" t="n"/>
      <c r="H1384" s="37">
        <f>IF(A1384="","",(YEAR(A1384)-YEAR(Config!$B$6))*12+MONTH(A1384)-MONTH(Config!$B$6)+1)</f>
        <v/>
      </c>
      <c r="I1384" s="19">
        <f>IF(AND(A1384="",B1384="",E1384=""),"",IF(A1384="","Falta data",IF(B1384="","Falta categoria",IF(E1384="","Falta valor",IF(C1384="Categoria inválida","Categoria inválida",IF(OR(H1384&lt;1,H1384&gt;12),"Fora dos 12 meses","OK"))))))</f>
        <v/>
      </c>
    </row>
    <row r="1385">
      <c r="A1385" s="35" t="n"/>
      <c r="B1385" s="31" t="n"/>
      <c r="C1385" s="19">
        <f>IF(B1385="","",IF(COUNTIF(Config!$D$6:$D$15,B1385)&gt;0,"Entrada",IF(COUNTIF(Config!$F$6:$F$25,B1385)&gt;0,"Saída","Categoria inválida")))</f>
        <v/>
      </c>
      <c r="D1385" s="31" t="n"/>
      <c r="E1385" s="33" t="n"/>
      <c r="F1385" s="36" t="n"/>
      <c r="G1385" s="31" t="n"/>
      <c r="H1385" s="37">
        <f>IF(A1385="","",(YEAR(A1385)-YEAR(Config!$B$6))*12+MONTH(A1385)-MONTH(Config!$B$6)+1)</f>
        <v/>
      </c>
      <c r="I1385" s="19">
        <f>IF(AND(A1385="",B1385="",E1385=""),"",IF(A1385="","Falta data",IF(B1385="","Falta categoria",IF(E1385="","Falta valor",IF(C1385="Categoria inválida","Categoria inválida",IF(OR(H1385&lt;1,H1385&gt;12),"Fora dos 12 meses","OK"))))))</f>
        <v/>
      </c>
    </row>
    <row r="1386">
      <c r="A1386" s="35" t="n"/>
      <c r="B1386" s="31" t="n"/>
      <c r="C1386" s="19">
        <f>IF(B1386="","",IF(COUNTIF(Config!$D$6:$D$15,B1386)&gt;0,"Entrada",IF(COUNTIF(Config!$F$6:$F$25,B1386)&gt;0,"Saída","Categoria inválida")))</f>
        <v/>
      </c>
      <c r="D1386" s="31" t="n"/>
      <c r="E1386" s="33" t="n"/>
      <c r="F1386" s="36" t="n"/>
      <c r="G1386" s="31" t="n"/>
      <c r="H1386" s="37">
        <f>IF(A1386="","",(YEAR(A1386)-YEAR(Config!$B$6))*12+MONTH(A1386)-MONTH(Config!$B$6)+1)</f>
        <v/>
      </c>
      <c r="I1386" s="19">
        <f>IF(AND(A1386="",B1386="",E1386=""),"",IF(A1386="","Falta data",IF(B1386="","Falta categoria",IF(E1386="","Falta valor",IF(C1386="Categoria inválida","Categoria inválida",IF(OR(H1386&lt;1,H1386&gt;12),"Fora dos 12 meses","OK"))))))</f>
        <v/>
      </c>
    </row>
    <row r="1387">
      <c r="A1387" s="35" t="n"/>
      <c r="B1387" s="31" t="n"/>
      <c r="C1387" s="19">
        <f>IF(B1387="","",IF(COUNTIF(Config!$D$6:$D$15,B1387)&gt;0,"Entrada",IF(COUNTIF(Config!$F$6:$F$25,B1387)&gt;0,"Saída","Categoria inválida")))</f>
        <v/>
      </c>
      <c r="D1387" s="31" t="n"/>
      <c r="E1387" s="33" t="n"/>
      <c r="F1387" s="36" t="n"/>
      <c r="G1387" s="31" t="n"/>
      <c r="H1387" s="37">
        <f>IF(A1387="","",(YEAR(A1387)-YEAR(Config!$B$6))*12+MONTH(A1387)-MONTH(Config!$B$6)+1)</f>
        <v/>
      </c>
      <c r="I1387" s="19">
        <f>IF(AND(A1387="",B1387="",E1387=""),"",IF(A1387="","Falta data",IF(B1387="","Falta categoria",IF(E1387="","Falta valor",IF(C1387="Categoria inválida","Categoria inválida",IF(OR(H1387&lt;1,H1387&gt;12),"Fora dos 12 meses","OK"))))))</f>
        <v/>
      </c>
    </row>
    <row r="1388">
      <c r="A1388" s="35" t="n"/>
      <c r="B1388" s="31" t="n"/>
      <c r="C1388" s="19">
        <f>IF(B1388="","",IF(COUNTIF(Config!$D$6:$D$15,B1388)&gt;0,"Entrada",IF(COUNTIF(Config!$F$6:$F$25,B1388)&gt;0,"Saída","Categoria inválida")))</f>
        <v/>
      </c>
      <c r="D1388" s="31" t="n"/>
      <c r="E1388" s="33" t="n"/>
      <c r="F1388" s="36" t="n"/>
      <c r="G1388" s="31" t="n"/>
      <c r="H1388" s="37">
        <f>IF(A1388="","",(YEAR(A1388)-YEAR(Config!$B$6))*12+MONTH(A1388)-MONTH(Config!$B$6)+1)</f>
        <v/>
      </c>
      <c r="I1388" s="19">
        <f>IF(AND(A1388="",B1388="",E1388=""),"",IF(A1388="","Falta data",IF(B1388="","Falta categoria",IF(E1388="","Falta valor",IF(C1388="Categoria inválida","Categoria inválida",IF(OR(H1388&lt;1,H1388&gt;12),"Fora dos 12 meses","OK"))))))</f>
        <v/>
      </c>
    </row>
    <row r="1389">
      <c r="A1389" s="35" t="n"/>
      <c r="B1389" s="31" t="n"/>
      <c r="C1389" s="19">
        <f>IF(B1389="","",IF(COUNTIF(Config!$D$6:$D$15,B1389)&gt;0,"Entrada",IF(COUNTIF(Config!$F$6:$F$25,B1389)&gt;0,"Saída","Categoria inválida")))</f>
        <v/>
      </c>
      <c r="D1389" s="31" t="n"/>
      <c r="E1389" s="33" t="n"/>
      <c r="F1389" s="36" t="n"/>
      <c r="G1389" s="31" t="n"/>
      <c r="H1389" s="37">
        <f>IF(A1389="","",(YEAR(A1389)-YEAR(Config!$B$6))*12+MONTH(A1389)-MONTH(Config!$B$6)+1)</f>
        <v/>
      </c>
      <c r="I1389" s="19">
        <f>IF(AND(A1389="",B1389="",E1389=""),"",IF(A1389="","Falta data",IF(B1389="","Falta categoria",IF(E1389="","Falta valor",IF(C1389="Categoria inválida","Categoria inválida",IF(OR(H1389&lt;1,H1389&gt;12),"Fora dos 12 meses","OK"))))))</f>
        <v/>
      </c>
    </row>
    <row r="1390">
      <c r="A1390" s="35" t="n"/>
      <c r="B1390" s="31" t="n"/>
      <c r="C1390" s="19">
        <f>IF(B1390="","",IF(COUNTIF(Config!$D$6:$D$15,B1390)&gt;0,"Entrada",IF(COUNTIF(Config!$F$6:$F$25,B1390)&gt;0,"Saída","Categoria inválida")))</f>
        <v/>
      </c>
      <c r="D1390" s="31" t="n"/>
      <c r="E1390" s="33" t="n"/>
      <c r="F1390" s="36" t="n"/>
      <c r="G1390" s="31" t="n"/>
      <c r="H1390" s="37">
        <f>IF(A1390="","",(YEAR(A1390)-YEAR(Config!$B$6))*12+MONTH(A1390)-MONTH(Config!$B$6)+1)</f>
        <v/>
      </c>
      <c r="I1390" s="19">
        <f>IF(AND(A1390="",B1390="",E1390=""),"",IF(A1390="","Falta data",IF(B1390="","Falta categoria",IF(E1390="","Falta valor",IF(C1390="Categoria inválida","Categoria inválida",IF(OR(H1390&lt;1,H1390&gt;12),"Fora dos 12 meses","OK"))))))</f>
        <v/>
      </c>
    </row>
    <row r="1391">
      <c r="A1391" s="35" t="n"/>
      <c r="B1391" s="31" t="n"/>
      <c r="C1391" s="19">
        <f>IF(B1391="","",IF(COUNTIF(Config!$D$6:$D$15,B1391)&gt;0,"Entrada",IF(COUNTIF(Config!$F$6:$F$25,B1391)&gt;0,"Saída","Categoria inválida")))</f>
        <v/>
      </c>
      <c r="D1391" s="31" t="n"/>
      <c r="E1391" s="33" t="n"/>
      <c r="F1391" s="36" t="n"/>
      <c r="G1391" s="31" t="n"/>
      <c r="H1391" s="37">
        <f>IF(A1391="","",(YEAR(A1391)-YEAR(Config!$B$6))*12+MONTH(A1391)-MONTH(Config!$B$6)+1)</f>
        <v/>
      </c>
      <c r="I1391" s="19">
        <f>IF(AND(A1391="",B1391="",E1391=""),"",IF(A1391="","Falta data",IF(B1391="","Falta categoria",IF(E1391="","Falta valor",IF(C1391="Categoria inválida","Categoria inválida",IF(OR(H1391&lt;1,H1391&gt;12),"Fora dos 12 meses","OK"))))))</f>
        <v/>
      </c>
    </row>
    <row r="1392">
      <c r="A1392" s="35" t="n"/>
      <c r="B1392" s="31" t="n"/>
      <c r="C1392" s="19">
        <f>IF(B1392="","",IF(COUNTIF(Config!$D$6:$D$15,B1392)&gt;0,"Entrada",IF(COUNTIF(Config!$F$6:$F$25,B1392)&gt;0,"Saída","Categoria inválida")))</f>
        <v/>
      </c>
      <c r="D1392" s="31" t="n"/>
      <c r="E1392" s="33" t="n"/>
      <c r="F1392" s="36" t="n"/>
      <c r="G1392" s="31" t="n"/>
      <c r="H1392" s="37">
        <f>IF(A1392="","",(YEAR(A1392)-YEAR(Config!$B$6))*12+MONTH(A1392)-MONTH(Config!$B$6)+1)</f>
        <v/>
      </c>
      <c r="I1392" s="19">
        <f>IF(AND(A1392="",B1392="",E1392=""),"",IF(A1392="","Falta data",IF(B1392="","Falta categoria",IF(E1392="","Falta valor",IF(C1392="Categoria inválida","Categoria inválida",IF(OR(H1392&lt;1,H1392&gt;12),"Fora dos 12 meses","OK"))))))</f>
        <v/>
      </c>
    </row>
    <row r="1393">
      <c r="A1393" s="35" t="n"/>
      <c r="B1393" s="31" t="n"/>
      <c r="C1393" s="19">
        <f>IF(B1393="","",IF(COUNTIF(Config!$D$6:$D$15,B1393)&gt;0,"Entrada",IF(COUNTIF(Config!$F$6:$F$25,B1393)&gt;0,"Saída","Categoria inválida")))</f>
        <v/>
      </c>
      <c r="D1393" s="31" t="n"/>
      <c r="E1393" s="33" t="n"/>
      <c r="F1393" s="36" t="n"/>
      <c r="G1393" s="31" t="n"/>
      <c r="H1393" s="37">
        <f>IF(A1393="","",(YEAR(A1393)-YEAR(Config!$B$6))*12+MONTH(A1393)-MONTH(Config!$B$6)+1)</f>
        <v/>
      </c>
      <c r="I1393" s="19">
        <f>IF(AND(A1393="",B1393="",E1393=""),"",IF(A1393="","Falta data",IF(B1393="","Falta categoria",IF(E1393="","Falta valor",IF(C1393="Categoria inválida","Categoria inválida",IF(OR(H1393&lt;1,H1393&gt;12),"Fora dos 12 meses","OK"))))))</f>
        <v/>
      </c>
    </row>
    <row r="1394">
      <c r="A1394" s="35" t="n"/>
      <c r="B1394" s="31" t="n"/>
      <c r="C1394" s="19">
        <f>IF(B1394="","",IF(COUNTIF(Config!$D$6:$D$15,B1394)&gt;0,"Entrada",IF(COUNTIF(Config!$F$6:$F$25,B1394)&gt;0,"Saída","Categoria inválida")))</f>
        <v/>
      </c>
      <c r="D1394" s="31" t="n"/>
      <c r="E1394" s="33" t="n"/>
      <c r="F1394" s="36" t="n"/>
      <c r="G1394" s="31" t="n"/>
      <c r="H1394" s="37">
        <f>IF(A1394="","",(YEAR(A1394)-YEAR(Config!$B$6))*12+MONTH(A1394)-MONTH(Config!$B$6)+1)</f>
        <v/>
      </c>
      <c r="I1394" s="19">
        <f>IF(AND(A1394="",B1394="",E1394=""),"",IF(A1394="","Falta data",IF(B1394="","Falta categoria",IF(E1394="","Falta valor",IF(C1394="Categoria inválida","Categoria inválida",IF(OR(H1394&lt;1,H1394&gt;12),"Fora dos 12 meses","OK"))))))</f>
        <v/>
      </c>
    </row>
    <row r="1395">
      <c r="A1395" s="35" t="n"/>
      <c r="B1395" s="31" t="n"/>
      <c r="C1395" s="19">
        <f>IF(B1395="","",IF(COUNTIF(Config!$D$6:$D$15,B1395)&gt;0,"Entrada",IF(COUNTIF(Config!$F$6:$F$25,B1395)&gt;0,"Saída","Categoria inválida")))</f>
        <v/>
      </c>
      <c r="D1395" s="31" t="n"/>
      <c r="E1395" s="33" t="n"/>
      <c r="F1395" s="36" t="n"/>
      <c r="G1395" s="31" t="n"/>
      <c r="H1395" s="37">
        <f>IF(A1395="","",(YEAR(A1395)-YEAR(Config!$B$6))*12+MONTH(A1395)-MONTH(Config!$B$6)+1)</f>
        <v/>
      </c>
      <c r="I1395" s="19">
        <f>IF(AND(A1395="",B1395="",E1395=""),"",IF(A1395="","Falta data",IF(B1395="","Falta categoria",IF(E1395="","Falta valor",IF(C1395="Categoria inválida","Categoria inválida",IF(OR(H1395&lt;1,H1395&gt;12),"Fora dos 12 meses","OK"))))))</f>
        <v/>
      </c>
    </row>
    <row r="1396">
      <c r="A1396" s="35" t="n"/>
      <c r="B1396" s="31" t="n"/>
      <c r="C1396" s="19">
        <f>IF(B1396="","",IF(COUNTIF(Config!$D$6:$D$15,B1396)&gt;0,"Entrada",IF(COUNTIF(Config!$F$6:$F$25,B1396)&gt;0,"Saída","Categoria inválida")))</f>
        <v/>
      </c>
      <c r="D1396" s="31" t="n"/>
      <c r="E1396" s="33" t="n"/>
      <c r="F1396" s="36" t="n"/>
      <c r="G1396" s="31" t="n"/>
      <c r="H1396" s="37">
        <f>IF(A1396="","",(YEAR(A1396)-YEAR(Config!$B$6))*12+MONTH(A1396)-MONTH(Config!$B$6)+1)</f>
        <v/>
      </c>
      <c r="I1396" s="19">
        <f>IF(AND(A1396="",B1396="",E1396=""),"",IF(A1396="","Falta data",IF(B1396="","Falta categoria",IF(E1396="","Falta valor",IF(C1396="Categoria inválida","Categoria inválida",IF(OR(H1396&lt;1,H1396&gt;12),"Fora dos 12 meses","OK"))))))</f>
        <v/>
      </c>
    </row>
    <row r="1397">
      <c r="A1397" s="35" t="n"/>
      <c r="B1397" s="31" t="n"/>
      <c r="C1397" s="19">
        <f>IF(B1397="","",IF(COUNTIF(Config!$D$6:$D$15,B1397)&gt;0,"Entrada",IF(COUNTIF(Config!$F$6:$F$25,B1397)&gt;0,"Saída","Categoria inválida")))</f>
        <v/>
      </c>
      <c r="D1397" s="31" t="n"/>
      <c r="E1397" s="33" t="n"/>
      <c r="F1397" s="36" t="n"/>
      <c r="G1397" s="31" t="n"/>
      <c r="H1397" s="37">
        <f>IF(A1397="","",(YEAR(A1397)-YEAR(Config!$B$6))*12+MONTH(A1397)-MONTH(Config!$B$6)+1)</f>
        <v/>
      </c>
      <c r="I1397" s="19">
        <f>IF(AND(A1397="",B1397="",E1397=""),"",IF(A1397="","Falta data",IF(B1397="","Falta categoria",IF(E1397="","Falta valor",IF(C1397="Categoria inválida","Categoria inválida",IF(OR(H1397&lt;1,H1397&gt;12),"Fora dos 12 meses","OK"))))))</f>
        <v/>
      </c>
    </row>
    <row r="1398">
      <c r="A1398" s="35" t="n"/>
      <c r="B1398" s="31" t="n"/>
      <c r="C1398" s="19">
        <f>IF(B1398="","",IF(COUNTIF(Config!$D$6:$D$15,B1398)&gt;0,"Entrada",IF(COUNTIF(Config!$F$6:$F$25,B1398)&gt;0,"Saída","Categoria inválida")))</f>
        <v/>
      </c>
      <c r="D1398" s="31" t="n"/>
      <c r="E1398" s="33" t="n"/>
      <c r="F1398" s="36" t="n"/>
      <c r="G1398" s="31" t="n"/>
      <c r="H1398" s="37">
        <f>IF(A1398="","",(YEAR(A1398)-YEAR(Config!$B$6))*12+MONTH(A1398)-MONTH(Config!$B$6)+1)</f>
        <v/>
      </c>
      <c r="I1398" s="19">
        <f>IF(AND(A1398="",B1398="",E1398=""),"",IF(A1398="","Falta data",IF(B1398="","Falta categoria",IF(E1398="","Falta valor",IF(C1398="Categoria inválida","Categoria inválida",IF(OR(H1398&lt;1,H1398&gt;12),"Fora dos 12 meses","OK"))))))</f>
        <v/>
      </c>
    </row>
    <row r="1399">
      <c r="A1399" s="35" t="n"/>
      <c r="B1399" s="31" t="n"/>
      <c r="C1399" s="19">
        <f>IF(B1399="","",IF(COUNTIF(Config!$D$6:$D$15,B1399)&gt;0,"Entrada",IF(COUNTIF(Config!$F$6:$F$25,B1399)&gt;0,"Saída","Categoria inválida")))</f>
        <v/>
      </c>
      <c r="D1399" s="31" t="n"/>
      <c r="E1399" s="33" t="n"/>
      <c r="F1399" s="36" t="n"/>
      <c r="G1399" s="31" t="n"/>
      <c r="H1399" s="37">
        <f>IF(A1399="","",(YEAR(A1399)-YEAR(Config!$B$6))*12+MONTH(A1399)-MONTH(Config!$B$6)+1)</f>
        <v/>
      </c>
      <c r="I1399" s="19">
        <f>IF(AND(A1399="",B1399="",E1399=""),"",IF(A1399="","Falta data",IF(B1399="","Falta categoria",IF(E1399="","Falta valor",IF(C1399="Categoria inválida","Categoria inválida",IF(OR(H1399&lt;1,H1399&gt;12),"Fora dos 12 meses","OK"))))))</f>
        <v/>
      </c>
    </row>
    <row r="1400">
      <c r="A1400" s="35" t="n"/>
      <c r="B1400" s="31" t="n"/>
      <c r="C1400" s="19">
        <f>IF(B1400="","",IF(COUNTIF(Config!$D$6:$D$15,B1400)&gt;0,"Entrada",IF(COUNTIF(Config!$F$6:$F$25,B1400)&gt;0,"Saída","Categoria inválida")))</f>
        <v/>
      </c>
      <c r="D1400" s="31" t="n"/>
      <c r="E1400" s="33" t="n"/>
      <c r="F1400" s="36" t="n"/>
      <c r="G1400" s="31" t="n"/>
      <c r="H1400" s="37">
        <f>IF(A1400="","",(YEAR(A1400)-YEAR(Config!$B$6))*12+MONTH(A1400)-MONTH(Config!$B$6)+1)</f>
        <v/>
      </c>
      <c r="I1400" s="19">
        <f>IF(AND(A1400="",B1400="",E1400=""),"",IF(A1400="","Falta data",IF(B1400="","Falta categoria",IF(E1400="","Falta valor",IF(C1400="Categoria inválida","Categoria inválida",IF(OR(H1400&lt;1,H1400&gt;12),"Fora dos 12 meses","OK"))))))</f>
        <v/>
      </c>
    </row>
    <row r="1401">
      <c r="A1401" s="35" t="n"/>
      <c r="B1401" s="31" t="n"/>
      <c r="C1401" s="19">
        <f>IF(B1401="","",IF(COUNTIF(Config!$D$6:$D$15,B1401)&gt;0,"Entrada",IF(COUNTIF(Config!$F$6:$F$25,B1401)&gt;0,"Saída","Categoria inválida")))</f>
        <v/>
      </c>
      <c r="D1401" s="31" t="n"/>
      <c r="E1401" s="33" t="n"/>
      <c r="F1401" s="36" t="n"/>
      <c r="G1401" s="31" t="n"/>
      <c r="H1401" s="37">
        <f>IF(A1401="","",(YEAR(A1401)-YEAR(Config!$B$6))*12+MONTH(A1401)-MONTH(Config!$B$6)+1)</f>
        <v/>
      </c>
      <c r="I1401" s="19">
        <f>IF(AND(A1401="",B1401="",E1401=""),"",IF(A1401="","Falta data",IF(B1401="","Falta categoria",IF(E1401="","Falta valor",IF(C1401="Categoria inválida","Categoria inválida",IF(OR(H1401&lt;1,H1401&gt;12),"Fora dos 12 meses","OK"))))))</f>
        <v/>
      </c>
    </row>
    <row r="1402">
      <c r="A1402" s="35" t="n"/>
      <c r="B1402" s="31" t="n"/>
      <c r="C1402" s="19">
        <f>IF(B1402="","",IF(COUNTIF(Config!$D$6:$D$15,B1402)&gt;0,"Entrada",IF(COUNTIF(Config!$F$6:$F$25,B1402)&gt;0,"Saída","Categoria inválida")))</f>
        <v/>
      </c>
      <c r="D1402" s="31" t="n"/>
      <c r="E1402" s="33" t="n"/>
      <c r="F1402" s="36" t="n"/>
      <c r="G1402" s="31" t="n"/>
      <c r="H1402" s="37">
        <f>IF(A1402="","",(YEAR(A1402)-YEAR(Config!$B$6))*12+MONTH(A1402)-MONTH(Config!$B$6)+1)</f>
        <v/>
      </c>
      <c r="I1402" s="19">
        <f>IF(AND(A1402="",B1402="",E1402=""),"",IF(A1402="","Falta data",IF(B1402="","Falta categoria",IF(E1402="","Falta valor",IF(C1402="Categoria inválida","Categoria inválida",IF(OR(H1402&lt;1,H1402&gt;12),"Fora dos 12 meses","OK"))))))</f>
        <v/>
      </c>
    </row>
    <row r="1403">
      <c r="A1403" s="35" t="n"/>
      <c r="B1403" s="31" t="n"/>
      <c r="C1403" s="19">
        <f>IF(B1403="","",IF(COUNTIF(Config!$D$6:$D$15,B1403)&gt;0,"Entrada",IF(COUNTIF(Config!$F$6:$F$25,B1403)&gt;0,"Saída","Categoria inválida")))</f>
        <v/>
      </c>
      <c r="D1403" s="31" t="n"/>
      <c r="E1403" s="33" t="n"/>
      <c r="F1403" s="36" t="n"/>
      <c r="G1403" s="31" t="n"/>
      <c r="H1403" s="37">
        <f>IF(A1403="","",(YEAR(A1403)-YEAR(Config!$B$6))*12+MONTH(A1403)-MONTH(Config!$B$6)+1)</f>
        <v/>
      </c>
      <c r="I1403" s="19">
        <f>IF(AND(A1403="",B1403="",E1403=""),"",IF(A1403="","Falta data",IF(B1403="","Falta categoria",IF(E1403="","Falta valor",IF(C1403="Categoria inválida","Categoria inválida",IF(OR(H1403&lt;1,H1403&gt;12),"Fora dos 12 meses","OK"))))))</f>
        <v/>
      </c>
    </row>
    <row r="1404">
      <c r="A1404" s="35" t="n"/>
      <c r="B1404" s="31" t="n"/>
      <c r="C1404" s="19">
        <f>IF(B1404="","",IF(COUNTIF(Config!$D$6:$D$15,B1404)&gt;0,"Entrada",IF(COUNTIF(Config!$F$6:$F$25,B1404)&gt;0,"Saída","Categoria inválida")))</f>
        <v/>
      </c>
      <c r="D1404" s="31" t="n"/>
      <c r="E1404" s="33" t="n"/>
      <c r="F1404" s="36" t="n"/>
      <c r="G1404" s="31" t="n"/>
      <c r="H1404" s="37">
        <f>IF(A1404="","",(YEAR(A1404)-YEAR(Config!$B$6))*12+MONTH(A1404)-MONTH(Config!$B$6)+1)</f>
        <v/>
      </c>
      <c r="I1404" s="19">
        <f>IF(AND(A1404="",B1404="",E1404=""),"",IF(A1404="","Falta data",IF(B1404="","Falta categoria",IF(E1404="","Falta valor",IF(C1404="Categoria inválida","Categoria inválida",IF(OR(H1404&lt;1,H1404&gt;12),"Fora dos 12 meses","OK"))))))</f>
        <v/>
      </c>
    </row>
    <row r="1405">
      <c r="A1405" s="35" t="n"/>
      <c r="B1405" s="31" t="n"/>
      <c r="C1405" s="19">
        <f>IF(B1405="","",IF(COUNTIF(Config!$D$6:$D$15,B1405)&gt;0,"Entrada",IF(COUNTIF(Config!$F$6:$F$25,B1405)&gt;0,"Saída","Categoria inválida")))</f>
        <v/>
      </c>
      <c r="D1405" s="31" t="n"/>
      <c r="E1405" s="33" t="n"/>
      <c r="F1405" s="36" t="n"/>
      <c r="G1405" s="31" t="n"/>
      <c r="H1405" s="37">
        <f>IF(A1405="","",(YEAR(A1405)-YEAR(Config!$B$6))*12+MONTH(A1405)-MONTH(Config!$B$6)+1)</f>
        <v/>
      </c>
      <c r="I1405" s="19">
        <f>IF(AND(A1405="",B1405="",E1405=""),"",IF(A1405="","Falta data",IF(B1405="","Falta categoria",IF(E1405="","Falta valor",IF(C1405="Categoria inválida","Categoria inválida",IF(OR(H1405&lt;1,H1405&gt;12),"Fora dos 12 meses","OK"))))))</f>
        <v/>
      </c>
    </row>
    <row r="1406">
      <c r="A1406" s="35" t="n"/>
      <c r="B1406" s="31" t="n"/>
      <c r="C1406" s="19">
        <f>IF(B1406="","",IF(COUNTIF(Config!$D$6:$D$15,B1406)&gt;0,"Entrada",IF(COUNTIF(Config!$F$6:$F$25,B1406)&gt;0,"Saída","Categoria inválida")))</f>
        <v/>
      </c>
      <c r="D1406" s="31" t="n"/>
      <c r="E1406" s="33" t="n"/>
      <c r="F1406" s="36" t="n"/>
      <c r="G1406" s="31" t="n"/>
      <c r="H1406" s="37">
        <f>IF(A1406="","",(YEAR(A1406)-YEAR(Config!$B$6))*12+MONTH(A1406)-MONTH(Config!$B$6)+1)</f>
        <v/>
      </c>
      <c r="I1406" s="19">
        <f>IF(AND(A1406="",B1406="",E1406=""),"",IF(A1406="","Falta data",IF(B1406="","Falta categoria",IF(E1406="","Falta valor",IF(C1406="Categoria inválida","Categoria inválida",IF(OR(H1406&lt;1,H1406&gt;12),"Fora dos 12 meses","OK"))))))</f>
        <v/>
      </c>
    </row>
    <row r="1407">
      <c r="A1407" s="35" t="n"/>
      <c r="B1407" s="31" t="n"/>
      <c r="C1407" s="19">
        <f>IF(B1407="","",IF(COUNTIF(Config!$D$6:$D$15,B1407)&gt;0,"Entrada",IF(COUNTIF(Config!$F$6:$F$25,B1407)&gt;0,"Saída","Categoria inválida")))</f>
        <v/>
      </c>
      <c r="D1407" s="31" t="n"/>
      <c r="E1407" s="33" t="n"/>
      <c r="F1407" s="36" t="n"/>
      <c r="G1407" s="31" t="n"/>
      <c r="H1407" s="37">
        <f>IF(A1407="","",(YEAR(A1407)-YEAR(Config!$B$6))*12+MONTH(A1407)-MONTH(Config!$B$6)+1)</f>
        <v/>
      </c>
      <c r="I1407" s="19">
        <f>IF(AND(A1407="",B1407="",E1407=""),"",IF(A1407="","Falta data",IF(B1407="","Falta categoria",IF(E1407="","Falta valor",IF(C1407="Categoria inválida","Categoria inválida",IF(OR(H1407&lt;1,H1407&gt;12),"Fora dos 12 meses","OK"))))))</f>
        <v/>
      </c>
    </row>
    <row r="1408">
      <c r="A1408" s="35" t="n"/>
      <c r="B1408" s="31" t="n"/>
      <c r="C1408" s="19">
        <f>IF(B1408="","",IF(COUNTIF(Config!$D$6:$D$15,B1408)&gt;0,"Entrada",IF(COUNTIF(Config!$F$6:$F$25,B1408)&gt;0,"Saída","Categoria inválida")))</f>
        <v/>
      </c>
      <c r="D1408" s="31" t="n"/>
      <c r="E1408" s="33" t="n"/>
      <c r="F1408" s="36" t="n"/>
      <c r="G1408" s="31" t="n"/>
      <c r="H1408" s="37">
        <f>IF(A1408="","",(YEAR(A1408)-YEAR(Config!$B$6))*12+MONTH(A1408)-MONTH(Config!$B$6)+1)</f>
        <v/>
      </c>
      <c r="I1408" s="19">
        <f>IF(AND(A1408="",B1408="",E1408=""),"",IF(A1408="","Falta data",IF(B1408="","Falta categoria",IF(E1408="","Falta valor",IF(C1408="Categoria inválida","Categoria inválida",IF(OR(H1408&lt;1,H1408&gt;12),"Fora dos 12 meses","OK"))))))</f>
        <v/>
      </c>
    </row>
    <row r="1409">
      <c r="A1409" s="35" t="n"/>
      <c r="B1409" s="31" t="n"/>
      <c r="C1409" s="19">
        <f>IF(B1409="","",IF(COUNTIF(Config!$D$6:$D$15,B1409)&gt;0,"Entrada",IF(COUNTIF(Config!$F$6:$F$25,B1409)&gt;0,"Saída","Categoria inválida")))</f>
        <v/>
      </c>
      <c r="D1409" s="31" t="n"/>
      <c r="E1409" s="33" t="n"/>
      <c r="F1409" s="36" t="n"/>
      <c r="G1409" s="31" t="n"/>
      <c r="H1409" s="37">
        <f>IF(A1409="","",(YEAR(A1409)-YEAR(Config!$B$6))*12+MONTH(A1409)-MONTH(Config!$B$6)+1)</f>
        <v/>
      </c>
      <c r="I1409" s="19">
        <f>IF(AND(A1409="",B1409="",E1409=""),"",IF(A1409="","Falta data",IF(B1409="","Falta categoria",IF(E1409="","Falta valor",IF(C1409="Categoria inválida","Categoria inválida",IF(OR(H1409&lt;1,H1409&gt;12),"Fora dos 12 meses","OK"))))))</f>
        <v/>
      </c>
    </row>
    <row r="1410">
      <c r="A1410" s="35" t="n"/>
      <c r="B1410" s="31" t="n"/>
      <c r="C1410" s="19">
        <f>IF(B1410="","",IF(COUNTIF(Config!$D$6:$D$15,B1410)&gt;0,"Entrada",IF(COUNTIF(Config!$F$6:$F$25,B1410)&gt;0,"Saída","Categoria inválida")))</f>
        <v/>
      </c>
      <c r="D1410" s="31" t="n"/>
      <c r="E1410" s="33" t="n"/>
      <c r="F1410" s="36" t="n"/>
      <c r="G1410" s="31" t="n"/>
      <c r="H1410" s="37">
        <f>IF(A1410="","",(YEAR(A1410)-YEAR(Config!$B$6))*12+MONTH(A1410)-MONTH(Config!$B$6)+1)</f>
        <v/>
      </c>
      <c r="I1410" s="19">
        <f>IF(AND(A1410="",B1410="",E1410=""),"",IF(A1410="","Falta data",IF(B1410="","Falta categoria",IF(E1410="","Falta valor",IF(C1410="Categoria inválida","Categoria inválida",IF(OR(H1410&lt;1,H1410&gt;12),"Fora dos 12 meses","OK"))))))</f>
        <v/>
      </c>
    </row>
    <row r="1411">
      <c r="A1411" s="35" t="n"/>
      <c r="B1411" s="31" t="n"/>
      <c r="C1411" s="19">
        <f>IF(B1411="","",IF(COUNTIF(Config!$D$6:$D$15,B1411)&gt;0,"Entrada",IF(COUNTIF(Config!$F$6:$F$25,B1411)&gt;0,"Saída","Categoria inválida")))</f>
        <v/>
      </c>
      <c r="D1411" s="31" t="n"/>
      <c r="E1411" s="33" t="n"/>
      <c r="F1411" s="36" t="n"/>
      <c r="G1411" s="31" t="n"/>
      <c r="H1411" s="37">
        <f>IF(A1411="","",(YEAR(A1411)-YEAR(Config!$B$6))*12+MONTH(A1411)-MONTH(Config!$B$6)+1)</f>
        <v/>
      </c>
      <c r="I1411" s="19">
        <f>IF(AND(A1411="",B1411="",E1411=""),"",IF(A1411="","Falta data",IF(B1411="","Falta categoria",IF(E1411="","Falta valor",IF(C1411="Categoria inválida","Categoria inválida",IF(OR(H1411&lt;1,H1411&gt;12),"Fora dos 12 meses","OK"))))))</f>
        <v/>
      </c>
    </row>
    <row r="1412">
      <c r="A1412" s="35" t="n"/>
      <c r="B1412" s="31" t="n"/>
      <c r="C1412" s="19">
        <f>IF(B1412="","",IF(COUNTIF(Config!$D$6:$D$15,B1412)&gt;0,"Entrada",IF(COUNTIF(Config!$F$6:$F$25,B1412)&gt;0,"Saída","Categoria inválida")))</f>
        <v/>
      </c>
      <c r="D1412" s="31" t="n"/>
      <c r="E1412" s="33" t="n"/>
      <c r="F1412" s="36" t="n"/>
      <c r="G1412" s="31" t="n"/>
      <c r="H1412" s="37">
        <f>IF(A1412="","",(YEAR(A1412)-YEAR(Config!$B$6))*12+MONTH(A1412)-MONTH(Config!$B$6)+1)</f>
        <v/>
      </c>
      <c r="I1412" s="19">
        <f>IF(AND(A1412="",B1412="",E1412=""),"",IF(A1412="","Falta data",IF(B1412="","Falta categoria",IF(E1412="","Falta valor",IF(C1412="Categoria inválida","Categoria inválida",IF(OR(H1412&lt;1,H1412&gt;12),"Fora dos 12 meses","OK"))))))</f>
        <v/>
      </c>
    </row>
    <row r="1413">
      <c r="A1413" s="35" t="n"/>
      <c r="B1413" s="31" t="n"/>
      <c r="C1413" s="19">
        <f>IF(B1413="","",IF(COUNTIF(Config!$D$6:$D$15,B1413)&gt;0,"Entrada",IF(COUNTIF(Config!$F$6:$F$25,B1413)&gt;0,"Saída","Categoria inválida")))</f>
        <v/>
      </c>
      <c r="D1413" s="31" t="n"/>
      <c r="E1413" s="33" t="n"/>
      <c r="F1413" s="36" t="n"/>
      <c r="G1413" s="31" t="n"/>
      <c r="H1413" s="37">
        <f>IF(A1413="","",(YEAR(A1413)-YEAR(Config!$B$6))*12+MONTH(A1413)-MONTH(Config!$B$6)+1)</f>
        <v/>
      </c>
      <c r="I1413" s="19">
        <f>IF(AND(A1413="",B1413="",E1413=""),"",IF(A1413="","Falta data",IF(B1413="","Falta categoria",IF(E1413="","Falta valor",IF(C1413="Categoria inválida","Categoria inválida",IF(OR(H1413&lt;1,H1413&gt;12),"Fora dos 12 meses","OK"))))))</f>
        <v/>
      </c>
    </row>
    <row r="1414">
      <c r="A1414" s="35" t="n"/>
      <c r="B1414" s="31" t="n"/>
      <c r="C1414" s="19">
        <f>IF(B1414="","",IF(COUNTIF(Config!$D$6:$D$15,B1414)&gt;0,"Entrada",IF(COUNTIF(Config!$F$6:$F$25,B1414)&gt;0,"Saída","Categoria inválida")))</f>
        <v/>
      </c>
      <c r="D1414" s="31" t="n"/>
      <c r="E1414" s="33" t="n"/>
      <c r="F1414" s="36" t="n"/>
      <c r="G1414" s="31" t="n"/>
      <c r="H1414" s="37">
        <f>IF(A1414="","",(YEAR(A1414)-YEAR(Config!$B$6))*12+MONTH(A1414)-MONTH(Config!$B$6)+1)</f>
        <v/>
      </c>
      <c r="I1414" s="19">
        <f>IF(AND(A1414="",B1414="",E1414=""),"",IF(A1414="","Falta data",IF(B1414="","Falta categoria",IF(E1414="","Falta valor",IF(C1414="Categoria inválida","Categoria inválida",IF(OR(H1414&lt;1,H1414&gt;12),"Fora dos 12 meses","OK"))))))</f>
        <v/>
      </c>
    </row>
    <row r="1415">
      <c r="A1415" s="35" t="n"/>
      <c r="B1415" s="31" t="n"/>
      <c r="C1415" s="19">
        <f>IF(B1415="","",IF(COUNTIF(Config!$D$6:$D$15,B1415)&gt;0,"Entrada",IF(COUNTIF(Config!$F$6:$F$25,B1415)&gt;0,"Saída","Categoria inválida")))</f>
        <v/>
      </c>
      <c r="D1415" s="31" t="n"/>
      <c r="E1415" s="33" t="n"/>
      <c r="F1415" s="36" t="n"/>
      <c r="G1415" s="31" t="n"/>
      <c r="H1415" s="37">
        <f>IF(A1415="","",(YEAR(A1415)-YEAR(Config!$B$6))*12+MONTH(A1415)-MONTH(Config!$B$6)+1)</f>
        <v/>
      </c>
      <c r="I1415" s="19">
        <f>IF(AND(A1415="",B1415="",E1415=""),"",IF(A1415="","Falta data",IF(B1415="","Falta categoria",IF(E1415="","Falta valor",IF(C1415="Categoria inválida","Categoria inválida",IF(OR(H1415&lt;1,H1415&gt;12),"Fora dos 12 meses","OK"))))))</f>
        <v/>
      </c>
    </row>
    <row r="1416">
      <c r="A1416" s="35" t="n"/>
      <c r="B1416" s="31" t="n"/>
      <c r="C1416" s="19">
        <f>IF(B1416="","",IF(COUNTIF(Config!$D$6:$D$15,B1416)&gt;0,"Entrada",IF(COUNTIF(Config!$F$6:$F$25,B1416)&gt;0,"Saída","Categoria inválida")))</f>
        <v/>
      </c>
      <c r="D1416" s="31" t="n"/>
      <c r="E1416" s="33" t="n"/>
      <c r="F1416" s="36" t="n"/>
      <c r="G1416" s="31" t="n"/>
      <c r="H1416" s="37">
        <f>IF(A1416="","",(YEAR(A1416)-YEAR(Config!$B$6))*12+MONTH(A1416)-MONTH(Config!$B$6)+1)</f>
        <v/>
      </c>
      <c r="I1416" s="19">
        <f>IF(AND(A1416="",B1416="",E1416=""),"",IF(A1416="","Falta data",IF(B1416="","Falta categoria",IF(E1416="","Falta valor",IF(C1416="Categoria inválida","Categoria inválida",IF(OR(H1416&lt;1,H1416&gt;12),"Fora dos 12 meses","OK"))))))</f>
        <v/>
      </c>
    </row>
    <row r="1417">
      <c r="A1417" s="35" t="n"/>
      <c r="B1417" s="31" t="n"/>
      <c r="C1417" s="19">
        <f>IF(B1417="","",IF(COUNTIF(Config!$D$6:$D$15,B1417)&gt;0,"Entrada",IF(COUNTIF(Config!$F$6:$F$25,B1417)&gt;0,"Saída","Categoria inválida")))</f>
        <v/>
      </c>
      <c r="D1417" s="31" t="n"/>
      <c r="E1417" s="33" t="n"/>
      <c r="F1417" s="36" t="n"/>
      <c r="G1417" s="31" t="n"/>
      <c r="H1417" s="37">
        <f>IF(A1417="","",(YEAR(A1417)-YEAR(Config!$B$6))*12+MONTH(A1417)-MONTH(Config!$B$6)+1)</f>
        <v/>
      </c>
      <c r="I1417" s="19">
        <f>IF(AND(A1417="",B1417="",E1417=""),"",IF(A1417="","Falta data",IF(B1417="","Falta categoria",IF(E1417="","Falta valor",IF(C1417="Categoria inválida","Categoria inválida",IF(OR(H1417&lt;1,H1417&gt;12),"Fora dos 12 meses","OK"))))))</f>
        <v/>
      </c>
    </row>
    <row r="1418">
      <c r="A1418" s="35" t="n"/>
      <c r="B1418" s="31" t="n"/>
      <c r="C1418" s="19">
        <f>IF(B1418="","",IF(COUNTIF(Config!$D$6:$D$15,B1418)&gt;0,"Entrada",IF(COUNTIF(Config!$F$6:$F$25,B1418)&gt;0,"Saída","Categoria inválida")))</f>
        <v/>
      </c>
      <c r="D1418" s="31" t="n"/>
      <c r="E1418" s="33" t="n"/>
      <c r="F1418" s="36" t="n"/>
      <c r="G1418" s="31" t="n"/>
      <c r="H1418" s="37">
        <f>IF(A1418="","",(YEAR(A1418)-YEAR(Config!$B$6))*12+MONTH(A1418)-MONTH(Config!$B$6)+1)</f>
        <v/>
      </c>
      <c r="I1418" s="19">
        <f>IF(AND(A1418="",B1418="",E1418=""),"",IF(A1418="","Falta data",IF(B1418="","Falta categoria",IF(E1418="","Falta valor",IF(C1418="Categoria inválida","Categoria inválida",IF(OR(H1418&lt;1,H1418&gt;12),"Fora dos 12 meses","OK"))))))</f>
        <v/>
      </c>
    </row>
    <row r="1419">
      <c r="A1419" s="35" t="n"/>
      <c r="B1419" s="31" t="n"/>
      <c r="C1419" s="19">
        <f>IF(B1419="","",IF(COUNTIF(Config!$D$6:$D$15,B1419)&gt;0,"Entrada",IF(COUNTIF(Config!$F$6:$F$25,B1419)&gt;0,"Saída","Categoria inválida")))</f>
        <v/>
      </c>
      <c r="D1419" s="31" t="n"/>
      <c r="E1419" s="33" t="n"/>
      <c r="F1419" s="36" t="n"/>
      <c r="G1419" s="31" t="n"/>
      <c r="H1419" s="37">
        <f>IF(A1419="","",(YEAR(A1419)-YEAR(Config!$B$6))*12+MONTH(A1419)-MONTH(Config!$B$6)+1)</f>
        <v/>
      </c>
      <c r="I1419" s="19">
        <f>IF(AND(A1419="",B1419="",E1419=""),"",IF(A1419="","Falta data",IF(B1419="","Falta categoria",IF(E1419="","Falta valor",IF(C1419="Categoria inválida","Categoria inválida",IF(OR(H1419&lt;1,H1419&gt;12),"Fora dos 12 meses","OK"))))))</f>
        <v/>
      </c>
    </row>
    <row r="1420">
      <c r="A1420" s="35" t="n"/>
      <c r="B1420" s="31" t="n"/>
      <c r="C1420" s="19">
        <f>IF(B1420="","",IF(COUNTIF(Config!$D$6:$D$15,B1420)&gt;0,"Entrada",IF(COUNTIF(Config!$F$6:$F$25,B1420)&gt;0,"Saída","Categoria inválida")))</f>
        <v/>
      </c>
      <c r="D1420" s="31" t="n"/>
      <c r="E1420" s="33" t="n"/>
      <c r="F1420" s="36" t="n"/>
      <c r="G1420" s="31" t="n"/>
      <c r="H1420" s="37">
        <f>IF(A1420="","",(YEAR(A1420)-YEAR(Config!$B$6))*12+MONTH(A1420)-MONTH(Config!$B$6)+1)</f>
        <v/>
      </c>
      <c r="I1420" s="19">
        <f>IF(AND(A1420="",B1420="",E1420=""),"",IF(A1420="","Falta data",IF(B1420="","Falta categoria",IF(E1420="","Falta valor",IF(C1420="Categoria inválida","Categoria inválida",IF(OR(H1420&lt;1,H1420&gt;12),"Fora dos 12 meses","OK"))))))</f>
        <v/>
      </c>
    </row>
    <row r="1421">
      <c r="A1421" s="35" t="n"/>
      <c r="B1421" s="31" t="n"/>
      <c r="C1421" s="19">
        <f>IF(B1421="","",IF(COUNTIF(Config!$D$6:$D$15,B1421)&gt;0,"Entrada",IF(COUNTIF(Config!$F$6:$F$25,B1421)&gt;0,"Saída","Categoria inválida")))</f>
        <v/>
      </c>
      <c r="D1421" s="31" t="n"/>
      <c r="E1421" s="33" t="n"/>
      <c r="F1421" s="36" t="n"/>
      <c r="G1421" s="31" t="n"/>
      <c r="H1421" s="37">
        <f>IF(A1421="","",(YEAR(A1421)-YEAR(Config!$B$6))*12+MONTH(A1421)-MONTH(Config!$B$6)+1)</f>
        <v/>
      </c>
      <c r="I1421" s="19">
        <f>IF(AND(A1421="",B1421="",E1421=""),"",IF(A1421="","Falta data",IF(B1421="","Falta categoria",IF(E1421="","Falta valor",IF(C1421="Categoria inválida","Categoria inválida",IF(OR(H1421&lt;1,H1421&gt;12),"Fora dos 12 meses","OK"))))))</f>
        <v/>
      </c>
    </row>
    <row r="1422">
      <c r="A1422" s="35" t="n"/>
      <c r="B1422" s="31" t="n"/>
      <c r="C1422" s="19">
        <f>IF(B1422="","",IF(COUNTIF(Config!$D$6:$D$15,B1422)&gt;0,"Entrada",IF(COUNTIF(Config!$F$6:$F$25,B1422)&gt;0,"Saída","Categoria inválida")))</f>
        <v/>
      </c>
      <c r="D1422" s="31" t="n"/>
      <c r="E1422" s="33" t="n"/>
      <c r="F1422" s="36" t="n"/>
      <c r="G1422" s="31" t="n"/>
      <c r="H1422" s="37">
        <f>IF(A1422="","",(YEAR(A1422)-YEAR(Config!$B$6))*12+MONTH(A1422)-MONTH(Config!$B$6)+1)</f>
        <v/>
      </c>
      <c r="I1422" s="19">
        <f>IF(AND(A1422="",B1422="",E1422=""),"",IF(A1422="","Falta data",IF(B1422="","Falta categoria",IF(E1422="","Falta valor",IF(C1422="Categoria inválida","Categoria inválida",IF(OR(H1422&lt;1,H1422&gt;12),"Fora dos 12 meses","OK"))))))</f>
        <v/>
      </c>
    </row>
    <row r="1423">
      <c r="A1423" s="35" t="n"/>
      <c r="B1423" s="31" t="n"/>
      <c r="C1423" s="19">
        <f>IF(B1423="","",IF(COUNTIF(Config!$D$6:$D$15,B1423)&gt;0,"Entrada",IF(COUNTIF(Config!$F$6:$F$25,B1423)&gt;0,"Saída","Categoria inválida")))</f>
        <v/>
      </c>
      <c r="D1423" s="31" t="n"/>
      <c r="E1423" s="33" t="n"/>
      <c r="F1423" s="36" t="n"/>
      <c r="G1423" s="31" t="n"/>
      <c r="H1423" s="37">
        <f>IF(A1423="","",(YEAR(A1423)-YEAR(Config!$B$6))*12+MONTH(A1423)-MONTH(Config!$B$6)+1)</f>
        <v/>
      </c>
      <c r="I1423" s="19">
        <f>IF(AND(A1423="",B1423="",E1423=""),"",IF(A1423="","Falta data",IF(B1423="","Falta categoria",IF(E1423="","Falta valor",IF(C1423="Categoria inválida","Categoria inválida",IF(OR(H1423&lt;1,H1423&gt;12),"Fora dos 12 meses","OK"))))))</f>
        <v/>
      </c>
    </row>
    <row r="1424">
      <c r="A1424" s="35" t="n"/>
      <c r="B1424" s="31" t="n"/>
      <c r="C1424" s="19">
        <f>IF(B1424="","",IF(COUNTIF(Config!$D$6:$D$15,B1424)&gt;0,"Entrada",IF(COUNTIF(Config!$F$6:$F$25,B1424)&gt;0,"Saída","Categoria inválida")))</f>
        <v/>
      </c>
      <c r="D1424" s="31" t="n"/>
      <c r="E1424" s="33" t="n"/>
      <c r="F1424" s="36" t="n"/>
      <c r="G1424" s="31" t="n"/>
      <c r="H1424" s="37">
        <f>IF(A1424="","",(YEAR(A1424)-YEAR(Config!$B$6))*12+MONTH(A1424)-MONTH(Config!$B$6)+1)</f>
        <v/>
      </c>
      <c r="I1424" s="19">
        <f>IF(AND(A1424="",B1424="",E1424=""),"",IF(A1424="","Falta data",IF(B1424="","Falta categoria",IF(E1424="","Falta valor",IF(C1424="Categoria inválida","Categoria inválida",IF(OR(H1424&lt;1,H1424&gt;12),"Fora dos 12 meses","OK"))))))</f>
        <v/>
      </c>
    </row>
    <row r="1425">
      <c r="A1425" s="35" t="n"/>
      <c r="B1425" s="31" t="n"/>
      <c r="C1425" s="19">
        <f>IF(B1425="","",IF(COUNTIF(Config!$D$6:$D$15,B1425)&gt;0,"Entrada",IF(COUNTIF(Config!$F$6:$F$25,B1425)&gt;0,"Saída","Categoria inválida")))</f>
        <v/>
      </c>
      <c r="D1425" s="31" t="n"/>
      <c r="E1425" s="33" t="n"/>
      <c r="F1425" s="36" t="n"/>
      <c r="G1425" s="31" t="n"/>
      <c r="H1425" s="37">
        <f>IF(A1425="","",(YEAR(A1425)-YEAR(Config!$B$6))*12+MONTH(A1425)-MONTH(Config!$B$6)+1)</f>
        <v/>
      </c>
      <c r="I1425" s="19">
        <f>IF(AND(A1425="",B1425="",E1425=""),"",IF(A1425="","Falta data",IF(B1425="","Falta categoria",IF(E1425="","Falta valor",IF(C1425="Categoria inválida","Categoria inválida",IF(OR(H1425&lt;1,H1425&gt;12),"Fora dos 12 meses","OK"))))))</f>
        <v/>
      </c>
    </row>
    <row r="1426">
      <c r="A1426" s="35" t="n"/>
      <c r="B1426" s="31" t="n"/>
      <c r="C1426" s="19">
        <f>IF(B1426="","",IF(COUNTIF(Config!$D$6:$D$15,B1426)&gt;0,"Entrada",IF(COUNTIF(Config!$F$6:$F$25,B1426)&gt;0,"Saída","Categoria inválida")))</f>
        <v/>
      </c>
      <c r="D1426" s="31" t="n"/>
      <c r="E1426" s="33" t="n"/>
      <c r="F1426" s="36" t="n"/>
      <c r="G1426" s="31" t="n"/>
      <c r="H1426" s="37">
        <f>IF(A1426="","",(YEAR(A1426)-YEAR(Config!$B$6))*12+MONTH(A1426)-MONTH(Config!$B$6)+1)</f>
        <v/>
      </c>
      <c r="I1426" s="19">
        <f>IF(AND(A1426="",B1426="",E1426=""),"",IF(A1426="","Falta data",IF(B1426="","Falta categoria",IF(E1426="","Falta valor",IF(C1426="Categoria inválida","Categoria inválida",IF(OR(H1426&lt;1,H1426&gt;12),"Fora dos 12 meses","OK"))))))</f>
        <v/>
      </c>
    </row>
    <row r="1427">
      <c r="A1427" s="35" t="n"/>
      <c r="B1427" s="31" t="n"/>
      <c r="C1427" s="19">
        <f>IF(B1427="","",IF(COUNTIF(Config!$D$6:$D$15,B1427)&gt;0,"Entrada",IF(COUNTIF(Config!$F$6:$F$25,B1427)&gt;0,"Saída","Categoria inválida")))</f>
        <v/>
      </c>
      <c r="D1427" s="31" t="n"/>
      <c r="E1427" s="33" t="n"/>
      <c r="F1427" s="36" t="n"/>
      <c r="G1427" s="31" t="n"/>
      <c r="H1427" s="37">
        <f>IF(A1427="","",(YEAR(A1427)-YEAR(Config!$B$6))*12+MONTH(A1427)-MONTH(Config!$B$6)+1)</f>
        <v/>
      </c>
      <c r="I1427" s="19">
        <f>IF(AND(A1427="",B1427="",E1427=""),"",IF(A1427="","Falta data",IF(B1427="","Falta categoria",IF(E1427="","Falta valor",IF(C1427="Categoria inválida","Categoria inválida",IF(OR(H1427&lt;1,H1427&gt;12),"Fora dos 12 meses","OK"))))))</f>
        <v/>
      </c>
    </row>
    <row r="1428">
      <c r="A1428" s="35" t="n"/>
      <c r="B1428" s="31" t="n"/>
      <c r="C1428" s="19">
        <f>IF(B1428="","",IF(COUNTIF(Config!$D$6:$D$15,B1428)&gt;0,"Entrada",IF(COUNTIF(Config!$F$6:$F$25,B1428)&gt;0,"Saída","Categoria inválida")))</f>
        <v/>
      </c>
      <c r="D1428" s="31" t="n"/>
      <c r="E1428" s="33" t="n"/>
      <c r="F1428" s="36" t="n"/>
      <c r="G1428" s="31" t="n"/>
      <c r="H1428" s="37">
        <f>IF(A1428="","",(YEAR(A1428)-YEAR(Config!$B$6))*12+MONTH(A1428)-MONTH(Config!$B$6)+1)</f>
        <v/>
      </c>
      <c r="I1428" s="19">
        <f>IF(AND(A1428="",B1428="",E1428=""),"",IF(A1428="","Falta data",IF(B1428="","Falta categoria",IF(E1428="","Falta valor",IF(C1428="Categoria inválida","Categoria inválida",IF(OR(H1428&lt;1,H1428&gt;12),"Fora dos 12 meses","OK"))))))</f>
        <v/>
      </c>
    </row>
    <row r="1429">
      <c r="A1429" s="35" t="n"/>
      <c r="B1429" s="31" t="n"/>
      <c r="C1429" s="19">
        <f>IF(B1429="","",IF(COUNTIF(Config!$D$6:$D$15,B1429)&gt;0,"Entrada",IF(COUNTIF(Config!$F$6:$F$25,B1429)&gt;0,"Saída","Categoria inválida")))</f>
        <v/>
      </c>
      <c r="D1429" s="31" t="n"/>
      <c r="E1429" s="33" t="n"/>
      <c r="F1429" s="36" t="n"/>
      <c r="G1429" s="31" t="n"/>
      <c r="H1429" s="37">
        <f>IF(A1429="","",(YEAR(A1429)-YEAR(Config!$B$6))*12+MONTH(A1429)-MONTH(Config!$B$6)+1)</f>
        <v/>
      </c>
      <c r="I1429" s="19">
        <f>IF(AND(A1429="",B1429="",E1429=""),"",IF(A1429="","Falta data",IF(B1429="","Falta categoria",IF(E1429="","Falta valor",IF(C1429="Categoria inválida","Categoria inválida",IF(OR(H1429&lt;1,H1429&gt;12),"Fora dos 12 meses","OK"))))))</f>
        <v/>
      </c>
    </row>
    <row r="1430">
      <c r="A1430" s="35" t="n"/>
      <c r="B1430" s="31" t="n"/>
      <c r="C1430" s="19">
        <f>IF(B1430="","",IF(COUNTIF(Config!$D$6:$D$15,B1430)&gt;0,"Entrada",IF(COUNTIF(Config!$F$6:$F$25,B1430)&gt;0,"Saída","Categoria inválida")))</f>
        <v/>
      </c>
      <c r="D1430" s="31" t="n"/>
      <c r="E1430" s="33" t="n"/>
      <c r="F1430" s="36" t="n"/>
      <c r="G1430" s="31" t="n"/>
      <c r="H1430" s="37">
        <f>IF(A1430="","",(YEAR(A1430)-YEAR(Config!$B$6))*12+MONTH(A1430)-MONTH(Config!$B$6)+1)</f>
        <v/>
      </c>
      <c r="I1430" s="19">
        <f>IF(AND(A1430="",B1430="",E1430=""),"",IF(A1430="","Falta data",IF(B1430="","Falta categoria",IF(E1430="","Falta valor",IF(C1430="Categoria inválida","Categoria inválida",IF(OR(H1430&lt;1,H1430&gt;12),"Fora dos 12 meses","OK"))))))</f>
        <v/>
      </c>
    </row>
    <row r="1431">
      <c r="A1431" s="35" t="n"/>
      <c r="B1431" s="31" t="n"/>
      <c r="C1431" s="19">
        <f>IF(B1431="","",IF(COUNTIF(Config!$D$6:$D$15,B1431)&gt;0,"Entrada",IF(COUNTIF(Config!$F$6:$F$25,B1431)&gt;0,"Saída","Categoria inválida")))</f>
        <v/>
      </c>
      <c r="D1431" s="31" t="n"/>
      <c r="E1431" s="33" t="n"/>
      <c r="F1431" s="36" t="n"/>
      <c r="G1431" s="31" t="n"/>
      <c r="H1431" s="37">
        <f>IF(A1431="","",(YEAR(A1431)-YEAR(Config!$B$6))*12+MONTH(A1431)-MONTH(Config!$B$6)+1)</f>
        <v/>
      </c>
      <c r="I1431" s="19">
        <f>IF(AND(A1431="",B1431="",E1431=""),"",IF(A1431="","Falta data",IF(B1431="","Falta categoria",IF(E1431="","Falta valor",IF(C1431="Categoria inválida","Categoria inválida",IF(OR(H1431&lt;1,H1431&gt;12),"Fora dos 12 meses","OK"))))))</f>
        <v/>
      </c>
    </row>
    <row r="1432">
      <c r="A1432" s="35" t="n"/>
      <c r="B1432" s="31" t="n"/>
      <c r="C1432" s="19">
        <f>IF(B1432="","",IF(COUNTIF(Config!$D$6:$D$15,B1432)&gt;0,"Entrada",IF(COUNTIF(Config!$F$6:$F$25,B1432)&gt;0,"Saída","Categoria inválida")))</f>
        <v/>
      </c>
      <c r="D1432" s="31" t="n"/>
      <c r="E1432" s="33" t="n"/>
      <c r="F1432" s="36" t="n"/>
      <c r="G1432" s="31" t="n"/>
      <c r="H1432" s="37">
        <f>IF(A1432="","",(YEAR(A1432)-YEAR(Config!$B$6))*12+MONTH(A1432)-MONTH(Config!$B$6)+1)</f>
        <v/>
      </c>
      <c r="I1432" s="19">
        <f>IF(AND(A1432="",B1432="",E1432=""),"",IF(A1432="","Falta data",IF(B1432="","Falta categoria",IF(E1432="","Falta valor",IF(C1432="Categoria inválida","Categoria inválida",IF(OR(H1432&lt;1,H1432&gt;12),"Fora dos 12 meses","OK"))))))</f>
        <v/>
      </c>
    </row>
    <row r="1433">
      <c r="A1433" s="35" t="n"/>
      <c r="B1433" s="31" t="n"/>
      <c r="C1433" s="19">
        <f>IF(B1433="","",IF(COUNTIF(Config!$D$6:$D$15,B1433)&gt;0,"Entrada",IF(COUNTIF(Config!$F$6:$F$25,B1433)&gt;0,"Saída","Categoria inválida")))</f>
        <v/>
      </c>
      <c r="D1433" s="31" t="n"/>
      <c r="E1433" s="33" t="n"/>
      <c r="F1433" s="36" t="n"/>
      <c r="G1433" s="31" t="n"/>
      <c r="H1433" s="37">
        <f>IF(A1433="","",(YEAR(A1433)-YEAR(Config!$B$6))*12+MONTH(A1433)-MONTH(Config!$B$6)+1)</f>
        <v/>
      </c>
      <c r="I1433" s="19">
        <f>IF(AND(A1433="",B1433="",E1433=""),"",IF(A1433="","Falta data",IF(B1433="","Falta categoria",IF(E1433="","Falta valor",IF(C1433="Categoria inválida","Categoria inválida",IF(OR(H1433&lt;1,H1433&gt;12),"Fora dos 12 meses","OK"))))))</f>
        <v/>
      </c>
    </row>
    <row r="1434">
      <c r="A1434" s="35" t="n"/>
      <c r="B1434" s="31" t="n"/>
      <c r="C1434" s="19">
        <f>IF(B1434="","",IF(COUNTIF(Config!$D$6:$D$15,B1434)&gt;0,"Entrada",IF(COUNTIF(Config!$F$6:$F$25,B1434)&gt;0,"Saída","Categoria inválida")))</f>
        <v/>
      </c>
      <c r="D1434" s="31" t="n"/>
      <c r="E1434" s="33" t="n"/>
      <c r="F1434" s="36" t="n"/>
      <c r="G1434" s="31" t="n"/>
      <c r="H1434" s="37">
        <f>IF(A1434="","",(YEAR(A1434)-YEAR(Config!$B$6))*12+MONTH(A1434)-MONTH(Config!$B$6)+1)</f>
        <v/>
      </c>
      <c r="I1434" s="19">
        <f>IF(AND(A1434="",B1434="",E1434=""),"",IF(A1434="","Falta data",IF(B1434="","Falta categoria",IF(E1434="","Falta valor",IF(C1434="Categoria inválida","Categoria inválida",IF(OR(H1434&lt;1,H1434&gt;12),"Fora dos 12 meses","OK"))))))</f>
        <v/>
      </c>
    </row>
    <row r="1435">
      <c r="A1435" s="35" t="n"/>
      <c r="B1435" s="31" t="n"/>
      <c r="C1435" s="19">
        <f>IF(B1435="","",IF(COUNTIF(Config!$D$6:$D$15,B1435)&gt;0,"Entrada",IF(COUNTIF(Config!$F$6:$F$25,B1435)&gt;0,"Saída","Categoria inválida")))</f>
        <v/>
      </c>
      <c r="D1435" s="31" t="n"/>
      <c r="E1435" s="33" t="n"/>
      <c r="F1435" s="36" t="n"/>
      <c r="G1435" s="31" t="n"/>
      <c r="H1435" s="37">
        <f>IF(A1435="","",(YEAR(A1435)-YEAR(Config!$B$6))*12+MONTH(A1435)-MONTH(Config!$B$6)+1)</f>
        <v/>
      </c>
      <c r="I1435" s="19">
        <f>IF(AND(A1435="",B1435="",E1435=""),"",IF(A1435="","Falta data",IF(B1435="","Falta categoria",IF(E1435="","Falta valor",IF(C1435="Categoria inválida","Categoria inválida",IF(OR(H1435&lt;1,H1435&gt;12),"Fora dos 12 meses","OK"))))))</f>
        <v/>
      </c>
    </row>
    <row r="1436">
      <c r="A1436" s="35" t="n"/>
      <c r="B1436" s="31" t="n"/>
      <c r="C1436" s="19">
        <f>IF(B1436="","",IF(COUNTIF(Config!$D$6:$D$15,B1436)&gt;0,"Entrada",IF(COUNTIF(Config!$F$6:$F$25,B1436)&gt;0,"Saída","Categoria inválida")))</f>
        <v/>
      </c>
      <c r="D1436" s="31" t="n"/>
      <c r="E1436" s="33" t="n"/>
      <c r="F1436" s="36" t="n"/>
      <c r="G1436" s="31" t="n"/>
      <c r="H1436" s="37">
        <f>IF(A1436="","",(YEAR(A1436)-YEAR(Config!$B$6))*12+MONTH(A1436)-MONTH(Config!$B$6)+1)</f>
        <v/>
      </c>
      <c r="I1436" s="19">
        <f>IF(AND(A1436="",B1436="",E1436=""),"",IF(A1436="","Falta data",IF(B1436="","Falta categoria",IF(E1436="","Falta valor",IF(C1436="Categoria inválida","Categoria inválida",IF(OR(H1436&lt;1,H1436&gt;12),"Fora dos 12 meses","OK"))))))</f>
        <v/>
      </c>
    </row>
    <row r="1437">
      <c r="A1437" s="35" t="n"/>
      <c r="B1437" s="31" t="n"/>
      <c r="C1437" s="19">
        <f>IF(B1437="","",IF(COUNTIF(Config!$D$6:$D$15,B1437)&gt;0,"Entrada",IF(COUNTIF(Config!$F$6:$F$25,B1437)&gt;0,"Saída","Categoria inválida")))</f>
        <v/>
      </c>
      <c r="D1437" s="31" t="n"/>
      <c r="E1437" s="33" t="n"/>
      <c r="F1437" s="36" t="n"/>
      <c r="G1437" s="31" t="n"/>
      <c r="H1437" s="37">
        <f>IF(A1437="","",(YEAR(A1437)-YEAR(Config!$B$6))*12+MONTH(A1437)-MONTH(Config!$B$6)+1)</f>
        <v/>
      </c>
      <c r="I1437" s="19">
        <f>IF(AND(A1437="",B1437="",E1437=""),"",IF(A1437="","Falta data",IF(B1437="","Falta categoria",IF(E1437="","Falta valor",IF(C1437="Categoria inválida","Categoria inválida",IF(OR(H1437&lt;1,H1437&gt;12),"Fora dos 12 meses","OK"))))))</f>
        <v/>
      </c>
    </row>
    <row r="1438">
      <c r="A1438" s="35" t="n"/>
      <c r="B1438" s="31" t="n"/>
      <c r="C1438" s="19">
        <f>IF(B1438="","",IF(COUNTIF(Config!$D$6:$D$15,B1438)&gt;0,"Entrada",IF(COUNTIF(Config!$F$6:$F$25,B1438)&gt;0,"Saída","Categoria inválida")))</f>
        <v/>
      </c>
      <c r="D1438" s="31" t="n"/>
      <c r="E1438" s="33" t="n"/>
      <c r="F1438" s="36" t="n"/>
      <c r="G1438" s="31" t="n"/>
      <c r="H1438" s="37">
        <f>IF(A1438="","",(YEAR(A1438)-YEAR(Config!$B$6))*12+MONTH(A1438)-MONTH(Config!$B$6)+1)</f>
        <v/>
      </c>
      <c r="I1438" s="19">
        <f>IF(AND(A1438="",B1438="",E1438=""),"",IF(A1438="","Falta data",IF(B1438="","Falta categoria",IF(E1438="","Falta valor",IF(C1438="Categoria inválida","Categoria inválida",IF(OR(H1438&lt;1,H1438&gt;12),"Fora dos 12 meses","OK"))))))</f>
        <v/>
      </c>
    </row>
    <row r="1439">
      <c r="A1439" s="35" t="n"/>
      <c r="B1439" s="31" t="n"/>
      <c r="C1439" s="19">
        <f>IF(B1439="","",IF(COUNTIF(Config!$D$6:$D$15,B1439)&gt;0,"Entrada",IF(COUNTIF(Config!$F$6:$F$25,B1439)&gt;0,"Saída","Categoria inválida")))</f>
        <v/>
      </c>
      <c r="D1439" s="31" t="n"/>
      <c r="E1439" s="33" t="n"/>
      <c r="F1439" s="36" t="n"/>
      <c r="G1439" s="31" t="n"/>
      <c r="H1439" s="37">
        <f>IF(A1439="","",(YEAR(A1439)-YEAR(Config!$B$6))*12+MONTH(A1439)-MONTH(Config!$B$6)+1)</f>
        <v/>
      </c>
      <c r="I1439" s="19">
        <f>IF(AND(A1439="",B1439="",E1439=""),"",IF(A1439="","Falta data",IF(B1439="","Falta categoria",IF(E1439="","Falta valor",IF(C1439="Categoria inválida","Categoria inválida",IF(OR(H1439&lt;1,H1439&gt;12),"Fora dos 12 meses","OK"))))))</f>
        <v/>
      </c>
    </row>
    <row r="1440">
      <c r="A1440" s="35" t="n"/>
      <c r="B1440" s="31" t="n"/>
      <c r="C1440" s="19">
        <f>IF(B1440="","",IF(COUNTIF(Config!$D$6:$D$15,B1440)&gt;0,"Entrada",IF(COUNTIF(Config!$F$6:$F$25,B1440)&gt;0,"Saída","Categoria inválida")))</f>
        <v/>
      </c>
      <c r="D1440" s="31" t="n"/>
      <c r="E1440" s="33" t="n"/>
      <c r="F1440" s="36" t="n"/>
      <c r="G1440" s="31" t="n"/>
      <c r="H1440" s="37">
        <f>IF(A1440="","",(YEAR(A1440)-YEAR(Config!$B$6))*12+MONTH(A1440)-MONTH(Config!$B$6)+1)</f>
        <v/>
      </c>
      <c r="I1440" s="19">
        <f>IF(AND(A1440="",B1440="",E1440=""),"",IF(A1440="","Falta data",IF(B1440="","Falta categoria",IF(E1440="","Falta valor",IF(C1440="Categoria inválida","Categoria inválida",IF(OR(H1440&lt;1,H1440&gt;12),"Fora dos 12 meses","OK"))))))</f>
        <v/>
      </c>
    </row>
    <row r="1441">
      <c r="A1441" s="35" t="n"/>
      <c r="B1441" s="31" t="n"/>
      <c r="C1441" s="19">
        <f>IF(B1441="","",IF(COUNTIF(Config!$D$6:$D$15,B1441)&gt;0,"Entrada",IF(COUNTIF(Config!$F$6:$F$25,B1441)&gt;0,"Saída","Categoria inválida")))</f>
        <v/>
      </c>
      <c r="D1441" s="31" t="n"/>
      <c r="E1441" s="33" t="n"/>
      <c r="F1441" s="36" t="n"/>
      <c r="G1441" s="31" t="n"/>
      <c r="H1441" s="37">
        <f>IF(A1441="","",(YEAR(A1441)-YEAR(Config!$B$6))*12+MONTH(A1441)-MONTH(Config!$B$6)+1)</f>
        <v/>
      </c>
      <c r="I1441" s="19">
        <f>IF(AND(A1441="",B1441="",E1441=""),"",IF(A1441="","Falta data",IF(B1441="","Falta categoria",IF(E1441="","Falta valor",IF(C1441="Categoria inválida","Categoria inválida",IF(OR(H1441&lt;1,H1441&gt;12),"Fora dos 12 meses","OK"))))))</f>
        <v/>
      </c>
    </row>
    <row r="1442">
      <c r="A1442" s="35" t="n"/>
      <c r="B1442" s="31" t="n"/>
      <c r="C1442" s="19">
        <f>IF(B1442="","",IF(COUNTIF(Config!$D$6:$D$15,B1442)&gt;0,"Entrada",IF(COUNTIF(Config!$F$6:$F$25,B1442)&gt;0,"Saída","Categoria inválida")))</f>
        <v/>
      </c>
      <c r="D1442" s="31" t="n"/>
      <c r="E1442" s="33" t="n"/>
      <c r="F1442" s="36" t="n"/>
      <c r="G1442" s="31" t="n"/>
      <c r="H1442" s="37">
        <f>IF(A1442="","",(YEAR(A1442)-YEAR(Config!$B$6))*12+MONTH(A1442)-MONTH(Config!$B$6)+1)</f>
        <v/>
      </c>
      <c r="I1442" s="19">
        <f>IF(AND(A1442="",B1442="",E1442=""),"",IF(A1442="","Falta data",IF(B1442="","Falta categoria",IF(E1442="","Falta valor",IF(C1442="Categoria inválida","Categoria inválida",IF(OR(H1442&lt;1,H1442&gt;12),"Fora dos 12 meses","OK"))))))</f>
        <v/>
      </c>
    </row>
    <row r="1443">
      <c r="A1443" s="35" t="n"/>
      <c r="B1443" s="31" t="n"/>
      <c r="C1443" s="19">
        <f>IF(B1443="","",IF(COUNTIF(Config!$D$6:$D$15,B1443)&gt;0,"Entrada",IF(COUNTIF(Config!$F$6:$F$25,B1443)&gt;0,"Saída","Categoria inválida")))</f>
        <v/>
      </c>
      <c r="D1443" s="31" t="n"/>
      <c r="E1443" s="33" t="n"/>
      <c r="F1443" s="36" t="n"/>
      <c r="G1443" s="31" t="n"/>
      <c r="H1443" s="37">
        <f>IF(A1443="","",(YEAR(A1443)-YEAR(Config!$B$6))*12+MONTH(A1443)-MONTH(Config!$B$6)+1)</f>
        <v/>
      </c>
      <c r="I1443" s="19">
        <f>IF(AND(A1443="",B1443="",E1443=""),"",IF(A1443="","Falta data",IF(B1443="","Falta categoria",IF(E1443="","Falta valor",IF(C1443="Categoria inválida","Categoria inválida",IF(OR(H1443&lt;1,H1443&gt;12),"Fora dos 12 meses","OK"))))))</f>
        <v/>
      </c>
    </row>
    <row r="1444">
      <c r="A1444" s="35" t="n"/>
      <c r="B1444" s="31" t="n"/>
      <c r="C1444" s="19">
        <f>IF(B1444="","",IF(COUNTIF(Config!$D$6:$D$15,B1444)&gt;0,"Entrada",IF(COUNTIF(Config!$F$6:$F$25,B1444)&gt;0,"Saída","Categoria inválida")))</f>
        <v/>
      </c>
      <c r="D1444" s="31" t="n"/>
      <c r="E1444" s="33" t="n"/>
      <c r="F1444" s="36" t="n"/>
      <c r="G1444" s="31" t="n"/>
      <c r="H1444" s="37">
        <f>IF(A1444="","",(YEAR(A1444)-YEAR(Config!$B$6))*12+MONTH(A1444)-MONTH(Config!$B$6)+1)</f>
        <v/>
      </c>
      <c r="I1444" s="19">
        <f>IF(AND(A1444="",B1444="",E1444=""),"",IF(A1444="","Falta data",IF(B1444="","Falta categoria",IF(E1444="","Falta valor",IF(C1444="Categoria inválida","Categoria inválida",IF(OR(H1444&lt;1,H1444&gt;12),"Fora dos 12 meses","OK"))))))</f>
        <v/>
      </c>
    </row>
    <row r="1445">
      <c r="A1445" s="35" t="n"/>
      <c r="B1445" s="31" t="n"/>
      <c r="C1445" s="19">
        <f>IF(B1445="","",IF(COUNTIF(Config!$D$6:$D$15,B1445)&gt;0,"Entrada",IF(COUNTIF(Config!$F$6:$F$25,B1445)&gt;0,"Saída","Categoria inválida")))</f>
        <v/>
      </c>
      <c r="D1445" s="31" t="n"/>
      <c r="E1445" s="33" t="n"/>
      <c r="F1445" s="36" t="n"/>
      <c r="G1445" s="31" t="n"/>
      <c r="H1445" s="37">
        <f>IF(A1445="","",(YEAR(A1445)-YEAR(Config!$B$6))*12+MONTH(A1445)-MONTH(Config!$B$6)+1)</f>
        <v/>
      </c>
      <c r="I1445" s="19">
        <f>IF(AND(A1445="",B1445="",E1445=""),"",IF(A1445="","Falta data",IF(B1445="","Falta categoria",IF(E1445="","Falta valor",IF(C1445="Categoria inválida","Categoria inválida",IF(OR(H1445&lt;1,H1445&gt;12),"Fora dos 12 meses","OK"))))))</f>
        <v/>
      </c>
    </row>
    <row r="1446">
      <c r="A1446" s="35" t="n"/>
      <c r="B1446" s="31" t="n"/>
      <c r="C1446" s="19">
        <f>IF(B1446="","",IF(COUNTIF(Config!$D$6:$D$15,B1446)&gt;0,"Entrada",IF(COUNTIF(Config!$F$6:$F$25,B1446)&gt;0,"Saída","Categoria inválida")))</f>
        <v/>
      </c>
      <c r="D1446" s="31" t="n"/>
      <c r="E1446" s="33" t="n"/>
      <c r="F1446" s="36" t="n"/>
      <c r="G1446" s="31" t="n"/>
      <c r="H1446" s="37">
        <f>IF(A1446="","",(YEAR(A1446)-YEAR(Config!$B$6))*12+MONTH(A1446)-MONTH(Config!$B$6)+1)</f>
        <v/>
      </c>
      <c r="I1446" s="19">
        <f>IF(AND(A1446="",B1446="",E1446=""),"",IF(A1446="","Falta data",IF(B1446="","Falta categoria",IF(E1446="","Falta valor",IF(C1446="Categoria inválida","Categoria inválida",IF(OR(H1446&lt;1,H1446&gt;12),"Fora dos 12 meses","OK"))))))</f>
        <v/>
      </c>
    </row>
    <row r="1447">
      <c r="A1447" s="35" t="n"/>
      <c r="B1447" s="31" t="n"/>
      <c r="C1447" s="19">
        <f>IF(B1447="","",IF(COUNTIF(Config!$D$6:$D$15,B1447)&gt;0,"Entrada",IF(COUNTIF(Config!$F$6:$F$25,B1447)&gt;0,"Saída","Categoria inválida")))</f>
        <v/>
      </c>
      <c r="D1447" s="31" t="n"/>
      <c r="E1447" s="33" t="n"/>
      <c r="F1447" s="36" t="n"/>
      <c r="G1447" s="31" t="n"/>
      <c r="H1447" s="37">
        <f>IF(A1447="","",(YEAR(A1447)-YEAR(Config!$B$6))*12+MONTH(A1447)-MONTH(Config!$B$6)+1)</f>
        <v/>
      </c>
      <c r="I1447" s="19">
        <f>IF(AND(A1447="",B1447="",E1447=""),"",IF(A1447="","Falta data",IF(B1447="","Falta categoria",IF(E1447="","Falta valor",IF(C1447="Categoria inválida","Categoria inválida",IF(OR(H1447&lt;1,H1447&gt;12),"Fora dos 12 meses","OK"))))))</f>
        <v/>
      </c>
    </row>
    <row r="1448">
      <c r="A1448" s="35" t="n"/>
      <c r="B1448" s="31" t="n"/>
      <c r="C1448" s="19">
        <f>IF(B1448="","",IF(COUNTIF(Config!$D$6:$D$15,B1448)&gt;0,"Entrada",IF(COUNTIF(Config!$F$6:$F$25,B1448)&gt;0,"Saída","Categoria inválida")))</f>
        <v/>
      </c>
      <c r="D1448" s="31" t="n"/>
      <c r="E1448" s="33" t="n"/>
      <c r="F1448" s="36" t="n"/>
      <c r="G1448" s="31" t="n"/>
      <c r="H1448" s="37">
        <f>IF(A1448="","",(YEAR(A1448)-YEAR(Config!$B$6))*12+MONTH(A1448)-MONTH(Config!$B$6)+1)</f>
        <v/>
      </c>
      <c r="I1448" s="19">
        <f>IF(AND(A1448="",B1448="",E1448=""),"",IF(A1448="","Falta data",IF(B1448="","Falta categoria",IF(E1448="","Falta valor",IF(C1448="Categoria inválida","Categoria inválida",IF(OR(H1448&lt;1,H1448&gt;12),"Fora dos 12 meses","OK"))))))</f>
        <v/>
      </c>
    </row>
    <row r="1449">
      <c r="A1449" s="35" t="n"/>
      <c r="B1449" s="31" t="n"/>
      <c r="C1449" s="19">
        <f>IF(B1449="","",IF(COUNTIF(Config!$D$6:$D$15,B1449)&gt;0,"Entrada",IF(COUNTIF(Config!$F$6:$F$25,B1449)&gt;0,"Saída","Categoria inválida")))</f>
        <v/>
      </c>
      <c r="D1449" s="31" t="n"/>
      <c r="E1449" s="33" t="n"/>
      <c r="F1449" s="36" t="n"/>
      <c r="G1449" s="31" t="n"/>
      <c r="H1449" s="37">
        <f>IF(A1449="","",(YEAR(A1449)-YEAR(Config!$B$6))*12+MONTH(A1449)-MONTH(Config!$B$6)+1)</f>
        <v/>
      </c>
      <c r="I1449" s="19">
        <f>IF(AND(A1449="",B1449="",E1449=""),"",IF(A1449="","Falta data",IF(B1449="","Falta categoria",IF(E1449="","Falta valor",IF(C1449="Categoria inválida","Categoria inválida",IF(OR(H1449&lt;1,H1449&gt;12),"Fora dos 12 meses","OK"))))))</f>
        <v/>
      </c>
    </row>
    <row r="1450">
      <c r="A1450" s="35" t="n"/>
      <c r="B1450" s="31" t="n"/>
      <c r="C1450" s="19">
        <f>IF(B1450="","",IF(COUNTIF(Config!$D$6:$D$15,B1450)&gt;0,"Entrada",IF(COUNTIF(Config!$F$6:$F$25,B1450)&gt;0,"Saída","Categoria inválida")))</f>
        <v/>
      </c>
      <c r="D1450" s="31" t="n"/>
      <c r="E1450" s="33" t="n"/>
      <c r="F1450" s="36" t="n"/>
      <c r="G1450" s="31" t="n"/>
      <c r="H1450" s="37">
        <f>IF(A1450="","",(YEAR(A1450)-YEAR(Config!$B$6))*12+MONTH(A1450)-MONTH(Config!$B$6)+1)</f>
        <v/>
      </c>
      <c r="I1450" s="19">
        <f>IF(AND(A1450="",B1450="",E1450=""),"",IF(A1450="","Falta data",IF(B1450="","Falta categoria",IF(E1450="","Falta valor",IF(C1450="Categoria inválida","Categoria inválida",IF(OR(H1450&lt;1,H1450&gt;12),"Fora dos 12 meses","OK"))))))</f>
        <v/>
      </c>
    </row>
    <row r="1451">
      <c r="A1451" s="35" t="n"/>
      <c r="B1451" s="31" t="n"/>
      <c r="C1451" s="19">
        <f>IF(B1451="","",IF(COUNTIF(Config!$D$6:$D$15,B1451)&gt;0,"Entrada",IF(COUNTIF(Config!$F$6:$F$25,B1451)&gt;0,"Saída","Categoria inválida")))</f>
        <v/>
      </c>
      <c r="D1451" s="31" t="n"/>
      <c r="E1451" s="33" t="n"/>
      <c r="F1451" s="36" t="n"/>
      <c r="G1451" s="31" t="n"/>
      <c r="H1451" s="37">
        <f>IF(A1451="","",(YEAR(A1451)-YEAR(Config!$B$6))*12+MONTH(A1451)-MONTH(Config!$B$6)+1)</f>
        <v/>
      </c>
      <c r="I1451" s="19">
        <f>IF(AND(A1451="",B1451="",E1451=""),"",IF(A1451="","Falta data",IF(B1451="","Falta categoria",IF(E1451="","Falta valor",IF(C1451="Categoria inválida","Categoria inválida",IF(OR(H1451&lt;1,H1451&gt;12),"Fora dos 12 meses","OK"))))))</f>
        <v/>
      </c>
    </row>
    <row r="1452">
      <c r="A1452" s="35" t="n"/>
      <c r="B1452" s="31" t="n"/>
      <c r="C1452" s="19">
        <f>IF(B1452="","",IF(COUNTIF(Config!$D$6:$D$15,B1452)&gt;0,"Entrada",IF(COUNTIF(Config!$F$6:$F$25,B1452)&gt;0,"Saída","Categoria inválida")))</f>
        <v/>
      </c>
      <c r="D1452" s="31" t="n"/>
      <c r="E1452" s="33" t="n"/>
      <c r="F1452" s="36" t="n"/>
      <c r="G1452" s="31" t="n"/>
      <c r="H1452" s="37">
        <f>IF(A1452="","",(YEAR(A1452)-YEAR(Config!$B$6))*12+MONTH(A1452)-MONTH(Config!$B$6)+1)</f>
        <v/>
      </c>
      <c r="I1452" s="19">
        <f>IF(AND(A1452="",B1452="",E1452=""),"",IF(A1452="","Falta data",IF(B1452="","Falta categoria",IF(E1452="","Falta valor",IF(C1452="Categoria inválida","Categoria inválida",IF(OR(H1452&lt;1,H1452&gt;12),"Fora dos 12 meses","OK"))))))</f>
        <v/>
      </c>
    </row>
    <row r="1453">
      <c r="A1453" s="35" t="n"/>
      <c r="B1453" s="31" t="n"/>
      <c r="C1453" s="19">
        <f>IF(B1453="","",IF(COUNTIF(Config!$D$6:$D$15,B1453)&gt;0,"Entrada",IF(COUNTIF(Config!$F$6:$F$25,B1453)&gt;0,"Saída","Categoria inválida")))</f>
        <v/>
      </c>
      <c r="D1453" s="31" t="n"/>
      <c r="E1453" s="33" t="n"/>
      <c r="F1453" s="36" t="n"/>
      <c r="G1453" s="31" t="n"/>
      <c r="H1453" s="37">
        <f>IF(A1453="","",(YEAR(A1453)-YEAR(Config!$B$6))*12+MONTH(A1453)-MONTH(Config!$B$6)+1)</f>
        <v/>
      </c>
      <c r="I1453" s="19">
        <f>IF(AND(A1453="",B1453="",E1453=""),"",IF(A1453="","Falta data",IF(B1453="","Falta categoria",IF(E1453="","Falta valor",IF(C1453="Categoria inválida","Categoria inválida",IF(OR(H1453&lt;1,H1453&gt;12),"Fora dos 12 meses","OK"))))))</f>
        <v/>
      </c>
    </row>
    <row r="1454">
      <c r="A1454" s="35" t="n"/>
      <c r="B1454" s="31" t="n"/>
      <c r="C1454" s="19">
        <f>IF(B1454="","",IF(COUNTIF(Config!$D$6:$D$15,B1454)&gt;0,"Entrada",IF(COUNTIF(Config!$F$6:$F$25,B1454)&gt;0,"Saída","Categoria inválida")))</f>
        <v/>
      </c>
      <c r="D1454" s="31" t="n"/>
      <c r="E1454" s="33" t="n"/>
      <c r="F1454" s="36" t="n"/>
      <c r="G1454" s="31" t="n"/>
      <c r="H1454" s="37">
        <f>IF(A1454="","",(YEAR(A1454)-YEAR(Config!$B$6))*12+MONTH(A1454)-MONTH(Config!$B$6)+1)</f>
        <v/>
      </c>
      <c r="I1454" s="19">
        <f>IF(AND(A1454="",B1454="",E1454=""),"",IF(A1454="","Falta data",IF(B1454="","Falta categoria",IF(E1454="","Falta valor",IF(C1454="Categoria inválida","Categoria inválida",IF(OR(H1454&lt;1,H1454&gt;12),"Fora dos 12 meses","OK"))))))</f>
        <v/>
      </c>
    </row>
    <row r="1455">
      <c r="A1455" s="35" t="n"/>
      <c r="B1455" s="31" t="n"/>
      <c r="C1455" s="19">
        <f>IF(B1455="","",IF(COUNTIF(Config!$D$6:$D$15,B1455)&gt;0,"Entrada",IF(COUNTIF(Config!$F$6:$F$25,B1455)&gt;0,"Saída","Categoria inválida")))</f>
        <v/>
      </c>
      <c r="D1455" s="31" t="n"/>
      <c r="E1455" s="33" t="n"/>
      <c r="F1455" s="36" t="n"/>
      <c r="G1455" s="31" t="n"/>
      <c r="H1455" s="37">
        <f>IF(A1455="","",(YEAR(A1455)-YEAR(Config!$B$6))*12+MONTH(A1455)-MONTH(Config!$B$6)+1)</f>
        <v/>
      </c>
      <c r="I1455" s="19">
        <f>IF(AND(A1455="",B1455="",E1455=""),"",IF(A1455="","Falta data",IF(B1455="","Falta categoria",IF(E1455="","Falta valor",IF(C1455="Categoria inválida","Categoria inválida",IF(OR(H1455&lt;1,H1455&gt;12),"Fora dos 12 meses","OK"))))))</f>
        <v/>
      </c>
    </row>
    <row r="1456">
      <c r="A1456" s="35" t="n"/>
      <c r="B1456" s="31" t="n"/>
      <c r="C1456" s="19">
        <f>IF(B1456="","",IF(COUNTIF(Config!$D$6:$D$15,B1456)&gt;0,"Entrada",IF(COUNTIF(Config!$F$6:$F$25,B1456)&gt;0,"Saída","Categoria inválida")))</f>
        <v/>
      </c>
      <c r="D1456" s="31" t="n"/>
      <c r="E1456" s="33" t="n"/>
      <c r="F1456" s="36" t="n"/>
      <c r="G1456" s="31" t="n"/>
      <c r="H1456" s="37">
        <f>IF(A1456="","",(YEAR(A1456)-YEAR(Config!$B$6))*12+MONTH(A1456)-MONTH(Config!$B$6)+1)</f>
        <v/>
      </c>
      <c r="I1456" s="19">
        <f>IF(AND(A1456="",B1456="",E1456=""),"",IF(A1456="","Falta data",IF(B1456="","Falta categoria",IF(E1456="","Falta valor",IF(C1456="Categoria inválida","Categoria inválida",IF(OR(H1456&lt;1,H1456&gt;12),"Fora dos 12 meses","OK"))))))</f>
        <v/>
      </c>
    </row>
    <row r="1457">
      <c r="A1457" s="35" t="n"/>
      <c r="B1457" s="31" t="n"/>
      <c r="C1457" s="19">
        <f>IF(B1457="","",IF(COUNTIF(Config!$D$6:$D$15,B1457)&gt;0,"Entrada",IF(COUNTIF(Config!$F$6:$F$25,B1457)&gt;0,"Saída","Categoria inválida")))</f>
        <v/>
      </c>
      <c r="D1457" s="31" t="n"/>
      <c r="E1457" s="33" t="n"/>
      <c r="F1457" s="36" t="n"/>
      <c r="G1457" s="31" t="n"/>
      <c r="H1457" s="37">
        <f>IF(A1457="","",(YEAR(A1457)-YEAR(Config!$B$6))*12+MONTH(A1457)-MONTH(Config!$B$6)+1)</f>
        <v/>
      </c>
      <c r="I1457" s="19">
        <f>IF(AND(A1457="",B1457="",E1457=""),"",IF(A1457="","Falta data",IF(B1457="","Falta categoria",IF(E1457="","Falta valor",IF(C1457="Categoria inválida","Categoria inválida",IF(OR(H1457&lt;1,H1457&gt;12),"Fora dos 12 meses","OK"))))))</f>
        <v/>
      </c>
    </row>
    <row r="1458">
      <c r="A1458" s="35" t="n"/>
      <c r="B1458" s="31" t="n"/>
      <c r="C1458" s="19">
        <f>IF(B1458="","",IF(COUNTIF(Config!$D$6:$D$15,B1458)&gt;0,"Entrada",IF(COUNTIF(Config!$F$6:$F$25,B1458)&gt;0,"Saída","Categoria inválida")))</f>
        <v/>
      </c>
      <c r="D1458" s="31" t="n"/>
      <c r="E1458" s="33" t="n"/>
      <c r="F1458" s="36" t="n"/>
      <c r="G1458" s="31" t="n"/>
      <c r="H1458" s="37">
        <f>IF(A1458="","",(YEAR(A1458)-YEAR(Config!$B$6))*12+MONTH(A1458)-MONTH(Config!$B$6)+1)</f>
        <v/>
      </c>
      <c r="I1458" s="19">
        <f>IF(AND(A1458="",B1458="",E1458=""),"",IF(A1458="","Falta data",IF(B1458="","Falta categoria",IF(E1458="","Falta valor",IF(C1458="Categoria inválida","Categoria inválida",IF(OR(H1458&lt;1,H1458&gt;12),"Fora dos 12 meses","OK"))))))</f>
        <v/>
      </c>
    </row>
    <row r="1459">
      <c r="A1459" s="35" t="n"/>
      <c r="B1459" s="31" t="n"/>
      <c r="C1459" s="19">
        <f>IF(B1459="","",IF(COUNTIF(Config!$D$6:$D$15,B1459)&gt;0,"Entrada",IF(COUNTIF(Config!$F$6:$F$25,B1459)&gt;0,"Saída","Categoria inválida")))</f>
        <v/>
      </c>
      <c r="D1459" s="31" t="n"/>
      <c r="E1459" s="33" t="n"/>
      <c r="F1459" s="36" t="n"/>
      <c r="G1459" s="31" t="n"/>
      <c r="H1459" s="37">
        <f>IF(A1459="","",(YEAR(A1459)-YEAR(Config!$B$6))*12+MONTH(A1459)-MONTH(Config!$B$6)+1)</f>
        <v/>
      </c>
      <c r="I1459" s="19">
        <f>IF(AND(A1459="",B1459="",E1459=""),"",IF(A1459="","Falta data",IF(B1459="","Falta categoria",IF(E1459="","Falta valor",IF(C1459="Categoria inválida","Categoria inválida",IF(OR(H1459&lt;1,H1459&gt;12),"Fora dos 12 meses","OK"))))))</f>
        <v/>
      </c>
    </row>
    <row r="1460">
      <c r="A1460" s="35" t="n"/>
      <c r="B1460" s="31" t="n"/>
      <c r="C1460" s="19">
        <f>IF(B1460="","",IF(COUNTIF(Config!$D$6:$D$15,B1460)&gt;0,"Entrada",IF(COUNTIF(Config!$F$6:$F$25,B1460)&gt;0,"Saída","Categoria inválida")))</f>
        <v/>
      </c>
      <c r="D1460" s="31" t="n"/>
      <c r="E1460" s="33" t="n"/>
      <c r="F1460" s="36" t="n"/>
      <c r="G1460" s="31" t="n"/>
      <c r="H1460" s="37">
        <f>IF(A1460="","",(YEAR(A1460)-YEAR(Config!$B$6))*12+MONTH(A1460)-MONTH(Config!$B$6)+1)</f>
        <v/>
      </c>
      <c r="I1460" s="19">
        <f>IF(AND(A1460="",B1460="",E1460=""),"",IF(A1460="","Falta data",IF(B1460="","Falta categoria",IF(E1460="","Falta valor",IF(C1460="Categoria inválida","Categoria inválida",IF(OR(H1460&lt;1,H1460&gt;12),"Fora dos 12 meses","OK"))))))</f>
        <v/>
      </c>
    </row>
    <row r="1461">
      <c r="A1461" s="35" t="n"/>
      <c r="B1461" s="31" t="n"/>
      <c r="C1461" s="19">
        <f>IF(B1461="","",IF(COUNTIF(Config!$D$6:$D$15,B1461)&gt;0,"Entrada",IF(COUNTIF(Config!$F$6:$F$25,B1461)&gt;0,"Saída","Categoria inválida")))</f>
        <v/>
      </c>
      <c r="D1461" s="31" t="n"/>
      <c r="E1461" s="33" t="n"/>
      <c r="F1461" s="36" t="n"/>
      <c r="G1461" s="31" t="n"/>
      <c r="H1461" s="37">
        <f>IF(A1461="","",(YEAR(A1461)-YEAR(Config!$B$6))*12+MONTH(A1461)-MONTH(Config!$B$6)+1)</f>
        <v/>
      </c>
      <c r="I1461" s="19">
        <f>IF(AND(A1461="",B1461="",E1461=""),"",IF(A1461="","Falta data",IF(B1461="","Falta categoria",IF(E1461="","Falta valor",IF(C1461="Categoria inválida","Categoria inválida",IF(OR(H1461&lt;1,H1461&gt;12),"Fora dos 12 meses","OK"))))))</f>
        <v/>
      </c>
    </row>
    <row r="1462">
      <c r="A1462" s="35" t="n"/>
      <c r="B1462" s="31" t="n"/>
      <c r="C1462" s="19">
        <f>IF(B1462="","",IF(COUNTIF(Config!$D$6:$D$15,B1462)&gt;0,"Entrada",IF(COUNTIF(Config!$F$6:$F$25,B1462)&gt;0,"Saída","Categoria inválida")))</f>
        <v/>
      </c>
      <c r="D1462" s="31" t="n"/>
      <c r="E1462" s="33" t="n"/>
      <c r="F1462" s="36" t="n"/>
      <c r="G1462" s="31" t="n"/>
      <c r="H1462" s="37">
        <f>IF(A1462="","",(YEAR(A1462)-YEAR(Config!$B$6))*12+MONTH(A1462)-MONTH(Config!$B$6)+1)</f>
        <v/>
      </c>
      <c r="I1462" s="19">
        <f>IF(AND(A1462="",B1462="",E1462=""),"",IF(A1462="","Falta data",IF(B1462="","Falta categoria",IF(E1462="","Falta valor",IF(C1462="Categoria inválida","Categoria inválida",IF(OR(H1462&lt;1,H1462&gt;12),"Fora dos 12 meses","OK"))))))</f>
        <v/>
      </c>
    </row>
    <row r="1463">
      <c r="A1463" s="35" t="n"/>
      <c r="B1463" s="31" t="n"/>
      <c r="C1463" s="19">
        <f>IF(B1463="","",IF(COUNTIF(Config!$D$6:$D$15,B1463)&gt;0,"Entrada",IF(COUNTIF(Config!$F$6:$F$25,B1463)&gt;0,"Saída","Categoria inválida")))</f>
        <v/>
      </c>
      <c r="D1463" s="31" t="n"/>
      <c r="E1463" s="33" t="n"/>
      <c r="F1463" s="36" t="n"/>
      <c r="G1463" s="31" t="n"/>
      <c r="H1463" s="37">
        <f>IF(A1463="","",(YEAR(A1463)-YEAR(Config!$B$6))*12+MONTH(A1463)-MONTH(Config!$B$6)+1)</f>
        <v/>
      </c>
      <c r="I1463" s="19">
        <f>IF(AND(A1463="",B1463="",E1463=""),"",IF(A1463="","Falta data",IF(B1463="","Falta categoria",IF(E1463="","Falta valor",IF(C1463="Categoria inválida","Categoria inválida",IF(OR(H1463&lt;1,H1463&gt;12),"Fora dos 12 meses","OK"))))))</f>
        <v/>
      </c>
    </row>
    <row r="1464">
      <c r="A1464" s="35" t="n"/>
      <c r="B1464" s="31" t="n"/>
      <c r="C1464" s="19">
        <f>IF(B1464="","",IF(COUNTIF(Config!$D$6:$D$15,B1464)&gt;0,"Entrada",IF(COUNTIF(Config!$F$6:$F$25,B1464)&gt;0,"Saída","Categoria inválida")))</f>
        <v/>
      </c>
      <c r="D1464" s="31" t="n"/>
      <c r="E1464" s="33" t="n"/>
      <c r="F1464" s="36" t="n"/>
      <c r="G1464" s="31" t="n"/>
      <c r="H1464" s="37">
        <f>IF(A1464="","",(YEAR(A1464)-YEAR(Config!$B$6))*12+MONTH(A1464)-MONTH(Config!$B$6)+1)</f>
        <v/>
      </c>
      <c r="I1464" s="19">
        <f>IF(AND(A1464="",B1464="",E1464=""),"",IF(A1464="","Falta data",IF(B1464="","Falta categoria",IF(E1464="","Falta valor",IF(C1464="Categoria inválida","Categoria inválida",IF(OR(H1464&lt;1,H1464&gt;12),"Fora dos 12 meses","OK"))))))</f>
        <v/>
      </c>
    </row>
    <row r="1465">
      <c r="A1465" s="35" t="n"/>
      <c r="B1465" s="31" t="n"/>
      <c r="C1465" s="19">
        <f>IF(B1465="","",IF(COUNTIF(Config!$D$6:$D$15,B1465)&gt;0,"Entrada",IF(COUNTIF(Config!$F$6:$F$25,B1465)&gt;0,"Saída","Categoria inválida")))</f>
        <v/>
      </c>
      <c r="D1465" s="31" t="n"/>
      <c r="E1465" s="33" t="n"/>
      <c r="F1465" s="36" t="n"/>
      <c r="G1465" s="31" t="n"/>
      <c r="H1465" s="37">
        <f>IF(A1465="","",(YEAR(A1465)-YEAR(Config!$B$6))*12+MONTH(A1465)-MONTH(Config!$B$6)+1)</f>
        <v/>
      </c>
      <c r="I1465" s="19">
        <f>IF(AND(A1465="",B1465="",E1465=""),"",IF(A1465="","Falta data",IF(B1465="","Falta categoria",IF(E1465="","Falta valor",IF(C1465="Categoria inválida","Categoria inválida",IF(OR(H1465&lt;1,H1465&gt;12),"Fora dos 12 meses","OK"))))))</f>
        <v/>
      </c>
    </row>
    <row r="1466">
      <c r="A1466" s="35" t="n"/>
      <c r="B1466" s="31" t="n"/>
      <c r="C1466" s="19">
        <f>IF(B1466="","",IF(COUNTIF(Config!$D$6:$D$15,B1466)&gt;0,"Entrada",IF(COUNTIF(Config!$F$6:$F$25,B1466)&gt;0,"Saída","Categoria inválida")))</f>
        <v/>
      </c>
      <c r="D1466" s="31" t="n"/>
      <c r="E1466" s="33" t="n"/>
      <c r="F1466" s="36" t="n"/>
      <c r="G1466" s="31" t="n"/>
      <c r="H1466" s="37">
        <f>IF(A1466="","",(YEAR(A1466)-YEAR(Config!$B$6))*12+MONTH(A1466)-MONTH(Config!$B$6)+1)</f>
        <v/>
      </c>
      <c r="I1466" s="19">
        <f>IF(AND(A1466="",B1466="",E1466=""),"",IF(A1466="","Falta data",IF(B1466="","Falta categoria",IF(E1466="","Falta valor",IF(C1466="Categoria inválida","Categoria inválida",IF(OR(H1466&lt;1,H1466&gt;12),"Fora dos 12 meses","OK"))))))</f>
        <v/>
      </c>
    </row>
    <row r="1467">
      <c r="A1467" s="35" t="n"/>
      <c r="B1467" s="31" t="n"/>
      <c r="C1467" s="19">
        <f>IF(B1467="","",IF(COUNTIF(Config!$D$6:$D$15,B1467)&gt;0,"Entrada",IF(COUNTIF(Config!$F$6:$F$25,B1467)&gt;0,"Saída","Categoria inválida")))</f>
        <v/>
      </c>
      <c r="D1467" s="31" t="n"/>
      <c r="E1467" s="33" t="n"/>
      <c r="F1467" s="36" t="n"/>
      <c r="G1467" s="31" t="n"/>
      <c r="H1467" s="37">
        <f>IF(A1467="","",(YEAR(A1467)-YEAR(Config!$B$6))*12+MONTH(A1467)-MONTH(Config!$B$6)+1)</f>
        <v/>
      </c>
      <c r="I1467" s="19">
        <f>IF(AND(A1467="",B1467="",E1467=""),"",IF(A1467="","Falta data",IF(B1467="","Falta categoria",IF(E1467="","Falta valor",IF(C1467="Categoria inválida","Categoria inválida",IF(OR(H1467&lt;1,H1467&gt;12),"Fora dos 12 meses","OK"))))))</f>
        <v/>
      </c>
    </row>
    <row r="1468">
      <c r="A1468" s="35" t="n"/>
      <c r="B1468" s="31" t="n"/>
      <c r="C1468" s="19">
        <f>IF(B1468="","",IF(COUNTIF(Config!$D$6:$D$15,B1468)&gt;0,"Entrada",IF(COUNTIF(Config!$F$6:$F$25,B1468)&gt;0,"Saída","Categoria inválida")))</f>
        <v/>
      </c>
      <c r="D1468" s="31" t="n"/>
      <c r="E1468" s="33" t="n"/>
      <c r="F1468" s="36" t="n"/>
      <c r="G1468" s="31" t="n"/>
      <c r="H1468" s="37">
        <f>IF(A1468="","",(YEAR(A1468)-YEAR(Config!$B$6))*12+MONTH(A1468)-MONTH(Config!$B$6)+1)</f>
        <v/>
      </c>
      <c r="I1468" s="19">
        <f>IF(AND(A1468="",B1468="",E1468=""),"",IF(A1468="","Falta data",IF(B1468="","Falta categoria",IF(E1468="","Falta valor",IF(C1468="Categoria inválida","Categoria inválida",IF(OR(H1468&lt;1,H1468&gt;12),"Fora dos 12 meses","OK"))))))</f>
        <v/>
      </c>
    </row>
    <row r="1469">
      <c r="A1469" s="35" t="n"/>
      <c r="B1469" s="31" t="n"/>
      <c r="C1469" s="19">
        <f>IF(B1469="","",IF(COUNTIF(Config!$D$6:$D$15,B1469)&gt;0,"Entrada",IF(COUNTIF(Config!$F$6:$F$25,B1469)&gt;0,"Saída","Categoria inválida")))</f>
        <v/>
      </c>
      <c r="D1469" s="31" t="n"/>
      <c r="E1469" s="33" t="n"/>
      <c r="F1469" s="36" t="n"/>
      <c r="G1469" s="31" t="n"/>
      <c r="H1469" s="37">
        <f>IF(A1469="","",(YEAR(A1469)-YEAR(Config!$B$6))*12+MONTH(A1469)-MONTH(Config!$B$6)+1)</f>
        <v/>
      </c>
      <c r="I1469" s="19">
        <f>IF(AND(A1469="",B1469="",E1469=""),"",IF(A1469="","Falta data",IF(B1469="","Falta categoria",IF(E1469="","Falta valor",IF(C1469="Categoria inválida","Categoria inválida",IF(OR(H1469&lt;1,H1469&gt;12),"Fora dos 12 meses","OK"))))))</f>
        <v/>
      </c>
    </row>
    <row r="1470">
      <c r="A1470" s="35" t="n"/>
      <c r="B1470" s="31" t="n"/>
      <c r="C1470" s="19">
        <f>IF(B1470="","",IF(COUNTIF(Config!$D$6:$D$15,B1470)&gt;0,"Entrada",IF(COUNTIF(Config!$F$6:$F$25,B1470)&gt;0,"Saída","Categoria inválida")))</f>
        <v/>
      </c>
      <c r="D1470" s="31" t="n"/>
      <c r="E1470" s="33" t="n"/>
      <c r="F1470" s="36" t="n"/>
      <c r="G1470" s="31" t="n"/>
      <c r="H1470" s="37">
        <f>IF(A1470="","",(YEAR(A1470)-YEAR(Config!$B$6))*12+MONTH(A1470)-MONTH(Config!$B$6)+1)</f>
        <v/>
      </c>
      <c r="I1470" s="19">
        <f>IF(AND(A1470="",B1470="",E1470=""),"",IF(A1470="","Falta data",IF(B1470="","Falta categoria",IF(E1470="","Falta valor",IF(C1470="Categoria inválida","Categoria inválida",IF(OR(H1470&lt;1,H1470&gt;12),"Fora dos 12 meses","OK"))))))</f>
        <v/>
      </c>
    </row>
    <row r="1471">
      <c r="A1471" s="35" t="n"/>
      <c r="B1471" s="31" t="n"/>
      <c r="C1471" s="19">
        <f>IF(B1471="","",IF(COUNTIF(Config!$D$6:$D$15,B1471)&gt;0,"Entrada",IF(COUNTIF(Config!$F$6:$F$25,B1471)&gt;0,"Saída","Categoria inválida")))</f>
        <v/>
      </c>
      <c r="D1471" s="31" t="n"/>
      <c r="E1471" s="33" t="n"/>
      <c r="F1471" s="36" t="n"/>
      <c r="G1471" s="31" t="n"/>
      <c r="H1471" s="37">
        <f>IF(A1471="","",(YEAR(A1471)-YEAR(Config!$B$6))*12+MONTH(A1471)-MONTH(Config!$B$6)+1)</f>
        <v/>
      </c>
      <c r="I1471" s="19">
        <f>IF(AND(A1471="",B1471="",E1471=""),"",IF(A1471="","Falta data",IF(B1471="","Falta categoria",IF(E1471="","Falta valor",IF(C1471="Categoria inválida","Categoria inválida",IF(OR(H1471&lt;1,H1471&gt;12),"Fora dos 12 meses","OK"))))))</f>
        <v/>
      </c>
    </row>
    <row r="1472">
      <c r="A1472" s="35" t="n"/>
      <c r="B1472" s="31" t="n"/>
      <c r="C1472" s="19">
        <f>IF(B1472="","",IF(COUNTIF(Config!$D$6:$D$15,B1472)&gt;0,"Entrada",IF(COUNTIF(Config!$F$6:$F$25,B1472)&gt;0,"Saída","Categoria inválida")))</f>
        <v/>
      </c>
      <c r="D1472" s="31" t="n"/>
      <c r="E1472" s="33" t="n"/>
      <c r="F1472" s="36" t="n"/>
      <c r="G1472" s="31" t="n"/>
      <c r="H1472" s="37">
        <f>IF(A1472="","",(YEAR(A1472)-YEAR(Config!$B$6))*12+MONTH(A1472)-MONTH(Config!$B$6)+1)</f>
        <v/>
      </c>
      <c r="I1472" s="19">
        <f>IF(AND(A1472="",B1472="",E1472=""),"",IF(A1472="","Falta data",IF(B1472="","Falta categoria",IF(E1472="","Falta valor",IF(C1472="Categoria inválida","Categoria inválida",IF(OR(H1472&lt;1,H1472&gt;12),"Fora dos 12 meses","OK"))))))</f>
        <v/>
      </c>
    </row>
    <row r="1473">
      <c r="A1473" s="35" t="n"/>
      <c r="B1473" s="31" t="n"/>
      <c r="C1473" s="19">
        <f>IF(B1473="","",IF(COUNTIF(Config!$D$6:$D$15,B1473)&gt;0,"Entrada",IF(COUNTIF(Config!$F$6:$F$25,B1473)&gt;0,"Saída","Categoria inválida")))</f>
        <v/>
      </c>
      <c r="D1473" s="31" t="n"/>
      <c r="E1473" s="33" t="n"/>
      <c r="F1473" s="36" t="n"/>
      <c r="G1473" s="31" t="n"/>
      <c r="H1473" s="37">
        <f>IF(A1473="","",(YEAR(A1473)-YEAR(Config!$B$6))*12+MONTH(A1473)-MONTH(Config!$B$6)+1)</f>
        <v/>
      </c>
      <c r="I1473" s="19">
        <f>IF(AND(A1473="",B1473="",E1473=""),"",IF(A1473="","Falta data",IF(B1473="","Falta categoria",IF(E1473="","Falta valor",IF(C1473="Categoria inválida","Categoria inválida",IF(OR(H1473&lt;1,H1473&gt;12),"Fora dos 12 meses","OK"))))))</f>
        <v/>
      </c>
    </row>
    <row r="1474">
      <c r="A1474" s="35" t="n"/>
      <c r="B1474" s="31" t="n"/>
      <c r="C1474" s="19">
        <f>IF(B1474="","",IF(COUNTIF(Config!$D$6:$D$15,B1474)&gt;0,"Entrada",IF(COUNTIF(Config!$F$6:$F$25,B1474)&gt;0,"Saída","Categoria inválida")))</f>
        <v/>
      </c>
      <c r="D1474" s="31" t="n"/>
      <c r="E1474" s="33" t="n"/>
      <c r="F1474" s="36" t="n"/>
      <c r="G1474" s="31" t="n"/>
      <c r="H1474" s="37">
        <f>IF(A1474="","",(YEAR(A1474)-YEAR(Config!$B$6))*12+MONTH(A1474)-MONTH(Config!$B$6)+1)</f>
        <v/>
      </c>
      <c r="I1474" s="19">
        <f>IF(AND(A1474="",B1474="",E1474=""),"",IF(A1474="","Falta data",IF(B1474="","Falta categoria",IF(E1474="","Falta valor",IF(C1474="Categoria inválida","Categoria inválida",IF(OR(H1474&lt;1,H1474&gt;12),"Fora dos 12 meses","OK"))))))</f>
        <v/>
      </c>
    </row>
    <row r="1475">
      <c r="A1475" s="35" t="n"/>
      <c r="B1475" s="31" t="n"/>
      <c r="C1475" s="19">
        <f>IF(B1475="","",IF(COUNTIF(Config!$D$6:$D$15,B1475)&gt;0,"Entrada",IF(COUNTIF(Config!$F$6:$F$25,B1475)&gt;0,"Saída","Categoria inválida")))</f>
        <v/>
      </c>
      <c r="D1475" s="31" t="n"/>
      <c r="E1475" s="33" t="n"/>
      <c r="F1475" s="36" t="n"/>
      <c r="G1475" s="31" t="n"/>
      <c r="H1475" s="37">
        <f>IF(A1475="","",(YEAR(A1475)-YEAR(Config!$B$6))*12+MONTH(A1475)-MONTH(Config!$B$6)+1)</f>
        <v/>
      </c>
      <c r="I1475" s="19">
        <f>IF(AND(A1475="",B1475="",E1475=""),"",IF(A1475="","Falta data",IF(B1475="","Falta categoria",IF(E1475="","Falta valor",IF(C1475="Categoria inválida","Categoria inválida",IF(OR(H1475&lt;1,H1475&gt;12),"Fora dos 12 meses","OK"))))))</f>
        <v/>
      </c>
    </row>
    <row r="1476">
      <c r="A1476" s="35" t="n"/>
      <c r="B1476" s="31" t="n"/>
      <c r="C1476" s="19">
        <f>IF(B1476="","",IF(COUNTIF(Config!$D$6:$D$15,B1476)&gt;0,"Entrada",IF(COUNTIF(Config!$F$6:$F$25,B1476)&gt;0,"Saída","Categoria inválida")))</f>
        <v/>
      </c>
      <c r="D1476" s="31" t="n"/>
      <c r="E1476" s="33" t="n"/>
      <c r="F1476" s="36" t="n"/>
      <c r="G1476" s="31" t="n"/>
      <c r="H1476" s="37">
        <f>IF(A1476="","",(YEAR(A1476)-YEAR(Config!$B$6))*12+MONTH(A1476)-MONTH(Config!$B$6)+1)</f>
        <v/>
      </c>
      <c r="I1476" s="19">
        <f>IF(AND(A1476="",B1476="",E1476=""),"",IF(A1476="","Falta data",IF(B1476="","Falta categoria",IF(E1476="","Falta valor",IF(C1476="Categoria inválida","Categoria inválida",IF(OR(H1476&lt;1,H1476&gt;12),"Fora dos 12 meses","OK"))))))</f>
        <v/>
      </c>
    </row>
    <row r="1477">
      <c r="A1477" s="35" t="n"/>
      <c r="B1477" s="31" t="n"/>
      <c r="C1477" s="19">
        <f>IF(B1477="","",IF(COUNTIF(Config!$D$6:$D$15,B1477)&gt;0,"Entrada",IF(COUNTIF(Config!$F$6:$F$25,B1477)&gt;0,"Saída","Categoria inválida")))</f>
        <v/>
      </c>
      <c r="D1477" s="31" t="n"/>
      <c r="E1477" s="33" t="n"/>
      <c r="F1477" s="36" t="n"/>
      <c r="G1477" s="31" t="n"/>
      <c r="H1477" s="37">
        <f>IF(A1477="","",(YEAR(A1477)-YEAR(Config!$B$6))*12+MONTH(A1477)-MONTH(Config!$B$6)+1)</f>
        <v/>
      </c>
      <c r="I1477" s="19">
        <f>IF(AND(A1477="",B1477="",E1477=""),"",IF(A1477="","Falta data",IF(B1477="","Falta categoria",IF(E1477="","Falta valor",IF(C1477="Categoria inválida","Categoria inválida",IF(OR(H1477&lt;1,H1477&gt;12),"Fora dos 12 meses","OK"))))))</f>
        <v/>
      </c>
    </row>
    <row r="1478">
      <c r="A1478" s="35" t="n"/>
      <c r="B1478" s="31" t="n"/>
      <c r="C1478" s="19">
        <f>IF(B1478="","",IF(COUNTIF(Config!$D$6:$D$15,B1478)&gt;0,"Entrada",IF(COUNTIF(Config!$F$6:$F$25,B1478)&gt;0,"Saída","Categoria inválida")))</f>
        <v/>
      </c>
      <c r="D1478" s="31" t="n"/>
      <c r="E1478" s="33" t="n"/>
      <c r="F1478" s="36" t="n"/>
      <c r="G1478" s="31" t="n"/>
      <c r="H1478" s="37">
        <f>IF(A1478="","",(YEAR(A1478)-YEAR(Config!$B$6))*12+MONTH(A1478)-MONTH(Config!$B$6)+1)</f>
        <v/>
      </c>
      <c r="I1478" s="19">
        <f>IF(AND(A1478="",B1478="",E1478=""),"",IF(A1478="","Falta data",IF(B1478="","Falta categoria",IF(E1478="","Falta valor",IF(C1478="Categoria inválida","Categoria inválida",IF(OR(H1478&lt;1,H1478&gt;12),"Fora dos 12 meses","OK"))))))</f>
        <v/>
      </c>
    </row>
    <row r="1479">
      <c r="A1479" s="35" t="n"/>
      <c r="B1479" s="31" t="n"/>
      <c r="C1479" s="19">
        <f>IF(B1479="","",IF(COUNTIF(Config!$D$6:$D$15,B1479)&gt;0,"Entrada",IF(COUNTIF(Config!$F$6:$F$25,B1479)&gt;0,"Saída","Categoria inválida")))</f>
        <v/>
      </c>
      <c r="D1479" s="31" t="n"/>
      <c r="E1479" s="33" t="n"/>
      <c r="F1479" s="36" t="n"/>
      <c r="G1479" s="31" t="n"/>
      <c r="H1479" s="37">
        <f>IF(A1479="","",(YEAR(A1479)-YEAR(Config!$B$6))*12+MONTH(A1479)-MONTH(Config!$B$6)+1)</f>
        <v/>
      </c>
      <c r="I1479" s="19">
        <f>IF(AND(A1479="",B1479="",E1479=""),"",IF(A1479="","Falta data",IF(B1479="","Falta categoria",IF(E1479="","Falta valor",IF(C1479="Categoria inválida","Categoria inválida",IF(OR(H1479&lt;1,H1479&gt;12),"Fora dos 12 meses","OK"))))))</f>
        <v/>
      </c>
    </row>
    <row r="1480">
      <c r="A1480" s="35" t="n"/>
      <c r="B1480" s="31" t="n"/>
      <c r="C1480" s="19">
        <f>IF(B1480="","",IF(COUNTIF(Config!$D$6:$D$15,B1480)&gt;0,"Entrada",IF(COUNTIF(Config!$F$6:$F$25,B1480)&gt;0,"Saída","Categoria inválida")))</f>
        <v/>
      </c>
      <c r="D1480" s="31" t="n"/>
      <c r="E1480" s="33" t="n"/>
      <c r="F1480" s="36" t="n"/>
      <c r="G1480" s="31" t="n"/>
      <c r="H1480" s="37">
        <f>IF(A1480="","",(YEAR(A1480)-YEAR(Config!$B$6))*12+MONTH(A1480)-MONTH(Config!$B$6)+1)</f>
        <v/>
      </c>
      <c r="I1480" s="19">
        <f>IF(AND(A1480="",B1480="",E1480=""),"",IF(A1480="","Falta data",IF(B1480="","Falta categoria",IF(E1480="","Falta valor",IF(C1480="Categoria inválida","Categoria inválida",IF(OR(H1480&lt;1,H1480&gt;12),"Fora dos 12 meses","OK"))))))</f>
        <v/>
      </c>
    </row>
    <row r="1481">
      <c r="A1481" s="35" t="n"/>
      <c r="B1481" s="31" t="n"/>
      <c r="C1481" s="19">
        <f>IF(B1481="","",IF(COUNTIF(Config!$D$6:$D$15,B1481)&gt;0,"Entrada",IF(COUNTIF(Config!$F$6:$F$25,B1481)&gt;0,"Saída","Categoria inválida")))</f>
        <v/>
      </c>
      <c r="D1481" s="31" t="n"/>
      <c r="E1481" s="33" t="n"/>
      <c r="F1481" s="36" t="n"/>
      <c r="G1481" s="31" t="n"/>
      <c r="H1481" s="37">
        <f>IF(A1481="","",(YEAR(A1481)-YEAR(Config!$B$6))*12+MONTH(A1481)-MONTH(Config!$B$6)+1)</f>
        <v/>
      </c>
      <c r="I1481" s="19">
        <f>IF(AND(A1481="",B1481="",E1481=""),"",IF(A1481="","Falta data",IF(B1481="","Falta categoria",IF(E1481="","Falta valor",IF(C1481="Categoria inválida","Categoria inválida",IF(OR(H1481&lt;1,H1481&gt;12),"Fora dos 12 meses","OK"))))))</f>
        <v/>
      </c>
    </row>
    <row r="1482">
      <c r="A1482" s="35" t="n"/>
      <c r="B1482" s="31" t="n"/>
      <c r="C1482" s="19">
        <f>IF(B1482="","",IF(COUNTIF(Config!$D$6:$D$15,B1482)&gt;0,"Entrada",IF(COUNTIF(Config!$F$6:$F$25,B1482)&gt;0,"Saída","Categoria inválida")))</f>
        <v/>
      </c>
      <c r="D1482" s="31" t="n"/>
      <c r="E1482" s="33" t="n"/>
      <c r="F1482" s="36" t="n"/>
      <c r="G1482" s="31" t="n"/>
      <c r="H1482" s="37">
        <f>IF(A1482="","",(YEAR(A1482)-YEAR(Config!$B$6))*12+MONTH(A1482)-MONTH(Config!$B$6)+1)</f>
        <v/>
      </c>
      <c r="I1482" s="19">
        <f>IF(AND(A1482="",B1482="",E1482=""),"",IF(A1482="","Falta data",IF(B1482="","Falta categoria",IF(E1482="","Falta valor",IF(C1482="Categoria inválida","Categoria inválida",IF(OR(H1482&lt;1,H1482&gt;12),"Fora dos 12 meses","OK"))))))</f>
        <v/>
      </c>
    </row>
    <row r="1483">
      <c r="A1483" s="35" t="n"/>
      <c r="B1483" s="31" t="n"/>
      <c r="C1483" s="19">
        <f>IF(B1483="","",IF(COUNTIF(Config!$D$6:$D$15,B1483)&gt;0,"Entrada",IF(COUNTIF(Config!$F$6:$F$25,B1483)&gt;0,"Saída","Categoria inválida")))</f>
        <v/>
      </c>
      <c r="D1483" s="31" t="n"/>
      <c r="E1483" s="33" t="n"/>
      <c r="F1483" s="36" t="n"/>
      <c r="G1483" s="31" t="n"/>
      <c r="H1483" s="37">
        <f>IF(A1483="","",(YEAR(A1483)-YEAR(Config!$B$6))*12+MONTH(A1483)-MONTH(Config!$B$6)+1)</f>
        <v/>
      </c>
      <c r="I1483" s="19">
        <f>IF(AND(A1483="",B1483="",E1483=""),"",IF(A1483="","Falta data",IF(B1483="","Falta categoria",IF(E1483="","Falta valor",IF(C1483="Categoria inválida","Categoria inválida",IF(OR(H1483&lt;1,H1483&gt;12),"Fora dos 12 meses","OK"))))))</f>
        <v/>
      </c>
    </row>
    <row r="1484">
      <c r="A1484" s="35" t="n"/>
      <c r="B1484" s="31" t="n"/>
      <c r="C1484" s="19">
        <f>IF(B1484="","",IF(COUNTIF(Config!$D$6:$D$15,B1484)&gt;0,"Entrada",IF(COUNTIF(Config!$F$6:$F$25,B1484)&gt;0,"Saída","Categoria inválida")))</f>
        <v/>
      </c>
      <c r="D1484" s="31" t="n"/>
      <c r="E1484" s="33" t="n"/>
      <c r="F1484" s="36" t="n"/>
      <c r="G1484" s="31" t="n"/>
      <c r="H1484" s="37">
        <f>IF(A1484="","",(YEAR(A1484)-YEAR(Config!$B$6))*12+MONTH(A1484)-MONTH(Config!$B$6)+1)</f>
        <v/>
      </c>
      <c r="I1484" s="19">
        <f>IF(AND(A1484="",B1484="",E1484=""),"",IF(A1484="","Falta data",IF(B1484="","Falta categoria",IF(E1484="","Falta valor",IF(C1484="Categoria inválida","Categoria inválida",IF(OR(H1484&lt;1,H1484&gt;12),"Fora dos 12 meses","OK"))))))</f>
        <v/>
      </c>
    </row>
    <row r="1485">
      <c r="A1485" s="35" t="n"/>
      <c r="B1485" s="31" t="n"/>
      <c r="C1485" s="19">
        <f>IF(B1485="","",IF(COUNTIF(Config!$D$6:$D$15,B1485)&gt;0,"Entrada",IF(COUNTIF(Config!$F$6:$F$25,B1485)&gt;0,"Saída","Categoria inválida")))</f>
        <v/>
      </c>
      <c r="D1485" s="31" t="n"/>
      <c r="E1485" s="33" t="n"/>
      <c r="F1485" s="36" t="n"/>
      <c r="G1485" s="31" t="n"/>
      <c r="H1485" s="37">
        <f>IF(A1485="","",(YEAR(A1485)-YEAR(Config!$B$6))*12+MONTH(A1485)-MONTH(Config!$B$6)+1)</f>
        <v/>
      </c>
      <c r="I1485" s="19">
        <f>IF(AND(A1485="",B1485="",E1485=""),"",IF(A1485="","Falta data",IF(B1485="","Falta categoria",IF(E1485="","Falta valor",IF(C1485="Categoria inválida","Categoria inválida",IF(OR(H1485&lt;1,H1485&gt;12),"Fora dos 12 meses","OK"))))))</f>
        <v/>
      </c>
    </row>
    <row r="1486">
      <c r="A1486" s="35" t="n"/>
      <c r="B1486" s="31" t="n"/>
      <c r="C1486" s="19">
        <f>IF(B1486="","",IF(COUNTIF(Config!$D$6:$D$15,B1486)&gt;0,"Entrada",IF(COUNTIF(Config!$F$6:$F$25,B1486)&gt;0,"Saída","Categoria inválida")))</f>
        <v/>
      </c>
      <c r="D1486" s="31" t="n"/>
      <c r="E1486" s="33" t="n"/>
      <c r="F1486" s="36" t="n"/>
      <c r="G1486" s="31" t="n"/>
      <c r="H1486" s="37">
        <f>IF(A1486="","",(YEAR(A1486)-YEAR(Config!$B$6))*12+MONTH(A1486)-MONTH(Config!$B$6)+1)</f>
        <v/>
      </c>
      <c r="I1486" s="19">
        <f>IF(AND(A1486="",B1486="",E1486=""),"",IF(A1486="","Falta data",IF(B1486="","Falta categoria",IF(E1486="","Falta valor",IF(C1486="Categoria inválida","Categoria inválida",IF(OR(H1486&lt;1,H1486&gt;12),"Fora dos 12 meses","OK"))))))</f>
        <v/>
      </c>
    </row>
    <row r="1487">
      <c r="A1487" s="35" t="n"/>
      <c r="B1487" s="31" t="n"/>
      <c r="C1487" s="19">
        <f>IF(B1487="","",IF(COUNTIF(Config!$D$6:$D$15,B1487)&gt;0,"Entrada",IF(COUNTIF(Config!$F$6:$F$25,B1487)&gt;0,"Saída","Categoria inválida")))</f>
        <v/>
      </c>
      <c r="D1487" s="31" t="n"/>
      <c r="E1487" s="33" t="n"/>
      <c r="F1487" s="36" t="n"/>
      <c r="G1487" s="31" t="n"/>
      <c r="H1487" s="37">
        <f>IF(A1487="","",(YEAR(A1487)-YEAR(Config!$B$6))*12+MONTH(A1487)-MONTH(Config!$B$6)+1)</f>
        <v/>
      </c>
      <c r="I1487" s="19">
        <f>IF(AND(A1487="",B1487="",E1487=""),"",IF(A1487="","Falta data",IF(B1487="","Falta categoria",IF(E1487="","Falta valor",IF(C1487="Categoria inválida","Categoria inválida",IF(OR(H1487&lt;1,H1487&gt;12),"Fora dos 12 meses","OK"))))))</f>
        <v/>
      </c>
    </row>
    <row r="1488">
      <c r="A1488" s="35" t="n"/>
      <c r="B1488" s="31" t="n"/>
      <c r="C1488" s="19">
        <f>IF(B1488="","",IF(COUNTIF(Config!$D$6:$D$15,B1488)&gt;0,"Entrada",IF(COUNTIF(Config!$F$6:$F$25,B1488)&gt;0,"Saída","Categoria inválida")))</f>
        <v/>
      </c>
      <c r="D1488" s="31" t="n"/>
      <c r="E1488" s="33" t="n"/>
      <c r="F1488" s="36" t="n"/>
      <c r="G1488" s="31" t="n"/>
      <c r="H1488" s="37">
        <f>IF(A1488="","",(YEAR(A1488)-YEAR(Config!$B$6))*12+MONTH(A1488)-MONTH(Config!$B$6)+1)</f>
        <v/>
      </c>
      <c r="I1488" s="19">
        <f>IF(AND(A1488="",B1488="",E1488=""),"",IF(A1488="","Falta data",IF(B1488="","Falta categoria",IF(E1488="","Falta valor",IF(C1488="Categoria inválida","Categoria inválida",IF(OR(H1488&lt;1,H1488&gt;12),"Fora dos 12 meses","OK"))))))</f>
        <v/>
      </c>
    </row>
    <row r="1489">
      <c r="A1489" s="35" t="n"/>
      <c r="B1489" s="31" t="n"/>
      <c r="C1489" s="19">
        <f>IF(B1489="","",IF(COUNTIF(Config!$D$6:$D$15,B1489)&gt;0,"Entrada",IF(COUNTIF(Config!$F$6:$F$25,B1489)&gt;0,"Saída","Categoria inválida")))</f>
        <v/>
      </c>
      <c r="D1489" s="31" t="n"/>
      <c r="E1489" s="33" t="n"/>
      <c r="F1489" s="36" t="n"/>
      <c r="G1489" s="31" t="n"/>
      <c r="H1489" s="37">
        <f>IF(A1489="","",(YEAR(A1489)-YEAR(Config!$B$6))*12+MONTH(A1489)-MONTH(Config!$B$6)+1)</f>
        <v/>
      </c>
      <c r="I1489" s="19">
        <f>IF(AND(A1489="",B1489="",E1489=""),"",IF(A1489="","Falta data",IF(B1489="","Falta categoria",IF(E1489="","Falta valor",IF(C1489="Categoria inválida","Categoria inválida",IF(OR(H1489&lt;1,H1489&gt;12),"Fora dos 12 meses","OK"))))))</f>
        <v/>
      </c>
    </row>
    <row r="1490">
      <c r="A1490" s="35" t="n"/>
      <c r="B1490" s="31" t="n"/>
      <c r="C1490" s="19">
        <f>IF(B1490="","",IF(COUNTIF(Config!$D$6:$D$15,B1490)&gt;0,"Entrada",IF(COUNTIF(Config!$F$6:$F$25,B1490)&gt;0,"Saída","Categoria inválida")))</f>
        <v/>
      </c>
      <c r="D1490" s="31" t="n"/>
      <c r="E1490" s="33" t="n"/>
      <c r="F1490" s="36" t="n"/>
      <c r="G1490" s="31" t="n"/>
      <c r="H1490" s="37">
        <f>IF(A1490="","",(YEAR(A1490)-YEAR(Config!$B$6))*12+MONTH(A1490)-MONTH(Config!$B$6)+1)</f>
        <v/>
      </c>
      <c r="I1490" s="19">
        <f>IF(AND(A1490="",B1490="",E1490=""),"",IF(A1490="","Falta data",IF(B1490="","Falta categoria",IF(E1490="","Falta valor",IF(C1490="Categoria inválida","Categoria inválida",IF(OR(H1490&lt;1,H1490&gt;12),"Fora dos 12 meses","OK"))))))</f>
        <v/>
      </c>
    </row>
    <row r="1491">
      <c r="A1491" s="35" t="n"/>
      <c r="B1491" s="31" t="n"/>
      <c r="C1491" s="19">
        <f>IF(B1491="","",IF(COUNTIF(Config!$D$6:$D$15,B1491)&gt;0,"Entrada",IF(COUNTIF(Config!$F$6:$F$25,B1491)&gt;0,"Saída","Categoria inválida")))</f>
        <v/>
      </c>
      <c r="D1491" s="31" t="n"/>
      <c r="E1491" s="33" t="n"/>
      <c r="F1491" s="36" t="n"/>
      <c r="G1491" s="31" t="n"/>
      <c r="H1491" s="37">
        <f>IF(A1491="","",(YEAR(A1491)-YEAR(Config!$B$6))*12+MONTH(A1491)-MONTH(Config!$B$6)+1)</f>
        <v/>
      </c>
      <c r="I1491" s="19">
        <f>IF(AND(A1491="",B1491="",E1491=""),"",IF(A1491="","Falta data",IF(B1491="","Falta categoria",IF(E1491="","Falta valor",IF(C1491="Categoria inválida","Categoria inválida",IF(OR(H1491&lt;1,H1491&gt;12),"Fora dos 12 meses","OK"))))))</f>
        <v/>
      </c>
    </row>
    <row r="1492">
      <c r="A1492" s="35" t="n"/>
      <c r="B1492" s="31" t="n"/>
      <c r="C1492" s="19">
        <f>IF(B1492="","",IF(COUNTIF(Config!$D$6:$D$15,B1492)&gt;0,"Entrada",IF(COUNTIF(Config!$F$6:$F$25,B1492)&gt;0,"Saída","Categoria inválida")))</f>
        <v/>
      </c>
      <c r="D1492" s="31" t="n"/>
      <c r="E1492" s="33" t="n"/>
      <c r="F1492" s="36" t="n"/>
      <c r="G1492" s="31" t="n"/>
      <c r="H1492" s="37">
        <f>IF(A1492="","",(YEAR(A1492)-YEAR(Config!$B$6))*12+MONTH(A1492)-MONTH(Config!$B$6)+1)</f>
        <v/>
      </c>
      <c r="I1492" s="19">
        <f>IF(AND(A1492="",B1492="",E1492=""),"",IF(A1492="","Falta data",IF(B1492="","Falta categoria",IF(E1492="","Falta valor",IF(C1492="Categoria inválida","Categoria inválida",IF(OR(H1492&lt;1,H1492&gt;12),"Fora dos 12 meses","OK"))))))</f>
        <v/>
      </c>
    </row>
    <row r="1493">
      <c r="A1493" s="35" t="n"/>
      <c r="B1493" s="31" t="n"/>
      <c r="C1493" s="19">
        <f>IF(B1493="","",IF(COUNTIF(Config!$D$6:$D$15,B1493)&gt;0,"Entrada",IF(COUNTIF(Config!$F$6:$F$25,B1493)&gt;0,"Saída","Categoria inválida")))</f>
        <v/>
      </c>
      <c r="D1493" s="31" t="n"/>
      <c r="E1493" s="33" t="n"/>
      <c r="F1493" s="36" t="n"/>
      <c r="G1493" s="31" t="n"/>
      <c r="H1493" s="37">
        <f>IF(A1493="","",(YEAR(A1493)-YEAR(Config!$B$6))*12+MONTH(A1493)-MONTH(Config!$B$6)+1)</f>
        <v/>
      </c>
      <c r="I1493" s="19">
        <f>IF(AND(A1493="",B1493="",E1493=""),"",IF(A1493="","Falta data",IF(B1493="","Falta categoria",IF(E1493="","Falta valor",IF(C1493="Categoria inválida","Categoria inválida",IF(OR(H1493&lt;1,H1493&gt;12),"Fora dos 12 meses","OK"))))))</f>
        <v/>
      </c>
    </row>
    <row r="1494">
      <c r="A1494" s="35" t="n"/>
      <c r="B1494" s="31" t="n"/>
      <c r="C1494" s="19">
        <f>IF(B1494="","",IF(COUNTIF(Config!$D$6:$D$15,B1494)&gt;0,"Entrada",IF(COUNTIF(Config!$F$6:$F$25,B1494)&gt;0,"Saída","Categoria inválida")))</f>
        <v/>
      </c>
      <c r="D1494" s="31" t="n"/>
      <c r="E1494" s="33" t="n"/>
      <c r="F1494" s="36" t="n"/>
      <c r="G1494" s="31" t="n"/>
      <c r="H1494" s="37">
        <f>IF(A1494="","",(YEAR(A1494)-YEAR(Config!$B$6))*12+MONTH(A1494)-MONTH(Config!$B$6)+1)</f>
        <v/>
      </c>
      <c r="I1494" s="19">
        <f>IF(AND(A1494="",B1494="",E1494=""),"",IF(A1494="","Falta data",IF(B1494="","Falta categoria",IF(E1494="","Falta valor",IF(C1494="Categoria inválida","Categoria inválida",IF(OR(H1494&lt;1,H1494&gt;12),"Fora dos 12 meses","OK"))))))</f>
        <v/>
      </c>
    </row>
    <row r="1495">
      <c r="A1495" s="35" t="n"/>
      <c r="B1495" s="31" t="n"/>
      <c r="C1495" s="19">
        <f>IF(B1495="","",IF(COUNTIF(Config!$D$6:$D$15,B1495)&gt;0,"Entrada",IF(COUNTIF(Config!$F$6:$F$25,B1495)&gt;0,"Saída","Categoria inválida")))</f>
        <v/>
      </c>
      <c r="D1495" s="31" t="n"/>
      <c r="E1495" s="33" t="n"/>
      <c r="F1495" s="36" t="n"/>
      <c r="G1495" s="31" t="n"/>
      <c r="H1495" s="37">
        <f>IF(A1495="","",(YEAR(A1495)-YEAR(Config!$B$6))*12+MONTH(A1495)-MONTH(Config!$B$6)+1)</f>
        <v/>
      </c>
      <c r="I1495" s="19">
        <f>IF(AND(A1495="",B1495="",E1495=""),"",IF(A1495="","Falta data",IF(B1495="","Falta categoria",IF(E1495="","Falta valor",IF(C1495="Categoria inválida","Categoria inválida",IF(OR(H1495&lt;1,H1495&gt;12),"Fora dos 12 meses","OK"))))))</f>
        <v/>
      </c>
    </row>
    <row r="1496">
      <c r="A1496" s="35" t="n"/>
      <c r="B1496" s="31" t="n"/>
      <c r="C1496" s="19">
        <f>IF(B1496="","",IF(COUNTIF(Config!$D$6:$D$15,B1496)&gt;0,"Entrada",IF(COUNTIF(Config!$F$6:$F$25,B1496)&gt;0,"Saída","Categoria inválida")))</f>
        <v/>
      </c>
      <c r="D1496" s="31" t="n"/>
      <c r="E1496" s="33" t="n"/>
      <c r="F1496" s="36" t="n"/>
      <c r="G1496" s="31" t="n"/>
      <c r="H1496" s="37">
        <f>IF(A1496="","",(YEAR(A1496)-YEAR(Config!$B$6))*12+MONTH(A1496)-MONTH(Config!$B$6)+1)</f>
        <v/>
      </c>
      <c r="I1496" s="19">
        <f>IF(AND(A1496="",B1496="",E1496=""),"",IF(A1496="","Falta data",IF(B1496="","Falta categoria",IF(E1496="","Falta valor",IF(C1496="Categoria inválida","Categoria inválida",IF(OR(H1496&lt;1,H1496&gt;12),"Fora dos 12 meses","OK"))))))</f>
        <v/>
      </c>
    </row>
    <row r="1497">
      <c r="A1497" s="35" t="n"/>
      <c r="B1497" s="31" t="n"/>
      <c r="C1497" s="19">
        <f>IF(B1497="","",IF(COUNTIF(Config!$D$6:$D$15,B1497)&gt;0,"Entrada",IF(COUNTIF(Config!$F$6:$F$25,B1497)&gt;0,"Saída","Categoria inválida")))</f>
        <v/>
      </c>
      <c r="D1497" s="31" t="n"/>
      <c r="E1497" s="33" t="n"/>
      <c r="F1497" s="36" t="n"/>
      <c r="G1497" s="31" t="n"/>
      <c r="H1497" s="37">
        <f>IF(A1497="","",(YEAR(A1497)-YEAR(Config!$B$6))*12+MONTH(A1497)-MONTH(Config!$B$6)+1)</f>
        <v/>
      </c>
      <c r="I1497" s="19">
        <f>IF(AND(A1497="",B1497="",E1497=""),"",IF(A1497="","Falta data",IF(B1497="","Falta categoria",IF(E1497="","Falta valor",IF(C1497="Categoria inválida","Categoria inválida",IF(OR(H1497&lt;1,H1497&gt;12),"Fora dos 12 meses","OK"))))))</f>
        <v/>
      </c>
    </row>
    <row r="1498">
      <c r="A1498" s="35" t="n"/>
      <c r="B1498" s="31" t="n"/>
      <c r="C1498" s="19">
        <f>IF(B1498="","",IF(COUNTIF(Config!$D$6:$D$15,B1498)&gt;0,"Entrada",IF(COUNTIF(Config!$F$6:$F$25,B1498)&gt;0,"Saída","Categoria inválida")))</f>
        <v/>
      </c>
      <c r="D1498" s="31" t="n"/>
      <c r="E1498" s="33" t="n"/>
      <c r="F1498" s="36" t="n"/>
      <c r="G1498" s="31" t="n"/>
      <c r="H1498" s="37">
        <f>IF(A1498="","",(YEAR(A1498)-YEAR(Config!$B$6))*12+MONTH(A1498)-MONTH(Config!$B$6)+1)</f>
        <v/>
      </c>
      <c r="I1498" s="19">
        <f>IF(AND(A1498="",B1498="",E1498=""),"",IF(A1498="","Falta data",IF(B1498="","Falta categoria",IF(E1498="","Falta valor",IF(C1498="Categoria inválida","Categoria inválida",IF(OR(H1498&lt;1,H1498&gt;12),"Fora dos 12 meses","OK"))))))</f>
        <v/>
      </c>
    </row>
    <row r="1499">
      <c r="A1499" s="35" t="n"/>
      <c r="B1499" s="31" t="n"/>
      <c r="C1499" s="19">
        <f>IF(B1499="","",IF(COUNTIF(Config!$D$6:$D$15,B1499)&gt;0,"Entrada",IF(COUNTIF(Config!$F$6:$F$25,B1499)&gt;0,"Saída","Categoria inválida")))</f>
        <v/>
      </c>
      <c r="D1499" s="31" t="n"/>
      <c r="E1499" s="33" t="n"/>
      <c r="F1499" s="36" t="n"/>
      <c r="G1499" s="31" t="n"/>
      <c r="H1499" s="37">
        <f>IF(A1499="","",(YEAR(A1499)-YEAR(Config!$B$6))*12+MONTH(A1499)-MONTH(Config!$B$6)+1)</f>
        <v/>
      </c>
      <c r="I1499" s="19">
        <f>IF(AND(A1499="",B1499="",E1499=""),"",IF(A1499="","Falta data",IF(B1499="","Falta categoria",IF(E1499="","Falta valor",IF(C1499="Categoria inválida","Categoria inválida",IF(OR(H1499&lt;1,H1499&gt;12),"Fora dos 12 meses","OK"))))))</f>
        <v/>
      </c>
    </row>
    <row r="1500">
      <c r="A1500" s="35" t="n"/>
      <c r="B1500" s="31" t="n"/>
      <c r="C1500" s="19">
        <f>IF(B1500="","",IF(COUNTIF(Config!$D$6:$D$15,B1500)&gt;0,"Entrada",IF(COUNTIF(Config!$F$6:$F$25,B1500)&gt;0,"Saída","Categoria inválida")))</f>
        <v/>
      </c>
      <c r="D1500" s="31" t="n"/>
      <c r="E1500" s="33" t="n"/>
      <c r="F1500" s="36" t="n"/>
      <c r="G1500" s="31" t="n"/>
      <c r="H1500" s="37">
        <f>IF(A1500="","",(YEAR(A1500)-YEAR(Config!$B$6))*12+MONTH(A1500)-MONTH(Config!$B$6)+1)</f>
        <v/>
      </c>
      <c r="I1500" s="19">
        <f>IF(AND(A1500="",B1500="",E1500=""),"",IF(A1500="","Falta data",IF(B1500="","Falta categoria",IF(E1500="","Falta valor",IF(C1500="Categoria inválida","Categoria inválida",IF(OR(H1500&lt;1,H1500&gt;12),"Fora dos 12 meses","OK"))))))</f>
        <v/>
      </c>
    </row>
    <row r="1501">
      <c r="A1501" s="35" t="n"/>
      <c r="B1501" s="31" t="n"/>
      <c r="C1501" s="19">
        <f>IF(B1501="","",IF(COUNTIF(Config!$D$6:$D$15,B1501)&gt;0,"Entrada",IF(COUNTIF(Config!$F$6:$F$25,B1501)&gt;0,"Saída","Categoria inválida")))</f>
        <v/>
      </c>
      <c r="D1501" s="31" t="n"/>
      <c r="E1501" s="33" t="n"/>
      <c r="F1501" s="36" t="n"/>
      <c r="G1501" s="31" t="n"/>
      <c r="H1501" s="37">
        <f>IF(A1501="","",(YEAR(A1501)-YEAR(Config!$B$6))*12+MONTH(A1501)-MONTH(Config!$B$6)+1)</f>
        <v/>
      </c>
      <c r="I1501" s="19">
        <f>IF(AND(A1501="",B1501="",E1501=""),"",IF(A1501="","Falta data",IF(B1501="","Falta categoria",IF(E1501="","Falta valor",IF(C1501="Categoria inválida","Categoria inválida",IF(OR(H1501&lt;1,H1501&gt;12),"Fora dos 12 meses","OK"))))))</f>
        <v/>
      </c>
    </row>
    <row r="1502">
      <c r="A1502" s="35" t="n"/>
      <c r="B1502" s="31" t="n"/>
      <c r="C1502" s="19">
        <f>IF(B1502="","",IF(COUNTIF(Config!$D$6:$D$15,B1502)&gt;0,"Entrada",IF(COUNTIF(Config!$F$6:$F$25,B1502)&gt;0,"Saída","Categoria inválida")))</f>
        <v/>
      </c>
      <c r="D1502" s="31" t="n"/>
      <c r="E1502" s="33" t="n"/>
      <c r="F1502" s="36" t="n"/>
      <c r="G1502" s="31" t="n"/>
      <c r="H1502" s="37">
        <f>IF(A1502="","",(YEAR(A1502)-YEAR(Config!$B$6))*12+MONTH(A1502)-MONTH(Config!$B$6)+1)</f>
        <v/>
      </c>
      <c r="I1502" s="19">
        <f>IF(AND(A1502="",B1502="",E1502=""),"",IF(A1502="","Falta data",IF(B1502="","Falta categoria",IF(E1502="","Falta valor",IF(C1502="Categoria inválida","Categoria inválida",IF(OR(H1502&lt;1,H1502&gt;12),"Fora dos 12 meses","OK"))))))</f>
        <v/>
      </c>
    </row>
    <row r="1503">
      <c r="A1503" s="35" t="n"/>
      <c r="B1503" s="31" t="n"/>
      <c r="C1503" s="19">
        <f>IF(B1503="","",IF(COUNTIF(Config!$D$6:$D$15,B1503)&gt;0,"Entrada",IF(COUNTIF(Config!$F$6:$F$25,B1503)&gt;0,"Saída","Categoria inválida")))</f>
        <v/>
      </c>
      <c r="D1503" s="31" t="n"/>
      <c r="E1503" s="33" t="n"/>
      <c r="F1503" s="36" t="n"/>
      <c r="G1503" s="31" t="n"/>
      <c r="H1503" s="37">
        <f>IF(A1503="","",(YEAR(A1503)-YEAR(Config!$B$6))*12+MONTH(A1503)-MONTH(Config!$B$6)+1)</f>
        <v/>
      </c>
      <c r="I1503" s="19">
        <f>IF(AND(A1503="",B1503="",E1503=""),"",IF(A1503="","Falta data",IF(B1503="","Falta categoria",IF(E1503="","Falta valor",IF(C1503="Categoria inválida","Categoria inválida",IF(OR(H1503&lt;1,H1503&gt;12),"Fora dos 12 meses","OK"))))))</f>
        <v/>
      </c>
    </row>
    <row r="1504">
      <c r="A1504" s="35" t="n"/>
      <c r="B1504" s="31" t="n"/>
      <c r="C1504" s="19">
        <f>IF(B1504="","",IF(COUNTIF(Config!$D$6:$D$15,B1504)&gt;0,"Entrada",IF(COUNTIF(Config!$F$6:$F$25,B1504)&gt;0,"Saída","Categoria inválida")))</f>
        <v/>
      </c>
      <c r="D1504" s="31" t="n"/>
      <c r="E1504" s="33" t="n"/>
      <c r="F1504" s="36" t="n"/>
      <c r="G1504" s="31" t="n"/>
      <c r="H1504" s="37">
        <f>IF(A1504="","",(YEAR(A1504)-YEAR(Config!$B$6))*12+MONTH(A1504)-MONTH(Config!$B$6)+1)</f>
        <v/>
      </c>
      <c r="I1504" s="19">
        <f>IF(AND(A1504="",B1504="",E1504=""),"",IF(A1504="","Falta data",IF(B1504="","Falta categoria",IF(E1504="","Falta valor",IF(C1504="Categoria inválida","Categoria inválida",IF(OR(H1504&lt;1,H1504&gt;12),"Fora dos 12 meses","OK"))))))</f>
        <v/>
      </c>
    </row>
    <row r="1505">
      <c r="A1505" s="35" t="n"/>
      <c r="B1505" s="31" t="n"/>
      <c r="C1505" s="19">
        <f>IF(B1505="","",IF(COUNTIF(Config!$D$6:$D$15,B1505)&gt;0,"Entrada",IF(COUNTIF(Config!$F$6:$F$25,B1505)&gt;0,"Saída","Categoria inválida")))</f>
        <v/>
      </c>
      <c r="D1505" s="31" t="n"/>
      <c r="E1505" s="33" t="n"/>
      <c r="F1505" s="36" t="n"/>
      <c r="G1505" s="31" t="n"/>
      <c r="H1505" s="37">
        <f>IF(A1505="","",(YEAR(A1505)-YEAR(Config!$B$6))*12+MONTH(A1505)-MONTH(Config!$B$6)+1)</f>
        <v/>
      </c>
      <c r="I1505" s="19">
        <f>IF(AND(A1505="",B1505="",E1505=""),"",IF(A1505="","Falta data",IF(B1505="","Falta categoria",IF(E1505="","Falta valor",IF(C1505="Categoria inválida","Categoria inválida",IF(OR(H1505&lt;1,H1505&gt;12),"Fora dos 12 meses","OK"))))))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5:I1505"/>
  <conditionalFormatting sqref="I6:I1505">
    <cfRule type="expression" priority="1" dxfId="1">
      <formula>AND(I6&lt;&gt;"",I6&lt;&gt;"OK")</formula>
    </cfRule>
  </conditionalFormatting>
  <conditionalFormatting sqref="C6:C1505">
    <cfRule type="cellIs" priority="2" operator="equal" dxfId="2">
      <formula>"Entrada"</formula>
    </cfRule>
    <cfRule type="cellIs" priority="3" operator="equal" dxfId="3">
      <formula>"Saída"</formula>
    </cfRule>
  </conditionalFormatting>
  <dataValidations count="4">
    <dataValidation sqref="A6:A1505" showDropDown="0" showInputMessage="0" showErrorMessage="1" allowBlank="1" errorTitle="Data inválida" error="Digite uma data válida (dd/mm/aaaa)." type="date" operator="between">
      <formula1>DATE(1990,1,1)</formula1>
      <formula2>DATE(2100,12,31)</formula2>
    </dataValidation>
    <dataValidation sqref="B6:B1505" showDropDown="0" showInputMessage="1" showErrorMessage="1" allowBlank="1" errorTitle="Valor inválido" error="Escolha um valor da lista." prompt="Categoria (entrada ou saída)" type="list" errorStyle="stop">
      <formula1>Listas!$A$2:$A$31</formula1>
    </dataValidation>
    <dataValidation sqref="E6:E1505" showDropDown="0" showInputMessage="0" showErrorMessage="1" allowBlank="1" errorTitle="Valor inválido" error="Digite o valor positivo. O tipo (entrada/saída) vem da categoria." type="decimal" operator="greaterThanOrEqual">
      <formula1>0</formula1>
    </dataValidation>
    <dataValidation sqref="F6:F1505" showDropDown="0" showInputMessage="1" showErrorMessage="0" allowBlank="1" errorTitle="Valor inválido" error="Escolha um valor da lista." prompt="Forma de pagamento" type="list" errorStyle="warning">
      <formula1>Listas!$B$2:$B$9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5" customWidth="1" min="14" max="14"/>
  </cols>
  <sheetData>
    <row r="1" ht="36" customHeight="1">
      <c r="A1" s="1" t="inlineStr">
        <is>
          <t>Fluxo Previsto (Orçamento)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Digite os valores que você espera receber e pagar em cada mês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7" t="inlineStr">
        <is>
          <t>Legenda:</t>
        </is>
      </c>
      <c r="B3" s="28" t="inlineStr">
        <is>
          <t>Preencher</t>
        </is>
      </c>
      <c r="C3" s="29" t="inlineStr">
        <is>
          <t>Cálculo automático (protegido)</t>
        </is>
      </c>
    </row>
    <row r="5" ht="24" customHeight="1">
      <c r="A5" s="18" t="inlineStr">
        <is>
          <t>Categoria</t>
        </is>
      </c>
      <c r="B5" s="38">
        <f>EDATE(Config!$B$6,0)</f>
        <v/>
      </c>
      <c r="C5" s="38">
        <f>EDATE(Config!$B$6,1)</f>
        <v/>
      </c>
      <c r="D5" s="38">
        <f>EDATE(Config!$B$6,2)</f>
        <v/>
      </c>
      <c r="E5" s="38">
        <f>EDATE(Config!$B$6,3)</f>
        <v/>
      </c>
      <c r="F5" s="38">
        <f>EDATE(Config!$B$6,4)</f>
        <v/>
      </c>
      <c r="G5" s="38">
        <f>EDATE(Config!$B$6,5)</f>
        <v/>
      </c>
      <c r="H5" s="38">
        <f>EDATE(Config!$B$6,6)</f>
        <v/>
      </c>
      <c r="I5" s="38">
        <f>EDATE(Config!$B$6,7)</f>
        <v/>
      </c>
      <c r="J5" s="38">
        <f>EDATE(Config!$B$6,8)</f>
        <v/>
      </c>
      <c r="K5" s="38">
        <f>EDATE(Config!$B$6,9)</f>
        <v/>
      </c>
      <c r="L5" s="38">
        <f>EDATE(Config!$B$6,10)</f>
        <v/>
      </c>
      <c r="M5" s="38">
        <f>EDATE(Config!$B$6,11)</f>
        <v/>
      </c>
      <c r="N5" s="18" t="inlineStr">
        <is>
          <t>Total 12 meses</t>
        </is>
      </c>
    </row>
    <row r="7" ht="20" customHeight="1">
      <c r="A7" s="10" t="inlineStr">
        <is>
          <t>ENTRADAS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>
      <c r="A8" s="8">
        <f>IF(Config!$D6="","",Config!$D6)</f>
        <v/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9">
        <f>IF($A8="","",SUM(B8:M8))</f>
        <v/>
      </c>
    </row>
    <row r="9">
      <c r="A9" s="8">
        <f>IF(Config!$D7="","",Config!$D7)</f>
        <v/>
      </c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9">
        <f>IF($A9="","",SUM(B9:M9))</f>
        <v/>
      </c>
    </row>
    <row r="10">
      <c r="A10" s="8">
        <f>IF(Config!$D8="","",Config!$D8)</f>
        <v/>
      </c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9">
        <f>IF($A10="","",SUM(B10:M10))</f>
        <v/>
      </c>
    </row>
    <row r="11">
      <c r="A11" s="8">
        <f>IF(Config!$D9="","",Config!$D9)</f>
        <v/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9">
        <f>IF($A11="","",SUM(B11:M11))</f>
        <v/>
      </c>
    </row>
    <row r="12">
      <c r="A12" s="8">
        <f>IF(Config!$D10="","",Config!$D10)</f>
        <v/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9">
        <f>IF($A12="","",SUM(B12:M12))</f>
        <v/>
      </c>
    </row>
    <row r="13">
      <c r="A13" s="8">
        <f>IF(Config!$D11="","",Config!$D11)</f>
        <v/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9">
        <f>IF($A13="","",SUM(B13:M13))</f>
        <v/>
      </c>
    </row>
    <row r="14">
      <c r="A14" s="8">
        <f>IF(Config!$D12="","",Config!$D12)</f>
        <v/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9">
        <f>IF($A14="","",SUM(B14:M14))</f>
        <v/>
      </c>
    </row>
    <row r="15">
      <c r="A15" s="8">
        <f>IF(Config!$D13="","",Config!$D13)</f>
        <v/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9">
        <f>IF($A15="","",SUM(B15:M15))</f>
        <v/>
      </c>
    </row>
    <row r="16">
      <c r="A16" s="8">
        <f>IF(Config!$D14="","",Config!$D14)</f>
        <v/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9">
        <f>IF($A16="","",SUM(B16:M16))</f>
        <v/>
      </c>
    </row>
    <row r="17">
      <c r="A17" s="8">
        <f>IF(Config!$D15="","",Config!$D15)</f>
        <v/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9">
        <f>IF($A17="","",SUM(B17:M17))</f>
        <v/>
      </c>
    </row>
    <row r="18">
      <c r="A18" s="25" t="inlineStr">
        <is>
          <t>TOTAL ENTRADAS</t>
        </is>
      </c>
      <c r="B18" s="26">
        <f>SUM(B8:B17)</f>
        <v/>
      </c>
      <c r="C18" s="26">
        <f>SUM(C8:C17)</f>
        <v/>
      </c>
      <c r="D18" s="26">
        <f>SUM(D8:D17)</f>
        <v/>
      </c>
      <c r="E18" s="26">
        <f>SUM(E8:E17)</f>
        <v/>
      </c>
      <c r="F18" s="26">
        <f>SUM(F8:F17)</f>
        <v/>
      </c>
      <c r="G18" s="26">
        <f>SUM(G8:G17)</f>
        <v/>
      </c>
      <c r="H18" s="26">
        <f>SUM(H8:H17)</f>
        <v/>
      </c>
      <c r="I18" s="26">
        <f>SUM(I8:I17)</f>
        <v/>
      </c>
      <c r="J18" s="26">
        <f>SUM(J8:J17)</f>
        <v/>
      </c>
      <c r="K18" s="26">
        <f>SUM(K8:K17)</f>
        <v/>
      </c>
      <c r="L18" s="26">
        <f>SUM(L8:L17)</f>
        <v/>
      </c>
      <c r="M18" s="26">
        <f>SUM(M8:M17)</f>
        <v/>
      </c>
      <c r="N18" s="26">
        <f>SUM(N8:N17)</f>
        <v/>
      </c>
    </row>
    <row r="20" ht="20" customHeight="1">
      <c r="A20" s="10" t="inlineStr">
        <is>
          <t>SAÍDAS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>
      <c r="A21" s="8">
        <f>IF(Config!$F6="","",Config!$F6)</f>
        <v/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9">
        <f>IF($A21="","",SUM(B21:M21))</f>
        <v/>
      </c>
    </row>
    <row r="22">
      <c r="A22" s="8">
        <f>IF(Config!$F7="","",Config!$F7)</f>
        <v/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9">
        <f>IF($A22="","",SUM(B22:M22))</f>
        <v/>
      </c>
    </row>
    <row r="23">
      <c r="A23" s="8">
        <f>IF(Config!$F8="","",Config!$F8)</f>
        <v/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9">
        <f>IF($A23="","",SUM(B23:M23))</f>
        <v/>
      </c>
    </row>
    <row r="24">
      <c r="A24" s="8">
        <f>IF(Config!$F9="","",Config!$F9)</f>
        <v/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9">
        <f>IF($A24="","",SUM(B24:M24))</f>
        <v/>
      </c>
    </row>
    <row r="25">
      <c r="A25" s="8">
        <f>IF(Config!$F10="","",Config!$F10)</f>
        <v/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9">
        <f>IF($A25="","",SUM(B25:M25))</f>
        <v/>
      </c>
    </row>
    <row r="26">
      <c r="A26" s="8">
        <f>IF(Config!$F11="","",Config!$F11)</f>
        <v/>
      </c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9">
        <f>IF($A26="","",SUM(B26:M26))</f>
        <v/>
      </c>
    </row>
    <row r="27">
      <c r="A27" s="8">
        <f>IF(Config!$F12="","",Config!$F12)</f>
        <v/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9">
        <f>IF($A27="","",SUM(B27:M27))</f>
        <v/>
      </c>
    </row>
    <row r="28">
      <c r="A28" s="8">
        <f>IF(Config!$F13="","",Config!$F13)</f>
        <v/>
      </c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9">
        <f>IF($A28="","",SUM(B28:M28))</f>
        <v/>
      </c>
    </row>
    <row r="29">
      <c r="A29" s="8">
        <f>IF(Config!$F14="","",Config!$F14)</f>
        <v/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9">
        <f>IF($A29="","",SUM(B29:M29))</f>
        <v/>
      </c>
    </row>
    <row r="30">
      <c r="A30" s="8">
        <f>IF(Config!$F15="","",Config!$F15)</f>
        <v/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9">
        <f>IF($A30="","",SUM(B30:M30))</f>
        <v/>
      </c>
    </row>
    <row r="31">
      <c r="A31" s="8">
        <f>IF(Config!$F16="","",Config!$F16)</f>
        <v/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9">
        <f>IF($A31="","",SUM(B31:M31))</f>
        <v/>
      </c>
    </row>
    <row r="32">
      <c r="A32" s="8">
        <f>IF(Config!$F17="","",Config!$F17)</f>
        <v/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9">
        <f>IF($A32="","",SUM(B32:M32))</f>
        <v/>
      </c>
    </row>
    <row r="33">
      <c r="A33" s="8">
        <f>IF(Config!$F18="","",Config!$F18)</f>
        <v/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9">
        <f>IF($A33="","",SUM(B33:M33))</f>
        <v/>
      </c>
    </row>
    <row r="34">
      <c r="A34" s="8">
        <f>IF(Config!$F19="","",Config!$F19)</f>
        <v/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9">
        <f>IF($A34="","",SUM(B34:M34))</f>
        <v/>
      </c>
    </row>
    <row r="35">
      <c r="A35" s="8">
        <f>IF(Config!$F20="","",Config!$F20)</f>
        <v/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9">
        <f>IF($A35="","",SUM(B35:M35))</f>
        <v/>
      </c>
    </row>
    <row r="36">
      <c r="A36" s="8">
        <f>IF(Config!$F21="","",Config!$F21)</f>
        <v/>
      </c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9">
        <f>IF($A36="","",SUM(B36:M36))</f>
        <v/>
      </c>
    </row>
    <row r="37">
      <c r="A37" s="8">
        <f>IF(Config!$F22="","",Config!$F22)</f>
        <v/>
      </c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9">
        <f>IF($A37="","",SUM(B37:M37))</f>
        <v/>
      </c>
    </row>
    <row r="38">
      <c r="A38" s="8">
        <f>IF(Config!$F23="","",Config!$F23)</f>
        <v/>
      </c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9">
        <f>IF($A38="","",SUM(B38:M38))</f>
        <v/>
      </c>
    </row>
    <row r="39">
      <c r="A39" s="8">
        <f>IF(Config!$F24="","",Config!$F24)</f>
        <v/>
      </c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9">
        <f>IF($A39="","",SUM(B39:M39))</f>
        <v/>
      </c>
    </row>
    <row r="40">
      <c r="A40" s="8">
        <f>IF(Config!$F25="","",Config!$F25)</f>
        <v/>
      </c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9">
        <f>IF($A40="","",SUM(B40:M40))</f>
        <v/>
      </c>
    </row>
    <row r="41">
      <c r="A41" s="25" t="inlineStr">
        <is>
          <t>TOTAL SAÍDAS</t>
        </is>
      </c>
      <c r="B41" s="26">
        <f>SUM(B21:B40)</f>
        <v/>
      </c>
      <c r="C41" s="26">
        <f>SUM(C21:C40)</f>
        <v/>
      </c>
      <c r="D41" s="26">
        <f>SUM(D21:D40)</f>
        <v/>
      </c>
      <c r="E41" s="26">
        <f>SUM(E21:E40)</f>
        <v/>
      </c>
      <c r="F41" s="26">
        <f>SUM(F21:F40)</f>
        <v/>
      </c>
      <c r="G41" s="26">
        <f>SUM(G21:G40)</f>
        <v/>
      </c>
      <c r="H41" s="26">
        <f>SUM(H21:H40)</f>
        <v/>
      </c>
      <c r="I41" s="26">
        <f>SUM(I21:I40)</f>
        <v/>
      </c>
      <c r="J41" s="26">
        <f>SUM(J21:J40)</f>
        <v/>
      </c>
      <c r="K41" s="26">
        <f>SUM(K21:K40)</f>
        <v/>
      </c>
      <c r="L41" s="26">
        <f>SUM(L21:L40)</f>
        <v/>
      </c>
      <c r="M41" s="26">
        <f>SUM(M21:M40)</f>
        <v/>
      </c>
      <c r="N41" s="26">
        <f>SUM(N21:N40)</f>
        <v/>
      </c>
    </row>
    <row r="43" ht="20" customHeight="1">
      <c r="A43" s="10" t="inlineStr">
        <is>
          <t>RESULTADO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</row>
    <row r="44">
      <c r="A44" s="25" t="inlineStr">
        <is>
          <t>Saldo do mês (entradas − saídas)</t>
        </is>
      </c>
      <c r="B44" s="26">
        <f>B18-B41</f>
        <v/>
      </c>
      <c r="C44" s="26">
        <f>C18-C41</f>
        <v/>
      </c>
      <c r="D44" s="26">
        <f>D18-D41</f>
        <v/>
      </c>
      <c r="E44" s="26">
        <f>E18-E41</f>
        <v/>
      </c>
      <c r="F44" s="26">
        <f>F18-F41</f>
        <v/>
      </c>
      <c r="G44" s="26">
        <f>G18-G41</f>
        <v/>
      </c>
      <c r="H44" s="26">
        <f>H18-H41</f>
        <v/>
      </c>
      <c r="I44" s="26">
        <f>I18-I41</f>
        <v/>
      </c>
      <c r="J44" s="26">
        <f>J18-J41</f>
        <v/>
      </c>
      <c r="K44" s="26">
        <f>K18-K41</f>
        <v/>
      </c>
      <c r="L44" s="26">
        <f>L18-L41</f>
        <v/>
      </c>
      <c r="M44" s="26">
        <f>M18-M41</f>
        <v/>
      </c>
      <c r="N44" s="26">
        <f>N18-N41</f>
        <v/>
      </c>
    </row>
    <row r="45">
      <c r="A45" s="25" t="inlineStr">
        <is>
          <t>Saldo inicial do mês</t>
        </is>
      </c>
      <c r="B45" s="26">
        <f>Config!$B$7</f>
        <v/>
      </c>
      <c r="C45" s="26">
        <f>B46</f>
        <v/>
      </c>
      <c r="D45" s="26">
        <f>C46</f>
        <v/>
      </c>
      <c r="E45" s="26">
        <f>D46</f>
        <v/>
      </c>
      <c r="F45" s="26">
        <f>E46</f>
        <v/>
      </c>
      <c r="G45" s="26">
        <f>F46</f>
        <v/>
      </c>
      <c r="H45" s="26">
        <f>G46</f>
        <v/>
      </c>
      <c r="I45" s="26">
        <f>H46</f>
        <v/>
      </c>
      <c r="J45" s="26">
        <f>I46</f>
        <v/>
      </c>
      <c r="K45" s="26">
        <f>J46</f>
        <v/>
      </c>
      <c r="L45" s="26">
        <f>K46</f>
        <v/>
      </c>
      <c r="M45" s="26">
        <f>L46</f>
        <v/>
      </c>
      <c r="N45" s="26">
        <f>B45</f>
        <v/>
      </c>
    </row>
    <row r="46">
      <c r="A46" s="25" t="inlineStr">
        <is>
          <t>Saldo acumulado (final do mês)</t>
        </is>
      </c>
      <c r="B46" s="26">
        <f>B45+B44</f>
        <v/>
      </c>
      <c r="C46" s="26">
        <f>C45+C44</f>
        <v/>
      </c>
      <c r="D46" s="26">
        <f>D45+D44</f>
        <v/>
      </c>
      <c r="E46" s="26">
        <f>E45+E44</f>
        <v/>
      </c>
      <c r="F46" s="26">
        <f>F45+F44</f>
        <v/>
      </c>
      <c r="G46" s="26">
        <f>G45+G44</f>
        <v/>
      </c>
      <c r="H46" s="26">
        <f>H45+H44</f>
        <v/>
      </c>
      <c r="I46" s="26">
        <f>I45+I44</f>
        <v/>
      </c>
      <c r="J46" s="26">
        <f>J45+J44</f>
        <v/>
      </c>
      <c r="K46" s="26">
        <f>K45+K44</f>
        <v/>
      </c>
      <c r="L46" s="26">
        <f>L45+L44</f>
        <v/>
      </c>
      <c r="M46" s="26">
        <f>M45+M44</f>
        <v/>
      </c>
      <c r="N46" s="26">
        <f>M46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conditionalFormatting sqref="B46:N46">
    <cfRule type="cellIs" priority="1" operator="lessThan" dxfId="4">
      <formula>0</formula>
    </cfRule>
  </conditionalFormatting>
  <dataValidations count="2">
    <dataValidation sqref="B8:M17" showDropDown="0" showInputMessage="0" showErrorMessage="1" allowBlank="1" errorTitle="Valor inválido" error="Digite um número maior ou igual a zero." type="decimal" operator="greaterThanOrEqual">
      <formula1>0</formula1>
    </dataValidation>
    <dataValidation sqref="B21:M40" showDropDown="0" showInputMessage="0" showErrorMessage="1" allowBlank="1" errorTitle="Valor inválido" error="Digite um número maior ou igual a zero." type="decimal" operator="greaterThanOrEqual">
      <formula1>0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5" customWidth="1" min="14" max="14"/>
  </cols>
  <sheetData>
    <row r="1" ht="36" customHeight="1">
      <c r="A1" s="1" t="inlineStr">
        <is>
          <t>Fluxo de Caixa Realizado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Calculado automaticamente a partir da aba Lançamentos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7" t="inlineStr">
        <is>
          <t>Legenda:</t>
        </is>
      </c>
      <c r="B3" s="28" t="inlineStr">
        <is>
          <t>Preencher</t>
        </is>
      </c>
      <c r="C3" s="29" t="inlineStr">
        <is>
          <t>Cálculo automático (protegido)</t>
        </is>
      </c>
    </row>
    <row r="5" ht="24" customHeight="1">
      <c r="A5" s="18" t="inlineStr">
        <is>
          <t>Categoria</t>
        </is>
      </c>
      <c r="B5" s="38">
        <f>EDATE(Config!$B$6,0)</f>
        <v/>
      </c>
      <c r="C5" s="38">
        <f>EDATE(Config!$B$6,1)</f>
        <v/>
      </c>
      <c r="D5" s="38">
        <f>EDATE(Config!$B$6,2)</f>
        <v/>
      </c>
      <c r="E5" s="38">
        <f>EDATE(Config!$B$6,3)</f>
        <v/>
      </c>
      <c r="F5" s="38">
        <f>EDATE(Config!$B$6,4)</f>
        <v/>
      </c>
      <c r="G5" s="38">
        <f>EDATE(Config!$B$6,5)</f>
        <v/>
      </c>
      <c r="H5" s="38">
        <f>EDATE(Config!$B$6,6)</f>
        <v/>
      </c>
      <c r="I5" s="38">
        <f>EDATE(Config!$B$6,7)</f>
        <v/>
      </c>
      <c r="J5" s="38">
        <f>EDATE(Config!$B$6,8)</f>
        <v/>
      </c>
      <c r="K5" s="38">
        <f>EDATE(Config!$B$6,9)</f>
        <v/>
      </c>
      <c r="L5" s="38">
        <f>EDATE(Config!$B$6,10)</f>
        <v/>
      </c>
      <c r="M5" s="38">
        <f>EDATE(Config!$B$6,11)</f>
        <v/>
      </c>
      <c r="N5" s="18" t="inlineStr">
        <is>
          <t>Total 12 meses</t>
        </is>
      </c>
    </row>
    <row r="7" ht="20" customHeight="1">
      <c r="A7" s="10" t="inlineStr">
        <is>
          <t>ENTRADAS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>
      <c r="A8" s="8">
        <f>IF(Config!$D6="","",Config!$D6)</f>
        <v/>
      </c>
      <c r="B8" s="20">
        <f>IF($A8="","",SUMIFS('Lançamentos'!$E$6:$E$1505,'Lançamentos'!$B$6:$B$1505,$A8,'Lançamentos'!$H$6:$H$1505,1))</f>
        <v/>
      </c>
      <c r="C8" s="20">
        <f>IF($A8="","",SUMIFS('Lançamentos'!$E$6:$E$1505,'Lançamentos'!$B$6:$B$1505,$A8,'Lançamentos'!$H$6:$H$1505,2))</f>
        <v/>
      </c>
      <c r="D8" s="20">
        <f>IF($A8="","",SUMIFS('Lançamentos'!$E$6:$E$1505,'Lançamentos'!$B$6:$B$1505,$A8,'Lançamentos'!$H$6:$H$1505,3))</f>
        <v/>
      </c>
      <c r="E8" s="20">
        <f>IF($A8="","",SUMIFS('Lançamentos'!$E$6:$E$1505,'Lançamentos'!$B$6:$B$1505,$A8,'Lançamentos'!$H$6:$H$1505,4))</f>
        <v/>
      </c>
      <c r="F8" s="20">
        <f>IF($A8="","",SUMIFS('Lançamentos'!$E$6:$E$1505,'Lançamentos'!$B$6:$B$1505,$A8,'Lançamentos'!$H$6:$H$1505,5))</f>
        <v/>
      </c>
      <c r="G8" s="20">
        <f>IF($A8="","",SUMIFS('Lançamentos'!$E$6:$E$1505,'Lançamentos'!$B$6:$B$1505,$A8,'Lançamentos'!$H$6:$H$1505,6))</f>
        <v/>
      </c>
      <c r="H8" s="20">
        <f>IF($A8="","",SUMIFS('Lançamentos'!$E$6:$E$1505,'Lançamentos'!$B$6:$B$1505,$A8,'Lançamentos'!$H$6:$H$1505,7))</f>
        <v/>
      </c>
      <c r="I8" s="20">
        <f>IF($A8="","",SUMIFS('Lançamentos'!$E$6:$E$1505,'Lançamentos'!$B$6:$B$1505,$A8,'Lançamentos'!$H$6:$H$1505,8))</f>
        <v/>
      </c>
      <c r="J8" s="20">
        <f>IF($A8="","",SUMIFS('Lançamentos'!$E$6:$E$1505,'Lançamentos'!$B$6:$B$1505,$A8,'Lançamentos'!$H$6:$H$1505,9))</f>
        <v/>
      </c>
      <c r="K8" s="20">
        <f>IF($A8="","",SUMIFS('Lançamentos'!$E$6:$E$1505,'Lançamentos'!$B$6:$B$1505,$A8,'Lançamentos'!$H$6:$H$1505,10))</f>
        <v/>
      </c>
      <c r="L8" s="20">
        <f>IF($A8="","",SUMIFS('Lançamentos'!$E$6:$E$1505,'Lançamentos'!$B$6:$B$1505,$A8,'Lançamentos'!$H$6:$H$1505,11))</f>
        <v/>
      </c>
      <c r="M8" s="20">
        <f>IF($A8="","",SUMIFS('Lançamentos'!$E$6:$E$1505,'Lançamentos'!$B$6:$B$1505,$A8,'Lançamentos'!$H$6:$H$1505,12))</f>
        <v/>
      </c>
      <c r="N8" s="39">
        <f>IF($A8="","",SUM(B8:M8))</f>
        <v/>
      </c>
    </row>
    <row r="9">
      <c r="A9" s="8">
        <f>IF(Config!$D7="","",Config!$D7)</f>
        <v/>
      </c>
      <c r="B9" s="20">
        <f>IF($A9="","",SUMIFS('Lançamentos'!$E$6:$E$1505,'Lançamentos'!$B$6:$B$1505,$A9,'Lançamentos'!$H$6:$H$1505,1))</f>
        <v/>
      </c>
      <c r="C9" s="20">
        <f>IF($A9="","",SUMIFS('Lançamentos'!$E$6:$E$1505,'Lançamentos'!$B$6:$B$1505,$A9,'Lançamentos'!$H$6:$H$1505,2))</f>
        <v/>
      </c>
      <c r="D9" s="20">
        <f>IF($A9="","",SUMIFS('Lançamentos'!$E$6:$E$1505,'Lançamentos'!$B$6:$B$1505,$A9,'Lançamentos'!$H$6:$H$1505,3))</f>
        <v/>
      </c>
      <c r="E9" s="20">
        <f>IF($A9="","",SUMIFS('Lançamentos'!$E$6:$E$1505,'Lançamentos'!$B$6:$B$1505,$A9,'Lançamentos'!$H$6:$H$1505,4))</f>
        <v/>
      </c>
      <c r="F9" s="20">
        <f>IF($A9="","",SUMIFS('Lançamentos'!$E$6:$E$1505,'Lançamentos'!$B$6:$B$1505,$A9,'Lançamentos'!$H$6:$H$1505,5))</f>
        <v/>
      </c>
      <c r="G9" s="20">
        <f>IF($A9="","",SUMIFS('Lançamentos'!$E$6:$E$1505,'Lançamentos'!$B$6:$B$1505,$A9,'Lançamentos'!$H$6:$H$1505,6))</f>
        <v/>
      </c>
      <c r="H9" s="20">
        <f>IF($A9="","",SUMIFS('Lançamentos'!$E$6:$E$1505,'Lançamentos'!$B$6:$B$1505,$A9,'Lançamentos'!$H$6:$H$1505,7))</f>
        <v/>
      </c>
      <c r="I9" s="20">
        <f>IF($A9="","",SUMIFS('Lançamentos'!$E$6:$E$1505,'Lançamentos'!$B$6:$B$1505,$A9,'Lançamentos'!$H$6:$H$1505,8))</f>
        <v/>
      </c>
      <c r="J9" s="20">
        <f>IF($A9="","",SUMIFS('Lançamentos'!$E$6:$E$1505,'Lançamentos'!$B$6:$B$1505,$A9,'Lançamentos'!$H$6:$H$1505,9))</f>
        <v/>
      </c>
      <c r="K9" s="20">
        <f>IF($A9="","",SUMIFS('Lançamentos'!$E$6:$E$1505,'Lançamentos'!$B$6:$B$1505,$A9,'Lançamentos'!$H$6:$H$1505,10))</f>
        <v/>
      </c>
      <c r="L9" s="20">
        <f>IF($A9="","",SUMIFS('Lançamentos'!$E$6:$E$1505,'Lançamentos'!$B$6:$B$1505,$A9,'Lançamentos'!$H$6:$H$1505,11))</f>
        <v/>
      </c>
      <c r="M9" s="20">
        <f>IF($A9="","",SUMIFS('Lançamentos'!$E$6:$E$1505,'Lançamentos'!$B$6:$B$1505,$A9,'Lançamentos'!$H$6:$H$1505,12))</f>
        <v/>
      </c>
      <c r="N9" s="39">
        <f>IF($A9="","",SUM(B9:M9))</f>
        <v/>
      </c>
    </row>
    <row r="10">
      <c r="A10" s="8">
        <f>IF(Config!$D8="","",Config!$D8)</f>
        <v/>
      </c>
      <c r="B10" s="20">
        <f>IF($A10="","",SUMIFS('Lançamentos'!$E$6:$E$1505,'Lançamentos'!$B$6:$B$1505,$A10,'Lançamentos'!$H$6:$H$1505,1))</f>
        <v/>
      </c>
      <c r="C10" s="20">
        <f>IF($A10="","",SUMIFS('Lançamentos'!$E$6:$E$1505,'Lançamentos'!$B$6:$B$1505,$A10,'Lançamentos'!$H$6:$H$1505,2))</f>
        <v/>
      </c>
      <c r="D10" s="20">
        <f>IF($A10="","",SUMIFS('Lançamentos'!$E$6:$E$1505,'Lançamentos'!$B$6:$B$1505,$A10,'Lançamentos'!$H$6:$H$1505,3))</f>
        <v/>
      </c>
      <c r="E10" s="20">
        <f>IF($A10="","",SUMIFS('Lançamentos'!$E$6:$E$1505,'Lançamentos'!$B$6:$B$1505,$A10,'Lançamentos'!$H$6:$H$1505,4))</f>
        <v/>
      </c>
      <c r="F10" s="20">
        <f>IF($A10="","",SUMIFS('Lançamentos'!$E$6:$E$1505,'Lançamentos'!$B$6:$B$1505,$A10,'Lançamentos'!$H$6:$H$1505,5))</f>
        <v/>
      </c>
      <c r="G10" s="20">
        <f>IF($A10="","",SUMIFS('Lançamentos'!$E$6:$E$1505,'Lançamentos'!$B$6:$B$1505,$A10,'Lançamentos'!$H$6:$H$1505,6))</f>
        <v/>
      </c>
      <c r="H10" s="20">
        <f>IF($A10="","",SUMIFS('Lançamentos'!$E$6:$E$1505,'Lançamentos'!$B$6:$B$1505,$A10,'Lançamentos'!$H$6:$H$1505,7))</f>
        <v/>
      </c>
      <c r="I10" s="20">
        <f>IF($A10="","",SUMIFS('Lançamentos'!$E$6:$E$1505,'Lançamentos'!$B$6:$B$1505,$A10,'Lançamentos'!$H$6:$H$1505,8))</f>
        <v/>
      </c>
      <c r="J10" s="20">
        <f>IF($A10="","",SUMIFS('Lançamentos'!$E$6:$E$1505,'Lançamentos'!$B$6:$B$1505,$A10,'Lançamentos'!$H$6:$H$1505,9))</f>
        <v/>
      </c>
      <c r="K10" s="20">
        <f>IF($A10="","",SUMIFS('Lançamentos'!$E$6:$E$1505,'Lançamentos'!$B$6:$B$1505,$A10,'Lançamentos'!$H$6:$H$1505,10))</f>
        <v/>
      </c>
      <c r="L10" s="20">
        <f>IF($A10="","",SUMIFS('Lançamentos'!$E$6:$E$1505,'Lançamentos'!$B$6:$B$1505,$A10,'Lançamentos'!$H$6:$H$1505,11))</f>
        <v/>
      </c>
      <c r="M10" s="20">
        <f>IF($A10="","",SUMIFS('Lançamentos'!$E$6:$E$1505,'Lançamentos'!$B$6:$B$1505,$A10,'Lançamentos'!$H$6:$H$1505,12))</f>
        <v/>
      </c>
      <c r="N10" s="39">
        <f>IF($A10="","",SUM(B10:M10))</f>
        <v/>
      </c>
    </row>
    <row r="11">
      <c r="A11" s="8">
        <f>IF(Config!$D9="","",Config!$D9)</f>
        <v/>
      </c>
      <c r="B11" s="20">
        <f>IF($A11="","",SUMIFS('Lançamentos'!$E$6:$E$1505,'Lançamentos'!$B$6:$B$1505,$A11,'Lançamentos'!$H$6:$H$1505,1))</f>
        <v/>
      </c>
      <c r="C11" s="20">
        <f>IF($A11="","",SUMIFS('Lançamentos'!$E$6:$E$1505,'Lançamentos'!$B$6:$B$1505,$A11,'Lançamentos'!$H$6:$H$1505,2))</f>
        <v/>
      </c>
      <c r="D11" s="20">
        <f>IF($A11="","",SUMIFS('Lançamentos'!$E$6:$E$1505,'Lançamentos'!$B$6:$B$1505,$A11,'Lançamentos'!$H$6:$H$1505,3))</f>
        <v/>
      </c>
      <c r="E11" s="20">
        <f>IF($A11="","",SUMIFS('Lançamentos'!$E$6:$E$1505,'Lançamentos'!$B$6:$B$1505,$A11,'Lançamentos'!$H$6:$H$1505,4))</f>
        <v/>
      </c>
      <c r="F11" s="20">
        <f>IF($A11="","",SUMIFS('Lançamentos'!$E$6:$E$1505,'Lançamentos'!$B$6:$B$1505,$A11,'Lançamentos'!$H$6:$H$1505,5))</f>
        <v/>
      </c>
      <c r="G11" s="20">
        <f>IF($A11="","",SUMIFS('Lançamentos'!$E$6:$E$1505,'Lançamentos'!$B$6:$B$1505,$A11,'Lançamentos'!$H$6:$H$1505,6))</f>
        <v/>
      </c>
      <c r="H11" s="20">
        <f>IF($A11="","",SUMIFS('Lançamentos'!$E$6:$E$1505,'Lançamentos'!$B$6:$B$1505,$A11,'Lançamentos'!$H$6:$H$1505,7))</f>
        <v/>
      </c>
      <c r="I11" s="20">
        <f>IF($A11="","",SUMIFS('Lançamentos'!$E$6:$E$1505,'Lançamentos'!$B$6:$B$1505,$A11,'Lançamentos'!$H$6:$H$1505,8))</f>
        <v/>
      </c>
      <c r="J11" s="20">
        <f>IF($A11="","",SUMIFS('Lançamentos'!$E$6:$E$1505,'Lançamentos'!$B$6:$B$1505,$A11,'Lançamentos'!$H$6:$H$1505,9))</f>
        <v/>
      </c>
      <c r="K11" s="20">
        <f>IF($A11="","",SUMIFS('Lançamentos'!$E$6:$E$1505,'Lançamentos'!$B$6:$B$1505,$A11,'Lançamentos'!$H$6:$H$1505,10))</f>
        <v/>
      </c>
      <c r="L11" s="20">
        <f>IF($A11="","",SUMIFS('Lançamentos'!$E$6:$E$1505,'Lançamentos'!$B$6:$B$1505,$A11,'Lançamentos'!$H$6:$H$1505,11))</f>
        <v/>
      </c>
      <c r="M11" s="20">
        <f>IF($A11="","",SUMIFS('Lançamentos'!$E$6:$E$1505,'Lançamentos'!$B$6:$B$1505,$A11,'Lançamentos'!$H$6:$H$1505,12))</f>
        <v/>
      </c>
      <c r="N11" s="39">
        <f>IF($A11="","",SUM(B11:M11))</f>
        <v/>
      </c>
    </row>
    <row r="12">
      <c r="A12" s="8">
        <f>IF(Config!$D10="","",Config!$D10)</f>
        <v/>
      </c>
      <c r="B12" s="20">
        <f>IF($A12="","",SUMIFS('Lançamentos'!$E$6:$E$1505,'Lançamentos'!$B$6:$B$1505,$A12,'Lançamentos'!$H$6:$H$1505,1))</f>
        <v/>
      </c>
      <c r="C12" s="20">
        <f>IF($A12="","",SUMIFS('Lançamentos'!$E$6:$E$1505,'Lançamentos'!$B$6:$B$1505,$A12,'Lançamentos'!$H$6:$H$1505,2))</f>
        <v/>
      </c>
      <c r="D12" s="20">
        <f>IF($A12="","",SUMIFS('Lançamentos'!$E$6:$E$1505,'Lançamentos'!$B$6:$B$1505,$A12,'Lançamentos'!$H$6:$H$1505,3))</f>
        <v/>
      </c>
      <c r="E12" s="20">
        <f>IF($A12="","",SUMIFS('Lançamentos'!$E$6:$E$1505,'Lançamentos'!$B$6:$B$1505,$A12,'Lançamentos'!$H$6:$H$1505,4))</f>
        <v/>
      </c>
      <c r="F12" s="20">
        <f>IF($A12="","",SUMIFS('Lançamentos'!$E$6:$E$1505,'Lançamentos'!$B$6:$B$1505,$A12,'Lançamentos'!$H$6:$H$1505,5))</f>
        <v/>
      </c>
      <c r="G12" s="20">
        <f>IF($A12="","",SUMIFS('Lançamentos'!$E$6:$E$1505,'Lançamentos'!$B$6:$B$1505,$A12,'Lançamentos'!$H$6:$H$1505,6))</f>
        <v/>
      </c>
      <c r="H12" s="20">
        <f>IF($A12="","",SUMIFS('Lançamentos'!$E$6:$E$1505,'Lançamentos'!$B$6:$B$1505,$A12,'Lançamentos'!$H$6:$H$1505,7))</f>
        <v/>
      </c>
      <c r="I12" s="20">
        <f>IF($A12="","",SUMIFS('Lançamentos'!$E$6:$E$1505,'Lançamentos'!$B$6:$B$1505,$A12,'Lançamentos'!$H$6:$H$1505,8))</f>
        <v/>
      </c>
      <c r="J12" s="20">
        <f>IF($A12="","",SUMIFS('Lançamentos'!$E$6:$E$1505,'Lançamentos'!$B$6:$B$1505,$A12,'Lançamentos'!$H$6:$H$1505,9))</f>
        <v/>
      </c>
      <c r="K12" s="20">
        <f>IF($A12="","",SUMIFS('Lançamentos'!$E$6:$E$1505,'Lançamentos'!$B$6:$B$1505,$A12,'Lançamentos'!$H$6:$H$1505,10))</f>
        <v/>
      </c>
      <c r="L12" s="20">
        <f>IF($A12="","",SUMIFS('Lançamentos'!$E$6:$E$1505,'Lançamentos'!$B$6:$B$1505,$A12,'Lançamentos'!$H$6:$H$1505,11))</f>
        <v/>
      </c>
      <c r="M12" s="20">
        <f>IF($A12="","",SUMIFS('Lançamentos'!$E$6:$E$1505,'Lançamentos'!$B$6:$B$1505,$A12,'Lançamentos'!$H$6:$H$1505,12))</f>
        <v/>
      </c>
      <c r="N12" s="39">
        <f>IF($A12="","",SUM(B12:M12))</f>
        <v/>
      </c>
    </row>
    <row r="13">
      <c r="A13" s="8">
        <f>IF(Config!$D11="","",Config!$D11)</f>
        <v/>
      </c>
      <c r="B13" s="20">
        <f>IF($A13="","",SUMIFS('Lançamentos'!$E$6:$E$1505,'Lançamentos'!$B$6:$B$1505,$A13,'Lançamentos'!$H$6:$H$1505,1))</f>
        <v/>
      </c>
      <c r="C13" s="20">
        <f>IF($A13="","",SUMIFS('Lançamentos'!$E$6:$E$1505,'Lançamentos'!$B$6:$B$1505,$A13,'Lançamentos'!$H$6:$H$1505,2))</f>
        <v/>
      </c>
      <c r="D13" s="20">
        <f>IF($A13="","",SUMIFS('Lançamentos'!$E$6:$E$1505,'Lançamentos'!$B$6:$B$1505,$A13,'Lançamentos'!$H$6:$H$1505,3))</f>
        <v/>
      </c>
      <c r="E13" s="20">
        <f>IF($A13="","",SUMIFS('Lançamentos'!$E$6:$E$1505,'Lançamentos'!$B$6:$B$1505,$A13,'Lançamentos'!$H$6:$H$1505,4))</f>
        <v/>
      </c>
      <c r="F13" s="20">
        <f>IF($A13="","",SUMIFS('Lançamentos'!$E$6:$E$1505,'Lançamentos'!$B$6:$B$1505,$A13,'Lançamentos'!$H$6:$H$1505,5))</f>
        <v/>
      </c>
      <c r="G13" s="20">
        <f>IF($A13="","",SUMIFS('Lançamentos'!$E$6:$E$1505,'Lançamentos'!$B$6:$B$1505,$A13,'Lançamentos'!$H$6:$H$1505,6))</f>
        <v/>
      </c>
      <c r="H13" s="20">
        <f>IF($A13="","",SUMIFS('Lançamentos'!$E$6:$E$1505,'Lançamentos'!$B$6:$B$1505,$A13,'Lançamentos'!$H$6:$H$1505,7))</f>
        <v/>
      </c>
      <c r="I13" s="20">
        <f>IF($A13="","",SUMIFS('Lançamentos'!$E$6:$E$1505,'Lançamentos'!$B$6:$B$1505,$A13,'Lançamentos'!$H$6:$H$1505,8))</f>
        <v/>
      </c>
      <c r="J13" s="20">
        <f>IF($A13="","",SUMIFS('Lançamentos'!$E$6:$E$1505,'Lançamentos'!$B$6:$B$1505,$A13,'Lançamentos'!$H$6:$H$1505,9))</f>
        <v/>
      </c>
      <c r="K13" s="20">
        <f>IF($A13="","",SUMIFS('Lançamentos'!$E$6:$E$1505,'Lançamentos'!$B$6:$B$1505,$A13,'Lançamentos'!$H$6:$H$1505,10))</f>
        <v/>
      </c>
      <c r="L13" s="20">
        <f>IF($A13="","",SUMIFS('Lançamentos'!$E$6:$E$1505,'Lançamentos'!$B$6:$B$1505,$A13,'Lançamentos'!$H$6:$H$1505,11))</f>
        <v/>
      </c>
      <c r="M13" s="20">
        <f>IF($A13="","",SUMIFS('Lançamentos'!$E$6:$E$1505,'Lançamentos'!$B$6:$B$1505,$A13,'Lançamentos'!$H$6:$H$1505,12))</f>
        <v/>
      </c>
      <c r="N13" s="39">
        <f>IF($A13="","",SUM(B13:M13))</f>
        <v/>
      </c>
    </row>
    <row r="14">
      <c r="A14" s="8">
        <f>IF(Config!$D12="","",Config!$D12)</f>
        <v/>
      </c>
      <c r="B14" s="20">
        <f>IF($A14="","",SUMIFS('Lançamentos'!$E$6:$E$1505,'Lançamentos'!$B$6:$B$1505,$A14,'Lançamentos'!$H$6:$H$1505,1))</f>
        <v/>
      </c>
      <c r="C14" s="20">
        <f>IF($A14="","",SUMIFS('Lançamentos'!$E$6:$E$1505,'Lançamentos'!$B$6:$B$1505,$A14,'Lançamentos'!$H$6:$H$1505,2))</f>
        <v/>
      </c>
      <c r="D14" s="20">
        <f>IF($A14="","",SUMIFS('Lançamentos'!$E$6:$E$1505,'Lançamentos'!$B$6:$B$1505,$A14,'Lançamentos'!$H$6:$H$1505,3))</f>
        <v/>
      </c>
      <c r="E14" s="20">
        <f>IF($A14="","",SUMIFS('Lançamentos'!$E$6:$E$1505,'Lançamentos'!$B$6:$B$1505,$A14,'Lançamentos'!$H$6:$H$1505,4))</f>
        <v/>
      </c>
      <c r="F14" s="20">
        <f>IF($A14="","",SUMIFS('Lançamentos'!$E$6:$E$1505,'Lançamentos'!$B$6:$B$1505,$A14,'Lançamentos'!$H$6:$H$1505,5))</f>
        <v/>
      </c>
      <c r="G14" s="20">
        <f>IF($A14="","",SUMIFS('Lançamentos'!$E$6:$E$1505,'Lançamentos'!$B$6:$B$1505,$A14,'Lançamentos'!$H$6:$H$1505,6))</f>
        <v/>
      </c>
      <c r="H14" s="20">
        <f>IF($A14="","",SUMIFS('Lançamentos'!$E$6:$E$1505,'Lançamentos'!$B$6:$B$1505,$A14,'Lançamentos'!$H$6:$H$1505,7))</f>
        <v/>
      </c>
      <c r="I14" s="20">
        <f>IF($A14="","",SUMIFS('Lançamentos'!$E$6:$E$1505,'Lançamentos'!$B$6:$B$1505,$A14,'Lançamentos'!$H$6:$H$1505,8))</f>
        <v/>
      </c>
      <c r="J14" s="20">
        <f>IF($A14="","",SUMIFS('Lançamentos'!$E$6:$E$1505,'Lançamentos'!$B$6:$B$1505,$A14,'Lançamentos'!$H$6:$H$1505,9))</f>
        <v/>
      </c>
      <c r="K14" s="20">
        <f>IF($A14="","",SUMIFS('Lançamentos'!$E$6:$E$1505,'Lançamentos'!$B$6:$B$1505,$A14,'Lançamentos'!$H$6:$H$1505,10))</f>
        <v/>
      </c>
      <c r="L14" s="20">
        <f>IF($A14="","",SUMIFS('Lançamentos'!$E$6:$E$1505,'Lançamentos'!$B$6:$B$1505,$A14,'Lançamentos'!$H$6:$H$1505,11))</f>
        <v/>
      </c>
      <c r="M14" s="20">
        <f>IF($A14="","",SUMIFS('Lançamentos'!$E$6:$E$1505,'Lançamentos'!$B$6:$B$1505,$A14,'Lançamentos'!$H$6:$H$1505,12))</f>
        <v/>
      </c>
      <c r="N14" s="39">
        <f>IF($A14="","",SUM(B14:M14))</f>
        <v/>
      </c>
    </row>
    <row r="15">
      <c r="A15" s="8">
        <f>IF(Config!$D13="","",Config!$D13)</f>
        <v/>
      </c>
      <c r="B15" s="20">
        <f>IF($A15="","",SUMIFS('Lançamentos'!$E$6:$E$1505,'Lançamentos'!$B$6:$B$1505,$A15,'Lançamentos'!$H$6:$H$1505,1))</f>
        <v/>
      </c>
      <c r="C15" s="20">
        <f>IF($A15="","",SUMIFS('Lançamentos'!$E$6:$E$1505,'Lançamentos'!$B$6:$B$1505,$A15,'Lançamentos'!$H$6:$H$1505,2))</f>
        <v/>
      </c>
      <c r="D15" s="20">
        <f>IF($A15="","",SUMIFS('Lançamentos'!$E$6:$E$1505,'Lançamentos'!$B$6:$B$1505,$A15,'Lançamentos'!$H$6:$H$1505,3))</f>
        <v/>
      </c>
      <c r="E15" s="20">
        <f>IF($A15="","",SUMIFS('Lançamentos'!$E$6:$E$1505,'Lançamentos'!$B$6:$B$1505,$A15,'Lançamentos'!$H$6:$H$1505,4))</f>
        <v/>
      </c>
      <c r="F15" s="20">
        <f>IF($A15="","",SUMIFS('Lançamentos'!$E$6:$E$1505,'Lançamentos'!$B$6:$B$1505,$A15,'Lançamentos'!$H$6:$H$1505,5))</f>
        <v/>
      </c>
      <c r="G15" s="20">
        <f>IF($A15="","",SUMIFS('Lançamentos'!$E$6:$E$1505,'Lançamentos'!$B$6:$B$1505,$A15,'Lançamentos'!$H$6:$H$1505,6))</f>
        <v/>
      </c>
      <c r="H15" s="20">
        <f>IF($A15="","",SUMIFS('Lançamentos'!$E$6:$E$1505,'Lançamentos'!$B$6:$B$1505,$A15,'Lançamentos'!$H$6:$H$1505,7))</f>
        <v/>
      </c>
      <c r="I15" s="20">
        <f>IF($A15="","",SUMIFS('Lançamentos'!$E$6:$E$1505,'Lançamentos'!$B$6:$B$1505,$A15,'Lançamentos'!$H$6:$H$1505,8))</f>
        <v/>
      </c>
      <c r="J15" s="20">
        <f>IF($A15="","",SUMIFS('Lançamentos'!$E$6:$E$1505,'Lançamentos'!$B$6:$B$1505,$A15,'Lançamentos'!$H$6:$H$1505,9))</f>
        <v/>
      </c>
      <c r="K15" s="20">
        <f>IF($A15="","",SUMIFS('Lançamentos'!$E$6:$E$1505,'Lançamentos'!$B$6:$B$1505,$A15,'Lançamentos'!$H$6:$H$1505,10))</f>
        <v/>
      </c>
      <c r="L15" s="20">
        <f>IF($A15="","",SUMIFS('Lançamentos'!$E$6:$E$1505,'Lançamentos'!$B$6:$B$1505,$A15,'Lançamentos'!$H$6:$H$1505,11))</f>
        <v/>
      </c>
      <c r="M15" s="20">
        <f>IF($A15="","",SUMIFS('Lançamentos'!$E$6:$E$1505,'Lançamentos'!$B$6:$B$1505,$A15,'Lançamentos'!$H$6:$H$1505,12))</f>
        <v/>
      </c>
      <c r="N15" s="39">
        <f>IF($A15="","",SUM(B15:M15))</f>
        <v/>
      </c>
    </row>
    <row r="16">
      <c r="A16" s="8">
        <f>IF(Config!$D14="","",Config!$D14)</f>
        <v/>
      </c>
      <c r="B16" s="20">
        <f>IF($A16="","",SUMIFS('Lançamentos'!$E$6:$E$1505,'Lançamentos'!$B$6:$B$1505,$A16,'Lançamentos'!$H$6:$H$1505,1))</f>
        <v/>
      </c>
      <c r="C16" s="20">
        <f>IF($A16="","",SUMIFS('Lançamentos'!$E$6:$E$1505,'Lançamentos'!$B$6:$B$1505,$A16,'Lançamentos'!$H$6:$H$1505,2))</f>
        <v/>
      </c>
      <c r="D16" s="20">
        <f>IF($A16="","",SUMIFS('Lançamentos'!$E$6:$E$1505,'Lançamentos'!$B$6:$B$1505,$A16,'Lançamentos'!$H$6:$H$1505,3))</f>
        <v/>
      </c>
      <c r="E16" s="20">
        <f>IF($A16="","",SUMIFS('Lançamentos'!$E$6:$E$1505,'Lançamentos'!$B$6:$B$1505,$A16,'Lançamentos'!$H$6:$H$1505,4))</f>
        <v/>
      </c>
      <c r="F16" s="20">
        <f>IF($A16="","",SUMIFS('Lançamentos'!$E$6:$E$1505,'Lançamentos'!$B$6:$B$1505,$A16,'Lançamentos'!$H$6:$H$1505,5))</f>
        <v/>
      </c>
      <c r="G16" s="20">
        <f>IF($A16="","",SUMIFS('Lançamentos'!$E$6:$E$1505,'Lançamentos'!$B$6:$B$1505,$A16,'Lançamentos'!$H$6:$H$1505,6))</f>
        <v/>
      </c>
      <c r="H16" s="20">
        <f>IF($A16="","",SUMIFS('Lançamentos'!$E$6:$E$1505,'Lançamentos'!$B$6:$B$1505,$A16,'Lançamentos'!$H$6:$H$1505,7))</f>
        <v/>
      </c>
      <c r="I16" s="20">
        <f>IF($A16="","",SUMIFS('Lançamentos'!$E$6:$E$1505,'Lançamentos'!$B$6:$B$1505,$A16,'Lançamentos'!$H$6:$H$1505,8))</f>
        <v/>
      </c>
      <c r="J16" s="20">
        <f>IF($A16="","",SUMIFS('Lançamentos'!$E$6:$E$1505,'Lançamentos'!$B$6:$B$1505,$A16,'Lançamentos'!$H$6:$H$1505,9))</f>
        <v/>
      </c>
      <c r="K16" s="20">
        <f>IF($A16="","",SUMIFS('Lançamentos'!$E$6:$E$1505,'Lançamentos'!$B$6:$B$1505,$A16,'Lançamentos'!$H$6:$H$1505,10))</f>
        <v/>
      </c>
      <c r="L16" s="20">
        <f>IF($A16="","",SUMIFS('Lançamentos'!$E$6:$E$1505,'Lançamentos'!$B$6:$B$1505,$A16,'Lançamentos'!$H$6:$H$1505,11))</f>
        <v/>
      </c>
      <c r="M16" s="20">
        <f>IF($A16="","",SUMIFS('Lançamentos'!$E$6:$E$1505,'Lançamentos'!$B$6:$B$1505,$A16,'Lançamentos'!$H$6:$H$1505,12))</f>
        <v/>
      </c>
      <c r="N16" s="39">
        <f>IF($A16="","",SUM(B16:M16))</f>
        <v/>
      </c>
    </row>
    <row r="17">
      <c r="A17" s="8">
        <f>IF(Config!$D15="","",Config!$D15)</f>
        <v/>
      </c>
      <c r="B17" s="20">
        <f>IF($A17="","",SUMIFS('Lançamentos'!$E$6:$E$1505,'Lançamentos'!$B$6:$B$1505,$A17,'Lançamentos'!$H$6:$H$1505,1))</f>
        <v/>
      </c>
      <c r="C17" s="20">
        <f>IF($A17="","",SUMIFS('Lançamentos'!$E$6:$E$1505,'Lançamentos'!$B$6:$B$1505,$A17,'Lançamentos'!$H$6:$H$1505,2))</f>
        <v/>
      </c>
      <c r="D17" s="20">
        <f>IF($A17="","",SUMIFS('Lançamentos'!$E$6:$E$1505,'Lançamentos'!$B$6:$B$1505,$A17,'Lançamentos'!$H$6:$H$1505,3))</f>
        <v/>
      </c>
      <c r="E17" s="20">
        <f>IF($A17="","",SUMIFS('Lançamentos'!$E$6:$E$1505,'Lançamentos'!$B$6:$B$1505,$A17,'Lançamentos'!$H$6:$H$1505,4))</f>
        <v/>
      </c>
      <c r="F17" s="20">
        <f>IF($A17="","",SUMIFS('Lançamentos'!$E$6:$E$1505,'Lançamentos'!$B$6:$B$1505,$A17,'Lançamentos'!$H$6:$H$1505,5))</f>
        <v/>
      </c>
      <c r="G17" s="20">
        <f>IF($A17="","",SUMIFS('Lançamentos'!$E$6:$E$1505,'Lançamentos'!$B$6:$B$1505,$A17,'Lançamentos'!$H$6:$H$1505,6))</f>
        <v/>
      </c>
      <c r="H17" s="20">
        <f>IF($A17="","",SUMIFS('Lançamentos'!$E$6:$E$1505,'Lançamentos'!$B$6:$B$1505,$A17,'Lançamentos'!$H$6:$H$1505,7))</f>
        <v/>
      </c>
      <c r="I17" s="20">
        <f>IF($A17="","",SUMIFS('Lançamentos'!$E$6:$E$1505,'Lançamentos'!$B$6:$B$1505,$A17,'Lançamentos'!$H$6:$H$1505,8))</f>
        <v/>
      </c>
      <c r="J17" s="20">
        <f>IF($A17="","",SUMIFS('Lançamentos'!$E$6:$E$1505,'Lançamentos'!$B$6:$B$1505,$A17,'Lançamentos'!$H$6:$H$1505,9))</f>
        <v/>
      </c>
      <c r="K17" s="20">
        <f>IF($A17="","",SUMIFS('Lançamentos'!$E$6:$E$1505,'Lançamentos'!$B$6:$B$1505,$A17,'Lançamentos'!$H$6:$H$1505,10))</f>
        <v/>
      </c>
      <c r="L17" s="20">
        <f>IF($A17="","",SUMIFS('Lançamentos'!$E$6:$E$1505,'Lançamentos'!$B$6:$B$1505,$A17,'Lançamentos'!$H$6:$H$1505,11))</f>
        <v/>
      </c>
      <c r="M17" s="20">
        <f>IF($A17="","",SUMIFS('Lançamentos'!$E$6:$E$1505,'Lançamentos'!$B$6:$B$1505,$A17,'Lançamentos'!$H$6:$H$1505,12))</f>
        <v/>
      </c>
      <c r="N17" s="39">
        <f>IF($A17="","",SUM(B17:M17))</f>
        <v/>
      </c>
    </row>
    <row r="18">
      <c r="A18" s="25" t="inlineStr">
        <is>
          <t>TOTAL ENTRADAS</t>
        </is>
      </c>
      <c r="B18" s="26">
        <f>SUM(B8:B17)</f>
        <v/>
      </c>
      <c r="C18" s="26">
        <f>SUM(C8:C17)</f>
        <v/>
      </c>
      <c r="D18" s="26">
        <f>SUM(D8:D17)</f>
        <v/>
      </c>
      <c r="E18" s="26">
        <f>SUM(E8:E17)</f>
        <v/>
      </c>
      <c r="F18" s="26">
        <f>SUM(F8:F17)</f>
        <v/>
      </c>
      <c r="G18" s="26">
        <f>SUM(G8:G17)</f>
        <v/>
      </c>
      <c r="H18" s="26">
        <f>SUM(H8:H17)</f>
        <v/>
      </c>
      <c r="I18" s="26">
        <f>SUM(I8:I17)</f>
        <v/>
      </c>
      <c r="J18" s="26">
        <f>SUM(J8:J17)</f>
        <v/>
      </c>
      <c r="K18" s="26">
        <f>SUM(K8:K17)</f>
        <v/>
      </c>
      <c r="L18" s="26">
        <f>SUM(L8:L17)</f>
        <v/>
      </c>
      <c r="M18" s="26">
        <f>SUM(M8:M17)</f>
        <v/>
      </c>
      <c r="N18" s="26">
        <f>SUM(N8:N17)</f>
        <v/>
      </c>
    </row>
    <row r="20" ht="20" customHeight="1">
      <c r="A20" s="10" t="inlineStr">
        <is>
          <t>SAÍDAS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>
      <c r="A21" s="8">
        <f>IF(Config!$F6="","",Config!$F6)</f>
        <v/>
      </c>
      <c r="B21" s="20">
        <f>IF($A21="","",SUMIFS('Lançamentos'!$E$6:$E$1505,'Lançamentos'!$B$6:$B$1505,$A21,'Lançamentos'!$H$6:$H$1505,1))</f>
        <v/>
      </c>
      <c r="C21" s="20">
        <f>IF($A21="","",SUMIFS('Lançamentos'!$E$6:$E$1505,'Lançamentos'!$B$6:$B$1505,$A21,'Lançamentos'!$H$6:$H$1505,2))</f>
        <v/>
      </c>
      <c r="D21" s="20">
        <f>IF($A21="","",SUMIFS('Lançamentos'!$E$6:$E$1505,'Lançamentos'!$B$6:$B$1505,$A21,'Lançamentos'!$H$6:$H$1505,3))</f>
        <v/>
      </c>
      <c r="E21" s="20">
        <f>IF($A21="","",SUMIFS('Lançamentos'!$E$6:$E$1505,'Lançamentos'!$B$6:$B$1505,$A21,'Lançamentos'!$H$6:$H$1505,4))</f>
        <v/>
      </c>
      <c r="F21" s="20">
        <f>IF($A21="","",SUMIFS('Lançamentos'!$E$6:$E$1505,'Lançamentos'!$B$6:$B$1505,$A21,'Lançamentos'!$H$6:$H$1505,5))</f>
        <v/>
      </c>
      <c r="G21" s="20">
        <f>IF($A21="","",SUMIFS('Lançamentos'!$E$6:$E$1505,'Lançamentos'!$B$6:$B$1505,$A21,'Lançamentos'!$H$6:$H$1505,6))</f>
        <v/>
      </c>
      <c r="H21" s="20">
        <f>IF($A21="","",SUMIFS('Lançamentos'!$E$6:$E$1505,'Lançamentos'!$B$6:$B$1505,$A21,'Lançamentos'!$H$6:$H$1505,7))</f>
        <v/>
      </c>
      <c r="I21" s="20">
        <f>IF($A21="","",SUMIFS('Lançamentos'!$E$6:$E$1505,'Lançamentos'!$B$6:$B$1505,$A21,'Lançamentos'!$H$6:$H$1505,8))</f>
        <v/>
      </c>
      <c r="J21" s="20">
        <f>IF($A21="","",SUMIFS('Lançamentos'!$E$6:$E$1505,'Lançamentos'!$B$6:$B$1505,$A21,'Lançamentos'!$H$6:$H$1505,9))</f>
        <v/>
      </c>
      <c r="K21" s="20">
        <f>IF($A21="","",SUMIFS('Lançamentos'!$E$6:$E$1505,'Lançamentos'!$B$6:$B$1505,$A21,'Lançamentos'!$H$6:$H$1505,10))</f>
        <v/>
      </c>
      <c r="L21" s="20">
        <f>IF($A21="","",SUMIFS('Lançamentos'!$E$6:$E$1505,'Lançamentos'!$B$6:$B$1505,$A21,'Lançamentos'!$H$6:$H$1505,11))</f>
        <v/>
      </c>
      <c r="M21" s="20">
        <f>IF($A21="","",SUMIFS('Lançamentos'!$E$6:$E$1505,'Lançamentos'!$B$6:$B$1505,$A21,'Lançamentos'!$H$6:$H$1505,12))</f>
        <v/>
      </c>
      <c r="N21" s="39">
        <f>IF($A21="","",SUM(B21:M21))</f>
        <v/>
      </c>
    </row>
    <row r="22">
      <c r="A22" s="8">
        <f>IF(Config!$F7="","",Config!$F7)</f>
        <v/>
      </c>
      <c r="B22" s="20">
        <f>IF($A22="","",SUMIFS('Lançamentos'!$E$6:$E$1505,'Lançamentos'!$B$6:$B$1505,$A22,'Lançamentos'!$H$6:$H$1505,1))</f>
        <v/>
      </c>
      <c r="C22" s="20">
        <f>IF($A22="","",SUMIFS('Lançamentos'!$E$6:$E$1505,'Lançamentos'!$B$6:$B$1505,$A22,'Lançamentos'!$H$6:$H$1505,2))</f>
        <v/>
      </c>
      <c r="D22" s="20">
        <f>IF($A22="","",SUMIFS('Lançamentos'!$E$6:$E$1505,'Lançamentos'!$B$6:$B$1505,$A22,'Lançamentos'!$H$6:$H$1505,3))</f>
        <v/>
      </c>
      <c r="E22" s="20">
        <f>IF($A22="","",SUMIFS('Lançamentos'!$E$6:$E$1505,'Lançamentos'!$B$6:$B$1505,$A22,'Lançamentos'!$H$6:$H$1505,4))</f>
        <v/>
      </c>
      <c r="F22" s="20">
        <f>IF($A22="","",SUMIFS('Lançamentos'!$E$6:$E$1505,'Lançamentos'!$B$6:$B$1505,$A22,'Lançamentos'!$H$6:$H$1505,5))</f>
        <v/>
      </c>
      <c r="G22" s="20">
        <f>IF($A22="","",SUMIFS('Lançamentos'!$E$6:$E$1505,'Lançamentos'!$B$6:$B$1505,$A22,'Lançamentos'!$H$6:$H$1505,6))</f>
        <v/>
      </c>
      <c r="H22" s="20">
        <f>IF($A22="","",SUMIFS('Lançamentos'!$E$6:$E$1505,'Lançamentos'!$B$6:$B$1505,$A22,'Lançamentos'!$H$6:$H$1505,7))</f>
        <v/>
      </c>
      <c r="I22" s="20">
        <f>IF($A22="","",SUMIFS('Lançamentos'!$E$6:$E$1505,'Lançamentos'!$B$6:$B$1505,$A22,'Lançamentos'!$H$6:$H$1505,8))</f>
        <v/>
      </c>
      <c r="J22" s="20">
        <f>IF($A22="","",SUMIFS('Lançamentos'!$E$6:$E$1505,'Lançamentos'!$B$6:$B$1505,$A22,'Lançamentos'!$H$6:$H$1505,9))</f>
        <v/>
      </c>
      <c r="K22" s="20">
        <f>IF($A22="","",SUMIFS('Lançamentos'!$E$6:$E$1505,'Lançamentos'!$B$6:$B$1505,$A22,'Lançamentos'!$H$6:$H$1505,10))</f>
        <v/>
      </c>
      <c r="L22" s="20">
        <f>IF($A22="","",SUMIFS('Lançamentos'!$E$6:$E$1505,'Lançamentos'!$B$6:$B$1505,$A22,'Lançamentos'!$H$6:$H$1505,11))</f>
        <v/>
      </c>
      <c r="M22" s="20">
        <f>IF($A22="","",SUMIFS('Lançamentos'!$E$6:$E$1505,'Lançamentos'!$B$6:$B$1505,$A22,'Lançamentos'!$H$6:$H$1505,12))</f>
        <v/>
      </c>
      <c r="N22" s="39">
        <f>IF($A22="","",SUM(B22:M22))</f>
        <v/>
      </c>
    </row>
    <row r="23">
      <c r="A23" s="8">
        <f>IF(Config!$F8="","",Config!$F8)</f>
        <v/>
      </c>
      <c r="B23" s="20">
        <f>IF($A23="","",SUMIFS('Lançamentos'!$E$6:$E$1505,'Lançamentos'!$B$6:$B$1505,$A23,'Lançamentos'!$H$6:$H$1505,1))</f>
        <v/>
      </c>
      <c r="C23" s="20">
        <f>IF($A23="","",SUMIFS('Lançamentos'!$E$6:$E$1505,'Lançamentos'!$B$6:$B$1505,$A23,'Lançamentos'!$H$6:$H$1505,2))</f>
        <v/>
      </c>
      <c r="D23" s="20">
        <f>IF($A23="","",SUMIFS('Lançamentos'!$E$6:$E$1505,'Lançamentos'!$B$6:$B$1505,$A23,'Lançamentos'!$H$6:$H$1505,3))</f>
        <v/>
      </c>
      <c r="E23" s="20">
        <f>IF($A23="","",SUMIFS('Lançamentos'!$E$6:$E$1505,'Lançamentos'!$B$6:$B$1505,$A23,'Lançamentos'!$H$6:$H$1505,4))</f>
        <v/>
      </c>
      <c r="F23" s="20">
        <f>IF($A23="","",SUMIFS('Lançamentos'!$E$6:$E$1505,'Lançamentos'!$B$6:$B$1505,$A23,'Lançamentos'!$H$6:$H$1505,5))</f>
        <v/>
      </c>
      <c r="G23" s="20">
        <f>IF($A23="","",SUMIFS('Lançamentos'!$E$6:$E$1505,'Lançamentos'!$B$6:$B$1505,$A23,'Lançamentos'!$H$6:$H$1505,6))</f>
        <v/>
      </c>
      <c r="H23" s="20">
        <f>IF($A23="","",SUMIFS('Lançamentos'!$E$6:$E$1505,'Lançamentos'!$B$6:$B$1505,$A23,'Lançamentos'!$H$6:$H$1505,7))</f>
        <v/>
      </c>
      <c r="I23" s="20">
        <f>IF($A23="","",SUMIFS('Lançamentos'!$E$6:$E$1505,'Lançamentos'!$B$6:$B$1505,$A23,'Lançamentos'!$H$6:$H$1505,8))</f>
        <v/>
      </c>
      <c r="J23" s="20">
        <f>IF($A23="","",SUMIFS('Lançamentos'!$E$6:$E$1505,'Lançamentos'!$B$6:$B$1505,$A23,'Lançamentos'!$H$6:$H$1505,9))</f>
        <v/>
      </c>
      <c r="K23" s="20">
        <f>IF($A23="","",SUMIFS('Lançamentos'!$E$6:$E$1505,'Lançamentos'!$B$6:$B$1505,$A23,'Lançamentos'!$H$6:$H$1505,10))</f>
        <v/>
      </c>
      <c r="L23" s="20">
        <f>IF($A23="","",SUMIFS('Lançamentos'!$E$6:$E$1505,'Lançamentos'!$B$6:$B$1505,$A23,'Lançamentos'!$H$6:$H$1505,11))</f>
        <v/>
      </c>
      <c r="M23" s="20">
        <f>IF($A23="","",SUMIFS('Lançamentos'!$E$6:$E$1505,'Lançamentos'!$B$6:$B$1505,$A23,'Lançamentos'!$H$6:$H$1505,12))</f>
        <v/>
      </c>
      <c r="N23" s="39">
        <f>IF($A23="","",SUM(B23:M23))</f>
        <v/>
      </c>
    </row>
    <row r="24">
      <c r="A24" s="8">
        <f>IF(Config!$F9="","",Config!$F9)</f>
        <v/>
      </c>
      <c r="B24" s="20">
        <f>IF($A24="","",SUMIFS('Lançamentos'!$E$6:$E$1505,'Lançamentos'!$B$6:$B$1505,$A24,'Lançamentos'!$H$6:$H$1505,1))</f>
        <v/>
      </c>
      <c r="C24" s="20">
        <f>IF($A24="","",SUMIFS('Lançamentos'!$E$6:$E$1505,'Lançamentos'!$B$6:$B$1505,$A24,'Lançamentos'!$H$6:$H$1505,2))</f>
        <v/>
      </c>
      <c r="D24" s="20">
        <f>IF($A24="","",SUMIFS('Lançamentos'!$E$6:$E$1505,'Lançamentos'!$B$6:$B$1505,$A24,'Lançamentos'!$H$6:$H$1505,3))</f>
        <v/>
      </c>
      <c r="E24" s="20">
        <f>IF($A24="","",SUMIFS('Lançamentos'!$E$6:$E$1505,'Lançamentos'!$B$6:$B$1505,$A24,'Lançamentos'!$H$6:$H$1505,4))</f>
        <v/>
      </c>
      <c r="F24" s="20">
        <f>IF($A24="","",SUMIFS('Lançamentos'!$E$6:$E$1505,'Lançamentos'!$B$6:$B$1505,$A24,'Lançamentos'!$H$6:$H$1505,5))</f>
        <v/>
      </c>
      <c r="G24" s="20">
        <f>IF($A24="","",SUMIFS('Lançamentos'!$E$6:$E$1505,'Lançamentos'!$B$6:$B$1505,$A24,'Lançamentos'!$H$6:$H$1505,6))</f>
        <v/>
      </c>
      <c r="H24" s="20">
        <f>IF($A24="","",SUMIFS('Lançamentos'!$E$6:$E$1505,'Lançamentos'!$B$6:$B$1505,$A24,'Lançamentos'!$H$6:$H$1505,7))</f>
        <v/>
      </c>
      <c r="I24" s="20">
        <f>IF($A24="","",SUMIFS('Lançamentos'!$E$6:$E$1505,'Lançamentos'!$B$6:$B$1505,$A24,'Lançamentos'!$H$6:$H$1505,8))</f>
        <v/>
      </c>
      <c r="J24" s="20">
        <f>IF($A24="","",SUMIFS('Lançamentos'!$E$6:$E$1505,'Lançamentos'!$B$6:$B$1505,$A24,'Lançamentos'!$H$6:$H$1505,9))</f>
        <v/>
      </c>
      <c r="K24" s="20">
        <f>IF($A24="","",SUMIFS('Lançamentos'!$E$6:$E$1505,'Lançamentos'!$B$6:$B$1505,$A24,'Lançamentos'!$H$6:$H$1505,10))</f>
        <v/>
      </c>
      <c r="L24" s="20">
        <f>IF($A24="","",SUMIFS('Lançamentos'!$E$6:$E$1505,'Lançamentos'!$B$6:$B$1505,$A24,'Lançamentos'!$H$6:$H$1505,11))</f>
        <v/>
      </c>
      <c r="M24" s="20">
        <f>IF($A24="","",SUMIFS('Lançamentos'!$E$6:$E$1505,'Lançamentos'!$B$6:$B$1505,$A24,'Lançamentos'!$H$6:$H$1505,12))</f>
        <v/>
      </c>
      <c r="N24" s="39">
        <f>IF($A24="","",SUM(B24:M24))</f>
        <v/>
      </c>
    </row>
    <row r="25">
      <c r="A25" s="8">
        <f>IF(Config!$F10="","",Config!$F10)</f>
        <v/>
      </c>
      <c r="B25" s="20">
        <f>IF($A25="","",SUMIFS('Lançamentos'!$E$6:$E$1505,'Lançamentos'!$B$6:$B$1505,$A25,'Lançamentos'!$H$6:$H$1505,1))</f>
        <v/>
      </c>
      <c r="C25" s="20">
        <f>IF($A25="","",SUMIFS('Lançamentos'!$E$6:$E$1505,'Lançamentos'!$B$6:$B$1505,$A25,'Lançamentos'!$H$6:$H$1505,2))</f>
        <v/>
      </c>
      <c r="D25" s="20">
        <f>IF($A25="","",SUMIFS('Lançamentos'!$E$6:$E$1505,'Lançamentos'!$B$6:$B$1505,$A25,'Lançamentos'!$H$6:$H$1505,3))</f>
        <v/>
      </c>
      <c r="E25" s="20">
        <f>IF($A25="","",SUMIFS('Lançamentos'!$E$6:$E$1505,'Lançamentos'!$B$6:$B$1505,$A25,'Lançamentos'!$H$6:$H$1505,4))</f>
        <v/>
      </c>
      <c r="F25" s="20">
        <f>IF($A25="","",SUMIFS('Lançamentos'!$E$6:$E$1505,'Lançamentos'!$B$6:$B$1505,$A25,'Lançamentos'!$H$6:$H$1505,5))</f>
        <v/>
      </c>
      <c r="G25" s="20">
        <f>IF($A25="","",SUMIFS('Lançamentos'!$E$6:$E$1505,'Lançamentos'!$B$6:$B$1505,$A25,'Lançamentos'!$H$6:$H$1505,6))</f>
        <v/>
      </c>
      <c r="H25" s="20">
        <f>IF($A25="","",SUMIFS('Lançamentos'!$E$6:$E$1505,'Lançamentos'!$B$6:$B$1505,$A25,'Lançamentos'!$H$6:$H$1505,7))</f>
        <v/>
      </c>
      <c r="I25" s="20">
        <f>IF($A25="","",SUMIFS('Lançamentos'!$E$6:$E$1505,'Lançamentos'!$B$6:$B$1505,$A25,'Lançamentos'!$H$6:$H$1505,8))</f>
        <v/>
      </c>
      <c r="J25" s="20">
        <f>IF($A25="","",SUMIFS('Lançamentos'!$E$6:$E$1505,'Lançamentos'!$B$6:$B$1505,$A25,'Lançamentos'!$H$6:$H$1505,9))</f>
        <v/>
      </c>
      <c r="K25" s="20">
        <f>IF($A25="","",SUMIFS('Lançamentos'!$E$6:$E$1505,'Lançamentos'!$B$6:$B$1505,$A25,'Lançamentos'!$H$6:$H$1505,10))</f>
        <v/>
      </c>
      <c r="L25" s="20">
        <f>IF($A25="","",SUMIFS('Lançamentos'!$E$6:$E$1505,'Lançamentos'!$B$6:$B$1505,$A25,'Lançamentos'!$H$6:$H$1505,11))</f>
        <v/>
      </c>
      <c r="M25" s="20">
        <f>IF($A25="","",SUMIFS('Lançamentos'!$E$6:$E$1505,'Lançamentos'!$B$6:$B$1505,$A25,'Lançamentos'!$H$6:$H$1505,12))</f>
        <v/>
      </c>
      <c r="N25" s="39">
        <f>IF($A25="","",SUM(B25:M25))</f>
        <v/>
      </c>
    </row>
    <row r="26">
      <c r="A26" s="8">
        <f>IF(Config!$F11="","",Config!$F11)</f>
        <v/>
      </c>
      <c r="B26" s="20">
        <f>IF($A26="","",SUMIFS('Lançamentos'!$E$6:$E$1505,'Lançamentos'!$B$6:$B$1505,$A26,'Lançamentos'!$H$6:$H$1505,1))</f>
        <v/>
      </c>
      <c r="C26" s="20">
        <f>IF($A26="","",SUMIFS('Lançamentos'!$E$6:$E$1505,'Lançamentos'!$B$6:$B$1505,$A26,'Lançamentos'!$H$6:$H$1505,2))</f>
        <v/>
      </c>
      <c r="D26" s="20">
        <f>IF($A26="","",SUMIFS('Lançamentos'!$E$6:$E$1505,'Lançamentos'!$B$6:$B$1505,$A26,'Lançamentos'!$H$6:$H$1505,3))</f>
        <v/>
      </c>
      <c r="E26" s="20">
        <f>IF($A26="","",SUMIFS('Lançamentos'!$E$6:$E$1505,'Lançamentos'!$B$6:$B$1505,$A26,'Lançamentos'!$H$6:$H$1505,4))</f>
        <v/>
      </c>
      <c r="F26" s="20">
        <f>IF($A26="","",SUMIFS('Lançamentos'!$E$6:$E$1505,'Lançamentos'!$B$6:$B$1505,$A26,'Lançamentos'!$H$6:$H$1505,5))</f>
        <v/>
      </c>
      <c r="G26" s="20">
        <f>IF($A26="","",SUMIFS('Lançamentos'!$E$6:$E$1505,'Lançamentos'!$B$6:$B$1505,$A26,'Lançamentos'!$H$6:$H$1505,6))</f>
        <v/>
      </c>
      <c r="H26" s="20">
        <f>IF($A26="","",SUMIFS('Lançamentos'!$E$6:$E$1505,'Lançamentos'!$B$6:$B$1505,$A26,'Lançamentos'!$H$6:$H$1505,7))</f>
        <v/>
      </c>
      <c r="I26" s="20">
        <f>IF($A26="","",SUMIFS('Lançamentos'!$E$6:$E$1505,'Lançamentos'!$B$6:$B$1505,$A26,'Lançamentos'!$H$6:$H$1505,8))</f>
        <v/>
      </c>
      <c r="J26" s="20">
        <f>IF($A26="","",SUMIFS('Lançamentos'!$E$6:$E$1505,'Lançamentos'!$B$6:$B$1505,$A26,'Lançamentos'!$H$6:$H$1505,9))</f>
        <v/>
      </c>
      <c r="K26" s="20">
        <f>IF($A26="","",SUMIFS('Lançamentos'!$E$6:$E$1505,'Lançamentos'!$B$6:$B$1505,$A26,'Lançamentos'!$H$6:$H$1505,10))</f>
        <v/>
      </c>
      <c r="L26" s="20">
        <f>IF($A26="","",SUMIFS('Lançamentos'!$E$6:$E$1505,'Lançamentos'!$B$6:$B$1505,$A26,'Lançamentos'!$H$6:$H$1505,11))</f>
        <v/>
      </c>
      <c r="M26" s="20">
        <f>IF($A26="","",SUMIFS('Lançamentos'!$E$6:$E$1505,'Lançamentos'!$B$6:$B$1505,$A26,'Lançamentos'!$H$6:$H$1505,12))</f>
        <v/>
      </c>
      <c r="N26" s="39">
        <f>IF($A26="","",SUM(B26:M26))</f>
        <v/>
      </c>
    </row>
    <row r="27">
      <c r="A27" s="8">
        <f>IF(Config!$F12="","",Config!$F12)</f>
        <v/>
      </c>
      <c r="B27" s="20">
        <f>IF($A27="","",SUMIFS('Lançamentos'!$E$6:$E$1505,'Lançamentos'!$B$6:$B$1505,$A27,'Lançamentos'!$H$6:$H$1505,1))</f>
        <v/>
      </c>
      <c r="C27" s="20">
        <f>IF($A27="","",SUMIFS('Lançamentos'!$E$6:$E$1505,'Lançamentos'!$B$6:$B$1505,$A27,'Lançamentos'!$H$6:$H$1505,2))</f>
        <v/>
      </c>
      <c r="D27" s="20">
        <f>IF($A27="","",SUMIFS('Lançamentos'!$E$6:$E$1505,'Lançamentos'!$B$6:$B$1505,$A27,'Lançamentos'!$H$6:$H$1505,3))</f>
        <v/>
      </c>
      <c r="E27" s="20">
        <f>IF($A27="","",SUMIFS('Lançamentos'!$E$6:$E$1505,'Lançamentos'!$B$6:$B$1505,$A27,'Lançamentos'!$H$6:$H$1505,4))</f>
        <v/>
      </c>
      <c r="F27" s="20">
        <f>IF($A27="","",SUMIFS('Lançamentos'!$E$6:$E$1505,'Lançamentos'!$B$6:$B$1505,$A27,'Lançamentos'!$H$6:$H$1505,5))</f>
        <v/>
      </c>
      <c r="G27" s="20">
        <f>IF($A27="","",SUMIFS('Lançamentos'!$E$6:$E$1505,'Lançamentos'!$B$6:$B$1505,$A27,'Lançamentos'!$H$6:$H$1505,6))</f>
        <v/>
      </c>
      <c r="H27" s="20">
        <f>IF($A27="","",SUMIFS('Lançamentos'!$E$6:$E$1505,'Lançamentos'!$B$6:$B$1505,$A27,'Lançamentos'!$H$6:$H$1505,7))</f>
        <v/>
      </c>
      <c r="I27" s="20">
        <f>IF($A27="","",SUMIFS('Lançamentos'!$E$6:$E$1505,'Lançamentos'!$B$6:$B$1505,$A27,'Lançamentos'!$H$6:$H$1505,8))</f>
        <v/>
      </c>
      <c r="J27" s="20">
        <f>IF($A27="","",SUMIFS('Lançamentos'!$E$6:$E$1505,'Lançamentos'!$B$6:$B$1505,$A27,'Lançamentos'!$H$6:$H$1505,9))</f>
        <v/>
      </c>
      <c r="K27" s="20">
        <f>IF($A27="","",SUMIFS('Lançamentos'!$E$6:$E$1505,'Lançamentos'!$B$6:$B$1505,$A27,'Lançamentos'!$H$6:$H$1505,10))</f>
        <v/>
      </c>
      <c r="L27" s="20">
        <f>IF($A27="","",SUMIFS('Lançamentos'!$E$6:$E$1505,'Lançamentos'!$B$6:$B$1505,$A27,'Lançamentos'!$H$6:$H$1505,11))</f>
        <v/>
      </c>
      <c r="M27" s="20">
        <f>IF($A27="","",SUMIFS('Lançamentos'!$E$6:$E$1505,'Lançamentos'!$B$6:$B$1505,$A27,'Lançamentos'!$H$6:$H$1505,12))</f>
        <v/>
      </c>
      <c r="N27" s="39">
        <f>IF($A27="","",SUM(B27:M27))</f>
        <v/>
      </c>
    </row>
    <row r="28">
      <c r="A28" s="8">
        <f>IF(Config!$F13="","",Config!$F13)</f>
        <v/>
      </c>
      <c r="B28" s="20">
        <f>IF($A28="","",SUMIFS('Lançamentos'!$E$6:$E$1505,'Lançamentos'!$B$6:$B$1505,$A28,'Lançamentos'!$H$6:$H$1505,1))</f>
        <v/>
      </c>
      <c r="C28" s="20">
        <f>IF($A28="","",SUMIFS('Lançamentos'!$E$6:$E$1505,'Lançamentos'!$B$6:$B$1505,$A28,'Lançamentos'!$H$6:$H$1505,2))</f>
        <v/>
      </c>
      <c r="D28" s="20">
        <f>IF($A28="","",SUMIFS('Lançamentos'!$E$6:$E$1505,'Lançamentos'!$B$6:$B$1505,$A28,'Lançamentos'!$H$6:$H$1505,3))</f>
        <v/>
      </c>
      <c r="E28" s="20">
        <f>IF($A28="","",SUMIFS('Lançamentos'!$E$6:$E$1505,'Lançamentos'!$B$6:$B$1505,$A28,'Lançamentos'!$H$6:$H$1505,4))</f>
        <v/>
      </c>
      <c r="F28" s="20">
        <f>IF($A28="","",SUMIFS('Lançamentos'!$E$6:$E$1505,'Lançamentos'!$B$6:$B$1505,$A28,'Lançamentos'!$H$6:$H$1505,5))</f>
        <v/>
      </c>
      <c r="G28" s="20">
        <f>IF($A28="","",SUMIFS('Lançamentos'!$E$6:$E$1505,'Lançamentos'!$B$6:$B$1505,$A28,'Lançamentos'!$H$6:$H$1505,6))</f>
        <v/>
      </c>
      <c r="H28" s="20">
        <f>IF($A28="","",SUMIFS('Lançamentos'!$E$6:$E$1505,'Lançamentos'!$B$6:$B$1505,$A28,'Lançamentos'!$H$6:$H$1505,7))</f>
        <v/>
      </c>
      <c r="I28" s="20">
        <f>IF($A28="","",SUMIFS('Lançamentos'!$E$6:$E$1505,'Lançamentos'!$B$6:$B$1505,$A28,'Lançamentos'!$H$6:$H$1505,8))</f>
        <v/>
      </c>
      <c r="J28" s="20">
        <f>IF($A28="","",SUMIFS('Lançamentos'!$E$6:$E$1505,'Lançamentos'!$B$6:$B$1505,$A28,'Lançamentos'!$H$6:$H$1505,9))</f>
        <v/>
      </c>
      <c r="K28" s="20">
        <f>IF($A28="","",SUMIFS('Lançamentos'!$E$6:$E$1505,'Lançamentos'!$B$6:$B$1505,$A28,'Lançamentos'!$H$6:$H$1505,10))</f>
        <v/>
      </c>
      <c r="L28" s="20">
        <f>IF($A28="","",SUMIFS('Lançamentos'!$E$6:$E$1505,'Lançamentos'!$B$6:$B$1505,$A28,'Lançamentos'!$H$6:$H$1505,11))</f>
        <v/>
      </c>
      <c r="M28" s="20">
        <f>IF($A28="","",SUMIFS('Lançamentos'!$E$6:$E$1505,'Lançamentos'!$B$6:$B$1505,$A28,'Lançamentos'!$H$6:$H$1505,12))</f>
        <v/>
      </c>
      <c r="N28" s="39">
        <f>IF($A28="","",SUM(B28:M28))</f>
        <v/>
      </c>
    </row>
    <row r="29">
      <c r="A29" s="8">
        <f>IF(Config!$F14="","",Config!$F14)</f>
        <v/>
      </c>
      <c r="B29" s="20">
        <f>IF($A29="","",SUMIFS('Lançamentos'!$E$6:$E$1505,'Lançamentos'!$B$6:$B$1505,$A29,'Lançamentos'!$H$6:$H$1505,1))</f>
        <v/>
      </c>
      <c r="C29" s="20">
        <f>IF($A29="","",SUMIFS('Lançamentos'!$E$6:$E$1505,'Lançamentos'!$B$6:$B$1505,$A29,'Lançamentos'!$H$6:$H$1505,2))</f>
        <v/>
      </c>
      <c r="D29" s="20">
        <f>IF($A29="","",SUMIFS('Lançamentos'!$E$6:$E$1505,'Lançamentos'!$B$6:$B$1505,$A29,'Lançamentos'!$H$6:$H$1505,3))</f>
        <v/>
      </c>
      <c r="E29" s="20">
        <f>IF($A29="","",SUMIFS('Lançamentos'!$E$6:$E$1505,'Lançamentos'!$B$6:$B$1505,$A29,'Lançamentos'!$H$6:$H$1505,4))</f>
        <v/>
      </c>
      <c r="F29" s="20">
        <f>IF($A29="","",SUMIFS('Lançamentos'!$E$6:$E$1505,'Lançamentos'!$B$6:$B$1505,$A29,'Lançamentos'!$H$6:$H$1505,5))</f>
        <v/>
      </c>
      <c r="G29" s="20">
        <f>IF($A29="","",SUMIFS('Lançamentos'!$E$6:$E$1505,'Lançamentos'!$B$6:$B$1505,$A29,'Lançamentos'!$H$6:$H$1505,6))</f>
        <v/>
      </c>
      <c r="H29" s="20">
        <f>IF($A29="","",SUMIFS('Lançamentos'!$E$6:$E$1505,'Lançamentos'!$B$6:$B$1505,$A29,'Lançamentos'!$H$6:$H$1505,7))</f>
        <v/>
      </c>
      <c r="I29" s="20">
        <f>IF($A29="","",SUMIFS('Lançamentos'!$E$6:$E$1505,'Lançamentos'!$B$6:$B$1505,$A29,'Lançamentos'!$H$6:$H$1505,8))</f>
        <v/>
      </c>
      <c r="J29" s="20">
        <f>IF($A29="","",SUMIFS('Lançamentos'!$E$6:$E$1505,'Lançamentos'!$B$6:$B$1505,$A29,'Lançamentos'!$H$6:$H$1505,9))</f>
        <v/>
      </c>
      <c r="K29" s="20">
        <f>IF($A29="","",SUMIFS('Lançamentos'!$E$6:$E$1505,'Lançamentos'!$B$6:$B$1505,$A29,'Lançamentos'!$H$6:$H$1505,10))</f>
        <v/>
      </c>
      <c r="L29" s="20">
        <f>IF($A29="","",SUMIFS('Lançamentos'!$E$6:$E$1505,'Lançamentos'!$B$6:$B$1505,$A29,'Lançamentos'!$H$6:$H$1505,11))</f>
        <v/>
      </c>
      <c r="M29" s="20">
        <f>IF($A29="","",SUMIFS('Lançamentos'!$E$6:$E$1505,'Lançamentos'!$B$6:$B$1505,$A29,'Lançamentos'!$H$6:$H$1505,12))</f>
        <v/>
      </c>
      <c r="N29" s="39">
        <f>IF($A29="","",SUM(B29:M29))</f>
        <v/>
      </c>
    </row>
    <row r="30">
      <c r="A30" s="8">
        <f>IF(Config!$F15="","",Config!$F15)</f>
        <v/>
      </c>
      <c r="B30" s="20">
        <f>IF($A30="","",SUMIFS('Lançamentos'!$E$6:$E$1505,'Lançamentos'!$B$6:$B$1505,$A30,'Lançamentos'!$H$6:$H$1505,1))</f>
        <v/>
      </c>
      <c r="C30" s="20">
        <f>IF($A30="","",SUMIFS('Lançamentos'!$E$6:$E$1505,'Lançamentos'!$B$6:$B$1505,$A30,'Lançamentos'!$H$6:$H$1505,2))</f>
        <v/>
      </c>
      <c r="D30" s="20">
        <f>IF($A30="","",SUMIFS('Lançamentos'!$E$6:$E$1505,'Lançamentos'!$B$6:$B$1505,$A30,'Lançamentos'!$H$6:$H$1505,3))</f>
        <v/>
      </c>
      <c r="E30" s="20">
        <f>IF($A30="","",SUMIFS('Lançamentos'!$E$6:$E$1505,'Lançamentos'!$B$6:$B$1505,$A30,'Lançamentos'!$H$6:$H$1505,4))</f>
        <v/>
      </c>
      <c r="F30" s="20">
        <f>IF($A30="","",SUMIFS('Lançamentos'!$E$6:$E$1505,'Lançamentos'!$B$6:$B$1505,$A30,'Lançamentos'!$H$6:$H$1505,5))</f>
        <v/>
      </c>
      <c r="G30" s="20">
        <f>IF($A30="","",SUMIFS('Lançamentos'!$E$6:$E$1505,'Lançamentos'!$B$6:$B$1505,$A30,'Lançamentos'!$H$6:$H$1505,6))</f>
        <v/>
      </c>
      <c r="H30" s="20">
        <f>IF($A30="","",SUMIFS('Lançamentos'!$E$6:$E$1505,'Lançamentos'!$B$6:$B$1505,$A30,'Lançamentos'!$H$6:$H$1505,7))</f>
        <v/>
      </c>
      <c r="I30" s="20">
        <f>IF($A30="","",SUMIFS('Lançamentos'!$E$6:$E$1505,'Lançamentos'!$B$6:$B$1505,$A30,'Lançamentos'!$H$6:$H$1505,8))</f>
        <v/>
      </c>
      <c r="J30" s="20">
        <f>IF($A30="","",SUMIFS('Lançamentos'!$E$6:$E$1505,'Lançamentos'!$B$6:$B$1505,$A30,'Lançamentos'!$H$6:$H$1505,9))</f>
        <v/>
      </c>
      <c r="K30" s="20">
        <f>IF($A30="","",SUMIFS('Lançamentos'!$E$6:$E$1505,'Lançamentos'!$B$6:$B$1505,$A30,'Lançamentos'!$H$6:$H$1505,10))</f>
        <v/>
      </c>
      <c r="L30" s="20">
        <f>IF($A30="","",SUMIFS('Lançamentos'!$E$6:$E$1505,'Lançamentos'!$B$6:$B$1505,$A30,'Lançamentos'!$H$6:$H$1505,11))</f>
        <v/>
      </c>
      <c r="M30" s="20">
        <f>IF($A30="","",SUMIFS('Lançamentos'!$E$6:$E$1505,'Lançamentos'!$B$6:$B$1505,$A30,'Lançamentos'!$H$6:$H$1505,12))</f>
        <v/>
      </c>
      <c r="N30" s="39">
        <f>IF($A30="","",SUM(B30:M30))</f>
        <v/>
      </c>
    </row>
    <row r="31">
      <c r="A31" s="8">
        <f>IF(Config!$F16="","",Config!$F16)</f>
        <v/>
      </c>
      <c r="B31" s="20">
        <f>IF($A31="","",SUMIFS('Lançamentos'!$E$6:$E$1505,'Lançamentos'!$B$6:$B$1505,$A31,'Lançamentos'!$H$6:$H$1505,1))</f>
        <v/>
      </c>
      <c r="C31" s="20">
        <f>IF($A31="","",SUMIFS('Lançamentos'!$E$6:$E$1505,'Lançamentos'!$B$6:$B$1505,$A31,'Lançamentos'!$H$6:$H$1505,2))</f>
        <v/>
      </c>
      <c r="D31" s="20">
        <f>IF($A31="","",SUMIFS('Lançamentos'!$E$6:$E$1505,'Lançamentos'!$B$6:$B$1505,$A31,'Lançamentos'!$H$6:$H$1505,3))</f>
        <v/>
      </c>
      <c r="E31" s="20">
        <f>IF($A31="","",SUMIFS('Lançamentos'!$E$6:$E$1505,'Lançamentos'!$B$6:$B$1505,$A31,'Lançamentos'!$H$6:$H$1505,4))</f>
        <v/>
      </c>
      <c r="F31" s="20">
        <f>IF($A31="","",SUMIFS('Lançamentos'!$E$6:$E$1505,'Lançamentos'!$B$6:$B$1505,$A31,'Lançamentos'!$H$6:$H$1505,5))</f>
        <v/>
      </c>
      <c r="G31" s="20">
        <f>IF($A31="","",SUMIFS('Lançamentos'!$E$6:$E$1505,'Lançamentos'!$B$6:$B$1505,$A31,'Lançamentos'!$H$6:$H$1505,6))</f>
        <v/>
      </c>
      <c r="H31" s="20">
        <f>IF($A31="","",SUMIFS('Lançamentos'!$E$6:$E$1505,'Lançamentos'!$B$6:$B$1505,$A31,'Lançamentos'!$H$6:$H$1505,7))</f>
        <v/>
      </c>
      <c r="I31" s="20">
        <f>IF($A31="","",SUMIFS('Lançamentos'!$E$6:$E$1505,'Lançamentos'!$B$6:$B$1505,$A31,'Lançamentos'!$H$6:$H$1505,8))</f>
        <v/>
      </c>
      <c r="J31" s="20">
        <f>IF($A31="","",SUMIFS('Lançamentos'!$E$6:$E$1505,'Lançamentos'!$B$6:$B$1505,$A31,'Lançamentos'!$H$6:$H$1505,9))</f>
        <v/>
      </c>
      <c r="K31" s="20">
        <f>IF($A31="","",SUMIFS('Lançamentos'!$E$6:$E$1505,'Lançamentos'!$B$6:$B$1505,$A31,'Lançamentos'!$H$6:$H$1505,10))</f>
        <v/>
      </c>
      <c r="L31" s="20">
        <f>IF($A31="","",SUMIFS('Lançamentos'!$E$6:$E$1505,'Lançamentos'!$B$6:$B$1505,$A31,'Lançamentos'!$H$6:$H$1505,11))</f>
        <v/>
      </c>
      <c r="M31" s="20">
        <f>IF($A31="","",SUMIFS('Lançamentos'!$E$6:$E$1505,'Lançamentos'!$B$6:$B$1505,$A31,'Lançamentos'!$H$6:$H$1505,12))</f>
        <v/>
      </c>
      <c r="N31" s="39">
        <f>IF($A31="","",SUM(B31:M31))</f>
        <v/>
      </c>
    </row>
    <row r="32">
      <c r="A32" s="8">
        <f>IF(Config!$F17="","",Config!$F17)</f>
        <v/>
      </c>
      <c r="B32" s="20">
        <f>IF($A32="","",SUMIFS('Lançamentos'!$E$6:$E$1505,'Lançamentos'!$B$6:$B$1505,$A32,'Lançamentos'!$H$6:$H$1505,1))</f>
        <v/>
      </c>
      <c r="C32" s="20">
        <f>IF($A32="","",SUMIFS('Lançamentos'!$E$6:$E$1505,'Lançamentos'!$B$6:$B$1505,$A32,'Lançamentos'!$H$6:$H$1505,2))</f>
        <v/>
      </c>
      <c r="D32" s="20">
        <f>IF($A32="","",SUMIFS('Lançamentos'!$E$6:$E$1505,'Lançamentos'!$B$6:$B$1505,$A32,'Lançamentos'!$H$6:$H$1505,3))</f>
        <v/>
      </c>
      <c r="E32" s="20">
        <f>IF($A32="","",SUMIFS('Lançamentos'!$E$6:$E$1505,'Lançamentos'!$B$6:$B$1505,$A32,'Lançamentos'!$H$6:$H$1505,4))</f>
        <v/>
      </c>
      <c r="F32" s="20">
        <f>IF($A32="","",SUMIFS('Lançamentos'!$E$6:$E$1505,'Lançamentos'!$B$6:$B$1505,$A32,'Lançamentos'!$H$6:$H$1505,5))</f>
        <v/>
      </c>
      <c r="G32" s="20">
        <f>IF($A32="","",SUMIFS('Lançamentos'!$E$6:$E$1505,'Lançamentos'!$B$6:$B$1505,$A32,'Lançamentos'!$H$6:$H$1505,6))</f>
        <v/>
      </c>
      <c r="H32" s="20">
        <f>IF($A32="","",SUMIFS('Lançamentos'!$E$6:$E$1505,'Lançamentos'!$B$6:$B$1505,$A32,'Lançamentos'!$H$6:$H$1505,7))</f>
        <v/>
      </c>
      <c r="I32" s="20">
        <f>IF($A32="","",SUMIFS('Lançamentos'!$E$6:$E$1505,'Lançamentos'!$B$6:$B$1505,$A32,'Lançamentos'!$H$6:$H$1505,8))</f>
        <v/>
      </c>
      <c r="J32" s="20">
        <f>IF($A32="","",SUMIFS('Lançamentos'!$E$6:$E$1505,'Lançamentos'!$B$6:$B$1505,$A32,'Lançamentos'!$H$6:$H$1505,9))</f>
        <v/>
      </c>
      <c r="K32" s="20">
        <f>IF($A32="","",SUMIFS('Lançamentos'!$E$6:$E$1505,'Lançamentos'!$B$6:$B$1505,$A32,'Lançamentos'!$H$6:$H$1505,10))</f>
        <v/>
      </c>
      <c r="L32" s="20">
        <f>IF($A32="","",SUMIFS('Lançamentos'!$E$6:$E$1505,'Lançamentos'!$B$6:$B$1505,$A32,'Lançamentos'!$H$6:$H$1505,11))</f>
        <v/>
      </c>
      <c r="M32" s="20">
        <f>IF($A32="","",SUMIFS('Lançamentos'!$E$6:$E$1505,'Lançamentos'!$B$6:$B$1505,$A32,'Lançamentos'!$H$6:$H$1505,12))</f>
        <v/>
      </c>
      <c r="N32" s="39">
        <f>IF($A32="","",SUM(B32:M32))</f>
        <v/>
      </c>
    </row>
    <row r="33">
      <c r="A33" s="8">
        <f>IF(Config!$F18="","",Config!$F18)</f>
        <v/>
      </c>
      <c r="B33" s="20">
        <f>IF($A33="","",SUMIFS('Lançamentos'!$E$6:$E$1505,'Lançamentos'!$B$6:$B$1505,$A33,'Lançamentos'!$H$6:$H$1505,1))</f>
        <v/>
      </c>
      <c r="C33" s="20">
        <f>IF($A33="","",SUMIFS('Lançamentos'!$E$6:$E$1505,'Lançamentos'!$B$6:$B$1505,$A33,'Lançamentos'!$H$6:$H$1505,2))</f>
        <v/>
      </c>
      <c r="D33" s="20">
        <f>IF($A33="","",SUMIFS('Lançamentos'!$E$6:$E$1505,'Lançamentos'!$B$6:$B$1505,$A33,'Lançamentos'!$H$6:$H$1505,3))</f>
        <v/>
      </c>
      <c r="E33" s="20">
        <f>IF($A33="","",SUMIFS('Lançamentos'!$E$6:$E$1505,'Lançamentos'!$B$6:$B$1505,$A33,'Lançamentos'!$H$6:$H$1505,4))</f>
        <v/>
      </c>
      <c r="F33" s="20">
        <f>IF($A33="","",SUMIFS('Lançamentos'!$E$6:$E$1505,'Lançamentos'!$B$6:$B$1505,$A33,'Lançamentos'!$H$6:$H$1505,5))</f>
        <v/>
      </c>
      <c r="G33" s="20">
        <f>IF($A33="","",SUMIFS('Lançamentos'!$E$6:$E$1505,'Lançamentos'!$B$6:$B$1505,$A33,'Lançamentos'!$H$6:$H$1505,6))</f>
        <v/>
      </c>
      <c r="H33" s="20">
        <f>IF($A33="","",SUMIFS('Lançamentos'!$E$6:$E$1505,'Lançamentos'!$B$6:$B$1505,$A33,'Lançamentos'!$H$6:$H$1505,7))</f>
        <v/>
      </c>
      <c r="I33" s="20">
        <f>IF($A33="","",SUMIFS('Lançamentos'!$E$6:$E$1505,'Lançamentos'!$B$6:$B$1505,$A33,'Lançamentos'!$H$6:$H$1505,8))</f>
        <v/>
      </c>
      <c r="J33" s="20">
        <f>IF($A33="","",SUMIFS('Lançamentos'!$E$6:$E$1505,'Lançamentos'!$B$6:$B$1505,$A33,'Lançamentos'!$H$6:$H$1505,9))</f>
        <v/>
      </c>
      <c r="K33" s="20">
        <f>IF($A33="","",SUMIFS('Lançamentos'!$E$6:$E$1505,'Lançamentos'!$B$6:$B$1505,$A33,'Lançamentos'!$H$6:$H$1505,10))</f>
        <v/>
      </c>
      <c r="L33" s="20">
        <f>IF($A33="","",SUMIFS('Lançamentos'!$E$6:$E$1505,'Lançamentos'!$B$6:$B$1505,$A33,'Lançamentos'!$H$6:$H$1505,11))</f>
        <v/>
      </c>
      <c r="M33" s="20">
        <f>IF($A33="","",SUMIFS('Lançamentos'!$E$6:$E$1505,'Lançamentos'!$B$6:$B$1505,$A33,'Lançamentos'!$H$6:$H$1505,12))</f>
        <v/>
      </c>
      <c r="N33" s="39">
        <f>IF($A33="","",SUM(B33:M33))</f>
        <v/>
      </c>
    </row>
    <row r="34">
      <c r="A34" s="8">
        <f>IF(Config!$F19="","",Config!$F19)</f>
        <v/>
      </c>
      <c r="B34" s="20">
        <f>IF($A34="","",SUMIFS('Lançamentos'!$E$6:$E$1505,'Lançamentos'!$B$6:$B$1505,$A34,'Lançamentos'!$H$6:$H$1505,1))</f>
        <v/>
      </c>
      <c r="C34" s="20">
        <f>IF($A34="","",SUMIFS('Lançamentos'!$E$6:$E$1505,'Lançamentos'!$B$6:$B$1505,$A34,'Lançamentos'!$H$6:$H$1505,2))</f>
        <v/>
      </c>
      <c r="D34" s="20">
        <f>IF($A34="","",SUMIFS('Lançamentos'!$E$6:$E$1505,'Lançamentos'!$B$6:$B$1505,$A34,'Lançamentos'!$H$6:$H$1505,3))</f>
        <v/>
      </c>
      <c r="E34" s="20">
        <f>IF($A34="","",SUMIFS('Lançamentos'!$E$6:$E$1505,'Lançamentos'!$B$6:$B$1505,$A34,'Lançamentos'!$H$6:$H$1505,4))</f>
        <v/>
      </c>
      <c r="F34" s="20">
        <f>IF($A34="","",SUMIFS('Lançamentos'!$E$6:$E$1505,'Lançamentos'!$B$6:$B$1505,$A34,'Lançamentos'!$H$6:$H$1505,5))</f>
        <v/>
      </c>
      <c r="G34" s="20">
        <f>IF($A34="","",SUMIFS('Lançamentos'!$E$6:$E$1505,'Lançamentos'!$B$6:$B$1505,$A34,'Lançamentos'!$H$6:$H$1505,6))</f>
        <v/>
      </c>
      <c r="H34" s="20">
        <f>IF($A34="","",SUMIFS('Lançamentos'!$E$6:$E$1505,'Lançamentos'!$B$6:$B$1505,$A34,'Lançamentos'!$H$6:$H$1505,7))</f>
        <v/>
      </c>
      <c r="I34" s="20">
        <f>IF($A34="","",SUMIFS('Lançamentos'!$E$6:$E$1505,'Lançamentos'!$B$6:$B$1505,$A34,'Lançamentos'!$H$6:$H$1505,8))</f>
        <v/>
      </c>
      <c r="J34" s="20">
        <f>IF($A34="","",SUMIFS('Lançamentos'!$E$6:$E$1505,'Lançamentos'!$B$6:$B$1505,$A34,'Lançamentos'!$H$6:$H$1505,9))</f>
        <v/>
      </c>
      <c r="K34" s="20">
        <f>IF($A34="","",SUMIFS('Lançamentos'!$E$6:$E$1505,'Lançamentos'!$B$6:$B$1505,$A34,'Lançamentos'!$H$6:$H$1505,10))</f>
        <v/>
      </c>
      <c r="L34" s="20">
        <f>IF($A34="","",SUMIFS('Lançamentos'!$E$6:$E$1505,'Lançamentos'!$B$6:$B$1505,$A34,'Lançamentos'!$H$6:$H$1505,11))</f>
        <v/>
      </c>
      <c r="M34" s="20">
        <f>IF($A34="","",SUMIFS('Lançamentos'!$E$6:$E$1505,'Lançamentos'!$B$6:$B$1505,$A34,'Lançamentos'!$H$6:$H$1505,12))</f>
        <v/>
      </c>
      <c r="N34" s="39">
        <f>IF($A34="","",SUM(B34:M34))</f>
        <v/>
      </c>
    </row>
    <row r="35">
      <c r="A35" s="8">
        <f>IF(Config!$F20="","",Config!$F20)</f>
        <v/>
      </c>
      <c r="B35" s="20">
        <f>IF($A35="","",SUMIFS('Lançamentos'!$E$6:$E$1505,'Lançamentos'!$B$6:$B$1505,$A35,'Lançamentos'!$H$6:$H$1505,1))</f>
        <v/>
      </c>
      <c r="C35" s="20">
        <f>IF($A35="","",SUMIFS('Lançamentos'!$E$6:$E$1505,'Lançamentos'!$B$6:$B$1505,$A35,'Lançamentos'!$H$6:$H$1505,2))</f>
        <v/>
      </c>
      <c r="D35" s="20">
        <f>IF($A35="","",SUMIFS('Lançamentos'!$E$6:$E$1505,'Lançamentos'!$B$6:$B$1505,$A35,'Lançamentos'!$H$6:$H$1505,3))</f>
        <v/>
      </c>
      <c r="E35" s="20">
        <f>IF($A35="","",SUMIFS('Lançamentos'!$E$6:$E$1505,'Lançamentos'!$B$6:$B$1505,$A35,'Lançamentos'!$H$6:$H$1505,4))</f>
        <v/>
      </c>
      <c r="F35" s="20">
        <f>IF($A35="","",SUMIFS('Lançamentos'!$E$6:$E$1505,'Lançamentos'!$B$6:$B$1505,$A35,'Lançamentos'!$H$6:$H$1505,5))</f>
        <v/>
      </c>
      <c r="G35" s="20">
        <f>IF($A35="","",SUMIFS('Lançamentos'!$E$6:$E$1505,'Lançamentos'!$B$6:$B$1505,$A35,'Lançamentos'!$H$6:$H$1505,6))</f>
        <v/>
      </c>
      <c r="H35" s="20">
        <f>IF($A35="","",SUMIFS('Lançamentos'!$E$6:$E$1505,'Lançamentos'!$B$6:$B$1505,$A35,'Lançamentos'!$H$6:$H$1505,7))</f>
        <v/>
      </c>
      <c r="I35" s="20">
        <f>IF($A35="","",SUMIFS('Lançamentos'!$E$6:$E$1505,'Lançamentos'!$B$6:$B$1505,$A35,'Lançamentos'!$H$6:$H$1505,8))</f>
        <v/>
      </c>
      <c r="J35" s="20">
        <f>IF($A35="","",SUMIFS('Lançamentos'!$E$6:$E$1505,'Lançamentos'!$B$6:$B$1505,$A35,'Lançamentos'!$H$6:$H$1505,9))</f>
        <v/>
      </c>
      <c r="K35" s="20">
        <f>IF($A35="","",SUMIFS('Lançamentos'!$E$6:$E$1505,'Lançamentos'!$B$6:$B$1505,$A35,'Lançamentos'!$H$6:$H$1505,10))</f>
        <v/>
      </c>
      <c r="L35" s="20">
        <f>IF($A35="","",SUMIFS('Lançamentos'!$E$6:$E$1505,'Lançamentos'!$B$6:$B$1505,$A35,'Lançamentos'!$H$6:$H$1505,11))</f>
        <v/>
      </c>
      <c r="M35" s="20">
        <f>IF($A35="","",SUMIFS('Lançamentos'!$E$6:$E$1505,'Lançamentos'!$B$6:$B$1505,$A35,'Lançamentos'!$H$6:$H$1505,12))</f>
        <v/>
      </c>
      <c r="N35" s="39">
        <f>IF($A35="","",SUM(B35:M35))</f>
        <v/>
      </c>
    </row>
    <row r="36">
      <c r="A36" s="8">
        <f>IF(Config!$F21="","",Config!$F21)</f>
        <v/>
      </c>
      <c r="B36" s="20">
        <f>IF($A36="","",SUMIFS('Lançamentos'!$E$6:$E$1505,'Lançamentos'!$B$6:$B$1505,$A36,'Lançamentos'!$H$6:$H$1505,1))</f>
        <v/>
      </c>
      <c r="C36" s="20">
        <f>IF($A36="","",SUMIFS('Lançamentos'!$E$6:$E$1505,'Lançamentos'!$B$6:$B$1505,$A36,'Lançamentos'!$H$6:$H$1505,2))</f>
        <v/>
      </c>
      <c r="D36" s="20">
        <f>IF($A36="","",SUMIFS('Lançamentos'!$E$6:$E$1505,'Lançamentos'!$B$6:$B$1505,$A36,'Lançamentos'!$H$6:$H$1505,3))</f>
        <v/>
      </c>
      <c r="E36" s="20">
        <f>IF($A36="","",SUMIFS('Lançamentos'!$E$6:$E$1505,'Lançamentos'!$B$6:$B$1505,$A36,'Lançamentos'!$H$6:$H$1505,4))</f>
        <v/>
      </c>
      <c r="F36" s="20">
        <f>IF($A36="","",SUMIFS('Lançamentos'!$E$6:$E$1505,'Lançamentos'!$B$6:$B$1505,$A36,'Lançamentos'!$H$6:$H$1505,5))</f>
        <v/>
      </c>
      <c r="G36" s="20">
        <f>IF($A36="","",SUMIFS('Lançamentos'!$E$6:$E$1505,'Lançamentos'!$B$6:$B$1505,$A36,'Lançamentos'!$H$6:$H$1505,6))</f>
        <v/>
      </c>
      <c r="H36" s="20">
        <f>IF($A36="","",SUMIFS('Lançamentos'!$E$6:$E$1505,'Lançamentos'!$B$6:$B$1505,$A36,'Lançamentos'!$H$6:$H$1505,7))</f>
        <v/>
      </c>
      <c r="I36" s="20">
        <f>IF($A36="","",SUMIFS('Lançamentos'!$E$6:$E$1505,'Lançamentos'!$B$6:$B$1505,$A36,'Lançamentos'!$H$6:$H$1505,8))</f>
        <v/>
      </c>
      <c r="J36" s="20">
        <f>IF($A36="","",SUMIFS('Lançamentos'!$E$6:$E$1505,'Lançamentos'!$B$6:$B$1505,$A36,'Lançamentos'!$H$6:$H$1505,9))</f>
        <v/>
      </c>
      <c r="K36" s="20">
        <f>IF($A36="","",SUMIFS('Lançamentos'!$E$6:$E$1505,'Lançamentos'!$B$6:$B$1505,$A36,'Lançamentos'!$H$6:$H$1505,10))</f>
        <v/>
      </c>
      <c r="L36" s="20">
        <f>IF($A36="","",SUMIFS('Lançamentos'!$E$6:$E$1505,'Lançamentos'!$B$6:$B$1505,$A36,'Lançamentos'!$H$6:$H$1505,11))</f>
        <v/>
      </c>
      <c r="M36" s="20">
        <f>IF($A36="","",SUMIFS('Lançamentos'!$E$6:$E$1505,'Lançamentos'!$B$6:$B$1505,$A36,'Lançamentos'!$H$6:$H$1505,12))</f>
        <v/>
      </c>
      <c r="N36" s="39">
        <f>IF($A36="","",SUM(B36:M36))</f>
        <v/>
      </c>
    </row>
    <row r="37">
      <c r="A37" s="8">
        <f>IF(Config!$F22="","",Config!$F22)</f>
        <v/>
      </c>
      <c r="B37" s="20">
        <f>IF($A37="","",SUMIFS('Lançamentos'!$E$6:$E$1505,'Lançamentos'!$B$6:$B$1505,$A37,'Lançamentos'!$H$6:$H$1505,1))</f>
        <v/>
      </c>
      <c r="C37" s="20">
        <f>IF($A37="","",SUMIFS('Lançamentos'!$E$6:$E$1505,'Lançamentos'!$B$6:$B$1505,$A37,'Lançamentos'!$H$6:$H$1505,2))</f>
        <v/>
      </c>
      <c r="D37" s="20">
        <f>IF($A37="","",SUMIFS('Lançamentos'!$E$6:$E$1505,'Lançamentos'!$B$6:$B$1505,$A37,'Lançamentos'!$H$6:$H$1505,3))</f>
        <v/>
      </c>
      <c r="E37" s="20">
        <f>IF($A37="","",SUMIFS('Lançamentos'!$E$6:$E$1505,'Lançamentos'!$B$6:$B$1505,$A37,'Lançamentos'!$H$6:$H$1505,4))</f>
        <v/>
      </c>
      <c r="F37" s="20">
        <f>IF($A37="","",SUMIFS('Lançamentos'!$E$6:$E$1505,'Lançamentos'!$B$6:$B$1505,$A37,'Lançamentos'!$H$6:$H$1505,5))</f>
        <v/>
      </c>
      <c r="G37" s="20">
        <f>IF($A37="","",SUMIFS('Lançamentos'!$E$6:$E$1505,'Lançamentos'!$B$6:$B$1505,$A37,'Lançamentos'!$H$6:$H$1505,6))</f>
        <v/>
      </c>
      <c r="H37" s="20">
        <f>IF($A37="","",SUMIFS('Lançamentos'!$E$6:$E$1505,'Lançamentos'!$B$6:$B$1505,$A37,'Lançamentos'!$H$6:$H$1505,7))</f>
        <v/>
      </c>
      <c r="I37" s="20">
        <f>IF($A37="","",SUMIFS('Lançamentos'!$E$6:$E$1505,'Lançamentos'!$B$6:$B$1505,$A37,'Lançamentos'!$H$6:$H$1505,8))</f>
        <v/>
      </c>
      <c r="J37" s="20">
        <f>IF($A37="","",SUMIFS('Lançamentos'!$E$6:$E$1505,'Lançamentos'!$B$6:$B$1505,$A37,'Lançamentos'!$H$6:$H$1505,9))</f>
        <v/>
      </c>
      <c r="K37" s="20">
        <f>IF($A37="","",SUMIFS('Lançamentos'!$E$6:$E$1505,'Lançamentos'!$B$6:$B$1505,$A37,'Lançamentos'!$H$6:$H$1505,10))</f>
        <v/>
      </c>
      <c r="L37" s="20">
        <f>IF($A37="","",SUMIFS('Lançamentos'!$E$6:$E$1505,'Lançamentos'!$B$6:$B$1505,$A37,'Lançamentos'!$H$6:$H$1505,11))</f>
        <v/>
      </c>
      <c r="M37" s="20">
        <f>IF($A37="","",SUMIFS('Lançamentos'!$E$6:$E$1505,'Lançamentos'!$B$6:$B$1505,$A37,'Lançamentos'!$H$6:$H$1505,12))</f>
        <v/>
      </c>
      <c r="N37" s="39">
        <f>IF($A37="","",SUM(B37:M37))</f>
        <v/>
      </c>
    </row>
    <row r="38">
      <c r="A38" s="8">
        <f>IF(Config!$F23="","",Config!$F23)</f>
        <v/>
      </c>
      <c r="B38" s="20">
        <f>IF($A38="","",SUMIFS('Lançamentos'!$E$6:$E$1505,'Lançamentos'!$B$6:$B$1505,$A38,'Lançamentos'!$H$6:$H$1505,1))</f>
        <v/>
      </c>
      <c r="C38" s="20">
        <f>IF($A38="","",SUMIFS('Lançamentos'!$E$6:$E$1505,'Lançamentos'!$B$6:$B$1505,$A38,'Lançamentos'!$H$6:$H$1505,2))</f>
        <v/>
      </c>
      <c r="D38" s="20">
        <f>IF($A38="","",SUMIFS('Lançamentos'!$E$6:$E$1505,'Lançamentos'!$B$6:$B$1505,$A38,'Lançamentos'!$H$6:$H$1505,3))</f>
        <v/>
      </c>
      <c r="E38" s="20">
        <f>IF($A38="","",SUMIFS('Lançamentos'!$E$6:$E$1505,'Lançamentos'!$B$6:$B$1505,$A38,'Lançamentos'!$H$6:$H$1505,4))</f>
        <v/>
      </c>
      <c r="F38" s="20">
        <f>IF($A38="","",SUMIFS('Lançamentos'!$E$6:$E$1505,'Lançamentos'!$B$6:$B$1505,$A38,'Lançamentos'!$H$6:$H$1505,5))</f>
        <v/>
      </c>
      <c r="G38" s="20">
        <f>IF($A38="","",SUMIFS('Lançamentos'!$E$6:$E$1505,'Lançamentos'!$B$6:$B$1505,$A38,'Lançamentos'!$H$6:$H$1505,6))</f>
        <v/>
      </c>
      <c r="H38" s="20">
        <f>IF($A38="","",SUMIFS('Lançamentos'!$E$6:$E$1505,'Lançamentos'!$B$6:$B$1505,$A38,'Lançamentos'!$H$6:$H$1505,7))</f>
        <v/>
      </c>
      <c r="I38" s="20">
        <f>IF($A38="","",SUMIFS('Lançamentos'!$E$6:$E$1505,'Lançamentos'!$B$6:$B$1505,$A38,'Lançamentos'!$H$6:$H$1505,8))</f>
        <v/>
      </c>
      <c r="J38" s="20">
        <f>IF($A38="","",SUMIFS('Lançamentos'!$E$6:$E$1505,'Lançamentos'!$B$6:$B$1505,$A38,'Lançamentos'!$H$6:$H$1505,9))</f>
        <v/>
      </c>
      <c r="K38" s="20">
        <f>IF($A38="","",SUMIFS('Lançamentos'!$E$6:$E$1505,'Lançamentos'!$B$6:$B$1505,$A38,'Lançamentos'!$H$6:$H$1505,10))</f>
        <v/>
      </c>
      <c r="L38" s="20">
        <f>IF($A38="","",SUMIFS('Lançamentos'!$E$6:$E$1505,'Lançamentos'!$B$6:$B$1505,$A38,'Lançamentos'!$H$6:$H$1505,11))</f>
        <v/>
      </c>
      <c r="M38" s="20">
        <f>IF($A38="","",SUMIFS('Lançamentos'!$E$6:$E$1505,'Lançamentos'!$B$6:$B$1505,$A38,'Lançamentos'!$H$6:$H$1505,12))</f>
        <v/>
      </c>
      <c r="N38" s="39">
        <f>IF($A38="","",SUM(B38:M38))</f>
        <v/>
      </c>
    </row>
    <row r="39">
      <c r="A39" s="8">
        <f>IF(Config!$F24="","",Config!$F24)</f>
        <v/>
      </c>
      <c r="B39" s="20">
        <f>IF($A39="","",SUMIFS('Lançamentos'!$E$6:$E$1505,'Lançamentos'!$B$6:$B$1505,$A39,'Lançamentos'!$H$6:$H$1505,1))</f>
        <v/>
      </c>
      <c r="C39" s="20">
        <f>IF($A39="","",SUMIFS('Lançamentos'!$E$6:$E$1505,'Lançamentos'!$B$6:$B$1505,$A39,'Lançamentos'!$H$6:$H$1505,2))</f>
        <v/>
      </c>
      <c r="D39" s="20">
        <f>IF($A39="","",SUMIFS('Lançamentos'!$E$6:$E$1505,'Lançamentos'!$B$6:$B$1505,$A39,'Lançamentos'!$H$6:$H$1505,3))</f>
        <v/>
      </c>
      <c r="E39" s="20">
        <f>IF($A39="","",SUMIFS('Lançamentos'!$E$6:$E$1505,'Lançamentos'!$B$6:$B$1505,$A39,'Lançamentos'!$H$6:$H$1505,4))</f>
        <v/>
      </c>
      <c r="F39" s="20">
        <f>IF($A39="","",SUMIFS('Lançamentos'!$E$6:$E$1505,'Lançamentos'!$B$6:$B$1505,$A39,'Lançamentos'!$H$6:$H$1505,5))</f>
        <v/>
      </c>
      <c r="G39" s="20">
        <f>IF($A39="","",SUMIFS('Lançamentos'!$E$6:$E$1505,'Lançamentos'!$B$6:$B$1505,$A39,'Lançamentos'!$H$6:$H$1505,6))</f>
        <v/>
      </c>
      <c r="H39" s="20">
        <f>IF($A39="","",SUMIFS('Lançamentos'!$E$6:$E$1505,'Lançamentos'!$B$6:$B$1505,$A39,'Lançamentos'!$H$6:$H$1505,7))</f>
        <v/>
      </c>
      <c r="I39" s="20">
        <f>IF($A39="","",SUMIFS('Lançamentos'!$E$6:$E$1505,'Lançamentos'!$B$6:$B$1505,$A39,'Lançamentos'!$H$6:$H$1505,8))</f>
        <v/>
      </c>
      <c r="J39" s="20">
        <f>IF($A39="","",SUMIFS('Lançamentos'!$E$6:$E$1505,'Lançamentos'!$B$6:$B$1505,$A39,'Lançamentos'!$H$6:$H$1505,9))</f>
        <v/>
      </c>
      <c r="K39" s="20">
        <f>IF($A39="","",SUMIFS('Lançamentos'!$E$6:$E$1505,'Lançamentos'!$B$6:$B$1505,$A39,'Lançamentos'!$H$6:$H$1505,10))</f>
        <v/>
      </c>
      <c r="L39" s="20">
        <f>IF($A39="","",SUMIFS('Lançamentos'!$E$6:$E$1505,'Lançamentos'!$B$6:$B$1505,$A39,'Lançamentos'!$H$6:$H$1505,11))</f>
        <v/>
      </c>
      <c r="M39" s="20">
        <f>IF($A39="","",SUMIFS('Lançamentos'!$E$6:$E$1505,'Lançamentos'!$B$6:$B$1505,$A39,'Lançamentos'!$H$6:$H$1505,12))</f>
        <v/>
      </c>
      <c r="N39" s="39">
        <f>IF($A39="","",SUM(B39:M39))</f>
        <v/>
      </c>
    </row>
    <row r="40">
      <c r="A40" s="8">
        <f>IF(Config!$F25="","",Config!$F25)</f>
        <v/>
      </c>
      <c r="B40" s="20">
        <f>IF($A40="","",SUMIFS('Lançamentos'!$E$6:$E$1505,'Lançamentos'!$B$6:$B$1505,$A40,'Lançamentos'!$H$6:$H$1505,1))</f>
        <v/>
      </c>
      <c r="C40" s="20">
        <f>IF($A40="","",SUMIFS('Lançamentos'!$E$6:$E$1505,'Lançamentos'!$B$6:$B$1505,$A40,'Lançamentos'!$H$6:$H$1505,2))</f>
        <v/>
      </c>
      <c r="D40" s="20">
        <f>IF($A40="","",SUMIFS('Lançamentos'!$E$6:$E$1505,'Lançamentos'!$B$6:$B$1505,$A40,'Lançamentos'!$H$6:$H$1505,3))</f>
        <v/>
      </c>
      <c r="E40" s="20">
        <f>IF($A40="","",SUMIFS('Lançamentos'!$E$6:$E$1505,'Lançamentos'!$B$6:$B$1505,$A40,'Lançamentos'!$H$6:$H$1505,4))</f>
        <v/>
      </c>
      <c r="F40" s="20">
        <f>IF($A40="","",SUMIFS('Lançamentos'!$E$6:$E$1505,'Lançamentos'!$B$6:$B$1505,$A40,'Lançamentos'!$H$6:$H$1505,5))</f>
        <v/>
      </c>
      <c r="G40" s="20">
        <f>IF($A40="","",SUMIFS('Lançamentos'!$E$6:$E$1505,'Lançamentos'!$B$6:$B$1505,$A40,'Lançamentos'!$H$6:$H$1505,6))</f>
        <v/>
      </c>
      <c r="H40" s="20">
        <f>IF($A40="","",SUMIFS('Lançamentos'!$E$6:$E$1505,'Lançamentos'!$B$6:$B$1505,$A40,'Lançamentos'!$H$6:$H$1505,7))</f>
        <v/>
      </c>
      <c r="I40" s="20">
        <f>IF($A40="","",SUMIFS('Lançamentos'!$E$6:$E$1505,'Lançamentos'!$B$6:$B$1505,$A40,'Lançamentos'!$H$6:$H$1505,8))</f>
        <v/>
      </c>
      <c r="J40" s="20">
        <f>IF($A40="","",SUMIFS('Lançamentos'!$E$6:$E$1505,'Lançamentos'!$B$6:$B$1505,$A40,'Lançamentos'!$H$6:$H$1505,9))</f>
        <v/>
      </c>
      <c r="K40" s="20">
        <f>IF($A40="","",SUMIFS('Lançamentos'!$E$6:$E$1505,'Lançamentos'!$B$6:$B$1505,$A40,'Lançamentos'!$H$6:$H$1505,10))</f>
        <v/>
      </c>
      <c r="L40" s="20">
        <f>IF($A40="","",SUMIFS('Lançamentos'!$E$6:$E$1505,'Lançamentos'!$B$6:$B$1505,$A40,'Lançamentos'!$H$6:$H$1505,11))</f>
        <v/>
      </c>
      <c r="M40" s="20">
        <f>IF($A40="","",SUMIFS('Lançamentos'!$E$6:$E$1505,'Lançamentos'!$B$6:$B$1505,$A40,'Lançamentos'!$H$6:$H$1505,12))</f>
        <v/>
      </c>
      <c r="N40" s="39">
        <f>IF($A40="","",SUM(B40:M40))</f>
        <v/>
      </c>
    </row>
    <row r="41">
      <c r="A41" s="25" t="inlineStr">
        <is>
          <t>TOTAL SAÍDAS</t>
        </is>
      </c>
      <c r="B41" s="26">
        <f>SUM(B21:B40)</f>
        <v/>
      </c>
      <c r="C41" s="26">
        <f>SUM(C21:C40)</f>
        <v/>
      </c>
      <c r="D41" s="26">
        <f>SUM(D21:D40)</f>
        <v/>
      </c>
      <c r="E41" s="26">
        <f>SUM(E21:E40)</f>
        <v/>
      </c>
      <c r="F41" s="26">
        <f>SUM(F21:F40)</f>
        <v/>
      </c>
      <c r="G41" s="26">
        <f>SUM(G21:G40)</f>
        <v/>
      </c>
      <c r="H41" s="26">
        <f>SUM(H21:H40)</f>
        <v/>
      </c>
      <c r="I41" s="26">
        <f>SUM(I21:I40)</f>
        <v/>
      </c>
      <c r="J41" s="26">
        <f>SUM(J21:J40)</f>
        <v/>
      </c>
      <c r="K41" s="26">
        <f>SUM(K21:K40)</f>
        <v/>
      </c>
      <c r="L41" s="26">
        <f>SUM(L21:L40)</f>
        <v/>
      </c>
      <c r="M41" s="26">
        <f>SUM(M21:M40)</f>
        <v/>
      </c>
      <c r="N41" s="26">
        <f>SUM(N21:N40)</f>
        <v/>
      </c>
    </row>
    <row r="43" ht="20" customHeight="1">
      <c r="A43" s="10" t="inlineStr">
        <is>
          <t>RESULTADO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</row>
    <row r="44">
      <c r="A44" s="25" t="inlineStr">
        <is>
          <t>Saldo do mês (entradas − saídas)</t>
        </is>
      </c>
      <c r="B44" s="26">
        <f>B18-B41</f>
        <v/>
      </c>
      <c r="C44" s="26">
        <f>C18-C41</f>
        <v/>
      </c>
      <c r="D44" s="26">
        <f>D18-D41</f>
        <v/>
      </c>
      <c r="E44" s="26">
        <f>E18-E41</f>
        <v/>
      </c>
      <c r="F44" s="26">
        <f>F18-F41</f>
        <v/>
      </c>
      <c r="G44" s="26">
        <f>G18-G41</f>
        <v/>
      </c>
      <c r="H44" s="26">
        <f>H18-H41</f>
        <v/>
      </c>
      <c r="I44" s="26">
        <f>I18-I41</f>
        <v/>
      </c>
      <c r="J44" s="26">
        <f>J18-J41</f>
        <v/>
      </c>
      <c r="K44" s="26">
        <f>K18-K41</f>
        <v/>
      </c>
      <c r="L44" s="26">
        <f>L18-L41</f>
        <v/>
      </c>
      <c r="M44" s="26">
        <f>M18-M41</f>
        <v/>
      </c>
      <c r="N44" s="26">
        <f>N18-N41</f>
        <v/>
      </c>
    </row>
    <row r="45">
      <c r="A45" s="25" t="inlineStr">
        <is>
          <t>Saldo inicial do mês</t>
        </is>
      </c>
      <c r="B45" s="26">
        <f>Config!$B$7</f>
        <v/>
      </c>
      <c r="C45" s="26">
        <f>B46</f>
        <v/>
      </c>
      <c r="D45" s="26">
        <f>C46</f>
        <v/>
      </c>
      <c r="E45" s="26">
        <f>D46</f>
        <v/>
      </c>
      <c r="F45" s="26">
        <f>E46</f>
        <v/>
      </c>
      <c r="G45" s="26">
        <f>F46</f>
        <v/>
      </c>
      <c r="H45" s="26">
        <f>G46</f>
        <v/>
      </c>
      <c r="I45" s="26">
        <f>H46</f>
        <v/>
      </c>
      <c r="J45" s="26">
        <f>I46</f>
        <v/>
      </c>
      <c r="K45" s="26">
        <f>J46</f>
        <v/>
      </c>
      <c r="L45" s="26">
        <f>K46</f>
        <v/>
      </c>
      <c r="M45" s="26">
        <f>L46</f>
        <v/>
      </c>
      <c r="N45" s="26">
        <f>B45</f>
        <v/>
      </c>
    </row>
    <row r="46">
      <c r="A46" s="25" t="inlineStr">
        <is>
          <t>Saldo acumulado (final do mês)</t>
        </is>
      </c>
      <c r="B46" s="26">
        <f>B45+B44</f>
        <v/>
      </c>
      <c r="C46" s="26">
        <f>C45+C44</f>
        <v/>
      </c>
      <c r="D46" s="26">
        <f>D45+D44</f>
        <v/>
      </c>
      <c r="E46" s="26">
        <f>E45+E44</f>
        <v/>
      </c>
      <c r="F46" s="26">
        <f>F45+F44</f>
        <v/>
      </c>
      <c r="G46" s="26">
        <f>G45+G44</f>
        <v/>
      </c>
      <c r="H46" s="26">
        <f>H45+H44</f>
        <v/>
      </c>
      <c r="I46" s="26">
        <f>I45+I44</f>
        <v/>
      </c>
      <c r="J46" s="26">
        <f>J45+J44</f>
        <v/>
      </c>
      <c r="K46" s="26">
        <f>K45+K44</f>
        <v/>
      </c>
      <c r="L46" s="26">
        <f>L45+L44</f>
        <v/>
      </c>
      <c r="M46" s="26">
        <f>M45+M44</f>
        <v/>
      </c>
      <c r="N46" s="26">
        <f>M46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conditionalFormatting sqref="B46:N46">
    <cfRule type="cellIs" priority="1" operator="lessThan" dxfId="4">
      <formula>0</formula>
    </cfRule>
  </conditionalFormatting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18" customWidth="1" min="4" max="4"/>
    <col width="20" customWidth="1" min="5" max="5"/>
    <col width="12" customWidth="1" min="6" max="6"/>
    <col width="20" customWidth="1" min="7" max="7"/>
  </cols>
  <sheetData>
    <row r="1" ht="36" customHeight="1">
      <c r="A1" s="1" t="inlineStr">
        <is>
          <t>Previsto x Realizado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Comparação anual por categoria</t>
        </is>
      </c>
      <c r="B2" s="4" t="n"/>
      <c r="C2" s="4" t="n"/>
      <c r="D2" s="4" t="n"/>
      <c r="E2" s="4" t="n"/>
      <c r="F2" s="4" t="n"/>
      <c r="G2" s="4" t="n"/>
    </row>
    <row r="3">
      <c r="A3" s="27" t="inlineStr">
        <is>
          <t>Legenda:</t>
        </is>
      </c>
      <c r="B3" s="28" t="inlineStr">
        <is>
          <t>Preencher</t>
        </is>
      </c>
      <c r="C3" s="29" t="inlineStr">
        <is>
          <t>Cálculo automático (protegido)</t>
        </is>
      </c>
    </row>
    <row r="5" ht="34" customHeight="1">
      <c r="A5" s="18" t="inlineStr">
        <is>
          <t>Categoria</t>
        </is>
      </c>
      <c r="B5" s="18" t="inlineStr">
        <is>
          <t>Tipo</t>
        </is>
      </c>
      <c r="C5" s="18" t="inlineStr">
        <is>
          <t>Previsto (12 meses)</t>
        </is>
      </c>
      <c r="D5" s="18" t="inlineStr">
        <is>
          <t>Realizado (12 meses)</t>
        </is>
      </c>
      <c r="E5" s="18" t="inlineStr">
        <is>
          <t>Diferença (realizado − previsto)</t>
        </is>
      </c>
      <c r="F5" s="18" t="inlineStr">
        <is>
          <t>% realizado</t>
        </is>
      </c>
      <c r="G5" s="18" t="inlineStr">
        <is>
          <t>Situação</t>
        </is>
      </c>
    </row>
    <row r="6">
      <c r="A6" s="8">
        <f>'Previsto'!A8</f>
        <v/>
      </c>
      <c r="B6" s="19">
        <f>IF(A6="","","Entrada")</f>
        <v/>
      </c>
      <c r="C6" s="20">
        <f>IF(A6="","",N('Previsto'!N8))</f>
        <v/>
      </c>
      <c r="D6" s="20">
        <f>IF(A6="","",N('Fluxo Realizado'!N8))</f>
        <v/>
      </c>
      <c r="E6" s="20">
        <f>IF(A6="","",D6-C6)</f>
        <v/>
      </c>
      <c r="F6" s="40">
        <f>IF(A6="","",IFERROR(D6/C6,0))</f>
        <v/>
      </c>
      <c r="G6" s="19">
        <f>IF(A6="","",IF(AND(C6=0,D6=0),"Sem valores",IF(D6&gt;=C6,"No previsto ou acima","Abaixo do previsto")))</f>
        <v/>
      </c>
    </row>
    <row r="7">
      <c r="A7" s="8">
        <f>'Previsto'!A9</f>
        <v/>
      </c>
      <c r="B7" s="19">
        <f>IF(A7="","","Entrada")</f>
        <v/>
      </c>
      <c r="C7" s="20">
        <f>IF(A7="","",N('Previsto'!N9))</f>
        <v/>
      </c>
      <c r="D7" s="20">
        <f>IF(A7="","",N('Fluxo Realizado'!N9))</f>
        <v/>
      </c>
      <c r="E7" s="20">
        <f>IF(A7="","",D7-C7)</f>
        <v/>
      </c>
      <c r="F7" s="40">
        <f>IF(A7="","",IFERROR(D7/C7,0))</f>
        <v/>
      </c>
      <c r="G7" s="19">
        <f>IF(A7="","",IF(AND(C7=0,D7=0),"Sem valores",IF(D7&gt;=C7,"No previsto ou acima","Abaixo do previsto")))</f>
        <v/>
      </c>
    </row>
    <row r="8">
      <c r="A8" s="8">
        <f>'Previsto'!A10</f>
        <v/>
      </c>
      <c r="B8" s="19">
        <f>IF(A8="","","Entrada")</f>
        <v/>
      </c>
      <c r="C8" s="20">
        <f>IF(A8="","",N('Previsto'!N10))</f>
        <v/>
      </c>
      <c r="D8" s="20">
        <f>IF(A8="","",N('Fluxo Realizado'!N10))</f>
        <v/>
      </c>
      <c r="E8" s="20">
        <f>IF(A8="","",D8-C8)</f>
        <v/>
      </c>
      <c r="F8" s="40">
        <f>IF(A8="","",IFERROR(D8/C8,0))</f>
        <v/>
      </c>
      <c r="G8" s="19">
        <f>IF(A8="","",IF(AND(C8=0,D8=0),"Sem valores",IF(D8&gt;=C8,"No previsto ou acima","Abaixo do previsto")))</f>
        <v/>
      </c>
    </row>
    <row r="9">
      <c r="A9" s="8">
        <f>'Previsto'!A11</f>
        <v/>
      </c>
      <c r="B9" s="19">
        <f>IF(A9="","","Entrada")</f>
        <v/>
      </c>
      <c r="C9" s="20">
        <f>IF(A9="","",N('Previsto'!N11))</f>
        <v/>
      </c>
      <c r="D9" s="20">
        <f>IF(A9="","",N('Fluxo Realizado'!N11))</f>
        <v/>
      </c>
      <c r="E9" s="20">
        <f>IF(A9="","",D9-C9)</f>
        <v/>
      </c>
      <c r="F9" s="40">
        <f>IF(A9="","",IFERROR(D9/C9,0))</f>
        <v/>
      </c>
      <c r="G9" s="19">
        <f>IF(A9="","",IF(AND(C9=0,D9=0),"Sem valores",IF(D9&gt;=C9,"No previsto ou acima","Abaixo do previsto")))</f>
        <v/>
      </c>
    </row>
    <row r="10">
      <c r="A10" s="8">
        <f>'Previsto'!A12</f>
        <v/>
      </c>
      <c r="B10" s="19">
        <f>IF(A10="","","Entrada")</f>
        <v/>
      </c>
      <c r="C10" s="20">
        <f>IF(A10="","",N('Previsto'!N12))</f>
        <v/>
      </c>
      <c r="D10" s="20">
        <f>IF(A10="","",N('Fluxo Realizado'!N12))</f>
        <v/>
      </c>
      <c r="E10" s="20">
        <f>IF(A10="","",D10-C10)</f>
        <v/>
      </c>
      <c r="F10" s="40">
        <f>IF(A10="","",IFERROR(D10/C10,0))</f>
        <v/>
      </c>
      <c r="G10" s="19">
        <f>IF(A10="","",IF(AND(C10=0,D10=0),"Sem valores",IF(D10&gt;=C10,"No previsto ou acima","Abaixo do previsto")))</f>
        <v/>
      </c>
    </row>
    <row r="11">
      <c r="A11" s="8">
        <f>'Previsto'!A13</f>
        <v/>
      </c>
      <c r="B11" s="19">
        <f>IF(A11="","","Entrada")</f>
        <v/>
      </c>
      <c r="C11" s="20">
        <f>IF(A11="","",N('Previsto'!N13))</f>
        <v/>
      </c>
      <c r="D11" s="20">
        <f>IF(A11="","",N('Fluxo Realizado'!N13))</f>
        <v/>
      </c>
      <c r="E11" s="20">
        <f>IF(A11="","",D11-C11)</f>
        <v/>
      </c>
      <c r="F11" s="40">
        <f>IF(A11="","",IFERROR(D11/C11,0))</f>
        <v/>
      </c>
      <c r="G11" s="19">
        <f>IF(A11="","",IF(AND(C11=0,D11=0),"Sem valores",IF(D11&gt;=C11,"No previsto ou acima","Abaixo do previsto")))</f>
        <v/>
      </c>
    </row>
    <row r="12">
      <c r="A12" s="8">
        <f>'Previsto'!A14</f>
        <v/>
      </c>
      <c r="B12" s="19">
        <f>IF(A12="","","Entrada")</f>
        <v/>
      </c>
      <c r="C12" s="20">
        <f>IF(A12="","",N('Previsto'!N14))</f>
        <v/>
      </c>
      <c r="D12" s="20">
        <f>IF(A12="","",N('Fluxo Realizado'!N14))</f>
        <v/>
      </c>
      <c r="E12" s="20">
        <f>IF(A12="","",D12-C12)</f>
        <v/>
      </c>
      <c r="F12" s="40">
        <f>IF(A12="","",IFERROR(D12/C12,0))</f>
        <v/>
      </c>
      <c r="G12" s="19">
        <f>IF(A12="","",IF(AND(C12=0,D12=0),"Sem valores",IF(D12&gt;=C12,"No previsto ou acima","Abaixo do previsto")))</f>
        <v/>
      </c>
    </row>
    <row r="13">
      <c r="A13" s="8">
        <f>'Previsto'!A15</f>
        <v/>
      </c>
      <c r="B13" s="19">
        <f>IF(A13="","","Entrada")</f>
        <v/>
      </c>
      <c r="C13" s="20">
        <f>IF(A13="","",N('Previsto'!N15))</f>
        <v/>
      </c>
      <c r="D13" s="20">
        <f>IF(A13="","",N('Fluxo Realizado'!N15))</f>
        <v/>
      </c>
      <c r="E13" s="20">
        <f>IF(A13="","",D13-C13)</f>
        <v/>
      </c>
      <c r="F13" s="40">
        <f>IF(A13="","",IFERROR(D13/C13,0))</f>
        <v/>
      </c>
      <c r="G13" s="19">
        <f>IF(A13="","",IF(AND(C13=0,D13=0),"Sem valores",IF(D13&gt;=C13,"No previsto ou acima","Abaixo do previsto")))</f>
        <v/>
      </c>
    </row>
    <row r="14">
      <c r="A14" s="8">
        <f>'Previsto'!A16</f>
        <v/>
      </c>
      <c r="B14" s="19">
        <f>IF(A14="","","Entrada")</f>
        <v/>
      </c>
      <c r="C14" s="20">
        <f>IF(A14="","",N('Previsto'!N16))</f>
        <v/>
      </c>
      <c r="D14" s="20">
        <f>IF(A14="","",N('Fluxo Realizado'!N16))</f>
        <v/>
      </c>
      <c r="E14" s="20">
        <f>IF(A14="","",D14-C14)</f>
        <v/>
      </c>
      <c r="F14" s="40">
        <f>IF(A14="","",IFERROR(D14/C14,0))</f>
        <v/>
      </c>
      <c r="G14" s="19">
        <f>IF(A14="","",IF(AND(C14=0,D14=0),"Sem valores",IF(D14&gt;=C14,"No previsto ou acima","Abaixo do previsto")))</f>
        <v/>
      </c>
    </row>
    <row r="15">
      <c r="A15" s="8">
        <f>'Previsto'!A17</f>
        <v/>
      </c>
      <c r="B15" s="19">
        <f>IF(A15="","","Entrada")</f>
        <v/>
      </c>
      <c r="C15" s="20">
        <f>IF(A15="","",N('Previsto'!N17))</f>
        <v/>
      </c>
      <c r="D15" s="20">
        <f>IF(A15="","",N('Fluxo Realizado'!N17))</f>
        <v/>
      </c>
      <c r="E15" s="20">
        <f>IF(A15="","",D15-C15)</f>
        <v/>
      </c>
      <c r="F15" s="40">
        <f>IF(A15="","",IFERROR(D15/C15,0))</f>
        <v/>
      </c>
      <c r="G15" s="19">
        <f>IF(A15="","",IF(AND(C15=0,D15=0),"Sem valores",IF(D15&gt;=C15,"No previsto ou acima","Abaixo do previsto")))</f>
        <v/>
      </c>
    </row>
    <row r="16">
      <c r="A16" s="25" t="inlineStr">
        <is>
          <t>TOTAL ENTRADAS</t>
        </is>
      </c>
      <c r="B16" s="25" t="n"/>
      <c r="C16" s="26">
        <f>SUM(C6:C15)</f>
        <v/>
      </c>
      <c r="D16" s="26">
        <f>SUM(D6:D15)</f>
        <v/>
      </c>
      <c r="E16" s="26">
        <f>SUM(E6:E15)</f>
        <v/>
      </c>
      <c r="F16" s="41">
        <f>IFERROR(D16/C16,0)</f>
        <v/>
      </c>
      <c r="G16" s="25" t="n"/>
    </row>
    <row r="18">
      <c r="A18" s="8">
        <f>'Previsto'!A21</f>
        <v/>
      </c>
      <c r="B18" s="19">
        <f>IF(A18="","","Saída")</f>
        <v/>
      </c>
      <c r="C18" s="20">
        <f>IF(A18="","",N('Previsto'!N21))</f>
        <v/>
      </c>
      <c r="D18" s="20">
        <f>IF(A18="","",N('Fluxo Realizado'!N21))</f>
        <v/>
      </c>
      <c r="E18" s="20">
        <f>IF(A18="","",D18-C18)</f>
        <v/>
      </c>
      <c r="F18" s="40">
        <f>IF(A18="","",IFERROR(D18/C18,0))</f>
        <v/>
      </c>
      <c r="G18" s="19">
        <f>IF(A18="","",IF(AND(C18=0,D18=0),"Sem valores",IF(D18&lt;=C18,"Dentro do previsto","Acima do previsto")))</f>
        <v/>
      </c>
    </row>
    <row r="19">
      <c r="A19" s="8">
        <f>'Previsto'!A22</f>
        <v/>
      </c>
      <c r="B19" s="19">
        <f>IF(A19="","","Saída")</f>
        <v/>
      </c>
      <c r="C19" s="20">
        <f>IF(A19="","",N('Previsto'!N22))</f>
        <v/>
      </c>
      <c r="D19" s="20">
        <f>IF(A19="","",N('Fluxo Realizado'!N22))</f>
        <v/>
      </c>
      <c r="E19" s="20">
        <f>IF(A19="","",D19-C19)</f>
        <v/>
      </c>
      <c r="F19" s="40">
        <f>IF(A19="","",IFERROR(D19/C19,0))</f>
        <v/>
      </c>
      <c r="G19" s="19">
        <f>IF(A19="","",IF(AND(C19=0,D19=0),"Sem valores",IF(D19&lt;=C19,"Dentro do previsto","Acima do previsto")))</f>
        <v/>
      </c>
    </row>
    <row r="20">
      <c r="A20" s="8">
        <f>'Previsto'!A23</f>
        <v/>
      </c>
      <c r="B20" s="19">
        <f>IF(A20="","","Saída")</f>
        <v/>
      </c>
      <c r="C20" s="20">
        <f>IF(A20="","",N('Previsto'!N23))</f>
        <v/>
      </c>
      <c r="D20" s="20">
        <f>IF(A20="","",N('Fluxo Realizado'!N23))</f>
        <v/>
      </c>
      <c r="E20" s="20">
        <f>IF(A20="","",D20-C20)</f>
        <v/>
      </c>
      <c r="F20" s="40">
        <f>IF(A20="","",IFERROR(D20/C20,0))</f>
        <v/>
      </c>
      <c r="G20" s="19">
        <f>IF(A20="","",IF(AND(C20=0,D20=0),"Sem valores",IF(D20&lt;=C20,"Dentro do previsto","Acima do previsto")))</f>
        <v/>
      </c>
    </row>
    <row r="21">
      <c r="A21" s="8">
        <f>'Previsto'!A24</f>
        <v/>
      </c>
      <c r="B21" s="19">
        <f>IF(A21="","","Saída")</f>
        <v/>
      </c>
      <c r="C21" s="20">
        <f>IF(A21="","",N('Previsto'!N24))</f>
        <v/>
      </c>
      <c r="D21" s="20">
        <f>IF(A21="","",N('Fluxo Realizado'!N24))</f>
        <v/>
      </c>
      <c r="E21" s="20">
        <f>IF(A21="","",D21-C21)</f>
        <v/>
      </c>
      <c r="F21" s="40">
        <f>IF(A21="","",IFERROR(D21/C21,0))</f>
        <v/>
      </c>
      <c r="G21" s="19">
        <f>IF(A21="","",IF(AND(C21=0,D21=0),"Sem valores",IF(D21&lt;=C21,"Dentro do previsto","Acima do previsto")))</f>
        <v/>
      </c>
    </row>
    <row r="22">
      <c r="A22" s="8">
        <f>'Previsto'!A25</f>
        <v/>
      </c>
      <c r="B22" s="19">
        <f>IF(A22="","","Saída")</f>
        <v/>
      </c>
      <c r="C22" s="20">
        <f>IF(A22="","",N('Previsto'!N25))</f>
        <v/>
      </c>
      <c r="D22" s="20">
        <f>IF(A22="","",N('Fluxo Realizado'!N25))</f>
        <v/>
      </c>
      <c r="E22" s="20">
        <f>IF(A22="","",D22-C22)</f>
        <v/>
      </c>
      <c r="F22" s="40">
        <f>IF(A22="","",IFERROR(D22/C22,0))</f>
        <v/>
      </c>
      <c r="G22" s="19">
        <f>IF(A22="","",IF(AND(C22=0,D22=0),"Sem valores",IF(D22&lt;=C22,"Dentro do previsto","Acima do previsto")))</f>
        <v/>
      </c>
    </row>
    <row r="23">
      <c r="A23" s="8">
        <f>'Previsto'!A26</f>
        <v/>
      </c>
      <c r="B23" s="19">
        <f>IF(A23="","","Saída")</f>
        <v/>
      </c>
      <c r="C23" s="20">
        <f>IF(A23="","",N('Previsto'!N26))</f>
        <v/>
      </c>
      <c r="D23" s="20">
        <f>IF(A23="","",N('Fluxo Realizado'!N26))</f>
        <v/>
      </c>
      <c r="E23" s="20">
        <f>IF(A23="","",D23-C23)</f>
        <v/>
      </c>
      <c r="F23" s="40">
        <f>IF(A23="","",IFERROR(D23/C23,0))</f>
        <v/>
      </c>
      <c r="G23" s="19">
        <f>IF(A23="","",IF(AND(C23=0,D23=0),"Sem valores",IF(D23&lt;=C23,"Dentro do previsto","Acima do previsto")))</f>
        <v/>
      </c>
    </row>
    <row r="24">
      <c r="A24" s="8">
        <f>'Previsto'!A27</f>
        <v/>
      </c>
      <c r="B24" s="19">
        <f>IF(A24="","","Saída")</f>
        <v/>
      </c>
      <c r="C24" s="20">
        <f>IF(A24="","",N('Previsto'!N27))</f>
        <v/>
      </c>
      <c r="D24" s="20">
        <f>IF(A24="","",N('Fluxo Realizado'!N27))</f>
        <v/>
      </c>
      <c r="E24" s="20">
        <f>IF(A24="","",D24-C24)</f>
        <v/>
      </c>
      <c r="F24" s="40">
        <f>IF(A24="","",IFERROR(D24/C24,0))</f>
        <v/>
      </c>
      <c r="G24" s="19">
        <f>IF(A24="","",IF(AND(C24=0,D24=0),"Sem valores",IF(D24&lt;=C24,"Dentro do previsto","Acima do previsto")))</f>
        <v/>
      </c>
    </row>
    <row r="25">
      <c r="A25" s="8">
        <f>'Previsto'!A28</f>
        <v/>
      </c>
      <c r="B25" s="19">
        <f>IF(A25="","","Saída")</f>
        <v/>
      </c>
      <c r="C25" s="20">
        <f>IF(A25="","",N('Previsto'!N28))</f>
        <v/>
      </c>
      <c r="D25" s="20">
        <f>IF(A25="","",N('Fluxo Realizado'!N28))</f>
        <v/>
      </c>
      <c r="E25" s="20">
        <f>IF(A25="","",D25-C25)</f>
        <v/>
      </c>
      <c r="F25" s="40">
        <f>IF(A25="","",IFERROR(D25/C25,0))</f>
        <v/>
      </c>
      <c r="G25" s="19">
        <f>IF(A25="","",IF(AND(C25=0,D25=0),"Sem valores",IF(D25&lt;=C25,"Dentro do previsto","Acima do previsto")))</f>
        <v/>
      </c>
    </row>
    <row r="26">
      <c r="A26" s="8">
        <f>'Previsto'!A29</f>
        <v/>
      </c>
      <c r="B26" s="19">
        <f>IF(A26="","","Saída")</f>
        <v/>
      </c>
      <c r="C26" s="20">
        <f>IF(A26="","",N('Previsto'!N29))</f>
        <v/>
      </c>
      <c r="D26" s="20">
        <f>IF(A26="","",N('Fluxo Realizado'!N29))</f>
        <v/>
      </c>
      <c r="E26" s="20">
        <f>IF(A26="","",D26-C26)</f>
        <v/>
      </c>
      <c r="F26" s="40">
        <f>IF(A26="","",IFERROR(D26/C26,0))</f>
        <v/>
      </c>
      <c r="G26" s="19">
        <f>IF(A26="","",IF(AND(C26=0,D26=0),"Sem valores",IF(D26&lt;=C26,"Dentro do previsto","Acima do previsto")))</f>
        <v/>
      </c>
    </row>
    <row r="27">
      <c r="A27" s="8">
        <f>'Previsto'!A30</f>
        <v/>
      </c>
      <c r="B27" s="19">
        <f>IF(A27="","","Saída")</f>
        <v/>
      </c>
      <c r="C27" s="20">
        <f>IF(A27="","",N('Previsto'!N30))</f>
        <v/>
      </c>
      <c r="D27" s="20">
        <f>IF(A27="","",N('Fluxo Realizado'!N30))</f>
        <v/>
      </c>
      <c r="E27" s="20">
        <f>IF(A27="","",D27-C27)</f>
        <v/>
      </c>
      <c r="F27" s="40">
        <f>IF(A27="","",IFERROR(D27/C27,0))</f>
        <v/>
      </c>
      <c r="G27" s="19">
        <f>IF(A27="","",IF(AND(C27=0,D27=0),"Sem valores",IF(D27&lt;=C27,"Dentro do previsto","Acima do previsto")))</f>
        <v/>
      </c>
    </row>
    <row r="28">
      <c r="A28" s="8">
        <f>'Previsto'!A31</f>
        <v/>
      </c>
      <c r="B28" s="19">
        <f>IF(A28="","","Saída")</f>
        <v/>
      </c>
      <c r="C28" s="20">
        <f>IF(A28="","",N('Previsto'!N31))</f>
        <v/>
      </c>
      <c r="D28" s="20">
        <f>IF(A28="","",N('Fluxo Realizado'!N31))</f>
        <v/>
      </c>
      <c r="E28" s="20">
        <f>IF(A28="","",D28-C28)</f>
        <v/>
      </c>
      <c r="F28" s="40">
        <f>IF(A28="","",IFERROR(D28/C28,0))</f>
        <v/>
      </c>
      <c r="G28" s="19">
        <f>IF(A28="","",IF(AND(C28=0,D28=0),"Sem valores",IF(D28&lt;=C28,"Dentro do previsto","Acima do previsto")))</f>
        <v/>
      </c>
    </row>
    <row r="29">
      <c r="A29" s="8">
        <f>'Previsto'!A32</f>
        <v/>
      </c>
      <c r="B29" s="19">
        <f>IF(A29="","","Saída")</f>
        <v/>
      </c>
      <c r="C29" s="20">
        <f>IF(A29="","",N('Previsto'!N32))</f>
        <v/>
      </c>
      <c r="D29" s="20">
        <f>IF(A29="","",N('Fluxo Realizado'!N32))</f>
        <v/>
      </c>
      <c r="E29" s="20">
        <f>IF(A29="","",D29-C29)</f>
        <v/>
      </c>
      <c r="F29" s="40">
        <f>IF(A29="","",IFERROR(D29/C29,0))</f>
        <v/>
      </c>
      <c r="G29" s="19">
        <f>IF(A29="","",IF(AND(C29=0,D29=0),"Sem valores",IF(D29&lt;=C29,"Dentro do previsto","Acima do previsto")))</f>
        <v/>
      </c>
    </row>
    <row r="30">
      <c r="A30" s="8">
        <f>'Previsto'!A33</f>
        <v/>
      </c>
      <c r="B30" s="19">
        <f>IF(A30="","","Saída")</f>
        <v/>
      </c>
      <c r="C30" s="20">
        <f>IF(A30="","",N('Previsto'!N33))</f>
        <v/>
      </c>
      <c r="D30" s="20">
        <f>IF(A30="","",N('Fluxo Realizado'!N33))</f>
        <v/>
      </c>
      <c r="E30" s="20">
        <f>IF(A30="","",D30-C30)</f>
        <v/>
      </c>
      <c r="F30" s="40">
        <f>IF(A30="","",IFERROR(D30/C30,0))</f>
        <v/>
      </c>
      <c r="G30" s="19">
        <f>IF(A30="","",IF(AND(C30=0,D30=0),"Sem valores",IF(D30&lt;=C30,"Dentro do previsto","Acima do previsto")))</f>
        <v/>
      </c>
    </row>
    <row r="31">
      <c r="A31" s="8">
        <f>'Previsto'!A34</f>
        <v/>
      </c>
      <c r="B31" s="19">
        <f>IF(A31="","","Saída")</f>
        <v/>
      </c>
      <c r="C31" s="20">
        <f>IF(A31="","",N('Previsto'!N34))</f>
        <v/>
      </c>
      <c r="D31" s="20">
        <f>IF(A31="","",N('Fluxo Realizado'!N34))</f>
        <v/>
      </c>
      <c r="E31" s="20">
        <f>IF(A31="","",D31-C31)</f>
        <v/>
      </c>
      <c r="F31" s="40">
        <f>IF(A31="","",IFERROR(D31/C31,0))</f>
        <v/>
      </c>
      <c r="G31" s="19">
        <f>IF(A31="","",IF(AND(C31=0,D31=0),"Sem valores",IF(D31&lt;=C31,"Dentro do previsto","Acima do previsto")))</f>
        <v/>
      </c>
    </row>
    <row r="32">
      <c r="A32" s="8">
        <f>'Previsto'!A35</f>
        <v/>
      </c>
      <c r="B32" s="19">
        <f>IF(A32="","","Saída")</f>
        <v/>
      </c>
      <c r="C32" s="20">
        <f>IF(A32="","",N('Previsto'!N35))</f>
        <v/>
      </c>
      <c r="D32" s="20">
        <f>IF(A32="","",N('Fluxo Realizado'!N35))</f>
        <v/>
      </c>
      <c r="E32" s="20">
        <f>IF(A32="","",D32-C32)</f>
        <v/>
      </c>
      <c r="F32" s="40">
        <f>IF(A32="","",IFERROR(D32/C32,0))</f>
        <v/>
      </c>
      <c r="G32" s="19">
        <f>IF(A32="","",IF(AND(C32=0,D32=0),"Sem valores",IF(D32&lt;=C32,"Dentro do previsto","Acima do previsto")))</f>
        <v/>
      </c>
    </row>
    <row r="33">
      <c r="A33" s="8">
        <f>'Previsto'!A36</f>
        <v/>
      </c>
      <c r="B33" s="19">
        <f>IF(A33="","","Saída")</f>
        <v/>
      </c>
      <c r="C33" s="20">
        <f>IF(A33="","",N('Previsto'!N36))</f>
        <v/>
      </c>
      <c r="D33" s="20">
        <f>IF(A33="","",N('Fluxo Realizado'!N36))</f>
        <v/>
      </c>
      <c r="E33" s="20">
        <f>IF(A33="","",D33-C33)</f>
        <v/>
      </c>
      <c r="F33" s="40">
        <f>IF(A33="","",IFERROR(D33/C33,0))</f>
        <v/>
      </c>
      <c r="G33" s="19">
        <f>IF(A33="","",IF(AND(C33=0,D33=0),"Sem valores",IF(D33&lt;=C33,"Dentro do previsto","Acima do previsto")))</f>
        <v/>
      </c>
    </row>
    <row r="34">
      <c r="A34" s="8">
        <f>'Previsto'!A37</f>
        <v/>
      </c>
      <c r="B34" s="19">
        <f>IF(A34="","","Saída")</f>
        <v/>
      </c>
      <c r="C34" s="20">
        <f>IF(A34="","",N('Previsto'!N37))</f>
        <v/>
      </c>
      <c r="D34" s="20">
        <f>IF(A34="","",N('Fluxo Realizado'!N37))</f>
        <v/>
      </c>
      <c r="E34" s="20">
        <f>IF(A34="","",D34-C34)</f>
        <v/>
      </c>
      <c r="F34" s="40">
        <f>IF(A34="","",IFERROR(D34/C34,0))</f>
        <v/>
      </c>
      <c r="G34" s="19">
        <f>IF(A34="","",IF(AND(C34=0,D34=0),"Sem valores",IF(D34&lt;=C34,"Dentro do previsto","Acima do previsto")))</f>
        <v/>
      </c>
    </row>
    <row r="35">
      <c r="A35" s="8">
        <f>'Previsto'!A38</f>
        <v/>
      </c>
      <c r="B35" s="19">
        <f>IF(A35="","","Saída")</f>
        <v/>
      </c>
      <c r="C35" s="20">
        <f>IF(A35="","",N('Previsto'!N38))</f>
        <v/>
      </c>
      <c r="D35" s="20">
        <f>IF(A35="","",N('Fluxo Realizado'!N38))</f>
        <v/>
      </c>
      <c r="E35" s="20">
        <f>IF(A35="","",D35-C35)</f>
        <v/>
      </c>
      <c r="F35" s="40">
        <f>IF(A35="","",IFERROR(D35/C35,0))</f>
        <v/>
      </c>
      <c r="G35" s="19">
        <f>IF(A35="","",IF(AND(C35=0,D35=0),"Sem valores",IF(D35&lt;=C35,"Dentro do previsto","Acima do previsto")))</f>
        <v/>
      </c>
    </row>
    <row r="36">
      <c r="A36" s="8">
        <f>'Previsto'!A39</f>
        <v/>
      </c>
      <c r="B36" s="19">
        <f>IF(A36="","","Saída")</f>
        <v/>
      </c>
      <c r="C36" s="20">
        <f>IF(A36="","",N('Previsto'!N39))</f>
        <v/>
      </c>
      <c r="D36" s="20">
        <f>IF(A36="","",N('Fluxo Realizado'!N39))</f>
        <v/>
      </c>
      <c r="E36" s="20">
        <f>IF(A36="","",D36-C36)</f>
        <v/>
      </c>
      <c r="F36" s="40">
        <f>IF(A36="","",IFERROR(D36/C36,0))</f>
        <v/>
      </c>
      <c r="G36" s="19">
        <f>IF(A36="","",IF(AND(C36=0,D36=0),"Sem valores",IF(D36&lt;=C36,"Dentro do previsto","Acima do previsto")))</f>
        <v/>
      </c>
    </row>
    <row r="37">
      <c r="A37" s="8">
        <f>'Previsto'!A40</f>
        <v/>
      </c>
      <c r="B37" s="19">
        <f>IF(A37="","","Saída")</f>
        <v/>
      </c>
      <c r="C37" s="20">
        <f>IF(A37="","",N('Previsto'!N40))</f>
        <v/>
      </c>
      <c r="D37" s="20">
        <f>IF(A37="","",N('Fluxo Realizado'!N40))</f>
        <v/>
      </c>
      <c r="E37" s="20">
        <f>IF(A37="","",D37-C37)</f>
        <v/>
      </c>
      <c r="F37" s="40">
        <f>IF(A37="","",IFERROR(D37/C37,0))</f>
        <v/>
      </c>
      <c r="G37" s="19">
        <f>IF(A37="","",IF(AND(C37=0,D37=0),"Sem valores",IF(D37&lt;=C37,"Dentro do previsto","Acima do previsto")))</f>
        <v/>
      </c>
    </row>
    <row r="38">
      <c r="A38" s="25" t="inlineStr">
        <is>
          <t>TOTAL SAÍDAS</t>
        </is>
      </c>
      <c r="B38" s="25" t="n"/>
      <c r="C38" s="26">
        <f>SUM(C18:C37)</f>
        <v/>
      </c>
      <c r="D38" s="26">
        <f>SUM(D18:D37)</f>
        <v/>
      </c>
      <c r="E38" s="26">
        <f>SUM(E18:E37)</f>
        <v/>
      </c>
      <c r="F38" s="41">
        <f>IFERROR(D38/C38,0)</f>
        <v/>
      </c>
      <c r="G38" s="2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conditionalFormatting sqref="G6:G40">
    <cfRule type="cellIs" priority="1" operator="equal" dxfId="1">
      <formula>"Acima do previsto"</formula>
    </cfRule>
    <cfRule type="cellIs" priority="2" operator="equal" dxfId="5">
      <formula>"Abaixo do previsto"</formula>
    </cfRule>
  </conditionalFormatting>
  <printOptions horizontalCentered="1"/>
  <pageMargins left="0.4" right="0.4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Categorias</t>
        </is>
      </c>
      <c r="B1" t="inlineStr">
        <is>
          <t>Formas</t>
        </is>
      </c>
    </row>
    <row r="2">
      <c r="A2">
        <f>IF(Config!D6="","",Config!D6)</f>
        <v/>
      </c>
      <c r="B2" t="inlineStr">
        <is>
          <t>PIX</t>
        </is>
      </c>
    </row>
    <row r="3">
      <c r="A3">
        <f>IF(Config!D7="","",Config!D7)</f>
        <v/>
      </c>
      <c r="B3" t="inlineStr">
        <is>
          <t>Dinheiro</t>
        </is>
      </c>
    </row>
    <row r="4">
      <c r="A4">
        <f>IF(Config!D8="","",Config!D8)</f>
        <v/>
      </c>
      <c r="B4" t="inlineStr">
        <is>
          <t>Boleto</t>
        </is>
      </c>
    </row>
    <row r="5">
      <c r="A5">
        <f>IF(Config!D9="","",Config!D9)</f>
        <v/>
      </c>
      <c r="B5" t="inlineStr">
        <is>
          <t>Transferência</t>
        </is>
      </c>
    </row>
    <row r="6">
      <c r="A6">
        <f>IF(Config!D10="","",Config!D10)</f>
        <v/>
      </c>
      <c r="B6" t="inlineStr">
        <is>
          <t>Cartão</t>
        </is>
      </c>
    </row>
    <row r="7">
      <c r="A7">
        <f>IF(Config!D11="","",Config!D11)</f>
        <v/>
      </c>
      <c r="B7" t="inlineStr">
        <is>
          <t>Cheque</t>
        </is>
      </c>
    </row>
    <row r="8">
      <c r="A8">
        <f>IF(Config!D12="","",Config!D12)</f>
        <v/>
      </c>
      <c r="B8" t="inlineStr">
        <is>
          <t>Financiamento</t>
        </is>
      </c>
    </row>
    <row r="9">
      <c r="A9">
        <f>IF(Config!D13="","",Config!D13)</f>
        <v/>
      </c>
      <c r="B9" t="inlineStr">
        <is>
          <t>Outro</t>
        </is>
      </c>
    </row>
    <row r="10">
      <c r="A10">
        <f>IF(Config!D14="","",Config!D14)</f>
        <v/>
      </c>
    </row>
    <row r="11">
      <c r="A11">
        <f>IF(Config!D15="","",Config!D15)</f>
        <v/>
      </c>
    </row>
    <row r="12">
      <c r="A12">
        <f>IF(Config!F6="","",Config!F6)</f>
        <v/>
      </c>
    </row>
    <row r="13">
      <c r="A13">
        <f>IF(Config!F7="","",Config!F7)</f>
        <v/>
      </c>
    </row>
    <row r="14">
      <c r="A14">
        <f>IF(Config!F8="","",Config!F8)</f>
        <v/>
      </c>
    </row>
    <row r="15">
      <c r="A15">
        <f>IF(Config!F9="","",Config!F9)</f>
        <v/>
      </c>
    </row>
    <row r="16">
      <c r="A16">
        <f>IF(Config!F10="","",Config!F10)</f>
        <v/>
      </c>
    </row>
    <row r="17">
      <c r="A17">
        <f>IF(Config!F11="","",Config!F11)</f>
        <v/>
      </c>
    </row>
    <row r="18">
      <c r="A18">
        <f>IF(Config!F12="","",Config!F12)</f>
        <v/>
      </c>
    </row>
    <row r="19">
      <c r="A19">
        <f>IF(Config!F13="","",Config!F13)</f>
        <v/>
      </c>
    </row>
    <row r="20">
      <c r="A20">
        <f>IF(Config!F14="","",Config!F14)</f>
        <v/>
      </c>
    </row>
    <row r="21">
      <c r="A21">
        <f>IF(Config!F15="","",Config!F15)</f>
        <v/>
      </c>
    </row>
    <row r="22">
      <c r="A22">
        <f>IF(Config!F16="","",Config!F16)</f>
        <v/>
      </c>
    </row>
    <row r="23">
      <c r="A23">
        <f>IF(Config!F17="","",Config!F17)</f>
        <v/>
      </c>
    </row>
    <row r="24">
      <c r="A24">
        <f>IF(Config!F18="","",Config!F18)</f>
        <v/>
      </c>
    </row>
    <row r="25">
      <c r="A25">
        <f>IF(Config!F19="","",Config!F19)</f>
        <v/>
      </c>
    </row>
    <row r="26">
      <c r="A26">
        <f>IF(Config!F20="","",Config!F20)</f>
        <v/>
      </c>
    </row>
    <row r="27">
      <c r="A27">
        <f>IF(Config!F21="","",Config!F21)</f>
        <v/>
      </c>
    </row>
    <row r="28">
      <c r="A28">
        <f>IF(Config!F22="","",Config!F22)</f>
        <v/>
      </c>
    </row>
    <row r="29">
      <c r="A29">
        <f>IF(Config!F23="","",Config!F23)</f>
        <v/>
      </c>
    </row>
    <row r="30">
      <c r="A30">
        <f>IF(Config!F24="","",Config!F24)</f>
        <v/>
      </c>
    </row>
    <row r="31">
      <c r="A31">
        <f>IF(Config!F25="","",Config!F25)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rintOptions horizontalCentered="1"/>
  <pageMargins left="0.4" right="0.4" top="0.5" bottom="0.5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95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30" customWidth="1" min="4" max="4"/>
    <col width="14" customWidth="1" min="5" max="5"/>
    <col width="8" customWidth="1" min="6" max="6"/>
    <col width="3" customWidth="1" min="7" max="7"/>
    <col width="10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6" customHeight="1">
      <c r="A1" s="1" t="inlineStr">
        <is>
          <t>Exemplo preenchido (dados fictícios)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Veja como o fluxo de caixa funciona antes de lançar seus dados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32" customHeight="1">
      <c r="A3" s="42" t="inlineStr">
        <is>
          <t>EXEMPLO — TODOS OS DADOS DESTA ABA SÃO FICTÍCIOS, criados apenas para demonstrar o funcionamento. Não use como referência de preços, custos ou produtividade.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</row>
    <row r="5">
      <c r="A5" s="44" t="inlineStr">
        <is>
          <t>Mês inicial:</t>
        </is>
      </c>
      <c r="B5" s="45" t="n">
        <v>46023</v>
      </c>
    </row>
    <row r="6">
      <c r="A6" s="44" t="inlineStr">
        <is>
          <t>Saldo inicial:</t>
        </is>
      </c>
      <c r="B6" s="46" t="n">
        <v>20000</v>
      </c>
    </row>
    <row r="8" ht="20" customHeight="1">
      <c r="A8" s="10" t="inlineStr">
        <is>
          <t>Lançamentos (exemplo)</t>
        </is>
      </c>
      <c r="B8" s="11" t="n"/>
      <c r="C8" s="11" t="n"/>
      <c r="D8" s="11" t="n"/>
      <c r="E8" s="11" t="n"/>
      <c r="F8" s="11" t="n"/>
      <c r="H8" s="10" t="inlineStr">
        <is>
          <t>Resumo mensal (exemplo)</t>
        </is>
      </c>
      <c r="I8" s="11" t="n"/>
      <c r="J8" s="11" t="n"/>
      <c r="K8" s="11" t="n"/>
      <c r="L8" s="11" t="n"/>
    </row>
    <row r="9" ht="30" customHeight="1">
      <c r="A9" s="18" t="inlineStr">
        <is>
          <t>Data</t>
        </is>
      </c>
      <c r="B9" s="18" t="inlineStr">
        <is>
          <t>Categoria</t>
        </is>
      </c>
      <c r="C9" s="18" t="inlineStr">
        <is>
          <t>Tipo</t>
        </is>
      </c>
      <c r="D9" s="18" t="inlineStr">
        <is>
          <t>Descrição</t>
        </is>
      </c>
      <c r="E9" s="18" t="inlineStr">
        <is>
          <t>Valor (R$)</t>
        </is>
      </c>
      <c r="F9" s="18" t="inlineStr">
        <is>
          <t>Mês nº</t>
        </is>
      </c>
      <c r="H9" s="18" t="inlineStr">
        <is>
          <t>Mês</t>
        </is>
      </c>
      <c r="I9" s="18" t="inlineStr">
        <is>
          <t>Entradas realizadas</t>
        </is>
      </c>
      <c r="J9" s="18" t="inlineStr">
        <is>
          <t>Saídas realizadas</t>
        </is>
      </c>
      <c r="K9" s="18" t="inlineStr">
        <is>
          <t>Saldo do mês</t>
        </is>
      </c>
      <c r="L9" s="18" t="inlineStr">
        <is>
          <t>Saldo acumulado</t>
        </is>
      </c>
    </row>
    <row r="10">
      <c r="A10" s="35" t="n">
        <v>46027</v>
      </c>
      <c r="B10" s="31" t="inlineStr">
        <is>
          <t>Mão de obra e encargos</t>
        </is>
      </c>
      <c r="C10" s="36" t="inlineStr">
        <is>
          <t>Saída</t>
        </is>
      </c>
      <c r="D10" s="31" t="inlineStr">
        <is>
          <t>Folha do mês</t>
        </is>
      </c>
      <c r="E10" s="33" t="n">
        <v>4800</v>
      </c>
      <c r="F10" s="37">
        <f>(YEAR(A10)-YEAR($B$5))*12+MONTH(A10)-MONTH($B$5)+1</f>
        <v/>
      </c>
      <c r="H10" s="19">
        <f>CHOOSE(MONTH(EDATE($B$5,0)),"jan","fev","mar","abr","mai","jun","jul","ago","set","out","nov","dez")&amp;"/"&amp;RIGHT(YEAR(EDATE($B$5,0)),2)</f>
        <v/>
      </c>
      <c r="I10" s="20">
        <f>SUMIFS($E$10:$E$93,$C$10:$C$93,"Entrada",$F$10:$F$93,1)</f>
        <v/>
      </c>
      <c r="J10" s="20">
        <f>SUMIFS($E$10:$E$93,$C$10:$C$93,"Saída",$F$10:$F$93,1)</f>
        <v/>
      </c>
      <c r="K10" s="20">
        <f>I10-J10</f>
        <v/>
      </c>
      <c r="L10" s="39">
        <f>$B$6+K10</f>
        <v/>
      </c>
    </row>
    <row r="11">
      <c r="A11" s="35" t="n">
        <v>46030</v>
      </c>
      <c r="B11" s="31" t="inlineStr">
        <is>
          <t>Ração e sal mineral</t>
        </is>
      </c>
      <c r="C11" s="36" t="inlineStr">
        <is>
          <t>Saída</t>
        </is>
      </c>
      <c r="D11" s="31" t="inlineStr">
        <is>
          <t>Ração/sal</t>
        </is>
      </c>
      <c r="E11" s="33" t="n">
        <v>2600</v>
      </c>
      <c r="F11" s="37">
        <f>(YEAR(A11)-YEAR($B$5))*12+MONTH(A11)-MONTH($B$5)+1</f>
        <v/>
      </c>
      <c r="H11" s="19">
        <f>CHOOSE(MONTH(EDATE($B$5,1)),"jan","fev","mar","abr","mai","jun","jul","ago","set","out","nov","dez")&amp;"/"&amp;RIGHT(YEAR(EDATE($B$5,1)),2)</f>
        <v/>
      </c>
      <c r="I11" s="20">
        <f>SUMIFS($E$10:$E$93,$C$10:$C$93,"Entrada",$F$10:$F$93,2)</f>
        <v/>
      </c>
      <c r="J11" s="20">
        <f>SUMIFS($E$10:$E$93,$C$10:$C$93,"Saída",$F$10:$F$93,2)</f>
        <v/>
      </c>
      <c r="K11" s="20">
        <f>I11-J11</f>
        <v/>
      </c>
      <c r="L11" s="39">
        <f>L10+K11</f>
        <v/>
      </c>
    </row>
    <row r="12">
      <c r="A12" s="35" t="n">
        <v>46032</v>
      </c>
      <c r="B12" s="31" t="inlineStr">
        <is>
          <t>Venda de leite</t>
        </is>
      </c>
      <c r="C12" s="36" t="inlineStr">
        <is>
          <t>Entrada</t>
        </is>
      </c>
      <c r="D12" s="31" t="inlineStr">
        <is>
          <t>Leite entregue no mês anterior</t>
        </is>
      </c>
      <c r="E12" s="33" t="n">
        <v>8800</v>
      </c>
      <c r="F12" s="37">
        <f>(YEAR(A12)-YEAR($B$5))*12+MONTH(A12)-MONTH($B$5)+1</f>
        <v/>
      </c>
      <c r="H12" s="19">
        <f>CHOOSE(MONTH(EDATE($B$5,2)),"jan","fev","mar","abr","mai","jun","jul","ago","set","out","nov","dez")&amp;"/"&amp;RIGHT(YEAR(EDATE($B$5,2)),2)</f>
        <v/>
      </c>
      <c r="I12" s="20">
        <f>SUMIFS($E$10:$E$93,$C$10:$C$93,"Entrada",$F$10:$F$93,3)</f>
        <v/>
      </c>
      <c r="J12" s="20">
        <f>SUMIFS($E$10:$E$93,$C$10:$C$93,"Saída",$F$10:$F$93,3)</f>
        <v/>
      </c>
      <c r="K12" s="20">
        <f>I12-J12</f>
        <v/>
      </c>
      <c r="L12" s="39">
        <f>L11+K12</f>
        <v/>
      </c>
    </row>
    <row r="13">
      <c r="A13" s="35" t="n">
        <v>46037</v>
      </c>
      <c r="B13" s="31" t="inlineStr">
        <is>
          <t>Energia elétrica e água</t>
        </is>
      </c>
      <c r="C13" s="36" t="inlineStr">
        <is>
          <t>Saída</t>
        </is>
      </c>
      <c r="D13" s="31" t="inlineStr">
        <is>
          <t>Conta de energia</t>
        </is>
      </c>
      <c r="E13" s="33" t="n">
        <v>700</v>
      </c>
      <c r="F13" s="37">
        <f>(YEAR(A13)-YEAR($B$5))*12+MONTH(A13)-MONTH($B$5)+1</f>
        <v/>
      </c>
      <c r="H13" s="19">
        <f>CHOOSE(MONTH(EDATE($B$5,3)),"jan","fev","mar","abr","mai","jun","jul","ago","set","out","nov","dez")&amp;"/"&amp;RIGHT(YEAR(EDATE($B$5,3)),2)</f>
        <v/>
      </c>
      <c r="I13" s="20">
        <f>SUMIFS($E$10:$E$93,$C$10:$C$93,"Entrada",$F$10:$F$93,4)</f>
        <v/>
      </c>
      <c r="J13" s="20">
        <f>SUMIFS($E$10:$E$93,$C$10:$C$93,"Saída",$F$10:$F$93,4)</f>
        <v/>
      </c>
      <c r="K13" s="20">
        <f>I13-J13</f>
        <v/>
      </c>
      <c r="L13" s="39">
        <f>L12+K13</f>
        <v/>
      </c>
    </row>
    <row r="14">
      <c r="A14" s="35" t="n">
        <v>46047</v>
      </c>
      <c r="B14" s="31" t="inlineStr">
        <is>
          <t>Combustível</t>
        </is>
      </c>
      <c r="C14" s="36" t="inlineStr">
        <is>
          <t>Saída</t>
        </is>
      </c>
      <c r="D14" s="31" t="inlineStr">
        <is>
          <t>Diesel</t>
        </is>
      </c>
      <c r="E14" s="33" t="n">
        <v>1500</v>
      </c>
      <c r="F14" s="37">
        <f>(YEAR(A14)-YEAR($B$5))*12+MONTH(A14)-MONTH($B$5)+1</f>
        <v/>
      </c>
      <c r="H14" s="19">
        <f>CHOOSE(MONTH(EDATE($B$5,4)),"jan","fev","mar","abr","mai","jun","jul","ago","set","out","nov","dez")&amp;"/"&amp;RIGHT(YEAR(EDATE($B$5,4)),2)</f>
        <v/>
      </c>
      <c r="I14" s="20">
        <f>SUMIFS($E$10:$E$93,$C$10:$C$93,"Entrada",$F$10:$F$93,5)</f>
        <v/>
      </c>
      <c r="J14" s="20">
        <f>SUMIFS($E$10:$E$93,$C$10:$C$93,"Saída",$F$10:$F$93,5)</f>
        <v/>
      </c>
      <c r="K14" s="20">
        <f>I14-J14</f>
        <v/>
      </c>
      <c r="L14" s="39">
        <f>L13+K14</f>
        <v/>
      </c>
    </row>
    <row r="15">
      <c r="A15" s="35" t="n">
        <v>46050</v>
      </c>
      <c r="B15" s="31" t="inlineStr">
        <is>
          <t>Retiradas pessoais (pró-labore)</t>
        </is>
      </c>
      <c r="C15" s="36" t="inlineStr">
        <is>
          <t>Saída</t>
        </is>
      </c>
      <c r="D15" s="31" t="inlineStr">
        <is>
          <t>Retirada da família</t>
        </is>
      </c>
      <c r="E15" s="33" t="n">
        <v>3000</v>
      </c>
      <c r="F15" s="37">
        <f>(YEAR(A15)-YEAR($B$5))*12+MONTH(A15)-MONTH($B$5)+1</f>
        <v/>
      </c>
      <c r="H15" s="19">
        <f>CHOOSE(MONTH(EDATE($B$5,5)),"jan","fev","mar","abr","mai","jun","jul","ago","set","out","nov","dez")&amp;"/"&amp;RIGHT(YEAR(EDATE($B$5,5)),2)</f>
        <v/>
      </c>
      <c r="I15" s="20">
        <f>SUMIFS($E$10:$E$93,$C$10:$C$93,"Entrada",$F$10:$F$93,6)</f>
        <v/>
      </c>
      <c r="J15" s="20">
        <f>SUMIFS($E$10:$E$93,$C$10:$C$93,"Saída",$F$10:$F$93,6)</f>
        <v/>
      </c>
      <c r="K15" s="20">
        <f>I15-J15</f>
        <v/>
      </c>
      <c r="L15" s="39">
        <f>L14+K15</f>
        <v/>
      </c>
    </row>
    <row r="16">
      <c r="A16" s="35" t="n">
        <v>46058</v>
      </c>
      <c r="B16" s="31" t="inlineStr">
        <is>
          <t>Mão de obra e encargos</t>
        </is>
      </c>
      <c r="C16" s="36" t="inlineStr">
        <is>
          <t>Saída</t>
        </is>
      </c>
      <c r="D16" s="31" t="inlineStr">
        <is>
          <t>Folha do mês</t>
        </is>
      </c>
      <c r="E16" s="33" t="n">
        <v>4800</v>
      </c>
      <c r="F16" s="37">
        <f>(YEAR(A16)-YEAR($B$5))*12+MONTH(A16)-MONTH($B$5)+1</f>
        <v/>
      </c>
      <c r="H16" s="19">
        <f>CHOOSE(MONTH(EDATE($B$5,6)),"jan","fev","mar","abr","mai","jun","jul","ago","set","out","nov","dez")&amp;"/"&amp;RIGHT(YEAR(EDATE($B$5,6)),2)</f>
        <v/>
      </c>
      <c r="I16" s="20">
        <f>SUMIFS($E$10:$E$93,$C$10:$C$93,"Entrada",$F$10:$F$93,7)</f>
        <v/>
      </c>
      <c r="J16" s="20">
        <f>SUMIFS($E$10:$E$93,$C$10:$C$93,"Saída",$F$10:$F$93,7)</f>
        <v/>
      </c>
      <c r="K16" s="20">
        <f>I16-J16</f>
        <v/>
      </c>
      <c r="L16" s="39">
        <f>L15+K16</f>
        <v/>
      </c>
    </row>
    <row r="17">
      <c r="A17" s="35" t="n">
        <v>46061</v>
      </c>
      <c r="B17" s="31" t="inlineStr">
        <is>
          <t>Ração e sal mineral</t>
        </is>
      </c>
      <c r="C17" s="36" t="inlineStr">
        <is>
          <t>Saída</t>
        </is>
      </c>
      <c r="D17" s="31" t="inlineStr">
        <is>
          <t>Ração/sal</t>
        </is>
      </c>
      <c r="E17" s="33" t="n">
        <v>2600</v>
      </c>
      <c r="F17" s="37">
        <f>(YEAR(A17)-YEAR($B$5))*12+MONTH(A17)-MONTH($B$5)+1</f>
        <v/>
      </c>
      <c r="H17" s="19">
        <f>CHOOSE(MONTH(EDATE($B$5,7)),"jan","fev","mar","abr","mai","jun","jul","ago","set","out","nov","dez")&amp;"/"&amp;RIGHT(YEAR(EDATE($B$5,7)),2)</f>
        <v/>
      </c>
      <c r="I17" s="20">
        <f>SUMIFS($E$10:$E$93,$C$10:$C$93,"Entrada",$F$10:$F$93,8)</f>
        <v/>
      </c>
      <c r="J17" s="20">
        <f>SUMIFS($E$10:$E$93,$C$10:$C$93,"Saída",$F$10:$F$93,8)</f>
        <v/>
      </c>
      <c r="K17" s="20">
        <f>I17-J17</f>
        <v/>
      </c>
      <c r="L17" s="39">
        <f>L16+K17</f>
        <v/>
      </c>
    </row>
    <row r="18">
      <c r="A18" s="35" t="n">
        <v>46063</v>
      </c>
      <c r="B18" s="31" t="inlineStr">
        <is>
          <t>Venda de leite</t>
        </is>
      </c>
      <c r="C18" s="36" t="inlineStr">
        <is>
          <t>Entrada</t>
        </is>
      </c>
      <c r="D18" s="31" t="inlineStr">
        <is>
          <t>Leite entregue no mês anterior</t>
        </is>
      </c>
      <c r="E18" s="33" t="n">
        <v>8500</v>
      </c>
      <c r="F18" s="37">
        <f>(YEAR(A18)-YEAR($B$5))*12+MONTH(A18)-MONTH($B$5)+1</f>
        <v/>
      </c>
      <c r="H18" s="19">
        <f>CHOOSE(MONTH(EDATE($B$5,8)),"jan","fev","mar","abr","mai","jun","jul","ago","set","out","nov","dez")&amp;"/"&amp;RIGHT(YEAR(EDATE($B$5,8)),2)</f>
        <v/>
      </c>
      <c r="I18" s="20">
        <f>SUMIFS($E$10:$E$93,$C$10:$C$93,"Entrada",$F$10:$F$93,9)</f>
        <v/>
      </c>
      <c r="J18" s="20">
        <f>SUMIFS($E$10:$E$93,$C$10:$C$93,"Saída",$F$10:$F$93,9)</f>
        <v/>
      </c>
      <c r="K18" s="20">
        <f>I18-J18</f>
        <v/>
      </c>
      <c r="L18" s="39">
        <f>L17+K18</f>
        <v/>
      </c>
    </row>
    <row r="19">
      <c r="A19" s="35" t="n">
        <v>46068</v>
      </c>
      <c r="B19" s="31" t="inlineStr">
        <is>
          <t>Energia elétrica e água</t>
        </is>
      </c>
      <c r="C19" s="36" t="inlineStr">
        <is>
          <t>Saída</t>
        </is>
      </c>
      <c r="D19" s="31" t="inlineStr">
        <is>
          <t>Conta de energia</t>
        </is>
      </c>
      <c r="E19" s="33" t="n">
        <v>700</v>
      </c>
      <c r="F19" s="37">
        <f>(YEAR(A19)-YEAR($B$5))*12+MONTH(A19)-MONTH($B$5)+1</f>
        <v/>
      </c>
      <c r="H19" s="19">
        <f>CHOOSE(MONTH(EDATE($B$5,9)),"jan","fev","mar","abr","mai","jun","jul","ago","set","out","nov","dez")&amp;"/"&amp;RIGHT(YEAR(EDATE($B$5,9)),2)</f>
        <v/>
      </c>
      <c r="I19" s="20">
        <f>SUMIFS($E$10:$E$93,$C$10:$C$93,"Entrada",$F$10:$F$93,10)</f>
        <v/>
      </c>
      <c r="J19" s="20">
        <f>SUMIFS($E$10:$E$93,$C$10:$C$93,"Saída",$F$10:$F$93,10)</f>
        <v/>
      </c>
      <c r="K19" s="20">
        <f>I19-J19</f>
        <v/>
      </c>
      <c r="L19" s="39">
        <f>L18+K19</f>
        <v/>
      </c>
    </row>
    <row r="20">
      <c r="A20" s="35" t="n">
        <v>46078</v>
      </c>
      <c r="B20" s="31" t="inlineStr">
        <is>
          <t>Combustível</t>
        </is>
      </c>
      <c r="C20" s="36" t="inlineStr">
        <is>
          <t>Saída</t>
        </is>
      </c>
      <c r="D20" s="31" t="inlineStr">
        <is>
          <t>Diesel</t>
        </is>
      </c>
      <c r="E20" s="33" t="n">
        <v>1500</v>
      </c>
      <c r="F20" s="37">
        <f>(YEAR(A20)-YEAR($B$5))*12+MONTH(A20)-MONTH($B$5)+1</f>
        <v/>
      </c>
      <c r="H20" s="19">
        <f>CHOOSE(MONTH(EDATE($B$5,10)),"jan","fev","mar","abr","mai","jun","jul","ago","set","out","nov","dez")&amp;"/"&amp;RIGHT(YEAR(EDATE($B$5,10)),2)</f>
        <v/>
      </c>
      <c r="I20" s="20">
        <f>SUMIFS($E$10:$E$93,$C$10:$C$93,"Entrada",$F$10:$F$93,11)</f>
        <v/>
      </c>
      <c r="J20" s="20">
        <f>SUMIFS($E$10:$E$93,$C$10:$C$93,"Saída",$F$10:$F$93,11)</f>
        <v/>
      </c>
      <c r="K20" s="20">
        <f>I20-J20</f>
        <v/>
      </c>
      <c r="L20" s="39">
        <f>L19+K20</f>
        <v/>
      </c>
    </row>
    <row r="21">
      <c r="A21" s="35" t="n">
        <v>46081</v>
      </c>
      <c r="B21" s="31" t="inlineStr">
        <is>
          <t>Retiradas pessoais (pró-labore)</t>
        </is>
      </c>
      <c r="C21" s="36" t="inlineStr">
        <is>
          <t>Saída</t>
        </is>
      </c>
      <c r="D21" s="31" t="inlineStr">
        <is>
          <t>Retirada da família</t>
        </is>
      </c>
      <c r="E21" s="33" t="n">
        <v>3000</v>
      </c>
      <c r="F21" s="37">
        <f>(YEAR(A21)-YEAR($B$5))*12+MONTH(A21)-MONTH($B$5)+1</f>
        <v/>
      </c>
      <c r="H21" s="19">
        <f>CHOOSE(MONTH(EDATE($B$5,11)),"jan","fev","mar","abr","mai","jun","jul","ago","set","out","nov","dez")&amp;"/"&amp;RIGHT(YEAR(EDATE($B$5,11)),2)</f>
        <v/>
      </c>
      <c r="I21" s="20">
        <f>SUMIFS($E$10:$E$93,$C$10:$C$93,"Entrada",$F$10:$F$93,12)</f>
        <v/>
      </c>
      <c r="J21" s="20">
        <f>SUMIFS($E$10:$E$93,$C$10:$C$93,"Saída",$F$10:$F$93,12)</f>
        <v/>
      </c>
      <c r="K21" s="20">
        <f>I21-J21</f>
        <v/>
      </c>
      <c r="L21" s="39">
        <f>L20+K21</f>
        <v/>
      </c>
    </row>
    <row r="22">
      <c r="A22" s="35" t="n">
        <v>46086</v>
      </c>
      <c r="B22" s="31" t="inlineStr">
        <is>
          <t>Mão de obra e encargos</t>
        </is>
      </c>
      <c r="C22" s="36" t="inlineStr">
        <is>
          <t>Saída</t>
        </is>
      </c>
      <c r="D22" s="31" t="inlineStr">
        <is>
          <t>Folha do mês</t>
        </is>
      </c>
      <c r="E22" s="33" t="n">
        <v>4800</v>
      </c>
      <c r="F22" s="37">
        <f>(YEAR(A22)-YEAR($B$5))*12+MONTH(A22)-MONTH($B$5)+1</f>
        <v/>
      </c>
      <c r="H22" s="25" t="inlineStr">
        <is>
          <t>TOTAL</t>
        </is>
      </c>
      <c r="I22" s="26">
        <f>SUM(I10:I21)</f>
        <v/>
      </c>
      <c r="J22" s="26">
        <f>SUM(J10:J21)</f>
        <v/>
      </c>
      <c r="K22" s="26">
        <f>SUM(K10:K21)</f>
        <v/>
      </c>
      <c r="L22" s="26">
        <f>L21</f>
        <v/>
      </c>
    </row>
    <row r="23">
      <c r="A23" s="35" t="n">
        <v>46089</v>
      </c>
      <c r="B23" s="31" t="inlineStr">
        <is>
          <t>Ração e sal mineral</t>
        </is>
      </c>
      <c r="C23" s="36" t="inlineStr">
        <is>
          <t>Saída</t>
        </is>
      </c>
      <c r="D23" s="31" t="inlineStr">
        <is>
          <t>Ração/sal</t>
        </is>
      </c>
      <c r="E23" s="33" t="n">
        <v>2600</v>
      </c>
      <c r="F23" s="37">
        <f>(YEAR(A23)-YEAR($B$5))*12+MONTH(A23)-MONTH($B$5)+1</f>
        <v/>
      </c>
    </row>
    <row r="24" ht="20" customHeight="1">
      <c r="A24" s="35" t="n">
        <v>46091</v>
      </c>
      <c r="B24" s="31" t="inlineStr">
        <is>
          <t>Venda de leite</t>
        </is>
      </c>
      <c r="C24" s="36" t="inlineStr">
        <is>
          <t>Entrada</t>
        </is>
      </c>
      <c r="D24" s="31" t="inlineStr">
        <is>
          <t>Leite entregue no mês anterior</t>
        </is>
      </c>
      <c r="E24" s="33" t="n">
        <v>9100</v>
      </c>
      <c r="F24" s="37">
        <f>(YEAR(A24)-YEAR($B$5))*12+MONTH(A24)-MONTH($B$5)+1</f>
        <v/>
      </c>
      <c r="H24" s="10" t="inlineStr">
        <is>
          <t>Previsto (exemplo)</t>
        </is>
      </c>
      <c r="I24" s="11" t="n"/>
      <c r="J24" s="11" t="n"/>
      <c r="K24" s="11" t="n"/>
      <c r="L24" s="11" t="n"/>
    </row>
    <row r="25" ht="30" customHeight="1">
      <c r="A25" s="35" t="n">
        <v>46096</v>
      </c>
      <c r="B25" s="31" t="inlineStr">
        <is>
          <t>Energia elétrica e água</t>
        </is>
      </c>
      <c r="C25" s="36" t="inlineStr">
        <is>
          <t>Saída</t>
        </is>
      </c>
      <c r="D25" s="31" t="inlineStr">
        <is>
          <t>Conta de energia</t>
        </is>
      </c>
      <c r="E25" s="33" t="n">
        <v>700</v>
      </c>
      <c r="F25" s="37">
        <f>(YEAR(A25)-YEAR($B$5))*12+MONTH(A25)-MONTH($B$5)+1</f>
        <v/>
      </c>
      <c r="H25" s="18" t="inlineStr">
        <is>
          <t>Mês</t>
        </is>
      </c>
      <c r="I25" s="18" t="inlineStr">
        <is>
          <t>Entradas previstas</t>
        </is>
      </c>
      <c r="J25" s="18" t="inlineStr">
        <is>
          <t>Saídas previstas</t>
        </is>
      </c>
      <c r="K25" s="18" t="inlineStr">
        <is>
          <t>Saldo previsto do mês</t>
        </is>
      </c>
      <c r="L25" s="18" t="inlineStr">
        <is>
          <t>Saldo acum. previsto</t>
        </is>
      </c>
    </row>
    <row r="26">
      <c r="A26" s="35" t="n">
        <v>46101</v>
      </c>
      <c r="B26" s="31" t="inlineStr">
        <is>
          <t>Venda de grãos</t>
        </is>
      </c>
      <c r="C26" s="36" t="inlineStr">
        <is>
          <t>Entrada</t>
        </is>
      </c>
      <c r="D26" s="31" t="inlineStr">
        <is>
          <t>Venda de milho</t>
        </is>
      </c>
      <c r="E26" s="33" t="n">
        <v>85000</v>
      </c>
      <c r="F26" s="37">
        <f>(YEAR(A26)-YEAR($B$5))*12+MONTH(A26)-MONTH($B$5)+1</f>
        <v/>
      </c>
      <c r="H26" s="19">
        <f>H10</f>
        <v/>
      </c>
      <c r="I26" s="33" t="n">
        <v>9000</v>
      </c>
      <c r="J26" s="33" t="n">
        <v>12450</v>
      </c>
      <c r="K26" s="20">
        <f>I26-J26</f>
        <v/>
      </c>
      <c r="L26" s="39">
        <f>$B$6+K26</f>
        <v/>
      </c>
    </row>
    <row r="27">
      <c r="A27" s="35" t="n">
        <v>46106</v>
      </c>
      <c r="B27" s="31" t="inlineStr">
        <is>
          <t>Combustível</t>
        </is>
      </c>
      <c r="C27" s="36" t="inlineStr">
        <is>
          <t>Saída</t>
        </is>
      </c>
      <c r="D27" s="31" t="inlineStr">
        <is>
          <t>Diesel</t>
        </is>
      </c>
      <c r="E27" s="33" t="n">
        <v>1500</v>
      </c>
      <c r="F27" s="37">
        <f>(YEAR(A27)-YEAR($B$5))*12+MONTH(A27)-MONTH($B$5)+1</f>
        <v/>
      </c>
      <c r="H27" s="19">
        <f>H11</f>
        <v/>
      </c>
      <c r="I27" s="33" t="n">
        <v>9000</v>
      </c>
      <c r="J27" s="33" t="n">
        <v>12450</v>
      </c>
      <c r="K27" s="20">
        <f>I27-J27</f>
        <v/>
      </c>
      <c r="L27" s="39">
        <f>L26+K27</f>
        <v/>
      </c>
    </row>
    <row r="28">
      <c r="A28" s="35" t="n">
        <v>46109</v>
      </c>
      <c r="B28" s="31" t="inlineStr">
        <is>
          <t>Retiradas pessoais (pró-labore)</t>
        </is>
      </c>
      <c r="C28" s="36" t="inlineStr">
        <is>
          <t>Saída</t>
        </is>
      </c>
      <c r="D28" s="31" t="inlineStr">
        <is>
          <t>Retirada da família</t>
        </is>
      </c>
      <c r="E28" s="33" t="n">
        <v>3000</v>
      </c>
      <c r="F28" s="37">
        <f>(YEAR(A28)-YEAR($B$5))*12+MONTH(A28)-MONTH($B$5)+1</f>
        <v/>
      </c>
      <c r="H28" s="19">
        <f>H12</f>
        <v/>
      </c>
      <c r="I28" s="33" t="n">
        <v>89000</v>
      </c>
      <c r="J28" s="33" t="n">
        <v>12450</v>
      </c>
      <c r="K28" s="20">
        <f>I28-J28</f>
        <v/>
      </c>
      <c r="L28" s="39">
        <f>L27+K28</f>
        <v/>
      </c>
    </row>
    <row r="29">
      <c r="A29" s="35" t="n">
        <v>46117</v>
      </c>
      <c r="B29" s="31" t="inlineStr">
        <is>
          <t>Mão de obra e encargos</t>
        </is>
      </c>
      <c r="C29" s="36" t="inlineStr">
        <is>
          <t>Saída</t>
        </is>
      </c>
      <c r="D29" s="31" t="inlineStr">
        <is>
          <t>Folha do mês</t>
        </is>
      </c>
      <c r="E29" s="33" t="n">
        <v>4800</v>
      </c>
      <c r="F29" s="37">
        <f>(YEAR(A29)-YEAR($B$5))*12+MONTH(A29)-MONTH($B$5)+1</f>
        <v/>
      </c>
      <c r="H29" s="19">
        <f>H13</f>
        <v/>
      </c>
      <c r="I29" s="33" t="n">
        <v>79000</v>
      </c>
      <c r="J29" s="33" t="n">
        <v>12450</v>
      </c>
      <c r="K29" s="20">
        <f>I29-J29</f>
        <v/>
      </c>
      <c r="L29" s="39">
        <f>L28+K29</f>
        <v/>
      </c>
    </row>
    <row r="30">
      <c r="A30" s="35" t="n">
        <v>46120</v>
      </c>
      <c r="B30" s="31" t="inlineStr">
        <is>
          <t>Ração e sal mineral</t>
        </is>
      </c>
      <c r="C30" s="36" t="inlineStr">
        <is>
          <t>Saída</t>
        </is>
      </c>
      <c r="D30" s="31" t="inlineStr">
        <is>
          <t>Ração/sal</t>
        </is>
      </c>
      <c r="E30" s="33" t="n">
        <v>2600</v>
      </c>
      <c r="F30" s="37">
        <f>(YEAR(A30)-YEAR($B$5))*12+MONTH(A30)-MONTH($B$5)+1</f>
        <v/>
      </c>
      <c r="H30" s="19">
        <f>H14</f>
        <v/>
      </c>
      <c r="I30" s="33" t="n">
        <v>9000</v>
      </c>
      <c r="J30" s="33" t="n">
        <v>12450</v>
      </c>
      <c r="K30" s="20">
        <f>I30-J30</f>
        <v/>
      </c>
      <c r="L30" s="39">
        <f>L29+K30</f>
        <v/>
      </c>
    </row>
    <row r="31">
      <c r="A31" s="35" t="n">
        <v>46122</v>
      </c>
      <c r="B31" s="31" t="inlineStr">
        <is>
          <t>Venda de leite</t>
        </is>
      </c>
      <c r="C31" s="36" t="inlineStr">
        <is>
          <t>Entrada</t>
        </is>
      </c>
      <c r="D31" s="31" t="inlineStr">
        <is>
          <t>Leite entregue no mês anterior</t>
        </is>
      </c>
      <c r="E31" s="33" t="n">
        <v>9300</v>
      </c>
      <c r="F31" s="37">
        <f>(YEAR(A31)-YEAR($B$5))*12+MONTH(A31)-MONTH($B$5)+1</f>
        <v/>
      </c>
      <c r="H31" s="19">
        <f>H15</f>
        <v/>
      </c>
      <c r="I31" s="33" t="n">
        <v>34000</v>
      </c>
      <c r="J31" s="33" t="n">
        <v>34450</v>
      </c>
      <c r="K31" s="20">
        <f>I31-J31</f>
        <v/>
      </c>
      <c r="L31" s="39">
        <f>L30+K31</f>
        <v/>
      </c>
    </row>
    <row r="32">
      <c r="A32" s="35" t="n">
        <v>46127</v>
      </c>
      <c r="B32" s="31" t="inlineStr">
        <is>
          <t>Energia elétrica e água</t>
        </is>
      </c>
      <c r="C32" s="36" t="inlineStr">
        <is>
          <t>Saída</t>
        </is>
      </c>
      <c r="D32" s="31" t="inlineStr">
        <is>
          <t>Conta de energia</t>
        </is>
      </c>
      <c r="E32" s="33" t="n">
        <v>700</v>
      </c>
      <c r="F32" s="37">
        <f>(YEAR(A32)-YEAR($B$5))*12+MONTH(A32)-MONTH($B$5)+1</f>
        <v/>
      </c>
      <c r="H32" s="19">
        <f>H16</f>
        <v/>
      </c>
      <c r="I32" s="33" t="n">
        <v>9000</v>
      </c>
      <c r="J32" s="33" t="n">
        <v>12450</v>
      </c>
      <c r="K32" s="20">
        <f>I32-J32</f>
        <v/>
      </c>
      <c r="L32" s="39">
        <f>L31+K32</f>
        <v/>
      </c>
    </row>
    <row r="33">
      <c r="A33" s="35" t="n">
        <v>46127</v>
      </c>
      <c r="B33" s="31" t="inlineStr">
        <is>
          <t>Venda de grãos</t>
        </is>
      </c>
      <c r="C33" s="36" t="inlineStr">
        <is>
          <t>Entrada</t>
        </is>
      </c>
      <c r="D33" s="31" t="inlineStr">
        <is>
          <t>Venda de soja</t>
        </is>
      </c>
      <c r="E33" s="33" t="n">
        <v>60000</v>
      </c>
      <c r="F33" s="37">
        <f>(YEAR(A33)-YEAR($B$5))*12+MONTH(A33)-MONTH($B$5)+1</f>
        <v/>
      </c>
      <c r="H33" s="19">
        <f>H17</f>
        <v/>
      </c>
      <c r="I33" s="33" t="n">
        <v>79000</v>
      </c>
      <c r="J33" s="33" t="n">
        <v>12450</v>
      </c>
      <c r="K33" s="20">
        <f>I33-J33</f>
        <v/>
      </c>
      <c r="L33" s="39">
        <f>L32+K33</f>
        <v/>
      </c>
    </row>
    <row r="34">
      <c r="A34" s="35" t="n">
        <v>46137</v>
      </c>
      <c r="B34" s="31" t="inlineStr">
        <is>
          <t>Combustível</t>
        </is>
      </c>
      <c r="C34" s="36" t="inlineStr">
        <is>
          <t>Saída</t>
        </is>
      </c>
      <c r="D34" s="31" t="inlineStr">
        <is>
          <t>Diesel</t>
        </is>
      </c>
      <c r="E34" s="33" t="n">
        <v>1500</v>
      </c>
      <c r="F34" s="37">
        <f>(YEAR(A34)-YEAR($B$5))*12+MONTH(A34)-MONTH($B$5)+1</f>
        <v/>
      </c>
      <c r="H34" s="19">
        <f>H18</f>
        <v/>
      </c>
      <c r="I34" s="33" t="n">
        <v>9000</v>
      </c>
      <c r="J34" s="33" t="n">
        <v>85450</v>
      </c>
      <c r="K34" s="20">
        <f>I34-J34</f>
        <v/>
      </c>
      <c r="L34" s="39">
        <f>L33+K34</f>
        <v/>
      </c>
    </row>
    <row r="35">
      <c r="A35" s="35" t="n">
        <v>46140</v>
      </c>
      <c r="B35" s="31" t="inlineStr">
        <is>
          <t>Retiradas pessoais (pró-labore)</t>
        </is>
      </c>
      <c r="C35" s="36" t="inlineStr">
        <is>
          <t>Saída</t>
        </is>
      </c>
      <c r="D35" s="31" t="inlineStr">
        <is>
          <t>Retirada da família</t>
        </is>
      </c>
      <c r="E35" s="33" t="n">
        <v>3000</v>
      </c>
      <c r="F35" s="37">
        <f>(YEAR(A35)-YEAR($B$5))*12+MONTH(A35)-MONTH($B$5)+1</f>
        <v/>
      </c>
      <c r="H35" s="19">
        <f>H19</f>
        <v/>
      </c>
      <c r="I35" s="33" t="n">
        <v>9000</v>
      </c>
      <c r="J35" s="33" t="n">
        <v>40450</v>
      </c>
      <c r="K35" s="20">
        <f>I35-J35</f>
        <v/>
      </c>
      <c r="L35" s="39">
        <f>L34+K35</f>
        <v/>
      </c>
    </row>
    <row r="36">
      <c r="A36" s="35" t="n">
        <v>46147</v>
      </c>
      <c r="B36" s="31" t="inlineStr">
        <is>
          <t>Mão de obra e encargos</t>
        </is>
      </c>
      <c r="C36" s="36" t="inlineStr">
        <is>
          <t>Saída</t>
        </is>
      </c>
      <c r="D36" s="31" t="inlineStr">
        <is>
          <t>Folha do mês</t>
        </is>
      </c>
      <c r="E36" s="33" t="n">
        <v>4800</v>
      </c>
      <c r="F36" s="37">
        <f>(YEAR(A36)-YEAR($B$5))*12+MONTH(A36)-MONTH($B$5)+1</f>
        <v/>
      </c>
      <c r="H36" s="19">
        <f>H20</f>
        <v/>
      </c>
      <c r="I36" s="33" t="n">
        <v>29000</v>
      </c>
      <c r="J36" s="33" t="n">
        <v>12450</v>
      </c>
      <c r="K36" s="20">
        <f>I36-J36</f>
        <v/>
      </c>
      <c r="L36" s="39">
        <f>L35+K36</f>
        <v/>
      </c>
    </row>
    <row r="37">
      <c r="A37" s="35" t="n">
        <v>46150</v>
      </c>
      <c r="B37" s="31" t="inlineStr">
        <is>
          <t>Ração e sal mineral</t>
        </is>
      </c>
      <c r="C37" s="36" t="inlineStr">
        <is>
          <t>Saída</t>
        </is>
      </c>
      <c r="D37" s="31" t="inlineStr">
        <is>
          <t>Ração/sal</t>
        </is>
      </c>
      <c r="E37" s="33" t="n">
        <v>2600</v>
      </c>
      <c r="F37" s="37">
        <f>(YEAR(A37)-YEAR($B$5))*12+MONTH(A37)-MONTH($B$5)+1</f>
        <v/>
      </c>
      <c r="H37" s="19">
        <f>H21</f>
        <v/>
      </c>
      <c r="I37" s="33" t="n">
        <v>9000</v>
      </c>
      <c r="J37" s="33" t="n">
        <v>44450</v>
      </c>
      <c r="K37" s="20">
        <f>I37-J37</f>
        <v/>
      </c>
      <c r="L37" s="39">
        <f>L36+K37</f>
        <v/>
      </c>
    </row>
    <row r="38">
      <c r="A38" s="35" t="n">
        <v>46152</v>
      </c>
      <c r="B38" s="31" t="inlineStr">
        <is>
          <t>Venda de leite</t>
        </is>
      </c>
      <c r="C38" s="36" t="inlineStr">
        <is>
          <t>Entrada</t>
        </is>
      </c>
      <c r="D38" s="31" t="inlineStr">
        <is>
          <t>Leite entregue no mês anterior</t>
        </is>
      </c>
      <c r="E38" s="33" t="n">
        <v>9600</v>
      </c>
      <c r="F38" s="37">
        <f>(YEAR(A38)-YEAR($B$5))*12+MONTH(A38)-MONTH($B$5)+1</f>
        <v/>
      </c>
      <c r="H38" s="25" t="inlineStr">
        <is>
          <t>TOTAL</t>
        </is>
      </c>
      <c r="I38" s="26">
        <f>SUM(I26:I37)</f>
        <v/>
      </c>
      <c r="J38" s="26">
        <f>SUM(J26:J37)</f>
        <v/>
      </c>
      <c r="K38" s="26">
        <f>SUM(K26:K37)</f>
        <v/>
      </c>
      <c r="L38" s="26">
        <f>L37</f>
        <v/>
      </c>
    </row>
    <row r="39">
      <c r="A39" s="35" t="n">
        <v>46157</v>
      </c>
      <c r="B39" s="31" t="inlineStr">
        <is>
          <t>Energia elétrica e água</t>
        </is>
      </c>
      <c r="C39" s="36" t="inlineStr">
        <is>
          <t>Saída</t>
        </is>
      </c>
      <c r="D39" s="31" t="inlineStr">
        <is>
          <t>Conta de energia</t>
        </is>
      </c>
      <c r="E39" s="33" t="n">
        <v>700</v>
      </c>
      <c r="F39" s="37">
        <f>(YEAR(A39)-YEAR($B$5))*12+MONTH(A39)-MONTH($B$5)+1</f>
        <v/>
      </c>
    </row>
    <row r="40">
      <c r="A40" s="35" t="n">
        <v>46167</v>
      </c>
      <c r="B40" s="31" t="inlineStr">
        <is>
          <t>Combustível</t>
        </is>
      </c>
      <c r="C40" s="36" t="inlineStr">
        <is>
          <t>Saída</t>
        </is>
      </c>
      <c r="D40" s="31" t="inlineStr">
        <is>
          <t>Diesel</t>
        </is>
      </c>
      <c r="E40" s="33" t="n">
        <v>1500</v>
      </c>
      <c r="F40" s="37">
        <f>(YEAR(A40)-YEAR($B$5))*12+MONTH(A40)-MONTH($B$5)+1</f>
        <v/>
      </c>
      <c r="H40" s="44" t="inlineStr">
        <is>
          <t>Conferência (deve ser 0):</t>
        </is>
      </c>
      <c r="L40" s="20">
        <f>ROUND(I22-E94+J22-E95+(L22-B6-I22+J22),2)</f>
        <v/>
      </c>
    </row>
    <row r="41">
      <c r="A41" s="35" t="n">
        <v>46170</v>
      </c>
      <c r="B41" s="31" t="inlineStr">
        <is>
          <t>Retiradas pessoais (pró-labore)</t>
        </is>
      </c>
      <c r="C41" s="36" t="inlineStr">
        <is>
          <t>Saída</t>
        </is>
      </c>
      <c r="D41" s="31" t="inlineStr">
        <is>
          <t>Retirada da família</t>
        </is>
      </c>
      <c r="E41" s="33" t="n">
        <v>3000</v>
      </c>
      <c r="F41" s="37">
        <f>(YEAR(A41)-YEAR($B$5))*12+MONTH(A41)-MONTH($B$5)+1</f>
        <v/>
      </c>
    </row>
    <row r="42">
      <c r="A42" s="35" t="n">
        <v>46178</v>
      </c>
      <c r="B42" s="31" t="inlineStr">
        <is>
          <t>Mão de obra e encargos</t>
        </is>
      </c>
      <c r="C42" s="36" t="inlineStr">
        <is>
          <t>Saída</t>
        </is>
      </c>
      <c r="D42" s="31" t="inlineStr">
        <is>
          <t>Folha do mês</t>
        </is>
      </c>
      <c r="E42" s="33" t="n">
        <v>4800</v>
      </c>
      <c r="F42" s="37">
        <f>(YEAR(A42)-YEAR($B$5))*12+MONTH(A42)-MONTH($B$5)+1</f>
        <v/>
      </c>
    </row>
    <row r="43">
      <c r="A43" s="35" t="n">
        <v>46178</v>
      </c>
      <c r="B43" s="31" t="inlineStr">
        <is>
          <t>Venda de animais</t>
        </is>
      </c>
      <c r="C43" s="36" t="inlineStr">
        <is>
          <t>Entrada</t>
        </is>
      </c>
      <c r="D43" s="31" t="inlineStr">
        <is>
          <t>Venda de bezerros</t>
        </is>
      </c>
      <c r="E43" s="33" t="n">
        <v>24000</v>
      </c>
      <c r="F43" s="37">
        <f>(YEAR(A43)-YEAR($B$5))*12+MONTH(A43)-MONTH($B$5)+1</f>
        <v/>
      </c>
    </row>
    <row r="44">
      <c r="A44" s="35" t="n">
        <v>46181</v>
      </c>
      <c r="B44" s="31" t="inlineStr">
        <is>
          <t>Ração e sal mineral</t>
        </is>
      </c>
      <c r="C44" s="36" t="inlineStr">
        <is>
          <t>Saída</t>
        </is>
      </c>
      <c r="D44" s="31" t="inlineStr">
        <is>
          <t>Ração/sal</t>
        </is>
      </c>
      <c r="E44" s="33" t="n">
        <v>2600</v>
      </c>
      <c r="F44" s="37">
        <f>(YEAR(A44)-YEAR($B$5))*12+MONTH(A44)-MONTH($B$5)+1</f>
        <v/>
      </c>
    </row>
    <row r="45">
      <c r="A45" s="35" t="n">
        <v>46183</v>
      </c>
      <c r="B45" s="31" t="inlineStr">
        <is>
          <t>Venda de leite</t>
        </is>
      </c>
      <c r="C45" s="36" t="inlineStr">
        <is>
          <t>Entrada</t>
        </is>
      </c>
      <c r="D45" s="31" t="inlineStr">
        <is>
          <t>Leite entregue no mês anterior</t>
        </is>
      </c>
      <c r="E45" s="33" t="n">
        <v>9900</v>
      </c>
      <c r="F45" s="37">
        <f>(YEAR(A45)-YEAR($B$5))*12+MONTH(A45)-MONTH($B$5)+1</f>
        <v/>
      </c>
    </row>
    <row r="46">
      <c r="A46" s="35" t="n">
        <v>46188</v>
      </c>
      <c r="B46" s="31" t="inlineStr">
        <is>
          <t>Energia elétrica e água</t>
        </is>
      </c>
      <c r="C46" s="36" t="inlineStr">
        <is>
          <t>Saída</t>
        </is>
      </c>
      <c r="D46" s="31" t="inlineStr">
        <is>
          <t>Conta de energia</t>
        </is>
      </c>
      <c r="E46" s="33" t="n">
        <v>700</v>
      </c>
      <c r="F46" s="37">
        <f>(YEAR(A46)-YEAR($B$5))*12+MONTH(A46)-MONTH($B$5)+1</f>
        <v/>
      </c>
    </row>
    <row r="47">
      <c r="A47" s="35" t="n">
        <v>46198</v>
      </c>
      <c r="B47" s="31" t="inlineStr">
        <is>
          <t>Combustível</t>
        </is>
      </c>
      <c r="C47" s="36" t="inlineStr">
        <is>
          <t>Saída</t>
        </is>
      </c>
      <c r="D47" s="31" t="inlineStr">
        <is>
          <t>Diesel</t>
        </is>
      </c>
      <c r="E47" s="33" t="n">
        <v>1500</v>
      </c>
      <c r="F47" s="37">
        <f>(YEAR(A47)-YEAR($B$5))*12+MONTH(A47)-MONTH($B$5)+1</f>
        <v/>
      </c>
    </row>
    <row r="48">
      <c r="A48" s="35" t="n">
        <v>46201</v>
      </c>
      <c r="B48" s="31" t="inlineStr">
        <is>
          <t>Retiradas pessoais (pró-labore)</t>
        </is>
      </c>
      <c r="C48" s="36" t="inlineStr">
        <is>
          <t>Saída</t>
        </is>
      </c>
      <c r="D48" s="31" t="inlineStr">
        <is>
          <t>Retirada da família</t>
        </is>
      </c>
      <c r="E48" s="33" t="n">
        <v>3000</v>
      </c>
      <c r="F48" s="37">
        <f>(YEAR(A48)-YEAR($B$5))*12+MONTH(A48)-MONTH($B$5)+1</f>
        <v/>
      </c>
    </row>
    <row r="49">
      <c r="A49" s="35" t="n">
        <v>46203</v>
      </c>
      <c r="B49" s="31" t="inlineStr">
        <is>
          <t>Parcelas de financiamento</t>
        </is>
      </c>
      <c r="C49" s="36" t="inlineStr">
        <is>
          <t>Saída</t>
        </is>
      </c>
      <c r="D49" s="31" t="inlineStr">
        <is>
          <t>Parcela investimento</t>
        </is>
      </c>
      <c r="E49" s="33" t="n">
        <v>22000</v>
      </c>
      <c r="F49" s="37">
        <f>(YEAR(A49)-YEAR($B$5))*12+MONTH(A49)-MONTH($B$5)+1</f>
        <v/>
      </c>
    </row>
    <row r="50">
      <c r="A50" s="35" t="n">
        <v>46208</v>
      </c>
      <c r="B50" s="31" t="inlineStr">
        <is>
          <t>Mão de obra e encargos</t>
        </is>
      </c>
      <c r="C50" s="36" t="inlineStr">
        <is>
          <t>Saída</t>
        </is>
      </c>
      <c r="D50" s="31" t="inlineStr">
        <is>
          <t>Folha do mês</t>
        </is>
      </c>
      <c r="E50" s="33" t="n">
        <v>4800</v>
      </c>
      <c r="F50" s="37">
        <f>(YEAR(A50)-YEAR($B$5))*12+MONTH(A50)-MONTH($B$5)+1</f>
        <v/>
      </c>
    </row>
    <row r="51">
      <c r="A51" s="35" t="n">
        <v>46211</v>
      </c>
      <c r="B51" s="31" t="inlineStr">
        <is>
          <t>Ração e sal mineral</t>
        </is>
      </c>
      <c r="C51" s="36" t="inlineStr">
        <is>
          <t>Saída</t>
        </is>
      </c>
      <c r="D51" s="31" t="inlineStr">
        <is>
          <t>Ração/sal</t>
        </is>
      </c>
      <c r="E51" s="33" t="n">
        <v>2600</v>
      </c>
      <c r="F51" s="37">
        <f>(YEAR(A51)-YEAR($B$5))*12+MONTH(A51)-MONTH($B$5)+1</f>
        <v/>
      </c>
    </row>
    <row r="52">
      <c r="A52" s="35" t="n">
        <v>46213</v>
      </c>
      <c r="B52" s="31" t="inlineStr">
        <is>
          <t>Venda de leite</t>
        </is>
      </c>
      <c r="C52" s="36" t="inlineStr">
        <is>
          <t>Entrada</t>
        </is>
      </c>
      <c r="D52" s="31" t="inlineStr">
        <is>
          <t>Leite entregue no mês anterior</t>
        </is>
      </c>
      <c r="E52" s="33" t="n">
        <v>10200</v>
      </c>
      <c r="F52" s="37">
        <f>(YEAR(A52)-YEAR($B$5))*12+MONTH(A52)-MONTH($B$5)+1</f>
        <v/>
      </c>
    </row>
    <row r="53">
      <c r="A53" s="35" t="n">
        <v>46218</v>
      </c>
      <c r="B53" s="31" t="inlineStr">
        <is>
          <t>Energia elétrica e água</t>
        </is>
      </c>
      <c r="C53" s="36" t="inlineStr">
        <is>
          <t>Saída</t>
        </is>
      </c>
      <c r="D53" s="31" t="inlineStr">
        <is>
          <t>Conta de energia</t>
        </is>
      </c>
      <c r="E53" s="33" t="n">
        <v>700</v>
      </c>
      <c r="F53" s="37">
        <f>(YEAR(A53)-YEAR($B$5))*12+MONTH(A53)-MONTH($B$5)+1</f>
        <v/>
      </c>
    </row>
    <row r="54">
      <c r="A54" s="35" t="n">
        <v>46228</v>
      </c>
      <c r="B54" s="31" t="inlineStr">
        <is>
          <t>Combustível</t>
        </is>
      </c>
      <c r="C54" s="36" t="inlineStr">
        <is>
          <t>Saída</t>
        </is>
      </c>
      <c r="D54" s="31" t="inlineStr">
        <is>
          <t>Diesel</t>
        </is>
      </c>
      <c r="E54" s="33" t="n">
        <v>1500</v>
      </c>
      <c r="F54" s="37">
        <f>(YEAR(A54)-YEAR($B$5))*12+MONTH(A54)-MONTH($B$5)+1</f>
        <v/>
      </c>
    </row>
    <row r="55">
      <c r="A55" s="35" t="n">
        <v>46231</v>
      </c>
      <c r="B55" s="31" t="inlineStr">
        <is>
          <t>Retiradas pessoais (pró-labore)</t>
        </is>
      </c>
      <c r="C55" s="36" t="inlineStr">
        <is>
          <t>Saída</t>
        </is>
      </c>
      <c r="D55" s="31" t="inlineStr">
        <is>
          <t>Retirada da família</t>
        </is>
      </c>
      <c r="E55" s="33" t="n">
        <v>3000</v>
      </c>
      <c r="F55" s="37">
        <f>(YEAR(A55)-YEAR($B$5))*12+MONTH(A55)-MONTH($B$5)+1</f>
        <v/>
      </c>
    </row>
    <row r="56">
      <c r="A56" s="35" t="n">
        <v>46239</v>
      </c>
      <c r="B56" s="31" t="inlineStr">
        <is>
          <t>Mão de obra e encargos</t>
        </is>
      </c>
      <c r="C56" s="36" t="inlineStr">
        <is>
          <t>Saída</t>
        </is>
      </c>
      <c r="D56" s="31" t="inlineStr">
        <is>
          <t>Folha do mês</t>
        </is>
      </c>
      <c r="E56" s="33" t="n">
        <v>4800</v>
      </c>
      <c r="F56" s="37">
        <f>(YEAR(A56)-YEAR($B$5))*12+MONTH(A56)-MONTH($B$5)+1</f>
        <v/>
      </c>
    </row>
    <row r="57">
      <c r="A57" s="35" t="n">
        <v>46242</v>
      </c>
      <c r="B57" s="31" t="inlineStr">
        <is>
          <t>Ração e sal mineral</t>
        </is>
      </c>
      <c r="C57" s="36" t="inlineStr">
        <is>
          <t>Saída</t>
        </is>
      </c>
      <c r="D57" s="31" t="inlineStr">
        <is>
          <t>Ração/sal</t>
        </is>
      </c>
      <c r="E57" s="33" t="n">
        <v>2600</v>
      </c>
      <c r="F57" s="37">
        <f>(YEAR(A57)-YEAR($B$5))*12+MONTH(A57)-MONTH($B$5)+1</f>
        <v/>
      </c>
    </row>
    <row r="58">
      <c r="A58" s="35" t="n">
        <v>46244</v>
      </c>
      <c r="B58" s="31" t="inlineStr">
        <is>
          <t>Venda de leite</t>
        </is>
      </c>
      <c r="C58" s="36" t="inlineStr">
        <is>
          <t>Entrada</t>
        </is>
      </c>
      <c r="D58" s="31" t="inlineStr">
        <is>
          <t>Leite entregue no mês anterior</t>
        </is>
      </c>
      <c r="E58" s="33" t="n">
        <v>10000</v>
      </c>
      <c r="F58" s="37">
        <f>(YEAR(A58)-YEAR($B$5))*12+MONTH(A58)-MONTH($B$5)+1</f>
        <v/>
      </c>
    </row>
    <row r="59">
      <c r="A59" s="35" t="n">
        <v>46249</v>
      </c>
      <c r="B59" s="31" t="inlineStr">
        <is>
          <t>Energia elétrica e água</t>
        </is>
      </c>
      <c r="C59" s="36" t="inlineStr">
        <is>
          <t>Saída</t>
        </is>
      </c>
      <c r="D59" s="31" t="inlineStr">
        <is>
          <t>Conta de energia</t>
        </is>
      </c>
      <c r="E59" s="33" t="n">
        <v>700</v>
      </c>
      <c r="F59" s="37">
        <f>(YEAR(A59)-YEAR($B$5))*12+MONTH(A59)-MONTH($B$5)+1</f>
        <v/>
      </c>
    </row>
    <row r="60">
      <c r="A60" s="35" t="n">
        <v>46254</v>
      </c>
      <c r="B60" s="31" t="inlineStr">
        <is>
          <t>Crédito rural / financiamento</t>
        </is>
      </c>
      <c r="C60" s="36" t="inlineStr">
        <is>
          <t>Entrada</t>
        </is>
      </c>
      <c r="D60" s="31" t="inlineStr">
        <is>
          <t>Liberação de custeio</t>
        </is>
      </c>
      <c r="E60" s="33" t="n">
        <v>70000</v>
      </c>
      <c r="F60" s="37">
        <f>(YEAR(A60)-YEAR($B$5))*12+MONTH(A60)-MONTH($B$5)+1</f>
        <v/>
      </c>
    </row>
    <row r="61">
      <c r="A61" s="35" t="n">
        <v>46259</v>
      </c>
      <c r="B61" s="31" t="inlineStr">
        <is>
          <t>Combustível</t>
        </is>
      </c>
      <c r="C61" s="36" t="inlineStr">
        <is>
          <t>Saída</t>
        </is>
      </c>
      <c r="D61" s="31" t="inlineStr">
        <is>
          <t>Diesel</t>
        </is>
      </c>
      <c r="E61" s="33" t="n">
        <v>1500</v>
      </c>
      <c r="F61" s="37">
        <f>(YEAR(A61)-YEAR($B$5))*12+MONTH(A61)-MONTH($B$5)+1</f>
        <v/>
      </c>
    </row>
    <row r="62">
      <c r="A62" s="35" t="n">
        <v>46262</v>
      </c>
      <c r="B62" s="31" t="inlineStr">
        <is>
          <t>Retiradas pessoais (pró-labore)</t>
        </is>
      </c>
      <c r="C62" s="36" t="inlineStr">
        <is>
          <t>Saída</t>
        </is>
      </c>
      <c r="D62" s="31" t="inlineStr">
        <is>
          <t>Retirada da família</t>
        </is>
      </c>
      <c r="E62" s="33" t="n">
        <v>3000</v>
      </c>
      <c r="F62" s="37">
        <f>(YEAR(A62)-YEAR($B$5))*12+MONTH(A62)-MONTH($B$5)+1</f>
        <v/>
      </c>
    </row>
    <row r="63">
      <c r="A63" s="35" t="n">
        <v>46270</v>
      </c>
      <c r="B63" s="31" t="inlineStr">
        <is>
          <t>Mão de obra e encargos</t>
        </is>
      </c>
      <c r="C63" s="36" t="inlineStr">
        <is>
          <t>Saída</t>
        </is>
      </c>
      <c r="D63" s="31" t="inlineStr">
        <is>
          <t>Folha do mês</t>
        </is>
      </c>
      <c r="E63" s="33" t="n">
        <v>4800</v>
      </c>
      <c r="F63" s="37">
        <f>(YEAR(A63)-YEAR($B$5))*12+MONTH(A63)-MONTH($B$5)+1</f>
        <v/>
      </c>
    </row>
    <row r="64">
      <c r="A64" s="35" t="n">
        <v>46273</v>
      </c>
      <c r="B64" s="31" t="inlineStr">
        <is>
          <t>Ração e sal mineral</t>
        </is>
      </c>
      <c r="C64" s="36" t="inlineStr">
        <is>
          <t>Saída</t>
        </is>
      </c>
      <c r="D64" s="31" t="inlineStr">
        <is>
          <t>Ração/sal</t>
        </is>
      </c>
      <c r="E64" s="33" t="n">
        <v>2600</v>
      </c>
      <c r="F64" s="37">
        <f>(YEAR(A64)-YEAR($B$5))*12+MONTH(A64)-MONTH($B$5)+1</f>
        <v/>
      </c>
    </row>
    <row r="65">
      <c r="A65" s="35" t="n">
        <v>46275</v>
      </c>
      <c r="B65" s="31" t="inlineStr">
        <is>
          <t>Venda de leite</t>
        </is>
      </c>
      <c r="C65" s="36" t="inlineStr">
        <is>
          <t>Entrada</t>
        </is>
      </c>
      <c r="D65" s="31" t="inlineStr">
        <is>
          <t>Leite entregue no mês anterior</t>
        </is>
      </c>
      <c r="E65" s="33" t="n">
        <v>9700</v>
      </c>
      <c r="F65" s="37">
        <f>(YEAR(A65)-YEAR($B$5))*12+MONTH(A65)-MONTH($B$5)+1</f>
        <v/>
      </c>
    </row>
    <row r="66">
      <c r="A66" s="35" t="n">
        <v>46275</v>
      </c>
      <c r="B66" s="31" t="inlineStr">
        <is>
          <t>Sementes e mudas</t>
        </is>
      </c>
      <c r="C66" s="36" t="inlineStr">
        <is>
          <t>Saída</t>
        </is>
      </c>
      <c r="D66" s="31" t="inlineStr">
        <is>
          <t>Sementes</t>
        </is>
      </c>
      <c r="E66" s="33" t="n">
        <v>28000</v>
      </c>
      <c r="F66" s="37">
        <f>(YEAR(A66)-YEAR($B$5))*12+MONTH(A66)-MONTH($B$5)+1</f>
        <v/>
      </c>
    </row>
    <row r="67">
      <c r="A67" s="35" t="n">
        <v>46280</v>
      </c>
      <c r="B67" s="31" t="inlineStr">
        <is>
          <t>Energia elétrica e água</t>
        </is>
      </c>
      <c r="C67" s="36" t="inlineStr">
        <is>
          <t>Saída</t>
        </is>
      </c>
      <c r="D67" s="31" t="inlineStr">
        <is>
          <t>Conta de energia</t>
        </is>
      </c>
      <c r="E67" s="33" t="n">
        <v>700</v>
      </c>
      <c r="F67" s="37">
        <f>(YEAR(A67)-YEAR($B$5))*12+MONTH(A67)-MONTH($B$5)+1</f>
        <v/>
      </c>
    </row>
    <row r="68">
      <c r="A68" s="35" t="n">
        <v>46290</v>
      </c>
      <c r="B68" s="31" t="inlineStr">
        <is>
          <t>Combustível</t>
        </is>
      </c>
      <c r="C68" s="36" t="inlineStr">
        <is>
          <t>Saída</t>
        </is>
      </c>
      <c r="D68" s="31" t="inlineStr">
        <is>
          <t>Diesel</t>
        </is>
      </c>
      <c r="E68" s="33" t="n">
        <v>1500</v>
      </c>
      <c r="F68" s="37">
        <f>(YEAR(A68)-YEAR($B$5))*12+MONTH(A68)-MONTH($B$5)+1</f>
        <v/>
      </c>
    </row>
    <row r="69">
      <c r="A69" s="35" t="n">
        <v>46290</v>
      </c>
      <c r="B69" s="31" t="inlineStr">
        <is>
          <t>Fertilizantes e corretivos</t>
        </is>
      </c>
      <c r="C69" s="36" t="inlineStr">
        <is>
          <t>Saída</t>
        </is>
      </c>
      <c r="D69" s="31" t="inlineStr">
        <is>
          <t>Adubo</t>
        </is>
      </c>
      <c r="E69" s="33" t="n">
        <v>45000</v>
      </c>
      <c r="F69" s="37">
        <f>(YEAR(A69)-YEAR($B$5))*12+MONTH(A69)-MONTH($B$5)+1</f>
        <v/>
      </c>
    </row>
    <row r="70">
      <c r="A70" s="35" t="n">
        <v>46293</v>
      </c>
      <c r="B70" s="31" t="inlineStr">
        <is>
          <t>Retiradas pessoais (pró-labore)</t>
        </is>
      </c>
      <c r="C70" s="36" t="inlineStr">
        <is>
          <t>Saída</t>
        </is>
      </c>
      <c r="D70" s="31" t="inlineStr">
        <is>
          <t>Retirada da família</t>
        </is>
      </c>
      <c r="E70" s="33" t="n">
        <v>3000</v>
      </c>
      <c r="F70" s="37">
        <f>(YEAR(A70)-YEAR($B$5))*12+MONTH(A70)-MONTH($B$5)+1</f>
        <v/>
      </c>
    </row>
    <row r="71">
      <c r="A71" s="35" t="n">
        <v>46295</v>
      </c>
      <c r="B71" s="31" t="inlineStr">
        <is>
          <t>Impostos e taxas (ITR, Funrural etc.)</t>
        </is>
      </c>
      <c r="C71" s="36" t="inlineStr">
        <is>
          <t>Saída</t>
        </is>
      </c>
      <c r="D71" s="31" t="inlineStr">
        <is>
          <t>ITR</t>
        </is>
      </c>
      <c r="E71" s="33" t="n">
        <v>1900</v>
      </c>
      <c r="F71" s="37">
        <f>(YEAR(A71)-YEAR($B$5))*12+MONTH(A71)-MONTH($B$5)+1</f>
        <v/>
      </c>
    </row>
    <row r="72">
      <c r="A72" s="35" t="n">
        <v>46300</v>
      </c>
      <c r="B72" s="31" t="inlineStr">
        <is>
          <t>Mão de obra e encargos</t>
        </is>
      </c>
      <c r="C72" s="36" t="inlineStr">
        <is>
          <t>Saída</t>
        </is>
      </c>
      <c r="D72" s="31" t="inlineStr">
        <is>
          <t>Folha do mês</t>
        </is>
      </c>
      <c r="E72" s="33" t="n">
        <v>4800</v>
      </c>
      <c r="F72" s="37">
        <f>(YEAR(A72)-YEAR($B$5))*12+MONTH(A72)-MONTH($B$5)+1</f>
        <v/>
      </c>
    </row>
    <row r="73">
      <c r="A73" s="35" t="n">
        <v>46303</v>
      </c>
      <c r="B73" s="31" t="inlineStr">
        <is>
          <t>Ração e sal mineral</t>
        </is>
      </c>
      <c r="C73" s="36" t="inlineStr">
        <is>
          <t>Saída</t>
        </is>
      </c>
      <c r="D73" s="31" t="inlineStr">
        <is>
          <t>Ração/sal</t>
        </is>
      </c>
      <c r="E73" s="33" t="n">
        <v>2600</v>
      </c>
      <c r="F73" s="37">
        <f>(YEAR(A73)-YEAR($B$5))*12+MONTH(A73)-MONTH($B$5)+1</f>
        <v/>
      </c>
    </row>
    <row r="74">
      <c r="A74" s="35" t="n">
        <v>46305</v>
      </c>
      <c r="B74" s="31" t="inlineStr">
        <is>
          <t>Venda de leite</t>
        </is>
      </c>
      <c r="C74" s="36" t="inlineStr">
        <is>
          <t>Entrada</t>
        </is>
      </c>
      <c r="D74" s="31" t="inlineStr">
        <is>
          <t>Leite entregue no mês anterior</t>
        </is>
      </c>
      <c r="E74" s="33" t="n">
        <v>9400</v>
      </c>
      <c r="F74" s="37">
        <f>(YEAR(A74)-YEAR($B$5))*12+MONTH(A74)-MONTH($B$5)+1</f>
        <v/>
      </c>
    </row>
    <row r="75">
      <c r="A75" s="35" t="n">
        <v>46310</v>
      </c>
      <c r="B75" s="31" t="inlineStr">
        <is>
          <t>Energia elétrica e água</t>
        </is>
      </c>
      <c r="C75" s="36" t="inlineStr">
        <is>
          <t>Saída</t>
        </is>
      </c>
      <c r="D75" s="31" t="inlineStr">
        <is>
          <t>Conta de energia</t>
        </is>
      </c>
      <c r="E75" s="33" t="n">
        <v>700</v>
      </c>
      <c r="F75" s="37">
        <f>(YEAR(A75)-YEAR($B$5))*12+MONTH(A75)-MONTH($B$5)+1</f>
        <v/>
      </c>
    </row>
    <row r="76">
      <c r="A76" s="35" t="n">
        <v>46315</v>
      </c>
      <c r="B76" s="31" t="inlineStr">
        <is>
          <t>Defensivos</t>
        </is>
      </c>
      <c r="C76" s="36" t="inlineStr">
        <is>
          <t>Saída</t>
        </is>
      </c>
      <c r="D76" s="31" t="inlineStr">
        <is>
          <t>Defensivos</t>
        </is>
      </c>
      <c r="E76" s="33" t="n">
        <v>30000</v>
      </c>
      <c r="F76" s="37">
        <f>(YEAR(A76)-YEAR($B$5))*12+MONTH(A76)-MONTH($B$5)+1</f>
        <v/>
      </c>
    </row>
    <row r="77">
      <c r="A77" s="35" t="n">
        <v>46320</v>
      </c>
      <c r="B77" s="31" t="inlineStr">
        <is>
          <t>Combustível</t>
        </is>
      </c>
      <c r="C77" s="36" t="inlineStr">
        <is>
          <t>Saída</t>
        </is>
      </c>
      <c r="D77" s="31" t="inlineStr">
        <is>
          <t>Diesel</t>
        </is>
      </c>
      <c r="E77" s="33" t="n">
        <v>1500</v>
      </c>
      <c r="F77" s="37">
        <f>(YEAR(A77)-YEAR($B$5))*12+MONTH(A77)-MONTH($B$5)+1</f>
        <v/>
      </c>
    </row>
    <row r="78">
      <c r="A78" s="35" t="n">
        <v>46323</v>
      </c>
      <c r="B78" s="31" t="inlineStr">
        <is>
          <t>Retiradas pessoais (pró-labore)</t>
        </is>
      </c>
      <c r="C78" s="36" t="inlineStr">
        <is>
          <t>Saída</t>
        </is>
      </c>
      <c r="D78" s="31" t="inlineStr">
        <is>
          <t>Retirada da família</t>
        </is>
      </c>
      <c r="E78" s="33" t="n">
        <v>3000</v>
      </c>
      <c r="F78" s="37">
        <f>(YEAR(A78)-YEAR($B$5))*12+MONTH(A78)-MONTH($B$5)+1</f>
        <v/>
      </c>
    </row>
    <row r="79">
      <c r="A79" s="35" t="n">
        <v>46331</v>
      </c>
      <c r="B79" s="31" t="inlineStr">
        <is>
          <t>Mão de obra e encargos</t>
        </is>
      </c>
      <c r="C79" s="36" t="inlineStr">
        <is>
          <t>Saída</t>
        </is>
      </c>
      <c r="D79" s="31" t="inlineStr">
        <is>
          <t>Folha do mês</t>
        </is>
      </c>
      <c r="E79" s="33" t="n">
        <v>4800</v>
      </c>
      <c r="F79" s="37">
        <f>(YEAR(A79)-YEAR($B$5))*12+MONTH(A79)-MONTH($B$5)+1</f>
        <v/>
      </c>
    </row>
    <row r="80">
      <c r="A80" s="35" t="n">
        <v>46334</v>
      </c>
      <c r="B80" s="31" t="inlineStr">
        <is>
          <t>Ração e sal mineral</t>
        </is>
      </c>
      <c r="C80" s="36" t="inlineStr">
        <is>
          <t>Saída</t>
        </is>
      </c>
      <c r="D80" s="31" t="inlineStr">
        <is>
          <t>Ração/sal</t>
        </is>
      </c>
      <c r="E80" s="33" t="n">
        <v>2600</v>
      </c>
      <c r="F80" s="37">
        <f>(YEAR(A80)-YEAR($B$5))*12+MONTH(A80)-MONTH($B$5)+1</f>
        <v/>
      </c>
    </row>
    <row r="81">
      <c r="A81" s="35" t="n">
        <v>46336</v>
      </c>
      <c r="B81" s="31" t="inlineStr">
        <is>
          <t>Venda de leite</t>
        </is>
      </c>
      <c r="C81" s="36" t="inlineStr">
        <is>
          <t>Entrada</t>
        </is>
      </c>
      <c r="D81" s="31" t="inlineStr">
        <is>
          <t>Leite entregue no mês anterior</t>
        </is>
      </c>
      <c r="E81" s="33" t="n">
        <v>9000</v>
      </c>
      <c r="F81" s="37">
        <f>(YEAR(A81)-YEAR($B$5))*12+MONTH(A81)-MONTH($B$5)+1</f>
        <v/>
      </c>
    </row>
    <row r="82">
      <c r="A82" s="35" t="n">
        <v>46338</v>
      </c>
      <c r="B82" s="31" t="inlineStr">
        <is>
          <t>Venda de animais</t>
        </is>
      </c>
      <c r="C82" s="36" t="inlineStr">
        <is>
          <t>Entrada</t>
        </is>
      </c>
      <c r="D82" s="31" t="inlineStr">
        <is>
          <t>Venda de vacas de descarte</t>
        </is>
      </c>
      <c r="E82" s="33" t="n">
        <v>18000</v>
      </c>
      <c r="F82" s="37">
        <f>(YEAR(A82)-YEAR($B$5))*12+MONTH(A82)-MONTH($B$5)+1</f>
        <v/>
      </c>
    </row>
    <row r="83">
      <c r="A83" s="35" t="n">
        <v>46341</v>
      </c>
      <c r="B83" s="31" t="inlineStr">
        <is>
          <t>Energia elétrica e água</t>
        </is>
      </c>
      <c r="C83" s="36" t="inlineStr">
        <is>
          <t>Saída</t>
        </is>
      </c>
      <c r="D83" s="31" t="inlineStr">
        <is>
          <t>Conta de energia</t>
        </is>
      </c>
      <c r="E83" s="33" t="n">
        <v>700</v>
      </c>
      <c r="F83" s="37">
        <f>(YEAR(A83)-YEAR($B$5))*12+MONTH(A83)-MONTH($B$5)+1</f>
        <v/>
      </c>
    </row>
    <row r="84">
      <c r="A84" s="35" t="n">
        <v>46351</v>
      </c>
      <c r="B84" s="31" t="inlineStr">
        <is>
          <t>Combustível</t>
        </is>
      </c>
      <c r="C84" s="36" t="inlineStr">
        <is>
          <t>Saída</t>
        </is>
      </c>
      <c r="D84" s="31" t="inlineStr">
        <is>
          <t>Diesel</t>
        </is>
      </c>
      <c r="E84" s="33" t="n">
        <v>1500</v>
      </c>
      <c r="F84" s="37">
        <f>(YEAR(A84)-YEAR($B$5))*12+MONTH(A84)-MONTH($B$5)+1</f>
        <v/>
      </c>
    </row>
    <row r="85">
      <c r="A85" s="35" t="n">
        <v>46354</v>
      </c>
      <c r="B85" s="31" t="inlineStr">
        <is>
          <t>Retiradas pessoais (pró-labore)</t>
        </is>
      </c>
      <c r="C85" s="36" t="inlineStr">
        <is>
          <t>Saída</t>
        </is>
      </c>
      <c r="D85" s="31" t="inlineStr">
        <is>
          <t>Retirada da família</t>
        </is>
      </c>
      <c r="E85" s="33" t="n">
        <v>3000</v>
      </c>
      <c r="F85" s="37">
        <f>(YEAR(A85)-YEAR($B$5))*12+MONTH(A85)-MONTH($B$5)+1</f>
        <v/>
      </c>
    </row>
    <row r="86">
      <c r="A86" s="35" t="n">
        <v>46361</v>
      </c>
      <c r="B86" s="31" t="inlineStr">
        <is>
          <t>Mão de obra e encargos</t>
        </is>
      </c>
      <c r="C86" s="36" t="inlineStr">
        <is>
          <t>Saída</t>
        </is>
      </c>
      <c r="D86" s="31" t="inlineStr">
        <is>
          <t>Folha do mês</t>
        </is>
      </c>
      <c r="E86" s="33" t="n">
        <v>4800</v>
      </c>
      <c r="F86" s="37">
        <f>(YEAR(A86)-YEAR($B$5))*12+MONTH(A86)-MONTH($B$5)+1</f>
        <v/>
      </c>
    </row>
    <row r="87">
      <c r="A87" s="35" t="n">
        <v>46364</v>
      </c>
      <c r="B87" s="31" t="inlineStr">
        <is>
          <t>Ração e sal mineral</t>
        </is>
      </c>
      <c r="C87" s="36" t="inlineStr">
        <is>
          <t>Saída</t>
        </is>
      </c>
      <c r="D87" s="31" t="inlineStr">
        <is>
          <t>Ração/sal</t>
        </is>
      </c>
      <c r="E87" s="33" t="n">
        <v>2600</v>
      </c>
      <c r="F87" s="37">
        <f>(YEAR(A87)-YEAR($B$5))*12+MONTH(A87)-MONTH($B$5)+1</f>
        <v/>
      </c>
    </row>
    <row r="88">
      <c r="A88" s="35" t="n">
        <v>46366</v>
      </c>
      <c r="B88" s="31" t="inlineStr">
        <is>
          <t>Venda de leite</t>
        </is>
      </c>
      <c r="C88" s="36" t="inlineStr">
        <is>
          <t>Entrada</t>
        </is>
      </c>
      <c r="D88" s="31" t="inlineStr">
        <is>
          <t>Leite entregue no mês anterior</t>
        </is>
      </c>
      <c r="E88" s="33" t="n">
        <v>8900</v>
      </c>
      <c r="F88" s="37">
        <f>(YEAR(A88)-YEAR($B$5))*12+MONTH(A88)-MONTH($B$5)+1</f>
        <v/>
      </c>
    </row>
    <row r="89">
      <c r="A89" s="35" t="n">
        <v>46371</v>
      </c>
      <c r="B89" s="31" t="inlineStr">
        <is>
          <t>Energia elétrica e água</t>
        </is>
      </c>
      <c r="C89" s="36" t="inlineStr">
        <is>
          <t>Saída</t>
        </is>
      </c>
      <c r="D89" s="31" t="inlineStr">
        <is>
          <t>Conta de energia</t>
        </is>
      </c>
      <c r="E89" s="33" t="n">
        <v>700</v>
      </c>
      <c r="F89" s="37">
        <f>(YEAR(A89)-YEAR($B$5))*12+MONTH(A89)-MONTH($B$5)+1</f>
        <v/>
      </c>
    </row>
    <row r="90">
      <c r="A90" s="35" t="n">
        <v>46371</v>
      </c>
      <c r="B90" s="31" t="inlineStr">
        <is>
          <t>Defensivos</t>
        </is>
      </c>
      <c r="C90" s="36" t="inlineStr">
        <is>
          <t>Saída</t>
        </is>
      </c>
      <c r="D90" s="31" t="inlineStr">
        <is>
          <t>Defensivos</t>
        </is>
      </c>
      <c r="E90" s="33" t="n">
        <v>12000</v>
      </c>
      <c r="F90" s="37">
        <f>(YEAR(A90)-YEAR($B$5))*12+MONTH(A90)-MONTH($B$5)+1</f>
        <v/>
      </c>
    </row>
    <row r="91">
      <c r="A91" s="35" t="n">
        <v>46381</v>
      </c>
      <c r="B91" s="31" t="inlineStr">
        <is>
          <t>Combustível</t>
        </is>
      </c>
      <c r="C91" s="36" t="inlineStr">
        <is>
          <t>Saída</t>
        </is>
      </c>
      <c r="D91" s="31" t="inlineStr">
        <is>
          <t>Diesel</t>
        </is>
      </c>
      <c r="E91" s="33" t="n">
        <v>1500</v>
      </c>
      <c r="F91" s="37">
        <f>(YEAR(A91)-YEAR($B$5))*12+MONTH(A91)-MONTH($B$5)+1</f>
        <v/>
      </c>
    </row>
    <row r="92">
      <c r="A92" s="35" t="n">
        <v>46384</v>
      </c>
      <c r="B92" s="31" t="inlineStr">
        <is>
          <t>Retiradas pessoais (pró-labore)</t>
        </is>
      </c>
      <c r="C92" s="36" t="inlineStr">
        <is>
          <t>Saída</t>
        </is>
      </c>
      <c r="D92" s="31" t="inlineStr">
        <is>
          <t>Retirada da família</t>
        </is>
      </c>
      <c r="E92" s="33" t="n">
        <v>3000</v>
      </c>
      <c r="F92" s="37">
        <f>(YEAR(A92)-YEAR($B$5))*12+MONTH(A92)-MONTH($B$5)+1</f>
        <v/>
      </c>
    </row>
    <row r="93">
      <c r="A93" s="35" t="n">
        <v>46386</v>
      </c>
      <c r="B93" s="31" t="inlineStr">
        <is>
          <t>Parcelas de financiamento</t>
        </is>
      </c>
      <c r="C93" s="36" t="inlineStr">
        <is>
          <t>Saída</t>
        </is>
      </c>
      <c r="D93" s="31" t="inlineStr">
        <is>
          <t>Parcela investimento</t>
        </is>
      </c>
      <c r="E93" s="33" t="n">
        <v>22000</v>
      </c>
      <c r="F93" s="37">
        <f>(YEAR(A93)-YEAR($B$5))*12+MONTH(A93)-MONTH($B$5)+1</f>
        <v/>
      </c>
    </row>
    <row r="94">
      <c r="A94" s="25" t="inlineStr">
        <is>
          <t>TOTAL</t>
        </is>
      </c>
      <c r="B94" s="25" t="n"/>
      <c r="C94" s="25" t="n"/>
      <c r="D94" s="25" t="inlineStr">
        <is>
          <t>Entradas:</t>
        </is>
      </c>
      <c r="E94" s="26">
        <f>SUMIF(C10:C93,"Entrada",E10:E93)</f>
        <v/>
      </c>
      <c r="F94" s="25" t="n"/>
    </row>
    <row r="95">
      <c r="D95" s="25" t="inlineStr">
        <is>
          <t>Saídas:</t>
        </is>
      </c>
      <c r="E95" s="26">
        <f>SUMIF(C10:C93,"Saída",E10:E93)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">
    <mergeCell ref="A3:L3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2026-10-21T11:33:55Z</dcterms:created>
  <dcterms:modified xmlns:dcterms="http://purl.org/dc/terms/" xmlns:xsi="http://www.w3.org/2001/XMLSchema-instance" xsi:type="dcterms:W3CDTF">2026-10-21T11:33:56Z</dcterms:modified>
</cp:coreProperties>
</file>