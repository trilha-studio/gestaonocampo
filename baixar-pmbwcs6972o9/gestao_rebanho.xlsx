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Animais" sheetId="4" state="visible" r:id="rId4"/>
    <sheet xmlns:r="http://schemas.openxmlformats.org/officeDocument/2006/relationships" name="Pesagens" sheetId="5" state="visible" r:id="rId5"/>
    <sheet xmlns:r="http://schemas.openxmlformats.org/officeDocument/2006/relationships" name="Movimentações" sheetId="6" state="visible" r:id="rId6"/>
    <sheet xmlns:r="http://schemas.openxmlformats.org/officeDocument/2006/relationships" name="Listas" sheetId="7" state="hidden" r:id="rId7"/>
    <sheet xmlns:r="http://schemas.openxmlformats.org/officeDocument/2006/relationships" name="Inventário" sheetId="8" state="visible" r:id="rId8"/>
    <sheet xmlns:r="http://schemas.openxmlformats.org/officeDocument/2006/relationships" name="Exemplo" sheetId="9" state="visible" r:id="rId9"/>
  </sheets>
  <definedNames>
    <definedName name="_xlnm._FilterDatabase" localSheetId="3" hidden="1">'Animais'!$A$5:$Q$1005</definedName>
    <definedName name="_xlnm._FilterDatabase" localSheetId="4" hidden="1">'Pesagens'!$A$5:$I$2005</definedName>
    <definedName name="_xlnm._FilterDatabase" localSheetId="5" hidden="1">'Movimentações'!$A$5:$J$1505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dd/mm/yyyy"/>
    <numFmt numFmtId="165" formatCode="#,##0.00;[Red]-#,##0.00"/>
    <numFmt numFmtId="166" formatCode="0.000;[Red]-0.000"/>
    <numFmt numFmtId="167" formatCode="dd/mm/yyyy;;&quot;—&quot;"/>
    <numFmt numFmtId="168" formatCode="&quot;R$&quot; #,##0.00;[Red]-&quot;R$&quot; #,##0.00"/>
    <numFmt numFmtId="169" formatCode="0.0%;[Red]-0.0%"/>
    <numFmt numFmtId="170" formatCode="#,##0.0;-#,##0.0;&quot;—&quot;"/>
    <numFmt numFmtId="171" formatCode="0.000;-0.000;&quot;—&quot;"/>
    <numFmt numFmtId="172" formatCode="#,##0.0"/>
    <numFmt numFmtId="173" formatCode="0.000"/>
    <numFmt numFmtId="174" formatCode="yyyy-mm-dd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B5E20"/>
      <sz val="10"/>
    </font>
    <font>
      <name val="Calibri"/>
      <b val="1"/>
      <color rgb="001B5E20"/>
      <sz val="11"/>
    </font>
    <font>
      <name val="Calibri"/>
      <sz val="10"/>
    </font>
    <font>
      <name val="Calibri"/>
      <b val="1"/>
      <color rgb="001B5E20"/>
      <sz val="10"/>
    </font>
    <font>
      <name val="Calibri"/>
      <b val="1"/>
      <color rgb="00263238"/>
      <sz val="11"/>
    </font>
    <font>
      <name val="Calibri"/>
      <b val="1"/>
      <color rgb="002E7D32"/>
      <sz val="10"/>
    </font>
    <font>
      <name val="Calibri"/>
      <i val="1"/>
      <color rgb="00666666"/>
      <sz val="9"/>
    </font>
    <font>
      <name val="Calibri"/>
      <b val="1"/>
      <color rgb="00263238"/>
      <sz val="9"/>
    </font>
    <font>
      <name val="Calibri"/>
      <sz val="9"/>
    </font>
    <font>
      <name val="Calibri"/>
      <color rgb="00555555"/>
      <sz val="9"/>
    </font>
    <font>
      <name val="Calibri"/>
      <color rgb="00263238"/>
      <sz val="10"/>
    </font>
    <font>
      <name val="Calibri"/>
      <b val="1"/>
      <color rgb="00FFFFFF"/>
      <sz val="10"/>
    </font>
    <font>
      <name val="Calibri"/>
      <i val="1"/>
      <color rgb="00263238"/>
      <sz val="9"/>
    </font>
    <font>
      <name val="Calibri"/>
      <b val="1"/>
      <color rgb="00263238"/>
      <sz val="10"/>
    </font>
    <font>
      <name val="Calibri"/>
      <b val="1"/>
      <color rgb="001B5E20"/>
      <sz val="13"/>
    </font>
    <font>
      <name val="Calibri"/>
      <b val="1"/>
      <color rgb="00B71C1C"/>
      <sz val="10"/>
    </font>
  </fonts>
  <fills count="10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  <bgColor rgb="00E8F5E9"/>
      </patternFill>
    </fill>
    <fill>
      <patternFill patternType="solid">
        <fgColor rgb="00FFF4CC"/>
        <bgColor rgb="00FFF4CC"/>
      </patternFill>
    </fill>
    <fill>
      <patternFill patternType="solid">
        <fgColor rgb="00F1F3F4"/>
        <bgColor rgb="00F1F3F4"/>
      </patternFill>
    </fill>
    <fill>
      <patternFill patternType="solid">
        <fgColor rgb="00F9A825"/>
        <bgColor rgb="00F9A825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FDECEA"/>
        <bgColor rgb="00FDECEA"/>
      </patternFill>
    </fill>
  </fills>
  <borders count="3">
    <border>
      <left/>
      <right/>
      <top/>
      <bottom/>
      <diagonal/>
    </border>
    <border>
      <left style="thin">
        <color rgb="00C8D0C8"/>
      </left>
      <right style="thin">
        <color rgb="00C8D0C8"/>
      </right>
      <top style="thin">
        <color rgb="00C8D0C8"/>
      </top>
      <bottom style="thin">
        <color rgb="00C8D0C8"/>
      </bottom>
    </border>
    <border>
      <left style="thin">
        <color rgb="00C8D0C8"/>
      </left>
      <right style="thin">
        <color rgb="00C8D0C8"/>
      </right>
      <top style="medium">
        <color rgb="002E7D32"/>
      </top>
      <bottom style="thin">
        <color rgb="00C8D0C8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0" fontId="3" fillId="0" borderId="0" pivotButton="0" quotePrefix="0" xfId="0"/>
    <xf numFmtId="0" fontId="4" fillId="4" borderId="1" pivotButton="0" quotePrefix="0" xfId="0"/>
    <xf numFmtId="0" fontId="4" fillId="0" borderId="0" pivotButton="0" quotePrefix="0" xfId="0"/>
    <xf numFmtId="0" fontId="4" fillId="5" borderId="1" pivotButton="0" quotePrefix="0" xfId="0"/>
    <xf numFmtId="0" fontId="5" fillId="3" borderId="1" pivotButton="0" quotePrefix="0" xfId="0"/>
    <xf numFmtId="0" fontId="6" fillId="6" borderId="0" pivotButton="0" quotePrefix="0" xfId="0"/>
    <xf numFmtId="0" fontId="0" fillId="6" borderId="0" pivotButton="0" quotePrefix="0" xfId="0"/>
    <xf numFmtId="0" fontId="7" fillId="0" borderId="0" applyAlignment="1" pivotButton="0" quotePrefix="0" xfId="0">
      <alignment horizontal="right" vertical="top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/>
    </xf>
    <xf numFmtId="0" fontId="15" fillId="8" borderId="1" applyAlignment="1" pivotButton="0" quotePrefix="0" xfId="0">
      <alignment vertical="center" wrapText="1" indent="1"/>
    </xf>
    <xf numFmtId="3" fontId="16" fillId="3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vertical="center" wrapText="1" indent="1"/>
    </xf>
    <xf numFmtId="3" fontId="3" fillId="3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center"/>
    </xf>
    <xf numFmtId="172" fontId="3" fillId="3" borderId="1" applyAlignment="1" pivotButton="0" quotePrefix="0" xfId="0">
      <alignment horizontal="right" vertical="center"/>
    </xf>
    <xf numFmtId="173" fontId="16" fillId="3" borderId="1" applyAlignment="1" pivotButton="0" quotePrefix="0" xfId="0">
      <alignment horizontal="right" vertical="center"/>
    </xf>
    <xf numFmtId="168" fontId="3" fillId="3" borderId="1" applyAlignment="1" pivotButton="0" quotePrefix="0" xfId="0">
      <alignment horizontal="right" vertical="center"/>
    </xf>
    <xf numFmtId="0" fontId="5" fillId="3" borderId="2" pivotButton="0" quotePrefix="0" xfId="0"/>
    <xf numFmtId="0" fontId="5" fillId="3" borderId="2" applyAlignment="1" pivotButton="0" quotePrefix="0" xfId="0">
      <alignment horizontal="center"/>
    </xf>
    <xf numFmtId="0" fontId="9" fillId="0" borderId="0" pivotButton="0" quotePrefix="0" xfId="0"/>
    <xf numFmtId="0" fontId="10" fillId="4" borderId="1" applyAlignment="1" pivotButton="0" quotePrefix="0" xfId="0">
      <alignment horizontal="center"/>
    </xf>
    <xf numFmtId="0" fontId="11" fillId="5" borderId="1" pivotButton="0" quotePrefix="0" xfId="0"/>
    <xf numFmtId="0" fontId="12" fillId="0" borderId="0" applyAlignment="1" pivotButton="0" quotePrefix="0" xfId="0">
      <alignment vertical="center"/>
    </xf>
    <xf numFmtId="164" fontId="4" fillId="4" borderId="1" applyAlignment="1" applyProtection="1" pivotButton="0" quotePrefix="0" xfId="0">
      <alignment horizontal="center"/>
      <protection locked="0" hidden="0"/>
    </xf>
    <xf numFmtId="0" fontId="4" fillId="4" borderId="1" applyProtection="1" pivotButton="0" quotePrefix="0" xfId="0">
      <protection locked="0" hidden="0"/>
    </xf>
    <xf numFmtId="1" fontId="4" fillId="4" borderId="1" applyAlignment="1" applyProtection="1" pivotButton="0" quotePrefix="0" xfId="0">
      <alignment horizontal="center"/>
      <protection locked="0" hidden="0"/>
    </xf>
    <xf numFmtId="1" fontId="4" fillId="5" borderId="1" applyAlignment="1" pivotButton="0" quotePrefix="0" xfId="0">
      <alignment horizontal="center"/>
    </xf>
    <xf numFmtId="0" fontId="8" fillId="0" borderId="0" applyAlignment="1" pivotButton="0" quotePrefix="0" xfId="0">
      <alignment vertical="center"/>
    </xf>
    <xf numFmtId="49" fontId="4" fillId="4" borderId="1" applyAlignment="1" applyProtection="1" pivotButton="0" quotePrefix="0" xfId="0">
      <alignment horizontal="center"/>
      <protection locked="0" hidden="0"/>
    </xf>
    <xf numFmtId="0" fontId="4" fillId="4" borderId="1" applyAlignment="1" applyProtection="1" pivotButton="0" quotePrefix="0" xfId="0">
      <alignment horizontal="center"/>
      <protection locked="0" hidden="0"/>
    </xf>
    <xf numFmtId="165" fontId="4" fillId="4" borderId="1" applyProtection="1" pivotButton="0" quotePrefix="0" xfId="0">
      <protection locked="0" hidden="0"/>
    </xf>
    <xf numFmtId="0" fontId="4" fillId="5" borderId="1" applyAlignment="1" pivotButton="0" quotePrefix="0" xfId="0">
      <alignment horizontal="center"/>
    </xf>
    <xf numFmtId="164" fontId="4" fillId="5" borderId="1" applyAlignment="1" pivotButton="0" quotePrefix="0" xfId="0">
      <alignment horizontal="center"/>
    </xf>
    <xf numFmtId="165" fontId="4" fillId="5" borderId="1" pivotButton="0" quotePrefix="0" xfId="0"/>
    <xf numFmtId="166" fontId="4" fillId="5" borderId="1" pivotButton="0" quotePrefix="0" xfId="0"/>
    <xf numFmtId="167" fontId="4" fillId="5" borderId="1" applyAlignment="1" pivotButton="0" quotePrefix="0" xfId="0">
      <alignment horizontal="center"/>
    </xf>
    <xf numFmtId="168" fontId="4" fillId="4" borderId="1" applyProtection="1" pivotButton="0" quotePrefix="0" xfId="0">
      <protection locked="0" hidden="0"/>
    </xf>
    <xf numFmtId="168" fontId="4" fillId="5" borderId="1" pivotButton="0" quotePrefix="0" xfId="0"/>
    <xf numFmtId="0" fontId="5" fillId="0" borderId="0" applyAlignment="1" pivotButton="0" quotePrefix="0" xfId="0">
      <alignment vertical="center"/>
    </xf>
    <xf numFmtId="169" fontId="4" fillId="5" borderId="1" pivotButton="0" quotePrefix="0" xfId="0"/>
    <xf numFmtId="170" fontId="4" fillId="5" borderId="1" pivotButton="0" quotePrefix="0" xfId="0"/>
    <xf numFmtId="171" fontId="4" fillId="5" borderId="1" pivotButton="0" quotePrefix="0" xfId="0"/>
    <xf numFmtId="3" fontId="5" fillId="3" borderId="2" applyAlignment="1" pivotButton="0" quotePrefix="0" xfId="0">
      <alignment horizontal="center"/>
    </xf>
    <xf numFmtId="169" fontId="5" fillId="3" borderId="2" pivotButton="0" quotePrefix="0" xfId="0"/>
    <xf numFmtId="172" fontId="5" fillId="3" borderId="2" pivotButton="0" quotePrefix="0" xfId="0"/>
    <xf numFmtId="173" fontId="5" fillId="3" borderId="2" pivotButton="0" quotePrefix="0" xfId="0"/>
    <xf numFmtId="0" fontId="14" fillId="0" borderId="0" applyAlignment="1" pivotButton="0" quotePrefix="0" xfId="0">
      <alignment vertical="center"/>
    </xf>
    <xf numFmtId="172" fontId="4" fillId="5" borderId="1" pivotButton="0" quotePrefix="0" xfId="0"/>
    <xf numFmtId="0" fontId="17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15" fillId="0" borderId="0" applyAlignment="1" pivotButton="0" quotePrefix="0" xfId="0">
      <alignment vertical="center"/>
    </xf>
  </cellXfs>
  <cellStyles count="1">
    <cellStyle name="Normal" xfId="0" builtinId="0" hidden="0"/>
  </cellStyles>
  <dxfs count="2">
    <dxf>
      <font>
        <name val="Calibri"/>
        <b val="1"/>
        <color rgb="001565C0"/>
      </font>
    </dxf>
    <dxf>
      <font>
        <name val="Calibri"/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Cabeças ativas por categoria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'Painel'!$E$7:$E$19</f>
            </numRef>
          </cat>
          <val>
            <numRef>
              <f>'Painel'!$F$7:$F$19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Movimentações no ano (cabeças)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F9A825"/>
            </a:solidFill>
            <a:ln xmlns:a="http://schemas.openxmlformats.org/drawingml/2006/main">
              <a:prstDash val="solid"/>
            </a:ln>
          </spPr>
          <cat>
            <numRef>
              <f>'Painel'!$H$7:$H$10</f>
            </numRef>
          </cat>
          <val>
            <numRef>
              <f>'Painel'!$I$7:$I$10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46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20</row>
      <rowOff>0</rowOff>
    </from>
    <ext cx="43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5" customWidth="1" min="3" max="3"/>
  </cols>
  <sheetData>
    <row r="1" ht="36" customHeight="1">
      <c r="A1" s="1" t="inlineStr">
        <is>
          <t>Gestão de Rebanho Bovino</t>
        </is>
      </c>
      <c r="B1" s="2" t="n"/>
      <c r="C1" s="2" t="n"/>
    </row>
    <row r="2" ht="20" customHeight="1">
      <c r="A2" s="3" t="inlineStr">
        <is>
          <t>Coleção Gestão no Campo  •  Instruções de uso</t>
        </is>
      </c>
      <c r="B2" s="4" t="n"/>
      <c r="C2" s="4" t="n"/>
    </row>
    <row r="4">
      <c r="B4" s="5" t="inlineStr">
        <is>
          <t>Legenda de cores:</t>
        </is>
      </c>
    </row>
    <row r="5">
      <c r="B5" s="6" t="inlineStr">
        <is>
          <t>Amarelo claro</t>
        </is>
      </c>
      <c r="C5" s="7" t="inlineStr">
        <is>
          <t>Células para você preencher (digitação livre ou lista suspensa).</t>
        </is>
      </c>
    </row>
    <row r="6">
      <c r="B6" s="8" t="inlineStr">
        <is>
          <t>Cinza claro</t>
        </is>
      </c>
      <c r="C6" s="7" t="inlineStr">
        <is>
          <t>Fórmulas automáticas. Ficam protegidas para evitar que sejam apagadas por engano.</t>
        </is>
      </c>
    </row>
    <row r="7">
      <c r="B7" s="9" t="inlineStr">
        <is>
          <t>Verde claro</t>
        </is>
      </c>
      <c r="C7" s="7" t="inlineStr">
        <is>
          <t>Linhas de total e resultados principais.</t>
        </is>
      </c>
    </row>
    <row r="9" ht="20" customHeight="1">
      <c r="B9" s="10" t="inlineStr">
        <is>
          <t>Passo a passo</t>
        </is>
      </c>
      <c r="C9" s="11" t="n"/>
    </row>
    <row r="10" ht="30" customHeight="1">
      <c r="B10" s="12" t="inlineStr">
        <is>
          <t>Passo 1</t>
        </is>
      </c>
      <c r="C10" s="13" t="inlineStr">
        <is>
          <t>Aba Config: confira a data de referência (por padrão, a data de hoje), o ano de análise e as faixas de idade das categorias. Você pode ajustar as idades e os nomes das categorias ao padrão da sua fazenda.</t>
        </is>
      </c>
    </row>
    <row r="11" ht="30" customHeight="1">
      <c r="B11" s="12" t="inlineStr">
        <is>
          <t>Passo 2</t>
        </is>
      </c>
      <c r="C11" s="13" t="inlineStr">
        <is>
          <t>Aba Animais: cadastre cada animal com brinco (único), sexo (M/F), data de nascimento, data e peso de entrada (nascimento ou compra). Idade, categoria, status, último peso e GMD são calculados.</t>
        </is>
      </c>
    </row>
    <row r="12" ht="30" customHeight="1">
      <c r="B12" s="12" t="inlineStr">
        <is>
          <t>Passo 3</t>
        </is>
      </c>
      <c r="C12" s="13" t="inlineStr">
        <is>
          <t>Categoria manual (opcional): use para animais cuja categoria não depende só da idade, como Touro ou animais de descarte. Ela substitui a categoria automática.</t>
        </is>
      </c>
    </row>
    <row r="13" ht="30" customHeight="1">
      <c r="B13" s="12" t="inlineStr">
        <is>
          <t>Passo 4</t>
        </is>
      </c>
      <c r="C13" s="13" t="inlineStr">
        <is>
          <t>Aba Pesagens: a cada pesagem, registre data, brinco e peso. A planilha busca a pesagem anterior do mesmo animal e calcula o GMD (ganho médio diário) do período.</t>
        </is>
      </c>
    </row>
    <row r="14" ht="30" customHeight="1">
      <c r="B14" s="12" t="inlineStr">
        <is>
          <t>Passo 5</t>
        </is>
      </c>
      <c r="C14" s="13" t="inlineStr">
        <is>
          <t>Aba Movimentações: registre nascimentos, compras, vendas e mortes. Animais com Venda ou Morte passam automaticamente para o status 'Vendido' ou 'Morto' e saem do inventário.</t>
        </is>
      </c>
    </row>
    <row r="15" ht="30" customHeight="1">
      <c r="B15" s="12" t="inlineStr">
        <is>
          <t>Passo 6</t>
        </is>
      </c>
      <c r="C15" s="13" t="inlineStr">
        <is>
          <t>Abas Inventário e Painel: veja o rebanho ativo por categoria, peso médio, GMD médio e o resumo das movimentações do ano.</t>
        </is>
      </c>
    </row>
    <row r="17" ht="20" customHeight="1">
      <c r="B17" s="10" t="inlineStr">
        <is>
          <t>Como os cálculos funcionam</t>
        </is>
      </c>
      <c r="C17" s="11" t="n"/>
    </row>
    <row r="18" ht="16" customHeight="1">
      <c r="B18" s="12" t="inlineStr">
        <is>
          <t>•</t>
        </is>
      </c>
      <c r="C18" s="13" t="inlineStr">
        <is>
          <t>Idade (meses) = meses completos entre o nascimento e a data de referência da aba Config.</t>
        </is>
      </c>
    </row>
    <row r="19" ht="16" customHeight="1">
      <c r="B19" s="12" t="inlineStr">
        <is>
          <t>•</t>
        </is>
      </c>
      <c r="C19" s="13" t="inlineStr">
        <is>
          <t>Categoria automática: definida pelo sexo e pela idade, conforme a tabela de faixas da aba Config.</t>
        </is>
      </c>
    </row>
    <row r="20" ht="16" customHeight="1">
      <c r="B20" s="12" t="inlineStr">
        <is>
          <t>•</t>
        </is>
      </c>
      <c r="C20" s="13" t="inlineStr">
        <is>
          <t>GMD da pesagem = (peso atual − peso da pesagem anterior) ÷ dias entre as duas pesagens.</t>
        </is>
      </c>
    </row>
    <row r="21" ht="30" customHeight="1">
      <c r="B21" s="12" t="inlineStr">
        <is>
          <t>•</t>
        </is>
      </c>
      <c r="C21" s="13" t="inlineStr">
        <is>
          <t>GMD desde a entrada (aba Animais) = (último peso − peso de entrada) ÷ dias entre a data de entrada e a última pesagem.</t>
        </is>
      </c>
    </row>
    <row r="23" ht="20" customHeight="1">
      <c r="B23" s="10" t="inlineStr">
        <is>
          <t>Dicas</t>
        </is>
      </c>
      <c r="C23" s="11" t="n"/>
    </row>
    <row r="24" ht="30" customHeight="1">
      <c r="B24" s="12" t="inlineStr">
        <is>
          <t>•</t>
        </is>
      </c>
      <c r="C24" s="13" t="inlineStr">
        <is>
          <t>Cadastre o animal na aba Animais antes de lançar pesagens ou movimentações — os brincos aparecem na lista suspensa.</t>
        </is>
      </c>
    </row>
    <row r="25" ht="16" customHeight="1">
      <c r="B25" s="12" t="inlineStr">
        <is>
          <t>•</t>
        </is>
      </c>
      <c r="C25" s="13" t="inlineStr">
        <is>
          <t>Não repita brincos: a planilha avisa se o brinco já existir.</t>
        </is>
      </c>
    </row>
    <row r="26" ht="16" customHeight="1">
      <c r="B26" s="12" t="inlineStr">
        <is>
          <t>•</t>
        </is>
      </c>
      <c r="C26" s="13" t="inlineStr">
        <is>
          <t>Para ver o rebanho em uma data passada, altere a data de referência na Config.</t>
        </is>
      </c>
    </row>
    <row r="27" ht="16" customHeight="1">
      <c r="B27" s="12" t="inlineStr">
        <is>
          <t>•</t>
        </is>
      </c>
      <c r="C27" s="13" t="inlineStr">
        <is>
          <t>Capacidade: 1.000 animais, 2.000 pesagens e 1.500 movimentações.</t>
        </is>
      </c>
    </row>
    <row r="29" ht="20" customHeight="1">
      <c r="B29" s="10" t="inlineStr">
        <is>
          <t>Proteção das planilhas</t>
        </is>
      </c>
      <c r="C29" s="11" t="n"/>
    </row>
    <row r="30" ht="46" customHeight="1">
      <c r="C30" s="13" t="inlineStr">
        <is>
          <t>As abas estão protegidas SEM SENHA apenas para evitar exclusão acidental de fórmulas. Para personalizar: Excel → guia Revisão → Desproteger Planilha (no LibreOffice: Ferramentas → Proteger planilha; no Google Planilhas a proteção não é importada). Lembre-se de proteger novamente depois.</t>
        </is>
      </c>
    </row>
    <row r="32" ht="30" customHeight="1">
      <c r="C32" s="14" t="inlineStr">
        <is>
          <t>Compatível com Microsoft Excel 2010 ou superior, LibreOffice Calc e Google Planilhas. A aba 'Exemplo' contém apenas dados FICTÍCIOS para demonstração e pode ser excluída.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rintOptions horizontalCentered="1"/>
  <pageMargins left="0.4" right="0.4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tabSelected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3" customWidth="1" min="4" max="4"/>
    <col width="22" customWidth="1" min="5" max="5"/>
    <col width="14" customWidth="1" min="6" max="6"/>
    <col width="3" customWidth="1" min="7" max="7"/>
    <col width="18" customWidth="1" min="8" max="8"/>
    <col width="14" customWidth="1" min="9" max="9"/>
  </cols>
  <sheetData>
    <row r="1" ht="36" customHeight="1">
      <c r="A1" s="1" t="inlineStr">
        <is>
          <t>Painel do Rebanho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Resumo do rebanho ativo e das movimentações do ano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B4" s="15">
        <f>"Propriedade: "&amp;IF(Config!B6="","(informe na aba Config)",Config!B6)&amp;"   •   Referência: "&amp;RIGHT("0"&amp;DAY(Config!B5),2)&amp;"/"&amp;RIGHT("0"&amp;MONTH(Config!B5),2)&amp;"/"&amp;YEAR(Config!B5)&amp;"   •   Ano de análise: "&amp;Config!B7</f>
        <v/>
      </c>
    </row>
    <row r="5" ht="20" customHeight="1">
      <c r="B5" s="10" t="inlineStr">
        <is>
          <t>Indicadores</t>
        </is>
      </c>
      <c r="C5" s="11" t="n"/>
      <c r="E5" s="10" t="inlineStr">
        <is>
          <t>Rebanho ativo por categoria</t>
        </is>
      </c>
      <c r="F5" s="11" t="n"/>
      <c r="H5" s="10" t="inlineStr">
        <is>
          <t>Movimentações no ano</t>
        </is>
      </c>
      <c r="I5" s="11" t="n"/>
    </row>
    <row r="6" ht="22" customHeight="1">
      <c r="B6" s="16" t="inlineStr">
        <is>
          <t>Total de cabeças ativas</t>
        </is>
      </c>
      <c r="C6" s="17">
        <f>'Inventário'!B20</f>
        <v/>
      </c>
      <c r="E6" s="18" t="inlineStr">
        <is>
          <t>Categoria</t>
        </is>
      </c>
      <c r="F6" s="18" t="inlineStr">
        <is>
          <t>Cabeças</t>
        </is>
      </c>
      <c r="H6" s="18" t="inlineStr">
        <is>
          <t>Tipo</t>
        </is>
      </c>
      <c r="I6" s="18" t="inlineStr">
        <is>
          <t>Cabeças</t>
        </is>
      </c>
    </row>
    <row r="7" ht="24" customHeight="1">
      <c r="B7" s="19" t="inlineStr">
        <is>
          <t>Machos ativos</t>
        </is>
      </c>
      <c r="C7" s="20">
        <f>COUNTIFS('Animais'!$C$6:$C$1005,"M",'Animais'!$N$6:$N$1005,"Ativo")</f>
        <v/>
      </c>
      <c r="E7" s="8">
        <f>'Inventário'!A7</f>
        <v/>
      </c>
      <c r="F7" s="21">
        <f>IF(E7="","",'Inventário'!B7)</f>
        <v/>
      </c>
      <c r="H7" s="8">
        <f>'Inventário'!A26</f>
        <v/>
      </c>
      <c r="I7" s="21">
        <f>'Inventário'!B26</f>
        <v/>
      </c>
    </row>
    <row r="8" ht="24" customHeight="1">
      <c r="B8" s="19" t="inlineStr">
        <is>
          <t>Fêmeas ativas</t>
        </is>
      </c>
      <c r="C8" s="20">
        <f>COUNTIFS('Animais'!$C$6:$C$1005,"F",'Animais'!$N$6:$N$1005,"Ativo")</f>
        <v/>
      </c>
      <c r="E8" s="8">
        <f>'Inventário'!A8</f>
        <v/>
      </c>
      <c r="F8" s="21">
        <f>IF(E8="","",'Inventário'!B8)</f>
        <v/>
      </c>
      <c r="H8" s="8">
        <f>'Inventário'!A27</f>
        <v/>
      </c>
      <c r="I8" s="21">
        <f>'Inventário'!B27</f>
        <v/>
      </c>
    </row>
    <row r="9" ht="24" customHeight="1">
      <c r="B9" s="19" t="inlineStr">
        <is>
          <t>Peso médio do rebanho ativo (kg)</t>
        </is>
      </c>
      <c r="C9" s="22">
        <f>'Inventário'!D20</f>
        <v/>
      </c>
      <c r="E9" s="8">
        <f>'Inventário'!A9</f>
        <v/>
      </c>
      <c r="F9" s="21">
        <f>IF(E9="","",'Inventário'!B9)</f>
        <v/>
      </c>
      <c r="H9" s="8">
        <f>'Inventário'!A28</f>
        <v/>
      </c>
      <c r="I9" s="21">
        <f>'Inventário'!B28</f>
        <v/>
      </c>
    </row>
    <row r="10" ht="24" customHeight="1">
      <c r="B10" s="19" t="inlineStr">
        <is>
          <t>Peso vivo total do rebanho ativo (kg)</t>
        </is>
      </c>
      <c r="C10" s="20">
        <f>'Inventário'!E20</f>
        <v/>
      </c>
      <c r="E10" s="8">
        <f>'Inventário'!A10</f>
        <v/>
      </c>
      <c r="F10" s="21">
        <f>IF(E10="","",'Inventário'!B10)</f>
        <v/>
      </c>
      <c r="H10" s="8">
        <f>'Inventário'!A29</f>
        <v/>
      </c>
      <c r="I10" s="21">
        <f>'Inventário'!B29</f>
        <v/>
      </c>
    </row>
    <row r="11" ht="24" customHeight="1">
      <c r="B11" s="16" t="inlineStr">
        <is>
          <t>GMD médio desde a entrada (kg/dia)</t>
        </is>
      </c>
      <c r="C11" s="23">
        <f>'Inventário'!F20</f>
        <v/>
      </c>
      <c r="E11" s="8">
        <f>'Inventário'!A11</f>
        <v/>
      </c>
      <c r="F11" s="21">
        <f>IF(E11="","",'Inventário'!B11)</f>
        <v/>
      </c>
    </row>
    <row r="12" ht="24" customHeight="1">
      <c r="B12" s="19" t="inlineStr">
        <is>
          <t>Nascimentos no ano</t>
        </is>
      </c>
      <c r="C12" s="20">
        <f>'Inventário'!B26</f>
        <v/>
      </c>
      <c r="E12" s="8">
        <f>'Inventário'!A12</f>
        <v/>
      </c>
      <c r="F12" s="21">
        <f>IF(E12="","",'Inventário'!B12)</f>
        <v/>
      </c>
    </row>
    <row r="13" ht="24" customHeight="1">
      <c r="B13" s="19" t="inlineStr">
        <is>
          <t>Compras no ano (cabeças)</t>
        </is>
      </c>
      <c r="C13" s="20">
        <f>'Inventário'!B27</f>
        <v/>
      </c>
      <c r="E13" s="8">
        <f>'Inventário'!A13</f>
        <v/>
      </c>
      <c r="F13" s="21">
        <f>IF(E13="","",'Inventário'!B13)</f>
        <v/>
      </c>
    </row>
    <row r="14" ht="24" customHeight="1">
      <c r="B14" s="19" t="inlineStr">
        <is>
          <t>Vendas no ano (cabeças)</t>
        </is>
      </c>
      <c r="C14" s="20">
        <f>'Inventário'!B28</f>
        <v/>
      </c>
      <c r="E14" s="8">
        <f>'Inventário'!A14</f>
        <v/>
      </c>
      <c r="F14" s="21">
        <f>IF(E14="","",'Inventário'!B14)</f>
        <v/>
      </c>
    </row>
    <row r="15" ht="24" customHeight="1">
      <c r="B15" s="19" t="inlineStr">
        <is>
          <t>Mortes no ano (cabeças)</t>
        </is>
      </c>
      <c r="C15" s="20">
        <f>'Inventário'!B29</f>
        <v/>
      </c>
      <c r="E15" s="8">
        <f>'Inventário'!A15</f>
        <v/>
      </c>
      <c r="F15" s="21">
        <f>IF(E15="","",'Inventário'!B15)</f>
        <v/>
      </c>
    </row>
    <row r="16" ht="24" customHeight="1">
      <c r="B16" s="19" t="inlineStr">
        <is>
          <t>Valor das compras no ano</t>
        </is>
      </c>
      <c r="C16" s="24">
        <f>'Inventário'!C27</f>
        <v/>
      </c>
      <c r="E16" s="8">
        <f>'Inventário'!A16</f>
        <v/>
      </c>
      <c r="F16" s="21">
        <f>IF(E16="","",'Inventário'!B16)</f>
        <v/>
      </c>
    </row>
    <row r="17" ht="24" customHeight="1">
      <c r="B17" s="19" t="inlineStr">
        <is>
          <t>Valor das vendas no ano</t>
        </is>
      </c>
      <c r="C17" s="24">
        <f>'Inventário'!C28</f>
        <v/>
      </c>
      <c r="E17" s="8">
        <f>'Inventário'!A17</f>
        <v/>
      </c>
      <c r="F17" s="21">
        <f>IF(E17="","",'Inventário'!B17)</f>
        <v/>
      </c>
    </row>
    <row r="18" ht="24" customHeight="1">
      <c r="B18" s="19" t="inlineStr">
        <is>
          <t>Ativos sem pesagem nos últimos 90 dias</t>
        </is>
      </c>
      <c r="C18" s="20">
        <f>COUNTIFS('Animais'!$N$6:$N$1005,"Ativo")-COUNTIFS('Animais'!$N$6:$N$1005,"Ativo",'Animais'!$O$6:$O$1005,"&gt;="&amp;(Config!B5-90))</f>
        <v/>
      </c>
      <c r="E18" s="8">
        <f>'Inventário'!A18</f>
        <v/>
      </c>
      <c r="F18" s="21">
        <f>IF(E18="","",'Inventário'!B18)</f>
        <v/>
      </c>
    </row>
    <row r="19">
      <c r="E19" s="8">
        <f>'Inventário'!A19</f>
        <v/>
      </c>
      <c r="F19" s="21">
        <f>IF(E19="","",'Inventário'!B19)</f>
        <v/>
      </c>
    </row>
    <row r="20">
      <c r="E20" s="25" t="inlineStr">
        <is>
          <t>TOTAL</t>
        </is>
      </c>
      <c r="F20" s="26">
        <f>SUM(F7:F19)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rintOptions horizontalCentered="1"/>
  <pageMargins left="0.4" right="0.4" top="0.5" bottom="0.5" header="0.5" footer="0.5"/>
  <pageSetup orientation="landscape" paperSize="9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tabSelected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22" customWidth="1" min="3" max="3"/>
    <col width="22" customWidth="1" min="4" max="4"/>
    <col width="3" customWidth="1" min="5" max="5"/>
  </cols>
  <sheetData>
    <row r="1" ht="36" customHeight="1">
      <c r="A1" s="1" t="inlineStr">
        <is>
          <t>Configurações</t>
        </is>
      </c>
      <c r="B1" s="2" t="n"/>
      <c r="C1" s="2" t="n"/>
      <c r="D1" s="2" t="n"/>
      <c r="E1" s="2" t="n"/>
    </row>
    <row r="2" ht="20" customHeight="1">
      <c r="A2" s="3" t="inlineStr">
        <is>
          <t>Data de referência e faixas de idade das categorias</t>
        </is>
      </c>
      <c r="B2" s="4" t="n"/>
      <c r="C2" s="4" t="n"/>
      <c r="D2" s="4" t="n"/>
      <c r="E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4" ht="20" customHeight="1">
      <c r="A4" s="10" t="inlineStr">
        <is>
          <t>Dados gerais</t>
        </is>
      </c>
      <c r="B4" s="11" t="n"/>
    </row>
    <row r="5">
      <c r="A5" s="30" t="inlineStr">
        <is>
          <t>Data de referência (idade e inventário)</t>
        </is>
      </c>
      <c r="B5" s="31">
        <f>TODAY()</f>
        <v/>
      </c>
    </row>
    <row r="6">
      <c r="A6" s="30" t="inlineStr">
        <is>
          <t>Nome da propriedade</t>
        </is>
      </c>
      <c r="B6" s="32" t="n"/>
    </row>
    <row r="7">
      <c r="A7" s="30" t="inlineStr">
        <is>
          <t>Ano de análise das movimentações</t>
        </is>
      </c>
      <c r="B7" s="33">
        <f>YEAR(B5)</f>
        <v/>
      </c>
    </row>
    <row r="9" ht="20" customHeight="1">
      <c r="A9" s="10" t="inlineStr">
        <is>
          <t>Faixas de idade das categorias automáticas</t>
        </is>
      </c>
      <c r="B9" s="11" t="n"/>
      <c r="C9" s="11" t="n"/>
    </row>
    <row r="10" ht="32" customHeight="1">
      <c r="A10" s="18" t="inlineStr">
        <is>
          <t>A partir de (meses de idade)</t>
        </is>
      </c>
      <c r="B10" s="18" t="inlineStr">
        <is>
          <t>Categoria — Macho</t>
        </is>
      </c>
      <c r="C10" s="18" t="inlineStr">
        <is>
          <t>Categoria — Fêmea</t>
        </is>
      </c>
    </row>
    <row r="11">
      <c r="A11" s="34" t="n">
        <v>0</v>
      </c>
      <c r="B11" s="32" t="inlineStr">
        <is>
          <t>Bezerro</t>
        </is>
      </c>
      <c r="C11" s="32" t="inlineStr">
        <is>
          <t>Bezerra</t>
        </is>
      </c>
    </row>
    <row r="12">
      <c r="A12" s="33" t="n">
        <v>12</v>
      </c>
      <c r="B12" s="32" t="inlineStr">
        <is>
          <t>Garrote</t>
        </is>
      </c>
      <c r="C12" s="32" t="inlineStr">
        <is>
          <t>Novilha 1-2 anos</t>
        </is>
      </c>
    </row>
    <row r="13">
      <c r="A13" s="33" t="n">
        <v>24</v>
      </c>
      <c r="B13" s="32" t="inlineStr">
        <is>
          <t>Novilho</t>
        </is>
      </c>
      <c r="C13" s="32" t="inlineStr">
        <is>
          <t>Novilha 2-3 anos</t>
        </is>
      </c>
    </row>
    <row r="14">
      <c r="A14" s="33" t="n">
        <v>36</v>
      </c>
      <c r="B14" s="32" t="inlineStr">
        <is>
          <t>Boi</t>
        </is>
      </c>
      <c r="C14" s="32" t="inlineStr">
        <is>
          <t>Vaca</t>
        </is>
      </c>
    </row>
    <row r="16" ht="20" customHeight="1">
      <c r="A16" s="10" t="inlineStr">
        <is>
          <t>Categorias manuais (Touro, descarte etc.)</t>
        </is>
      </c>
      <c r="B16" s="11" t="n"/>
      <c r="C16" s="11" t="n"/>
    </row>
    <row r="17" ht="32" customHeight="1">
      <c r="A17" s="18" t="inlineStr">
        <is>
          <t>Categoria manual</t>
        </is>
      </c>
    </row>
    <row r="18">
      <c r="A18" s="32" t="inlineStr">
        <is>
          <t>Touro</t>
        </is>
      </c>
    </row>
    <row r="19">
      <c r="A19" s="32" t="inlineStr">
        <is>
          <t>Vaca de descarte</t>
        </is>
      </c>
    </row>
    <row r="20">
      <c r="A20" s="32" t="inlineStr">
        <is>
          <t>Boi de descarte</t>
        </is>
      </c>
    </row>
    <row r="21">
      <c r="A21" s="32" t="n"/>
    </row>
    <row r="22">
      <c r="A22" s="32" t="n"/>
    </row>
    <row r="24">
      <c r="A24" s="35" t="inlineStr">
        <is>
          <t>As idades devem ser crescentes. A primeira faixa sempre começa em 0 mês.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dataValidations count="3">
    <dataValidation sqref="B5" showDropDown="0" showInputMessage="0" showErrorMessage="1" allowBlank="1" errorTitle="Data inválida" error="Digite uma data válida (dd/mm/aaaa)." type="date" operator="between">
      <formula1>DATE(1990,1,1)</formula1>
      <formula2>DATE(2100,12,31)</formula2>
    </dataValidation>
    <dataValidation sqref="B7" showDropDown="0" showInputMessage="0" showErrorMessage="1" allowBlank="1" errorTitle="Valor inválido" error="Digite um ano entre 1990 e 2100." type="decimal" operator="between">
      <formula1>1990</formula1>
      <formula2>2100</formula2>
    </dataValidation>
    <dataValidation sqref="A12:A14" showDropDown="0" showInputMessage="0" showErrorMessage="1" allowBlank="1" errorTitle="Valor inválido" error="Digite a idade em meses (crescente)." type="decimal" operator="between">
      <formula1>1</formula1>
      <formula2>600</formula2>
    </dataValidation>
  </dataValidations>
  <printOptions horizontalCentered="1"/>
  <pageMargins left="0.4" right="0.4" top="0.5" bottom="0.5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1005"/>
  <sheetViews>
    <sheetView showGridLines="0" tabSelected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3" customWidth="1" min="4" max="4"/>
    <col width="13" customWidth="1" min="5" max="5"/>
    <col width="13" customWidth="1" min="6" max="6"/>
    <col width="18" customWidth="1" min="7" max="7"/>
    <col width="10" customWidth="1" min="8" max="8"/>
    <col width="13" customWidth="1" min="9" max="9"/>
    <col width="11" customWidth="1" min="10" max="10"/>
    <col width="16" customWidth="1" min="11" max="11"/>
    <col width="9" customWidth="1" min="12" max="12"/>
    <col width="17" customWidth="1" min="13" max="13"/>
    <col width="10" customWidth="1" min="14" max="14"/>
    <col width="13" customWidth="1" min="15" max="15"/>
    <col width="11" customWidth="1" min="16" max="16"/>
    <col width="13" customWidth="1" min="17" max="17"/>
  </cols>
  <sheetData>
    <row r="1" ht="36" customHeight="1">
      <c r="A1" s="1" t="inlineStr">
        <is>
          <t>Cadastro de Animais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0" customHeight="1">
      <c r="A2" s="3" t="inlineStr">
        <is>
          <t>Um animal por linha — categoria, status, último peso e GMD automáticos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5" ht="44" customHeight="1">
      <c r="A5" s="18" t="inlineStr">
        <is>
          <t>Brinco</t>
        </is>
      </c>
      <c r="B5" s="18" t="inlineStr">
        <is>
          <t>Nome / apelido</t>
        </is>
      </c>
      <c r="C5" s="18" t="inlineStr">
        <is>
          <t>Sexo (M/F)</t>
        </is>
      </c>
      <c r="D5" s="18" t="inlineStr">
        <is>
          <t>Data de nascimento</t>
        </is>
      </c>
      <c r="E5" s="18" t="inlineStr">
        <is>
          <t>Raça</t>
        </is>
      </c>
      <c r="F5" s="18" t="inlineStr">
        <is>
          <t>Lote / pasto</t>
        </is>
      </c>
      <c r="G5" s="18" t="inlineStr">
        <is>
          <t>Origem</t>
        </is>
      </c>
      <c r="H5" s="18" t="inlineStr">
        <is>
          <t>Brinco da mãe</t>
        </is>
      </c>
      <c r="I5" s="18" t="inlineStr">
        <is>
          <t>Data de entrada</t>
        </is>
      </c>
      <c r="J5" s="18" t="inlineStr">
        <is>
          <t>Peso de entrada (kg)</t>
        </is>
      </c>
      <c r="K5" s="18" t="inlineStr">
        <is>
          <t>Categoria manual (opcional)</t>
        </is>
      </c>
      <c r="L5" s="18" t="inlineStr">
        <is>
          <t>Idade (meses)</t>
        </is>
      </c>
      <c r="M5" s="18" t="inlineStr">
        <is>
          <t>Categoria</t>
        </is>
      </c>
      <c r="N5" s="18" t="inlineStr">
        <is>
          <t>Status</t>
        </is>
      </c>
      <c r="O5" s="18" t="inlineStr">
        <is>
          <t>Data da última pesagem</t>
        </is>
      </c>
      <c r="P5" s="18" t="inlineStr">
        <is>
          <t>Último peso (kg)</t>
        </is>
      </c>
      <c r="Q5" s="18" t="inlineStr">
        <is>
          <t>GMD desde a entrada (kg/dia)</t>
        </is>
      </c>
    </row>
    <row r="6">
      <c r="A6" s="36" t="n"/>
      <c r="B6" s="32" t="n"/>
      <c r="C6" s="37" t="n"/>
      <c r="D6" s="31" t="n"/>
      <c r="E6" s="32" t="n"/>
      <c r="F6" s="32" t="n"/>
      <c r="G6" s="32" t="n"/>
      <c r="H6" s="36" t="n"/>
      <c r="I6" s="31" t="n"/>
      <c r="J6" s="38" t="n"/>
      <c r="K6" s="32" t="n"/>
      <c r="L6" s="34">
        <f>IF(OR(A6="",D6=""),"",IF(D6&gt;Config!$B$5,0,DATEDIF(D6,Config!$B$5,"m")))</f>
        <v/>
      </c>
      <c r="M6" s="39">
        <f>IF(A6="","",IF(K6&lt;&gt;"",K6,IF(OR(C6="",D6=""),"Sem dados",IFERROR(IF(C6="M",INDEX(Config!$B$11:$B$14,MATCH(L6,Config!$A$11:$A$14,1)),IF(C6="F",INDEX(Config!$C$11:$C$14,MATCH(L6,Config!$A$11:$A$14,1)),"Sem dados")),"Verificar"))))</f>
        <v/>
      </c>
      <c r="N6" s="39">
        <f>IF(A6="","",IF(COUNTIFS('Movimentações'!$C$6:$C$1505,A6,'Movimentações'!$B$6:$B$1505,"Venda")&gt;0,"Vendido",IF(COUNTIFS('Movimentações'!$C$6:$C$1505,A6,'Movimentações'!$B$6:$B$1505,"Morte")&gt;0,"Morto","Ativo")))</f>
        <v/>
      </c>
      <c r="O6" s="40">
        <f>IF(A6="","",IF(COUNTIF('Pesagens'!$B$6:$B$2005,A6)=0,"",SUMPRODUCT(MAX(('Pesagens'!$B$6:$B$2005=A6)*'Pesagens'!$A$6:$A$2005))))</f>
        <v/>
      </c>
      <c r="P6" s="41">
        <f>IF(A6="","",IF(O6="",IF(J6="","",J6),IFERROR(AVERAGEIFS('Pesagens'!$C$6:$C$2005,'Pesagens'!$B$6:$B$2005,A6,'Pesagens'!$A$6:$A$2005,O6),"")))</f>
        <v/>
      </c>
      <c r="Q6" s="42">
        <f>IF(OR(A6="",O6="",I6="",J6=""),"",IFERROR((P6-J6)/(O6-I6),""))</f>
        <v/>
      </c>
    </row>
    <row r="7">
      <c r="A7" s="36" t="n"/>
      <c r="B7" s="32" t="n"/>
      <c r="C7" s="37" t="n"/>
      <c r="D7" s="31" t="n"/>
      <c r="E7" s="32" t="n"/>
      <c r="F7" s="32" t="n"/>
      <c r="G7" s="32" t="n"/>
      <c r="H7" s="36" t="n"/>
      <c r="I7" s="31" t="n"/>
      <c r="J7" s="38" t="n"/>
      <c r="K7" s="32" t="n"/>
      <c r="L7" s="34">
        <f>IF(OR(A7="",D7=""),"",IF(D7&gt;Config!$B$5,0,DATEDIF(D7,Config!$B$5,"m")))</f>
        <v/>
      </c>
      <c r="M7" s="39">
        <f>IF(A7="","",IF(K7&lt;&gt;"",K7,IF(OR(C7="",D7=""),"Sem dados",IFERROR(IF(C7="M",INDEX(Config!$B$11:$B$14,MATCH(L7,Config!$A$11:$A$14,1)),IF(C7="F",INDEX(Config!$C$11:$C$14,MATCH(L7,Config!$A$11:$A$14,1)),"Sem dados")),"Verificar"))))</f>
        <v/>
      </c>
      <c r="N7" s="39">
        <f>IF(A7="","",IF(COUNTIFS('Movimentações'!$C$6:$C$1505,A7,'Movimentações'!$B$6:$B$1505,"Venda")&gt;0,"Vendido",IF(COUNTIFS('Movimentações'!$C$6:$C$1505,A7,'Movimentações'!$B$6:$B$1505,"Morte")&gt;0,"Morto","Ativo")))</f>
        <v/>
      </c>
      <c r="O7" s="40">
        <f>IF(A7="","",IF(COUNTIF('Pesagens'!$B$6:$B$2005,A7)=0,"",SUMPRODUCT(MAX(('Pesagens'!$B$6:$B$2005=A7)*'Pesagens'!$A$6:$A$2005))))</f>
        <v/>
      </c>
      <c r="P7" s="41">
        <f>IF(A7="","",IF(O7="",IF(J7="","",J7),IFERROR(AVERAGEIFS('Pesagens'!$C$6:$C$2005,'Pesagens'!$B$6:$B$2005,A7,'Pesagens'!$A$6:$A$2005,O7),"")))</f>
        <v/>
      </c>
      <c r="Q7" s="42">
        <f>IF(OR(A7="",O7="",I7="",J7=""),"",IFERROR((P7-J7)/(O7-I7),""))</f>
        <v/>
      </c>
    </row>
    <row r="8">
      <c r="A8" s="36" t="n"/>
      <c r="B8" s="32" t="n"/>
      <c r="C8" s="37" t="n"/>
      <c r="D8" s="31" t="n"/>
      <c r="E8" s="32" t="n"/>
      <c r="F8" s="32" t="n"/>
      <c r="G8" s="32" t="n"/>
      <c r="H8" s="36" t="n"/>
      <c r="I8" s="31" t="n"/>
      <c r="J8" s="38" t="n"/>
      <c r="K8" s="32" t="n"/>
      <c r="L8" s="34">
        <f>IF(OR(A8="",D8=""),"",IF(D8&gt;Config!$B$5,0,DATEDIF(D8,Config!$B$5,"m")))</f>
        <v/>
      </c>
      <c r="M8" s="39">
        <f>IF(A8="","",IF(K8&lt;&gt;"",K8,IF(OR(C8="",D8=""),"Sem dados",IFERROR(IF(C8="M",INDEX(Config!$B$11:$B$14,MATCH(L8,Config!$A$11:$A$14,1)),IF(C8="F",INDEX(Config!$C$11:$C$14,MATCH(L8,Config!$A$11:$A$14,1)),"Sem dados")),"Verificar"))))</f>
        <v/>
      </c>
      <c r="N8" s="39">
        <f>IF(A8="","",IF(COUNTIFS('Movimentações'!$C$6:$C$1505,A8,'Movimentações'!$B$6:$B$1505,"Venda")&gt;0,"Vendido",IF(COUNTIFS('Movimentações'!$C$6:$C$1505,A8,'Movimentações'!$B$6:$B$1505,"Morte")&gt;0,"Morto","Ativo")))</f>
        <v/>
      </c>
      <c r="O8" s="40">
        <f>IF(A8="","",IF(COUNTIF('Pesagens'!$B$6:$B$2005,A8)=0,"",SUMPRODUCT(MAX(('Pesagens'!$B$6:$B$2005=A8)*'Pesagens'!$A$6:$A$2005))))</f>
        <v/>
      </c>
      <c r="P8" s="41">
        <f>IF(A8="","",IF(O8="",IF(J8="","",J8),IFERROR(AVERAGEIFS('Pesagens'!$C$6:$C$2005,'Pesagens'!$B$6:$B$2005,A8,'Pesagens'!$A$6:$A$2005,O8),"")))</f>
        <v/>
      </c>
      <c r="Q8" s="42">
        <f>IF(OR(A8="",O8="",I8="",J8=""),"",IFERROR((P8-J8)/(O8-I8),""))</f>
        <v/>
      </c>
    </row>
    <row r="9">
      <c r="A9" s="36" t="n"/>
      <c r="B9" s="32" t="n"/>
      <c r="C9" s="37" t="n"/>
      <c r="D9" s="31" t="n"/>
      <c r="E9" s="32" t="n"/>
      <c r="F9" s="32" t="n"/>
      <c r="G9" s="32" t="n"/>
      <c r="H9" s="36" t="n"/>
      <c r="I9" s="31" t="n"/>
      <c r="J9" s="38" t="n"/>
      <c r="K9" s="32" t="n"/>
      <c r="L9" s="34">
        <f>IF(OR(A9="",D9=""),"",IF(D9&gt;Config!$B$5,0,DATEDIF(D9,Config!$B$5,"m")))</f>
        <v/>
      </c>
      <c r="M9" s="39">
        <f>IF(A9="","",IF(K9&lt;&gt;"",K9,IF(OR(C9="",D9=""),"Sem dados",IFERROR(IF(C9="M",INDEX(Config!$B$11:$B$14,MATCH(L9,Config!$A$11:$A$14,1)),IF(C9="F",INDEX(Config!$C$11:$C$14,MATCH(L9,Config!$A$11:$A$14,1)),"Sem dados")),"Verificar"))))</f>
        <v/>
      </c>
      <c r="N9" s="39">
        <f>IF(A9="","",IF(COUNTIFS('Movimentações'!$C$6:$C$1505,A9,'Movimentações'!$B$6:$B$1505,"Venda")&gt;0,"Vendido",IF(COUNTIFS('Movimentações'!$C$6:$C$1505,A9,'Movimentações'!$B$6:$B$1505,"Morte")&gt;0,"Morto","Ativo")))</f>
        <v/>
      </c>
      <c r="O9" s="40">
        <f>IF(A9="","",IF(COUNTIF('Pesagens'!$B$6:$B$2005,A9)=0,"",SUMPRODUCT(MAX(('Pesagens'!$B$6:$B$2005=A9)*'Pesagens'!$A$6:$A$2005))))</f>
        <v/>
      </c>
      <c r="P9" s="41">
        <f>IF(A9="","",IF(O9="",IF(J9="","",J9),IFERROR(AVERAGEIFS('Pesagens'!$C$6:$C$2005,'Pesagens'!$B$6:$B$2005,A9,'Pesagens'!$A$6:$A$2005,O9),"")))</f>
        <v/>
      </c>
      <c r="Q9" s="42">
        <f>IF(OR(A9="",O9="",I9="",J9=""),"",IFERROR((P9-J9)/(O9-I9),""))</f>
        <v/>
      </c>
    </row>
    <row r="10">
      <c r="A10" s="36" t="n"/>
      <c r="B10" s="32" t="n"/>
      <c r="C10" s="37" t="n"/>
      <c r="D10" s="31" t="n"/>
      <c r="E10" s="32" t="n"/>
      <c r="F10" s="32" t="n"/>
      <c r="G10" s="32" t="n"/>
      <c r="H10" s="36" t="n"/>
      <c r="I10" s="31" t="n"/>
      <c r="J10" s="38" t="n"/>
      <c r="K10" s="32" t="n"/>
      <c r="L10" s="34">
        <f>IF(OR(A10="",D10=""),"",IF(D10&gt;Config!$B$5,0,DATEDIF(D10,Config!$B$5,"m")))</f>
        <v/>
      </c>
      <c r="M10" s="39">
        <f>IF(A10="","",IF(K10&lt;&gt;"",K10,IF(OR(C10="",D10=""),"Sem dados",IFERROR(IF(C10="M",INDEX(Config!$B$11:$B$14,MATCH(L10,Config!$A$11:$A$14,1)),IF(C10="F",INDEX(Config!$C$11:$C$14,MATCH(L10,Config!$A$11:$A$14,1)),"Sem dados")),"Verificar"))))</f>
        <v/>
      </c>
      <c r="N10" s="39">
        <f>IF(A10="","",IF(COUNTIFS('Movimentações'!$C$6:$C$1505,A10,'Movimentações'!$B$6:$B$1505,"Venda")&gt;0,"Vendido",IF(COUNTIFS('Movimentações'!$C$6:$C$1505,A10,'Movimentações'!$B$6:$B$1505,"Morte")&gt;0,"Morto","Ativo")))</f>
        <v/>
      </c>
      <c r="O10" s="40">
        <f>IF(A10="","",IF(COUNTIF('Pesagens'!$B$6:$B$2005,A10)=0,"",SUMPRODUCT(MAX(('Pesagens'!$B$6:$B$2005=A10)*'Pesagens'!$A$6:$A$2005))))</f>
        <v/>
      </c>
      <c r="P10" s="41">
        <f>IF(A10="","",IF(O10="",IF(J10="","",J10),IFERROR(AVERAGEIFS('Pesagens'!$C$6:$C$2005,'Pesagens'!$B$6:$B$2005,A10,'Pesagens'!$A$6:$A$2005,O10),"")))</f>
        <v/>
      </c>
      <c r="Q10" s="42">
        <f>IF(OR(A10="",O10="",I10="",J10=""),"",IFERROR((P10-J10)/(O10-I10),""))</f>
        <v/>
      </c>
    </row>
    <row r="11">
      <c r="A11" s="36" t="n"/>
      <c r="B11" s="32" t="n"/>
      <c r="C11" s="37" t="n"/>
      <c r="D11" s="31" t="n"/>
      <c r="E11" s="32" t="n"/>
      <c r="F11" s="32" t="n"/>
      <c r="G11" s="32" t="n"/>
      <c r="H11" s="36" t="n"/>
      <c r="I11" s="31" t="n"/>
      <c r="J11" s="38" t="n"/>
      <c r="K11" s="32" t="n"/>
      <c r="L11" s="34">
        <f>IF(OR(A11="",D11=""),"",IF(D11&gt;Config!$B$5,0,DATEDIF(D11,Config!$B$5,"m")))</f>
        <v/>
      </c>
      <c r="M11" s="39">
        <f>IF(A11="","",IF(K11&lt;&gt;"",K11,IF(OR(C11="",D11=""),"Sem dados",IFERROR(IF(C11="M",INDEX(Config!$B$11:$B$14,MATCH(L11,Config!$A$11:$A$14,1)),IF(C11="F",INDEX(Config!$C$11:$C$14,MATCH(L11,Config!$A$11:$A$14,1)),"Sem dados")),"Verificar"))))</f>
        <v/>
      </c>
      <c r="N11" s="39">
        <f>IF(A11="","",IF(COUNTIFS('Movimentações'!$C$6:$C$1505,A11,'Movimentações'!$B$6:$B$1505,"Venda")&gt;0,"Vendido",IF(COUNTIFS('Movimentações'!$C$6:$C$1505,A11,'Movimentações'!$B$6:$B$1505,"Morte")&gt;0,"Morto","Ativo")))</f>
        <v/>
      </c>
      <c r="O11" s="40">
        <f>IF(A11="","",IF(COUNTIF('Pesagens'!$B$6:$B$2005,A11)=0,"",SUMPRODUCT(MAX(('Pesagens'!$B$6:$B$2005=A11)*'Pesagens'!$A$6:$A$2005))))</f>
        <v/>
      </c>
      <c r="P11" s="41">
        <f>IF(A11="","",IF(O11="",IF(J11="","",J11),IFERROR(AVERAGEIFS('Pesagens'!$C$6:$C$2005,'Pesagens'!$B$6:$B$2005,A11,'Pesagens'!$A$6:$A$2005,O11),"")))</f>
        <v/>
      </c>
      <c r="Q11" s="42">
        <f>IF(OR(A11="",O11="",I11="",J11=""),"",IFERROR((P11-J11)/(O11-I11),""))</f>
        <v/>
      </c>
    </row>
    <row r="12">
      <c r="A12" s="36" t="n"/>
      <c r="B12" s="32" t="n"/>
      <c r="C12" s="37" t="n"/>
      <c r="D12" s="31" t="n"/>
      <c r="E12" s="32" t="n"/>
      <c r="F12" s="32" t="n"/>
      <c r="G12" s="32" t="n"/>
      <c r="H12" s="36" t="n"/>
      <c r="I12" s="31" t="n"/>
      <c r="J12" s="38" t="n"/>
      <c r="K12" s="32" t="n"/>
      <c r="L12" s="34">
        <f>IF(OR(A12="",D12=""),"",IF(D12&gt;Config!$B$5,0,DATEDIF(D12,Config!$B$5,"m")))</f>
        <v/>
      </c>
      <c r="M12" s="39">
        <f>IF(A12="","",IF(K12&lt;&gt;"",K12,IF(OR(C12="",D12=""),"Sem dados",IFERROR(IF(C12="M",INDEX(Config!$B$11:$B$14,MATCH(L12,Config!$A$11:$A$14,1)),IF(C12="F",INDEX(Config!$C$11:$C$14,MATCH(L12,Config!$A$11:$A$14,1)),"Sem dados")),"Verificar"))))</f>
        <v/>
      </c>
      <c r="N12" s="39">
        <f>IF(A12="","",IF(COUNTIFS('Movimentações'!$C$6:$C$1505,A12,'Movimentações'!$B$6:$B$1505,"Venda")&gt;0,"Vendido",IF(COUNTIFS('Movimentações'!$C$6:$C$1505,A12,'Movimentações'!$B$6:$B$1505,"Morte")&gt;0,"Morto","Ativo")))</f>
        <v/>
      </c>
      <c r="O12" s="40">
        <f>IF(A12="","",IF(COUNTIF('Pesagens'!$B$6:$B$2005,A12)=0,"",SUMPRODUCT(MAX(('Pesagens'!$B$6:$B$2005=A12)*'Pesagens'!$A$6:$A$2005))))</f>
        <v/>
      </c>
      <c r="P12" s="41">
        <f>IF(A12="","",IF(O12="",IF(J12="","",J12),IFERROR(AVERAGEIFS('Pesagens'!$C$6:$C$2005,'Pesagens'!$B$6:$B$2005,A12,'Pesagens'!$A$6:$A$2005,O12),"")))</f>
        <v/>
      </c>
      <c r="Q12" s="42">
        <f>IF(OR(A12="",O12="",I12="",J12=""),"",IFERROR((P12-J12)/(O12-I12),""))</f>
        <v/>
      </c>
    </row>
    <row r="13">
      <c r="A13" s="36" t="n"/>
      <c r="B13" s="32" t="n"/>
      <c r="C13" s="37" t="n"/>
      <c r="D13" s="31" t="n"/>
      <c r="E13" s="32" t="n"/>
      <c r="F13" s="32" t="n"/>
      <c r="G13" s="32" t="n"/>
      <c r="H13" s="36" t="n"/>
      <c r="I13" s="31" t="n"/>
      <c r="J13" s="38" t="n"/>
      <c r="K13" s="32" t="n"/>
      <c r="L13" s="34">
        <f>IF(OR(A13="",D13=""),"",IF(D13&gt;Config!$B$5,0,DATEDIF(D13,Config!$B$5,"m")))</f>
        <v/>
      </c>
      <c r="M13" s="39">
        <f>IF(A13="","",IF(K13&lt;&gt;"",K13,IF(OR(C13="",D13=""),"Sem dados",IFERROR(IF(C13="M",INDEX(Config!$B$11:$B$14,MATCH(L13,Config!$A$11:$A$14,1)),IF(C13="F",INDEX(Config!$C$11:$C$14,MATCH(L13,Config!$A$11:$A$14,1)),"Sem dados")),"Verificar"))))</f>
        <v/>
      </c>
      <c r="N13" s="39">
        <f>IF(A13="","",IF(COUNTIFS('Movimentações'!$C$6:$C$1505,A13,'Movimentações'!$B$6:$B$1505,"Venda")&gt;0,"Vendido",IF(COUNTIFS('Movimentações'!$C$6:$C$1505,A13,'Movimentações'!$B$6:$B$1505,"Morte")&gt;0,"Morto","Ativo")))</f>
        <v/>
      </c>
      <c r="O13" s="40">
        <f>IF(A13="","",IF(COUNTIF('Pesagens'!$B$6:$B$2005,A13)=0,"",SUMPRODUCT(MAX(('Pesagens'!$B$6:$B$2005=A13)*'Pesagens'!$A$6:$A$2005))))</f>
        <v/>
      </c>
      <c r="P13" s="41">
        <f>IF(A13="","",IF(O13="",IF(J13="","",J13),IFERROR(AVERAGEIFS('Pesagens'!$C$6:$C$2005,'Pesagens'!$B$6:$B$2005,A13,'Pesagens'!$A$6:$A$2005,O13),"")))</f>
        <v/>
      </c>
      <c r="Q13" s="42">
        <f>IF(OR(A13="",O13="",I13="",J13=""),"",IFERROR((P13-J13)/(O13-I13),""))</f>
        <v/>
      </c>
    </row>
    <row r="14">
      <c r="A14" s="36" t="n"/>
      <c r="B14" s="32" t="n"/>
      <c r="C14" s="37" t="n"/>
      <c r="D14" s="31" t="n"/>
      <c r="E14" s="32" t="n"/>
      <c r="F14" s="32" t="n"/>
      <c r="G14" s="32" t="n"/>
      <c r="H14" s="36" t="n"/>
      <c r="I14" s="31" t="n"/>
      <c r="J14" s="38" t="n"/>
      <c r="K14" s="32" t="n"/>
      <c r="L14" s="34">
        <f>IF(OR(A14="",D14=""),"",IF(D14&gt;Config!$B$5,0,DATEDIF(D14,Config!$B$5,"m")))</f>
        <v/>
      </c>
      <c r="M14" s="39">
        <f>IF(A14="","",IF(K14&lt;&gt;"",K14,IF(OR(C14="",D14=""),"Sem dados",IFERROR(IF(C14="M",INDEX(Config!$B$11:$B$14,MATCH(L14,Config!$A$11:$A$14,1)),IF(C14="F",INDEX(Config!$C$11:$C$14,MATCH(L14,Config!$A$11:$A$14,1)),"Sem dados")),"Verificar"))))</f>
        <v/>
      </c>
      <c r="N14" s="39">
        <f>IF(A14="","",IF(COUNTIFS('Movimentações'!$C$6:$C$1505,A14,'Movimentações'!$B$6:$B$1505,"Venda")&gt;0,"Vendido",IF(COUNTIFS('Movimentações'!$C$6:$C$1505,A14,'Movimentações'!$B$6:$B$1505,"Morte")&gt;0,"Morto","Ativo")))</f>
        <v/>
      </c>
      <c r="O14" s="40">
        <f>IF(A14="","",IF(COUNTIF('Pesagens'!$B$6:$B$2005,A14)=0,"",SUMPRODUCT(MAX(('Pesagens'!$B$6:$B$2005=A14)*'Pesagens'!$A$6:$A$2005))))</f>
        <v/>
      </c>
      <c r="P14" s="41">
        <f>IF(A14="","",IF(O14="",IF(J14="","",J14),IFERROR(AVERAGEIFS('Pesagens'!$C$6:$C$2005,'Pesagens'!$B$6:$B$2005,A14,'Pesagens'!$A$6:$A$2005,O14),"")))</f>
        <v/>
      </c>
      <c r="Q14" s="42">
        <f>IF(OR(A14="",O14="",I14="",J14=""),"",IFERROR((P14-J14)/(O14-I14),""))</f>
        <v/>
      </c>
    </row>
    <row r="15">
      <c r="A15" s="36" t="n"/>
      <c r="B15" s="32" t="n"/>
      <c r="C15" s="37" t="n"/>
      <c r="D15" s="31" t="n"/>
      <c r="E15" s="32" t="n"/>
      <c r="F15" s="32" t="n"/>
      <c r="G15" s="32" t="n"/>
      <c r="H15" s="36" t="n"/>
      <c r="I15" s="31" t="n"/>
      <c r="J15" s="38" t="n"/>
      <c r="K15" s="32" t="n"/>
      <c r="L15" s="34">
        <f>IF(OR(A15="",D15=""),"",IF(D15&gt;Config!$B$5,0,DATEDIF(D15,Config!$B$5,"m")))</f>
        <v/>
      </c>
      <c r="M15" s="39">
        <f>IF(A15="","",IF(K15&lt;&gt;"",K15,IF(OR(C15="",D15=""),"Sem dados",IFERROR(IF(C15="M",INDEX(Config!$B$11:$B$14,MATCH(L15,Config!$A$11:$A$14,1)),IF(C15="F",INDEX(Config!$C$11:$C$14,MATCH(L15,Config!$A$11:$A$14,1)),"Sem dados")),"Verificar"))))</f>
        <v/>
      </c>
      <c r="N15" s="39">
        <f>IF(A15="","",IF(COUNTIFS('Movimentações'!$C$6:$C$1505,A15,'Movimentações'!$B$6:$B$1505,"Venda")&gt;0,"Vendido",IF(COUNTIFS('Movimentações'!$C$6:$C$1505,A15,'Movimentações'!$B$6:$B$1505,"Morte")&gt;0,"Morto","Ativo")))</f>
        <v/>
      </c>
      <c r="O15" s="40">
        <f>IF(A15="","",IF(COUNTIF('Pesagens'!$B$6:$B$2005,A15)=0,"",SUMPRODUCT(MAX(('Pesagens'!$B$6:$B$2005=A15)*'Pesagens'!$A$6:$A$2005))))</f>
        <v/>
      </c>
      <c r="P15" s="41">
        <f>IF(A15="","",IF(O15="",IF(J15="","",J15),IFERROR(AVERAGEIFS('Pesagens'!$C$6:$C$2005,'Pesagens'!$B$6:$B$2005,A15,'Pesagens'!$A$6:$A$2005,O15),"")))</f>
        <v/>
      </c>
      <c r="Q15" s="42">
        <f>IF(OR(A15="",O15="",I15="",J15=""),"",IFERROR((P15-J15)/(O15-I15),""))</f>
        <v/>
      </c>
    </row>
    <row r="16">
      <c r="A16" s="36" t="n"/>
      <c r="B16" s="32" t="n"/>
      <c r="C16" s="37" t="n"/>
      <c r="D16" s="31" t="n"/>
      <c r="E16" s="32" t="n"/>
      <c r="F16" s="32" t="n"/>
      <c r="G16" s="32" t="n"/>
      <c r="H16" s="36" t="n"/>
      <c r="I16" s="31" t="n"/>
      <c r="J16" s="38" t="n"/>
      <c r="K16" s="32" t="n"/>
      <c r="L16" s="34">
        <f>IF(OR(A16="",D16=""),"",IF(D16&gt;Config!$B$5,0,DATEDIF(D16,Config!$B$5,"m")))</f>
        <v/>
      </c>
      <c r="M16" s="39">
        <f>IF(A16="","",IF(K16&lt;&gt;"",K16,IF(OR(C16="",D16=""),"Sem dados",IFERROR(IF(C16="M",INDEX(Config!$B$11:$B$14,MATCH(L16,Config!$A$11:$A$14,1)),IF(C16="F",INDEX(Config!$C$11:$C$14,MATCH(L16,Config!$A$11:$A$14,1)),"Sem dados")),"Verificar"))))</f>
        <v/>
      </c>
      <c r="N16" s="39">
        <f>IF(A16="","",IF(COUNTIFS('Movimentações'!$C$6:$C$1505,A16,'Movimentações'!$B$6:$B$1505,"Venda")&gt;0,"Vendido",IF(COUNTIFS('Movimentações'!$C$6:$C$1505,A16,'Movimentações'!$B$6:$B$1505,"Morte")&gt;0,"Morto","Ativo")))</f>
        <v/>
      </c>
      <c r="O16" s="40">
        <f>IF(A16="","",IF(COUNTIF('Pesagens'!$B$6:$B$2005,A16)=0,"",SUMPRODUCT(MAX(('Pesagens'!$B$6:$B$2005=A16)*'Pesagens'!$A$6:$A$2005))))</f>
        <v/>
      </c>
      <c r="P16" s="41">
        <f>IF(A16="","",IF(O16="",IF(J16="","",J16),IFERROR(AVERAGEIFS('Pesagens'!$C$6:$C$2005,'Pesagens'!$B$6:$B$2005,A16,'Pesagens'!$A$6:$A$2005,O16),"")))</f>
        <v/>
      </c>
      <c r="Q16" s="42">
        <f>IF(OR(A16="",O16="",I16="",J16=""),"",IFERROR((P16-J16)/(O16-I16),""))</f>
        <v/>
      </c>
    </row>
    <row r="17">
      <c r="A17" s="36" t="n"/>
      <c r="B17" s="32" t="n"/>
      <c r="C17" s="37" t="n"/>
      <c r="D17" s="31" t="n"/>
      <c r="E17" s="32" t="n"/>
      <c r="F17" s="32" t="n"/>
      <c r="G17" s="32" t="n"/>
      <c r="H17" s="36" t="n"/>
      <c r="I17" s="31" t="n"/>
      <c r="J17" s="38" t="n"/>
      <c r="K17" s="32" t="n"/>
      <c r="L17" s="34">
        <f>IF(OR(A17="",D17=""),"",IF(D17&gt;Config!$B$5,0,DATEDIF(D17,Config!$B$5,"m")))</f>
        <v/>
      </c>
      <c r="M17" s="39">
        <f>IF(A17="","",IF(K17&lt;&gt;"",K17,IF(OR(C17="",D17=""),"Sem dados",IFERROR(IF(C17="M",INDEX(Config!$B$11:$B$14,MATCH(L17,Config!$A$11:$A$14,1)),IF(C17="F",INDEX(Config!$C$11:$C$14,MATCH(L17,Config!$A$11:$A$14,1)),"Sem dados")),"Verificar"))))</f>
        <v/>
      </c>
      <c r="N17" s="39">
        <f>IF(A17="","",IF(COUNTIFS('Movimentações'!$C$6:$C$1505,A17,'Movimentações'!$B$6:$B$1505,"Venda")&gt;0,"Vendido",IF(COUNTIFS('Movimentações'!$C$6:$C$1505,A17,'Movimentações'!$B$6:$B$1505,"Morte")&gt;0,"Morto","Ativo")))</f>
        <v/>
      </c>
      <c r="O17" s="40">
        <f>IF(A17="","",IF(COUNTIF('Pesagens'!$B$6:$B$2005,A17)=0,"",SUMPRODUCT(MAX(('Pesagens'!$B$6:$B$2005=A17)*'Pesagens'!$A$6:$A$2005))))</f>
        <v/>
      </c>
      <c r="P17" s="41">
        <f>IF(A17="","",IF(O17="",IF(J17="","",J17),IFERROR(AVERAGEIFS('Pesagens'!$C$6:$C$2005,'Pesagens'!$B$6:$B$2005,A17,'Pesagens'!$A$6:$A$2005,O17),"")))</f>
        <v/>
      </c>
      <c r="Q17" s="42">
        <f>IF(OR(A17="",O17="",I17="",J17=""),"",IFERROR((P17-J17)/(O17-I17),""))</f>
        <v/>
      </c>
    </row>
    <row r="18">
      <c r="A18" s="36" t="n"/>
      <c r="B18" s="32" t="n"/>
      <c r="C18" s="37" t="n"/>
      <c r="D18" s="31" t="n"/>
      <c r="E18" s="32" t="n"/>
      <c r="F18" s="32" t="n"/>
      <c r="G18" s="32" t="n"/>
      <c r="H18" s="36" t="n"/>
      <c r="I18" s="31" t="n"/>
      <c r="J18" s="38" t="n"/>
      <c r="K18" s="32" t="n"/>
      <c r="L18" s="34">
        <f>IF(OR(A18="",D18=""),"",IF(D18&gt;Config!$B$5,0,DATEDIF(D18,Config!$B$5,"m")))</f>
        <v/>
      </c>
      <c r="M18" s="39">
        <f>IF(A18="","",IF(K18&lt;&gt;"",K18,IF(OR(C18="",D18=""),"Sem dados",IFERROR(IF(C18="M",INDEX(Config!$B$11:$B$14,MATCH(L18,Config!$A$11:$A$14,1)),IF(C18="F",INDEX(Config!$C$11:$C$14,MATCH(L18,Config!$A$11:$A$14,1)),"Sem dados")),"Verificar"))))</f>
        <v/>
      </c>
      <c r="N18" s="39">
        <f>IF(A18="","",IF(COUNTIFS('Movimentações'!$C$6:$C$1505,A18,'Movimentações'!$B$6:$B$1505,"Venda")&gt;0,"Vendido",IF(COUNTIFS('Movimentações'!$C$6:$C$1505,A18,'Movimentações'!$B$6:$B$1505,"Morte")&gt;0,"Morto","Ativo")))</f>
        <v/>
      </c>
      <c r="O18" s="40">
        <f>IF(A18="","",IF(COUNTIF('Pesagens'!$B$6:$B$2005,A18)=0,"",SUMPRODUCT(MAX(('Pesagens'!$B$6:$B$2005=A18)*'Pesagens'!$A$6:$A$2005))))</f>
        <v/>
      </c>
      <c r="P18" s="41">
        <f>IF(A18="","",IF(O18="",IF(J18="","",J18),IFERROR(AVERAGEIFS('Pesagens'!$C$6:$C$2005,'Pesagens'!$B$6:$B$2005,A18,'Pesagens'!$A$6:$A$2005,O18),"")))</f>
        <v/>
      </c>
      <c r="Q18" s="42">
        <f>IF(OR(A18="",O18="",I18="",J18=""),"",IFERROR((P18-J18)/(O18-I18),""))</f>
        <v/>
      </c>
    </row>
    <row r="19">
      <c r="A19" s="36" t="n"/>
      <c r="B19" s="32" t="n"/>
      <c r="C19" s="37" t="n"/>
      <c r="D19" s="31" t="n"/>
      <c r="E19" s="32" t="n"/>
      <c r="F19" s="32" t="n"/>
      <c r="G19" s="32" t="n"/>
      <c r="H19" s="36" t="n"/>
      <c r="I19" s="31" t="n"/>
      <c r="J19" s="38" t="n"/>
      <c r="K19" s="32" t="n"/>
      <c r="L19" s="34">
        <f>IF(OR(A19="",D19=""),"",IF(D19&gt;Config!$B$5,0,DATEDIF(D19,Config!$B$5,"m")))</f>
        <v/>
      </c>
      <c r="M19" s="39">
        <f>IF(A19="","",IF(K19&lt;&gt;"",K19,IF(OR(C19="",D19=""),"Sem dados",IFERROR(IF(C19="M",INDEX(Config!$B$11:$B$14,MATCH(L19,Config!$A$11:$A$14,1)),IF(C19="F",INDEX(Config!$C$11:$C$14,MATCH(L19,Config!$A$11:$A$14,1)),"Sem dados")),"Verificar"))))</f>
        <v/>
      </c>
      <c r="N19" s="39">
        <f>IF(A19="","",IF(COUNTIFS('Movimentações'!$C$6:$C$1505,A19,'Movimentações'!$B$6:$B$1505,"Venda")&gt;0,"Vendido",IF(COUNTIFS('Movimentações'!$C$6:$C$1505,A19,'Movimentações'!$B$6:$B$1505,"Morte")&gt;0,"Morto","Ativo")))</f>
        <v/>
      </c>
      <c r="O19" s="40">
        <f>IF(A19="","",IF(COUNTIF('Pesagens'!$B$6:$B$2005,A19)=0,"",SUMPRODUCT(MAX(('Pesagens'!$B$6:$B$2005=A19)*'Pesagens'!$A$6:$A$2005))))</f>
        <v/>
      </c>
      <c r="P19" s="41">
        <f>IF(A19="","",IF(O19="",IF(J19="","",J19),IFERROR(AVERAGEIFS('Pesagens'!$C$6:$C$2005,'Pesagens'!$B$6:$B$2005,A19,'Pesagens'!$A$6:$A$2005,O19),"")))</f>
        <v/>
      </c>
      <c r="Q19" s="42">
        <f>IF(OR(A19="",O19="",I19="",J19=""),"",IFERROR((P19-J19)/(O19-I19),""))</f>
        <v/>
      </c>
    </row>
    <row r="20">
      <c r="A20" s="36" t="n"/>
      <c r="B20" s="32" t="n"/>
      <c r="C20" s="37" t="n"/>
      <c r="D20" s="31" t="n"/>
      <c r="E20" s="32" t="n"/>
      <c r="F20" s="32" t="n"/>
      <c r="G20" s="32" t="n"/>
      <c r="H20" s="36" t="n"/>
      <c r="I20" s="31" t="n"/>
      <c r="J20" s="38" t="n"/>
      <c r="K20" s="32" t="n"/>
      <c r="L20" s="34">
        <f>IF(OR(A20="",D20=""),"",IF(D20&gt;Config!$B$5,0,DATEDIF(D20,Config!$B$5,"m")))</f>
        <v/>
      </c>
      <c r="M20" s="39">
        <f>IF(A20="","",IF(K20&lt;&gt;"",K20,IF(OR(C20="",D20=""),"Sem dados",IFERROR(IF(C20="M",INDEX(Config!$B$11:$B$14,MATCH(L20,Config!$A$11:$A$14,1)),IF(C20="F",INDEX(Config!$C$11:$C$14,MATCH(L20,Config!$A$11:$A$14,1)),"Sem dados")),"Verificar"))))</f>
        <v/>
      </c>
      <c r="N20" s="39">
        <f>IF(A20="","",IF(COUNTIFS('Movimentações'!$C$6:$C$1505,A20,'Movimentações'!$B$6:$B$1505,"Venda")&gt;0,"Vendido",IF(COUNTIFS('Movimentações'!$C$6:$C$1505,A20,'Movimentações'!$B$6:$B$1505,"Morte")&gt;0,"Morto","Ativo")))</f>
        <v/>
      </c>
      <c r="O20" s="40">
        <f>IF(A20="","",IF(COUNTIF('Pesagens'!$B$6:$B$2005,A20)=0,"",SUMPRODUCT(MAX(('Pesagens'!$B$6:$B$2005=A20)*'Pesagens'!$A$6:$A$2005))))</f>
        <v/>
      </c>
      <c r="P20" s="41">
        <f>IF(A20="","",IF(O20="",IF(J20="","",J20),IFERROR(AVERAGEIFS('Pesagens'!$C$6:$C$2005,'Pesagens'!$B$6:$B$2005,A20,'Pesagens'!$A$6:$A$2005,O20),"")))</f>
        <v/>
      </c>
      <c r="Q20" s="42">
        <f>IF(OR(A20="",O20="",I20="",J20=""),"",IFERROR((P20-J20)/(O20-I20),""))</f>
        <v/>
      </c>
    </row>
    <row r="21">
      <c r="A21" s="36" t="n"/>
      <c r="B21" s="32" t="n"/>
      <c r="C21" s="37" t="n"/>
      <c r="D21" s="31" t="n"/>
      <c r="E21" s="32" t="n"/>
      <c r="F21" s="32" t="n"/>
      <c r="G21" s="32" t="n"/>
      <c r="H21" s="36" t="n"/>
      <c r="I21" s="31" t="n"/>
      <c r="J21" s="38" t="n"/>
      <c r="K21" s="32" t="n"/>
      <c r="L21" s="34">
        <f>IF(OR(A21="",D21=""),"",IF(D21&gt;Config!$B$5,0,DATEDIF(D21,Config!$B$5,"m")))</f>
        <v/>
      </c>
      <c r="M21" s="39">
        <f>IF(A21="","",IF(K21&lt;&gt;"",K21,IF(OR(C21="",D21=""),"Sem dados",IFERROR(IF(C21="M",INDEX(Config!$B$11:$B$14,MATCH(L21,Config!$A$11:$A$14,1)),IF(C21="F",INDEX(Config!$C$11:$C$14,MATCH(L21,Config!$A$11:$A$14,1)),"Sem dados")),"Verificar"))))</f>
        <v/>
      </c>
      <c r="N21" s="39">
        <f>IF(A21="","",IF(COUNTIFS('Movimentações'!$C$6:$C$1505,A21,'Movimentações'!$B$6:$B$1505,"Venda")&gt;0,"Vendido",IF(COUNTIFS('Movimentações'!$C$6:$C$1505,A21,'Movimentações'!$B$6:$B$1505,"Morte")&gt;0,"Morto","Ativo")))</f>
        <v/>
      </c>
      <c r="O21" s="40">
        <f>IF(A21="","",IF(COUNTIF('Pesagens'!$B$6:$B$2005,A21)=0,"",SUMPRODUCT(MAX(('Pesagens'!$B$6:$B$2005=A21)*'Pesagens'!$A$6:$A$2005))))</f>
        <v/>
      </c>
      <c r="P21" s="41">
        <f>IF(A21="","",IF(O21="",IF(J21="","",J21),IFERROR(AVERAGEIFS('Pesagens'!$C$6:$C$2005,'Pesagens'!$B$6:$B$2005,A21,'Pesagens'!$A$6:$A$2005,O21),"")))</f>
        <v/>
      </c>
      <c r="Q21" s="42">
        <f>IF(OR(A21="",O21="",I21="",J21=""),"",IFERROR((P21-J21)/(O21-I21),""))</f>
        <v/>
      </c>
    </row>
    <row r="22">
      <c r="A22" s="36" t="n"/>
      <c r="B22" s="32" t="n"/>
      <c r="C22" s="37" t="n"/>
      <c r="D22" s="31" t="n"/>
      <c r="E22" s="32" t="n"/>
      <c r="F22" s="32" t="n"/>
      <c r="G22" s="32" t="n"/>
      <c r="H22" s="36" t="n"/>
      <c r="I22" s="31" t="n"/>
      <c r="J22" s="38" t="n"/>
      <c r="K22" s="32" t="n"/>
      <c r="L22" s="34">
        <f>IF(OR(A22="",D22=""),"",IF(D22&gt;Config!$B$5,0,DATEDIF(D22,Config!$B$5,"m")))</f>
        <v/>
      </c>
      <c r="M22" s="39">
        <f>IF(A22="","",IF(K22&lt;&gt;"",K22,IF(OR(C22="",D22=""),"Sem dados",IFERROR(IF(C22="M",INDEX(Config!$B$11:$B$14,MATCH(L22,Config!$A$11:$A$14,1)),IF(C22="F",INDEX(Config!$C$11:$C$14,MATCH(L22,Config!$A$11:$A$14,1)),"Sem dados")),"Verificar"))))</f>
        <v/>
      </c>
      <c r="N22" s="39">
        <f>IF(A22="","",IF(COUNTIFS('Movimentações'!$C$6:$C$1505,A22,'Movimentações'!$B$6:$B$1505,"Venda")&gt;0,"Vendido",IF(COUNTIFS('Movimentações'!$C$6:$C$1505,A22,'Movimentações'!$B$6:$B$1505,"Morte")&gt;0,"Morto","Ativo")))</f>
        <v/>
      </c>
      <c r="O22" s="40">
        <f>IF(A22="","",IF(COUNTIF('Pesagens'!$B$6:$B$2005,A22)=0,"",SUMPRODUCT(MAX(('Pesagens'!$B$6:$B$2005=A22)*'Pesagens'!$A$6:$A$2005))))</f>
        <v/>
      </c>
      <c r="P22" s="41">
        <f>IF(A22="","",IF(O22="",IF(J22="","",J22),IFERROR(AVERAGEIFS('Pesagens'!$C$6:$C$2005,'Pesagens'!$B$6:$B$2005,A22,'Pesagens'!$A$6:$A$2005,O22),"")))</f>
        <v/>
      </c>
      <c r="Q22" s="42">
        <f>IF(OR(A22="",O22="",I22="",J22=""),"",IFERROR((P22-J22)/(O22-I22),""))</f>
        <v/>
      </c>
    </row>
    <row r="23">
      <c r="A23" s="36" t="n"/>
      <c r="B23" s="32" t="n"/>
      <c r="C23" s="37" t="n"/>
      <c r="D23" s="31" t="n"/>
      <c r="E23" s="32" t="n"/>
      <c r="F23" s="32" t="n"/>
      <c r="G23" s="32" t="n"/>
      <c r="H23" s="36" t="n"/>
      <c r="I23" s="31" t="n"/>
      <c r="J23" s="38" t="n"/>
      <c r="K23" s="32" t="n"/>
      <c r="L23" s="34">
        <f>IF(OR(A23="",D23=""),"",IF(D23&gt;Config!$B$5,0,DATEDIF(D23,Config!$B$5,"m")))</f>
        <v/>
      </c>
      <c r="M23" s="39">
        <f>IF(A23="","",IF(K23&lt;&gt;"",K23,IF(OR(C23="",D23=""),"Sem dados",IFERROR(IF(C23="M",INDEX(Config!$B$11:$B$14,MATCH(L23,Config!$A$11:$A$14,1)),IF(C23="F",INDEX(Config!$C$11:$C$14,MATCH(L23,Config!$A$11:$A$14,1)),"Sem dados")),"Verificar"))))</f>
        <v/>
      </c>
      <c r="N23" s="39">
        <f>IF(A23="","",IF(COUNTIFS('Movimentações'!$C$6:$C$1505,A23,'Movimentações'!$B$6:$B$1505,"Venda")&gt;0,"Vendido",IF(COUNTIFS('Movimentações'!$C$6:$C$1505,A23,'Movimentações'!$B$6:$B$1505,"Morte")&gt;0,"Morto","Ativo")))</f>
        <v/>
      </c>
      <c r="O23" s="40">
        <f>IF(A23="","",IF(COUNTIF('Pesagens'!$B$6:$B$2005,A23)=0,"",SUMPRODUCT(MAX(('Pesagens'!$B$6:$B$2005=A23)*'Pesagens'!$A$6:$A$2005))))</f>
        <v/>
      </c>
      <c r="P23" s="41">
        <f>IF(A23="","",IF(O23="",IF(J23="","",J23),IFERROR(AVERAGEIFS('Pesagens'!$C$6:$C$2005,'Pesagens'!$B$6:$B$2005,A23,'Pesagens'!$A$6:$A$2005,O23),"")))</f>
        <v/>
      </c>
      <c r="Q23" s="42">
        <f>IF(OR(A23="",O23="",I23="",J23=""),"",IFERROR((P23-J23)/(O23-I23),""))</f>
        <v/>
      </c>
    </row>
    <row r="24">
      <c r="A24" s="36" t="n"/>
      <c r="B24" s="32" t="n"/>
      <c r="C24" s="37" t="n"/>
      <c r="D24" s="31" t="n"/>
      <c r="E24" s="32" t="n"/>
      <c r="F24" s="32" t="n"/>
      <c r="G24" s="32" t="n"/>
      <c r="H24" s="36" t="n"/>
      <c r="I24" s="31" t="n"/>
      <c r="J24" s="38" t="n"/>
      <c r="K24" s="32" t="n"/>
      <c r="L24" s="34">
        <f>IF(OR(A24="",D24=""),"",IF(D24&gt;Config!$B$5,0,DATEDIF(D24,Config!$B$5,"m")))</f>
        <v/>
      </c>
      <c r="M24" s="39">
        <f>IF(A24="","",IF(K24&lt;&gt;"",K24,IF(OR(C24="",D24=""),"Sem dados",IFERROR(IF(C24="M",INDEX(Config!$B$11:$B$14,MATCH(L24,Config!$A$11:$A$14,1)),IF(C24="F",INDEX(Config!$C$11:$C$14,MATCH(L24,Config!$A$11:$A$14,1)),"Sem dados")),"Verificar"))))</f>
        <v/>
      </c>
      <c r="N24" s="39">
        <f>IF(A24="","",IF(COUNTIFS('Movimentações'!$C$6:$C$1505,A24,'Movimentações'!$B$6:$B$1505,"Venda")&gt;0,"Vendido",IF(COUNTIFS('Movimentações'!$C$6:$C$1505,A24,'Movimentações'!$B$6:$B$1505,"Morte")&gt;0,"Morto","Ativo")))</f>
        <v/>
      </c>
      <c r="O24" s="40">
        <f>IF(A24="","",IF(COUNTIF('Pesagens'!$B$6:$B$2005,A24)=0,"",SUMPRODUCT(MAX(('Pesagens'!$B$6:$B$2005=A24)*'Pesagens'!$A$6:$A$2005))))</f>
        <v/>
      </c>
      <c r="P24" s="41">
        <f>IF(A24="","",IF(O24="",IF(J24="","",J24),IFERROR(AVERAGEIFS('Pesagens'!$C$6:$C$2005,'Pesagens'!$B$6:$B$2005,A24,'Pesagens'!$A$6:$A$2005,O24),"")))</f>
        <v/>
      </c>
      <c r="Q24" s="42">
        <f>IF(OR(A24="",O24="",I24="",J24=""),"",IFERROR((P24-J24)/(O24-I24),""))</f>
        <v/>
      </c>
    </row>
    <row r="25">
      <c r="A25" s="36" t="n"/>
      <c r="B25" s="32" t="n"/>
      <c r="C25" s="37" t="n"/>
      <c r="D25" s="31" t="n"/>
      <c r="E25" s="32" t="n"/>
      <c r="F25" s="32" t="n"/>
      <c r="G25" s="32" t="n"/>
      <c r="H25" s="36" t="n"/>
      <c r="I25" s="31" t="n"/>
      <c r="J25" s="38" t="n"/>
      <c r="K25" s="32" t="n"/>
      <c r="L25" s="34">
        <f>IF(OR(A25="",D25=""),"",IF(D25&gt;Config!$B$5,0,DATEDIF(D25,Config!$B$5,"m")))</f>
        <v/>
      </c>
      <c r="M25" s="39">
        <f>IF(A25="","",IF(K25&lt;&gt;"",K25,IF(OR(C25="",D25=""),"Sem dados",IFERROR(IF(C25="M",INDEX(Config!$B$11:$B$14,MATCH(L25,Config!$A$11:$A$14,1)),IF(C25="F",INDEX(Config!$C$11:$C$14,MATCH(L25,Config!$A$11:$A$14,1)),"Sem dados")),"Verificar"))))</f>
        <v/>
      </c>
      <c r="N25" s="39">
        <f>IF(A25="","",IF(COUNTIFS('Movimentações'!$C$6:$C$1505,A25,'Movimentações'!$B$6:$B$1505,"Venda")&gt;0,"Vendido",IF(COUNTIFS('Movimentações'!$C$6:$C$1505,A25,'Movimentações'!$B$6:$B$1505,"Morte")&gt;0,"Morto","Ativo")))</f>
        <v/>
      </c>
      <c r="O25" s="40">
        <f>IF(A25="","",IF(COUNTIF('Pesagens'!$B$6:$B$2005,A25)=0,"",SUMPRODUCT(MAX(('Pesagens'!$B$6:$B$2005=A25)*'Pesagens'!$A$6:$A$2005))))</f>
        <v/>
      </c>
      <c r="P25" s="41">
        <f>IF(A25="","",IF(O25="",IF(J25="","",J25),IFERROR(AVERAGEIFS('Pesagens'!$C$6:$C$2005,'Pesagens'!$B$6:$B$2005,A25,'Pesagens'!$A$6:$A$2005,O25),"")))</f>
        <v/>
      </c>
      <c r="Q25" s="42">
        <f>IF(OR(A25="",O25="",I25="",J25=""),"",IFERROR((P25-J25)/(O25-I25),""))</f>
        <v/>
      </c>
    </row>
    <row r="26">
      <c r="A26" s="36" t="n"/>
      <c r="B26" s="32" t="n"/>
      <c r="C26" s="37" t="n"/>
      <c r="D26" s="31" t="n"/>
      <c r="E26" s="32" t="n"/>
      <c r="F26" s="32" t="n"/>
      <c r="G26" s="32" t="n"/>
      <c r="H26" s="36" t="n"/>
      <c r="I26" s="31" t="n"/>
      <c r="J26" s="38" t="n"/>
      <c r="K26" s="32" t="n"/>
      <c r="L26" s="34">
        <f>IF(OR(A26="",D26=""),"",IF(D26&gt;Config!$B$5,0,DATEDIF(D26,Config!$B$5,"m")))</f>
        <v/>
      </c>
      <c r="M26" s="39">
        <f>IF(A26="","",IF(K26&lt;&gt;"",K26,IF(OR(C26="",D26=""),"Sem dados",IFERROR(IF(C26="M",INDEX(Config!$B$11:$B$14,MATCH(L26,Config!$A$11:$A$14,1)),IF(C26="F",INDEX(Config!$C$11:$C$14,MATCH(L26,Config!$A$11:$A$14,1)),"Sem dados")),"Verificar"))))</f>
        <v/>
      </c>
      <c r="N26" s="39">
        <f>IF(A26="","",IF(COUNTIFS('Movimentações'!$C$6:$C$1505,A26,'Movimentações'!$B$6:$B$1505,"Venda")&gt;0,"Vendido",IF(COUNTIFS('Movimentações'!$C$6:$C$1505,A26,'Movimentações'!$B$6:$B$1505,"Morte")&gt;0,"Morto","Ativo")))</f>
        <v/>
      </c>
      <c r="O26" s="40">
        <f>IF(A26="","",IF(COUNTIF('Pesagens'!$B$6:$B$2005,A26)=0,"",SUMPRODUCT(MAX(('Pesagens'!$B$6:$B$2005=A26)*'Pesagens'!$A$6:$A$2005))))</f>
        <v/>
      </c>
      <c r="P26" s="41">
        <f>IF(A26="","",IF(O26="",IF(J26="","",J26),IFERROR(AVERAGEIFS('Pesagens'!$C$6:$C$2005,'Pesagens'!$B$6:$B$2005,A26,'Pesagens'!$A$6:$A$2005,O26),"")))</f>
        <v/>
      </c>
      <c r="Q26" s="42">
        <f>IF(OR(A26="",O26="",I26="",J26=""),"",IFERROR((P26-J26)/(O26-I26),""))</f>
        <v/>
      </c>
    </row>
    <row r="27">
      <c r="A27" s="36" t="n"/>
      <c r="B27" s="32" t="n"/>
      <c r="C27" s="37" t="n"/>
      <c r="D27" s="31" t="n"/>
      <c r="E27" s="32" t="n"/>
      <c r="F27" s="32" t="n"/>
      <c r="G27" s="32" t="n"/>
      <c r="H27" s="36" t="n"/>
      <c r="I27" s="31" t="n"/>
      <c r="J27" s="38" t="n"/>
      <c r="K27" s="32" t="n"/>
      <c r="L27" s="34">
        <f>IF(OR(A27="",D27=""),"",IF(D27&gt;Config!$B$5,0,DATEDIF(D27,Config!$B$5,"m")))</f>
        <v/>
      </c>
      <c r="M27" s="39">
        <f>IF(A27="","",IF(K27&lt;&gt;"",K27,IF(OR(C27="",D27=""),"Sem dados",IFERROR(IF(C27="M",INDEX(Config!$B$11:$B$14,MATCH(L27,Config!$A$11:$A$14,1)),IF(C27="F",INDEX(Config!$C$11:$C$14,MATCH(L27,Config!$A$11:$A$14,1)),"Sem dados")),"Verificar"))))</f>
        <v/>
      </c>
      <c r="N27" s="39">
        <f>IF(A27="","",IF(COUNTIFS('Movimentações'!$C$6:$C$1505,A27,'Movimentações'!$B$6:$B$1505,"Venda")&gt;0,"Vendido",IF(COUNTIFS('Movimentações'!$C$6:$C$1505,A27,'Movimentações'!$B$6:$B$1505,"Morte")&gt;0,"Morto","Ativo")))</f>
        <v/>
      </c>
      <c r="O27" s="40">
        <f>IF(A27="","",IF(COUNTIF('Pesagens'!$B$6:$B$2005,A27)=0,"",SUMPRODUCT(MAX(('Pesagens'!$B$6:$B$2005=A27)*'Pesagens'!$A$6:$A$2005))))</f>
        <v/>
      </c>
      <c r="P27" s="41">
        <f>IF(A27="","",IF(O27="",IF(J27="","",J27),IFERROR(AVERAGEIFS('Pesagens'!$C$6:$C$2005,'Pesagens'!$B$6:$B$2005,A27,'Pesagens'!$A$6:$A$2005,O27),"")))</f>
        <v/>
      </c>
      <c r="Q27" s="42">
        <f>IF(OR(A27="",O27="",I27="",J27=""),"",IFERROR((P27-J27)/(O27-I27),""))</f>
        <v/>
      </c>
    </row>
    <row r="28">
      <c r="A28" s="36" t="n"/>
      <c r="B28" s="32" t="n"/>
      <c r="C28" s="37" t="n"/>
      <c r="D28" s="31" t="n"/>
      <c r="E28" s="32" t="n"/>
      <c r="F28" s="32" t="n"/>
      <c r="G28" s="32" t="n"/>
      <c r="H28" s="36" t="n"/>
      <c r="I28" s="31" t="n"/>
      <c r="J28" s="38" t="n"/>
      <c r="K28" s="32" t="n"/>
      <c r="L28" s="34">
        <f>IF(OR(A28="",D28=""),"",IF(D28&gt;Config!$B$5,0,DATEDIF(D28,Config!$B$5,"m")))</f>
        <v/>
      </c>
      <c r="M28" s="39">
        <f>IF(A28="","",IF(K28&lt;&gt;"",K28,IF(OR(C28="",D28=""),"Sem dados",IFERROR(IF(C28="M",INDEX(Config!$B$11:$B$14,MATCH(L28,Config!$A$11:$A$14,1)),IF(C28="F",INDEX(Config!$C$11:$C$14,MATCH(L28,Config!$A$11:$A$14,1)),"Sem dados")),"Verificar"))))</f>
        <v/>
      </c>
      <c r="N28" s="39">
        <f>IF(A28="","",IF(COUNTIFS('Movimentações'!$C$6:$C$1505,A28,'Movimentações'!$B$6:$B$1505,"Venda")&gt;0,"Vendido",IF(COUNTIFS('Movimentações'!$C$6:$C$1505,A28,'Movimentações'!$B$6:$B$1505,"Morte")&gt;0,"Morto","Ativo")))</f>
        <v/>
      </c>
      <c r="O28" s="40">
        <f>IF(A28="","",IF(COUNTIF('Pesagens'!$B$6:$B$2005,A28)=0,"",SUMPRODUCT(MAX(('Pesagens'!$B$6:$B$2005=A28)*'Pesagens'!$A$6:$A$2005))))</f>
        <v/>
      </c>
      <c r="P28" s="41">
        <f>IF(A28="","",IF(O28="",IF(J28="","",J28),IFERROR(AVERAGEIFS('Pesagens'!$C$6:$C$2005,'Pesagens'!$B$6:$B$2005,A28,'Pesagens'!$A$6:$A$2005,O28),"")))</f>
        <v/>
      </c>
      <c r="Q28" s="42">
        <f>IF(OR(A28="",O28="",I28="",J28=""),"",IFERROR((P28-J28)/(O28-I28),""))</f>
        <v/>
      </c>
    </row>
    <row r="29">
      <c r="A29" s="36" t="n"/>
      <c r="B29" s="32" t="n"/>
      <c r="C29" s="37" t="n"/>
      <c r="D29" s="31" t="n"/>
      <c r="E29" s="32" t="n"/>
      <c r="F29" s="32" t="n"/>
      <c r="G29" s="32" t="n"/>
      <c r="H29" s="36" t="n"/>
      <c r="I29" s="31" t="n"/>
      <c r="J29" s="38" t="n"/>
      <c r="K29" s="32" t="n"/>
      <c r="L29" s="34">
        <f>IF(OR(A29="",D29=""),"",IF(D29&gt;Config!$B$5,0,DATEDIF(D29,Config!$B$5,"m")))</f>
        <v/>
      </c>
      <c r="M29" s="39">
        <f>IF(A29="","",IF(K29&lt;&gt;"",K29,IF(OR(C29="",D29=""),"Sem dados",IFERROR(IF(C29="M",INDEX(Config!$B$11:$B$14,MATCH(L29,Config!$A$11:$A$14,1)),IF(C29="F",INDEX(Config!$C$11:$C$14,MATCH(L29,Config!$A$11:$A$14,1)),"Sem dados")),"Verificar"))))</f>
        <v/>
      </c>
      <c r="N29" s="39">
        <f>IF(A29="","",IF(COUNTIFS('Movimentações'!$C$6:$C$1505,A29,'Movimentações'!$B$6:$B$1505,"Venda")&gt;0,"Vendido",IF(COUNTIFS('Movimentações'!$C$6:$C$1505,A29,'Movimentações'!$B$6:$B$1505,"Morte")&gt;0,"Morto","Ativo")))</f>
        <v/>
      </c>
      <c r="O29" s="40">
        <f>IF(A29="","",IF(COUNTIF('Pesagens'!$B$6:$B$2005,A29)=0,"",SUMPRODUCT(MAX(('Pesagens'!$B$6:$B$2005=A29)*'Pesagens'!$A$6:$A$2005))))</f>
        <v/>
      </c>
      <c r="P29" s="41">
        <f>IF(A29="","",IF(O29="",IF(J29="","",J29),IFERROR(AVERAGEIFS('Pesagens'!$C$6:$C$2005,'Pesagens'!$B$6:$B$2005,A29,'Pesagens'!$A$6:$A$2005,O29),"")))</f>
        <v/>
      </c>
      <c r="Q29" s="42">
        <f>IF(OR(A29="",O29="",I29="",J29=""),"",IFERROR((P29-J29)/(O29-I29),""))</f>
        <v/>
      </c>
    </row>
    <row r="30">
      <c r="A30" s="36" t="n"/>
      <c r="B30" s="32" t="n"/>
      <c r="C30" s="37" t="n"/>
      <c r="D30" s="31" t="n"/>
      <c r="E30" s="32" t="n"/>
      <c r="F30" s="32" t="n"/>
      <c r="G30" s="32" t="n"/>
      <c r="H30" s="36" t="n"/>
      <c r="I30" s="31" t="n"/>
      <c r="J30" s="38" t="n"/>
      <c r="K30" s="32" t="n"/>
      <c r="L30" s="34">
        <f>IF(OR(A30="",D30=""),"",IF(D30&gt;Config!$B$5,0,DATEDIF(D30,Config!$B$5,"m")))</f>
        <v/>
      </c>
      <c r="M30" s="39">
        <f>IF(A30="","",IF(K30&lt;&gt;"",K30,IF(OR(C30="",D30=""),"Sem dados",IFERROR(IF(C30="M",INDEX(Config!$B$11:$B$14,MATCH(L30,Config!$A$11:$A$14,1)),IF(C30="F",INDEX(Config!$C$11:$C$14,MATCH(L30,Config!$A$11:$A$14,1)),"Sem dados")),"Verificar"))))</f>
        <v/>
      </c>
      <c r="N30" s="39">
        <f>IF(A30="","",IF(COUNTIFS('Movimentações'!$C$6:$C$1505,A30,'Movimentações'!$B$6:$B$1505,"Venda")&gt;0,"Vendido",IF(COUNTIFS('Movimentações'!$C$6:$C$1505,A30,'Movimentações'!$B$6:$B$1505,"Morte")&gt;0,"Morto","Ativo")))</f>
        <v/>
      </c>
      <c r="O30" s="40">
        <f>IF(A30="","",IF(COUNTIF('Pesagens'!$B$6:$B$2005,A30)=0,"",SUMPRODUCT(MAX(('Pesagens'!$B$6:$B$2005=A30)*'Pesagens'!$A$6:$A$2005))))</f>
        <v/>
      </c>
      <c r="P30" s="41">
        <f>IF(A30="","",IF(O30="",IF(J30="","",J30),IFERROR(AVERAGEIFS('Pesagens'!$C$6:$C$2005,'Pesagens'!$B$6:$B$2005,A30,'Pesagens'!$A$6:$A$2005,O30),"")))</f>
        <v/>
      </c>
      <c r="Q30" s="42">
        <f>IF(OR(A30="",O30="",I30="",J30=""),"",IFERROR((P30-J30)/(O30-I30),""))</f>
        <v/>
      </c>
    </row>
    <row r="31">
      <c r="A31" s="36" t="n"/>
      <c r="B31" s="32" t="n"/>
      <c r="C31" s="37" t="n"/>
      <c r="D31" s="31" t="n"/>
      <c r="E31" s="32" t="n"/>
      <c r="F31" s="32" t="n"/>
      <c r="G31" s="32" t="n"/>
      <c r="H31" s="36" t="n"/>
      <c r="I31" s="31" t="n"/>
      <c r="J31" s="38" t="n"/>
      <c r="K31" s="32" t="n"/>
      <c r="L31" s="34">
        <f>IF(OR(A31="",D31=""),"",IF(D31&gt;Config!$B$5,0,DATEDIF(D31,Config!$B$5,"m")))</f>
        <v/>
      </c>
      <c r="M31" s="39">
        <f>IF(A31="","",IF(K31&lt;&gt;"",K31,IF(OR(C31="",D31=""),"Sem dados",IFERROR(IF(C31="M",INDEX(Config!$B$11:$B$14,MATCH(L31,Config!$A$11:$A$14,1)),IF(C31="F",INDEX(Config!$C$11:$C$14,MATCH(L31,Config!$A$11:$A$14,1)),"Sem dados")),"Verificar"))))</f>
        <v/>
      </c>
      <c r="N31" s="39">
        <f>IF(A31="","",IF(COUNTIFS('Movimentações'!$C$6:$C$1505,A31,'Movimentações'!$B$6:$B$1505,"Venda")&gt;0,"Vendido",IF(COUNTIFS('Movimentações'!$C$6:$C$1505,A31,'Movimentações'!$B$6:$B$1505,"Morte")&gt;0,"Morto","Ativo")))</f>
        <v/>
      </c>
      <c r="O31" s="40">
        <f>IF(A31="","",IF(COUNTIF('Pesagens'!$B$6:$B$2005,A31)=0,"",SUMPRODUCT(MAX(('Pesagens'!$B$6:$B$2005=A31)*'Pesagens'!$A$6:$A$2005))))</f>
        <v/>
      </c>
      <c r="P31" s="41">
        <f>IF(A31="","",IF(O31="",IF(J31="","",J31),IFERROR(AVERAGEIFS('Pesagens'!$C$6:$C$2005,'Pesagens'!$B$6:$B$2005,A31,'Pesagens'!$A$6:$A$2005,O31),"")))</f>
        <v/>
      </c>
      <c r="Q31" s="42">
        <f>IF(OR(A31="",O31="",I31="",J31=""),"",IFERROR((P31-J31)/(O31-I31),""))</f>
        <v/>
      </c>
    </row>
    <row r="32">
      <c r="A32" s="36" t="n"/>
      <c r="B32" s="32" t="n"/>
      <c r="C32" s="37" t="n"/>
      <c r="D32" s="31" t="n"/>
      <c r="E32" s="32" t="n"/>
      <c r="F32" s="32" t="n"/>
      <c r="G32" s="32" t="n"/>
      <c r="H32" s="36" t="n"/>
      <c r="I32" s="31" t="n"/>
      <c r="J32" s="38" t="n"/>
      <c r="K32" s="32" t="n"/>
      <c r="L32" s="34">
        <f>IF(OR(A32="",D32=""),"",IF(D32&gt;Config!$B$5,0,DATEDIF(D32,Config!$B$5,"m")))</f>
        <v/>
      </c>
      <c r="M32" s="39">
        <f>IF(A32="","",IF(K32&lt;&gt;"",K32,IF(OR(C32="",D32=""),"Sem dados",IFERROR(IF(C32="M",INDEX(Config!$B$11:$B$14,MATCH(L32,Config!$A$11:$A$14,1)),IF(C32="F",INDEX(Config!$C$11:$C$14,MATCH(L32,Config!$A$11:$A$14,1)),"Sem dados")),"Verificar"))))</f>
        <v/>
      </c>
      <c r="N32" s="39">
        <f>IF(A32="","",IF(COUNTIFS('Movimentações'!$C$6:$C$1505,A32,'Movimentações'!$B$6:$B$1505,"Venda")&gt;0,"Vendido",IF(COUNTIFS('Movimentações'!$C$6:$C$1505,A32,'Movimentações'!$B$6:$B$1505,"Morte")&gt;0,"Morto","Ativo")))</f>
        <v/>
      </c>
      <c r="O32" s="40">
        <f>IF(A32="","",IF(COUNTIF('Pesagens'!$B$6:$B$2005,A32)=0,"",SUMPRODUCT(MAX(('Pesagens'!$B$6:$B$2005=A32)*'Pesagens'!$A$6:$A$2005))))</f>
        <v/>
      </c>
      <c r="P32" s="41">
        <f>IF(A32="","",IF(O32="",IF(J32="","",J32),IFERROR(AVERAGEIFS('Pesagens'!$C$6:$C$2005,'Pesagens'!$B$6:$B$2005,A32,'Pesagens'!$A$6:$A$2005,O32),"")))</f>
        <v/>
      </c>
      <c r="Q32" s="42">
        <f>IF(OR(A32="",O32="",I32="",J32=""),"",IFERROR((P32-J32)/(O32-I32),""))</f>
        <v/>
      </c>
    </row>
    <row r="33">
      <c r="A33" s="36" t="n"/>
      <c r="B33" s="32" t="n"/>
      <c r="C33" s="37" t="n"/>
      <c r="D33" s="31" t="n"/>
      <c r="E33" s="32" t="n"/>
      <c r="F33" s="32" t="n"/>
      <c r="G33" s="32" t="n"/>
      <c r="H33" s="36" t="n"/>
      <c r="I33" s="31" t="n"/>
      <c r="J33" s="38" t="n"/>
      <c r="K33" s="32" t="n"/>
      <c r="L33" s="34">
        <f>IF(OR(A33="",D33=""),"",IF(D33&gt;Config!$B$5,0,DATEDIF(D33,Config!$B$5,"m")))</f>
        <v/>
      </c>
      <c r="M33" s="39">
        <f>IF(A33="","",IF(K33&lt;&gt;"",K33,IF(OR(C33="",D33=""),"Sem dados",IFERROR(IF(C33="M",INDEX(Config!$B$11:$B$14,MATCH(L33,Config!$A$11:$A$14,1)),IF(C33="F",INDEX(Config!$C$11:$C$14,MATCH(L33,Config!$A$11:$A$14,1)),"Sem dados")),"Verificar"))))</f>
        <v/>
      </c>
      <c r="N33" s="39">
        <f>IF(A33="","",IF(COUNTIFS('Movimentações'!$C$6:$C$1505,A33,'Movimentações'!$B$6:$B$1505,"Venda")&gt;0,"Vendido",IF(COUNTIFS('Movimentações'!$C$6:$C$1505,A33,'Movimentações'!$B$6:$B$1505,"Morte")&gt;0,"Morto","Ativo")))</f>
        <v/>
      </c>
      <c r="O33" s="40">
        <f>IF(A33="","",IF(COUNTIF('Pesagens'!$B$6:$B$2005,A33)=0,"",SUMPRODUCT(MAX(('Pesagens'!$B$6:$B$2005=A33)*'Pesagens'!$A$6:$A$2005))))</f>
        <v/>
      </c>
      <c r="P33" s="41">
        <f>IF(A33="","",IF(O33="",IF(J33="","",J33),IFERROR(AVERAGEIFS('Pesagens'!$C$6:$C$2005,'Pesagens'!$B$6:$B$2005,A33,'Pesagens'!$A$6:$A$2005,O33),"")))</f>
        <v/>
      </c>
      <c r="Q33" s="42">
        <f>IF(OR(A33="",O33="",I33="",J33=""),"",IFERROR((P33-J33)/(O33-I33),""))</f>
        <v/>
      </c>
    </row>
    <row r="34">
      <c r="A34" s="36" t="n"/>
      <c r="B34" s="32" t="n"/>
      <c r="C34" s="37" t="n"/>
      <c r="D34" s="31" t="n"/>
      <c r="E34" s="32" t="n"/>
      <c r="F34" s="32" t="n"/>
      <c r="G34" s="32" t="n"/>
      <c r="H34" s="36" t="n"/>
      <c r="I34" s="31" t="n"/>
      <c r="J34" s="38" t="n"/>
      <c r="K34" s="32" t="n"/>
      <c r="L34" s="34">
        <f>IF(OR(A34="",D34=""),"",IF(D34&gt;Config!$B$5,0,DATEDIF(D34,Config!$B$5,"m")))</f>
        <v/>
      </c>
      <c r="M34" s="39">
        <f>IF(A34="","",IF(K34&lt;&gt;"",K34,IF(OR(C34="",D34=""),"Sem dados",IFERROR(IF(C34="M",INDEX(Config!$B$11:$B$14,MATCH(L34,Config!$A$11:$A$14,1)),IF(C34="F",INDEX(Config!$C$11:$C$14,MATCH(L34,Config!$A$11:$A$14,1)),"Sem dados")),"Verificar"))))</f>
        <v/>
      </c>
      <c r="N34" s="39">
        <f>IF(A34="","",IF(COUNTIFS('Movimentações'!$C$6:$C$1505,A34,'Movimentações'!$B$6:$B$1505,"Venda")&gt;0,"Vendido",IF(COUNTIFS('Movimentações'!$C$6:$C$1505,A34,'Movimentações'!$B$6:$B$1505,"Morte")&gt;0,"Morto","Ativo")))</f>
        <v/>
      </c>
      <c r="O34" s="40">
        <f>IF(A34="","",IF(COUNTIF('Pesagens'!$B$6:$B$2005,A34)=0,"",SUMPRODUCT(MAX(('Pesagens'!$B$6:$B$2005=A34)*'Pesagens'!$A$6:$A$2005))))</f>
        <v/>
      </c>
      <c r="P34" s="41">
        <f>IF(A34="","",IF(O34="",IF(J34="","",J34),IFERROR(AVERAGEIFS('Pesagens'!$C$6:$C$2005,'Pesagens'!$B$6:$B$2005,A34,'Pesagens'!$A$6:$A$2005,O34),"")))</f>
        <v/>
      </c>
      <c r="Q34" s="42">
        <f>IF(OR(A34="",O34="",I34="",J34=""),"",IFERROR((P34-J34)/(O34-I34),""))</f>
        <v/>
      </c>
    </row>
    <row r="35">
      <c r="A35" s="36" t="n"/>
      <c r="B35" s="32" t="n"/>
      <c r="C35" s="37" t="n"/>
      <c r="D35" s="31" t="n"/>
      <c r="E35" s="32" t="n"/>
      <c r="F35" s="32" t="n"/>
      <c r="G35" s="32" t="n"/>
      <c r="H35" s="36" t="n"/>
      <c r="I35" s="31" t="n"/>
      <c r="J35" s="38" t="n"/>
      <c r="K35" s="32" t="n"/>
      <c r="L35" s="34">
        <f>IF(OR(A35="",D35=""),"",IF(D35&gt;Config!$B$5,0,DATEDIF(D35,Config!$B$5,"m")))</f>
        <v/>
      </c>
      <c r="M35" s="39">
        <f>IF(A35="","",IF(K35&lt;&gt;"",K35,IF(OR(C35="",D35=""),"Sem dados",IFERROR(IF(C35="M",INDEX(Config!$B$11:$B$14,MATCH(L35,Config!$A$11:$A$14,1)),IF(C35="F",INDEX(Config!$C$11:$C$14,MATCH(L35,Config!$A$11:$A$14,1)),"Sem dados")),"Verificar"))))</f>
        <v/>
      </c>
      <c r="N35" s="39">
        <f>IF(A35="","",IF(COUNTIFS('Movimentações'!$C$6:$C$1505,A35,'Movimentações'!$B$6:$B$1505,"Venda")&gt;0,"Vendido",IF(COUNTIFS('Movimentações'!$C$6:$C$1505,A35,'Movimentações'!$B$6:$B$1505,"Morte")&gt;0,"Morto","Ativo")))</f>
        <v/>
      </c>
      <c r="O35" s="40">
        <f>IF(A35="","",IF(COUNTIF('Pesagens'!$B$6:$B$2005,A35)=0,"",SUMPRODUCT(MAX(('Pesagens'!$B$6:$B$2005=A35)*'Pesagens'!$A$6:$A$2005))))</f>
        <v/>
      </c>
      <c r="P35" s="41">
        <f>IF(A35="","",IF(O35="",IF(J35="","",J35),IFERROR(AVERAGEIFS('Pesagens'!$C$6:$C$2005,'Pesagens'!$B$6:$B$2005,A35,'Pesagens'!$A$6:$A$2005,O35),"")))</f>
        <v/>
      </c>
      <c r="Q35" s="42">
        <f>IF(OR(A35="",O35="",I35="",J35=""),"",IFERROR((P35-J35)/(O35-I35),""))</f>
        <v/>
      </c>
    </row>
    <row r="36">
      <c r="A36" s="36" t="n"/>
      <c r="B36" s="32" t="n"/>
      <c r="C36" s="37" t="n"/>
      <c r="D36" s="31" t="n"/>
      <c r="E36" s="32" t="n"/>
      <c r="F36" s="32" t="n"/>
      <c r="G36" s="32" t="n"/>
      <c r="H36" s="36" t="n"/>
      <c r="I36" s="31" t="n"/>
      <c r="J36" s="38" t="n"/>
      <c r="K36" s="32" t="n"/>
      <c r="L36" s="34">
        <f>IF(OR(A36="",D36=""),"",IF(D36&gt;Config!$B$5,0,DATEDIF(D36,Config!$B$5,"m")))</f>
        <v/>
      </c>
      <c r="M36" s="39">
        <f>IF(A36="","",IF(K36&lt;&gt;"",K36,IF(OR(C36="",D36=""),"Sem dados",IFERROR(IF(C36="M",INDEX(Config!$B$11:$B$14,MATCH(L36,Config!$A$11:$A$14,1)),IF(C36="F",INDEX(Config!$C$11:$C$14,MATCH(L36,Config!$A$11:$A$14,1)),"Sem dados")),"Verificar"))))</f>
        <v/>
      </c>
      <c r="N36" s="39">
        <f>IF(A36="","",IF(COUNTIFS('Movimentações'!$C$6:$C$1505,A36,'Movimentações'!$B$6:$B$1505,"Venda")&gt;0,"Vendido",IF(COUNTIFS('Movimentações'!$C$6:$C$1505,A36,'Movimentações'!$B$6:$B$1505,"Morte")&gt;0,"Morto","Ativo")))</f>
        <v/>
      </c>
      <c r="O36" s="40">
        <f>IF(A36="","",IF(COUNTIF('Pesagens'!$B$6:$B$2005,A36)=0,"",SUMPRODUCT(MAX(('Pesagens'!$B$6:$B$2005=A36)*'Pesagens'!$A$6:$A$2005))))</f>
        <v/>
      </c>
      <c r="P36" s="41">
        <f>IF(A36="","",IF(O36="",IF(J36="","",J36),IFERROR(AVERAGEIFS('Pesagens'!$C$6:$C$2005,'Pesagens'!$B$6:$B$2005,A36,'Pesagens'!$A$6:$A$2005,O36),"")))</f>
        <v/>
      </c>
      <c r="Q36" s="42">
        <f>IF(OR(A36="",O36="",I36="",J36=""),"",IFERROR((P36-J36)/(O36-I36),""))</f>
        <v/>
      </c>
    </row>
    <row r="37">
      <c r="A37" s="36" t="n"/>
      <c r="B37" s="32" t="n"/>
      <c r="C37" s="37" t="n"/>
      <c r="D37" s="31" t="n"/>
      <c r="E37" s="32" t="n"/>
      <c r="F37" s="32" t="n"/>
      <c r="G37" s="32" t="n"/>
      <c r="H37" s="36" t="n"/>
      <c r="I37" s="31" t="n"/>
      <c r="J37" s="38" t="n"/>
      <c r="K37" s="32" t="n"/>
      <c r="L37" s="34">
        <f>IF(OR(A37="",D37=""),"",IF(D37&gt;Config!$B$5,0,DATEDIF(D37,Config!$B$5,"m")))</f>
        <v/>
      </c>
      <c r="M37" s="39">
        <f>IF(A37="","",IF(K37&lt;&gt;"",K37,IF(OR(C37="",D37=""),"Sem dados",IFERROR(IF(C37="M",INDEX(Config!$B$11:$B$14,MATCH(L37,Config!$A$11:$A$14,1)),IF(C37="F",INDEX(Config!$C$11:$C$14,MATCH(L37,Config!$A$11:$A$14,1)),"Sem dados")),"Verificar"))))</f>
        <v/>
      </c>
      <c r="N37" s="39">
        <f>IF(A37="","",IF(COUNTIFS('Movimentações'!$C$6:$C$1505,A37,'Movimentações'!$B$6:$B$1505,"Venda")&gt;0,"Vendido",IF(COUNTIFS('Movimentações'!$C$6:$C$1505,A37,'Movimentações'!$B$6:$B$1505,"Morte")&gt;0,"Morto","Ativo")))</f>
        <v/>
      </c>
      <c r="O37" s="40">
        <f>IF(A37="","",IF(COUNTIF('Pesagens'!$B$6:$B$2005,A37)=0,"",SUMPRODUCT(MAX(('Pesagens'!$B$6:$B$2005=A37)*'Pesagens'!$A$6:$A$2005))))</f>
        <v/>
      </c>
      <c r="P37" s="41">
        <f>IF(A37="","",IF(O37="",IF(J37="","",J37),IFERROR(AVERAGEIFS('Pesagens'!$C$6:$C$2005,'Pesagens'!$B$6:$B$2005,A37,'Pesagens'!$A$6:$A$2005,O37),"")))</f>
        <v/>
      </c>
      <c r="Q37" s="42">
        <f>IF(OR(A37="",O37="",I37="",J37=""),"",IFERROR((P37-J37)/(O37-I37),""))</f>
        <v/>
      </c>
    </row>
    <row r="38">
      <c r="A38" s="36" t="n"/>
      <c r="B38" s="32" t="n"/>
      <c r="C38" s="37" t="n"/>
      <c r="D38" s="31" t="n"/>
      <c r="E38" s="32" t="n"/>
      <c r="F38" s="32" t="n"/>
      <c r="G38" s="32" t="n"/>
      <c r="H38" s="36" t="n"/>
      <c r="I38" s="31" t="n"/>
      <c r="J38" s="38" t="n"/>
      <c r="K38" s="32" t="n"/>
      <c r="L38" s="34">
        <f>IF(OR(A38="",D38=""),"",IF(D38&gt;Config!$B$5,0,DATEDIF(D38,Config!$B$5,"m")))</f>
        <v/>
      </c>
      <c r="M38" s="39">
        <f>IF(A38="","",IF(K38&lt;&gt;"",K38,IF(OR(C38="",D38=""),"Sem dados",IFERROR(IF(C38="M",INDEX(Config!$B$11:$B$14,MATCH(L38,Config!$A$11:$A$14,1)),IF(C38="F",INDEX(Config!$C$11:$C$14,MATCH(L38,Config!$A$11:$A$14,1)),"Sem dados")),"Verificar"))))</f>
        <v/>
      </c>
      <c r="N38" s="39">
        <f>IF(A38="","",IF(COUNTIFS('Movimentações'!$C$6:$C$1505,A38,'Movimentações'!$B$6:$B$1505,"Venda")&gt;0,"Vendido",IF(COUNTIFS('Movimentações'!$C$6:$C$1505,A38,'Movimentações'!$B$6:$B$1505,"Morte")&gt;0,"Morto","Ativo")))</f>
        <v/>
      </c>
      <c r="O38" s="40">
        <f>IF(A38="","",IF(COUNTIF('Pesagens'!$B$6:$B$2005,A38)=0,"",SUMPRODUCT(MAX(('Pesagens'!$B$6:$B$2005=A38)*'Pesagens'!$A$6:$A$2005))))</f>
        <v/>
      </c>
      <c r="P38" s="41">
        <f>IF(A38="","",IF(O38="",IF(J38="","",J38),IFERROR(AVERAGEIFS('Pesagens'!$C$6:$C$2005,'Pesagens'!$B$6:$B$2005,A38,'Pesagens'!$A$6:$A$2005,O38),"")))</f>
        <v/>
      </c>
      <c r="Q38" s="42">
        <f>IF(OR(A38="",O38="",I38="",J38=""),"",IFERROR((P38-J38)/(O38-I38),""))</f>
        <v/>
      </c>
    </row>
    <row r="39">
      <c r="A39" s="36" t="n"/>
      <c r="B39" s="32" t="n"/>
      <c r="C39" s="37" t="n"/>
      <c r="D39" s="31" t="n"/>
      <c r="E39" s="32" t="n"/>
      <c r="F39" s="32" t="n"/>
      <c r="G39" s="32" t="n"/>
      <c r="H39" s="36" t="n"/>
      <c r="I39" s="31" t="n"/>
      <c r="J39" s="38" t="n"/>
      <c r="K39" s="32" t="n"/>
      <c r="L39" s="34">
        <f>IF(OR(A39="",D39=""),"",IF(D39&gt;Config!$B$5,0,DATEDIF(D39,Config!$B$5,"m")))</f>
        <v/>
      </c>
      <c r="M39" s="39">
        <f>IF(A39="","",IF(K39&lt;&gt;"",K39,IF(OR(C39="",D39=""),"Sem dados",IFERROR(IF(C39="M",INDEX(Config!$B$11:$B$14,MATCH(L39,Config!$A$11:$A$14,1)),IF(C39="F",INDEX(Config!$C$11:$C$14,MATCH(L39,Config!$A$11:$A$14,1)),"Sem dados")),"Verificar"))))</f>
        <v/>
      </c>
      <c r="N39" s="39">
        <f>IF(A39="","",IF(COUNTIFS('Movimentações'!$C$6:$C$1505,A39,'Movimentações'!$B$6:$B$1505,"Venda")&gt;0,"Vendido",IF(COUNTIFS('Movimentações'!$C$6:$C$1505,A39,'Movimentações'!$B$6:$B$1505,"Morte")&gt;0,"Morto","Ativo")))</f>
        <v/>
      </c>
      <c r="O39" s="40">
        <f>IF(A39="","",IF(COUNTIF('Pesagens'!$B$6:$B$2005,A39)=0,"",SUMPRODUCT(MAX(('Pesagens'!$B$6:$B$2005=A39)*'Pesagens'!$A$6:$A$2005))))</f>
        <v/>
      </c>
      <c r="P39" s="41">
        <f>IF(A39="","",IF(O39="",IF(J39="","",J39),IFERROR(AVERAGEIFS('Pesagens'!$C$6:$C$2005,'Pesagens'!$B$6:$B$2005,A39,'Pesagens'!$A$6:$A$2005,O39),"")))</f>
        <v/>
      </c>
      <c r="Q39" s="42">
        <f>IF(OR(A39="",O39="",I39="",J39=""),"",IFERROR((P39-J39)/(O39-I39),""))</f>
        <v/>
      </c>
    </row>
    <row r="40">
      <c r="A40" s="36" t="n"/>
      <c r="B40" s="32" t="n"/>
      <c r="C40" s="37" t="n"/>
      <c r="D40" s="31" t="n"/>
      <c r="E40" s="32" t="n"/>
      <c r="F40" s="32" t="n"/>
      <c r="G40" s="32" t="n"/>
      <c r="H40" s="36" t="n"/>
      <c r="I40" s="31" t="n"/>
      <c r="J40" s="38" t="n"/>
      <c r="K40" s="32" t="n"/>
      <c r="L40" s="34">
        <f>IF(OR(A40="",D40=""),"",IF(D40&gt;Config!$B$5,0,DATEDIF(D40,Config!$B$5,"m")))</f>
        <v/>
      </c>
      <c r="M40" s="39">
        <f>IF(A40="","",IF(K40&lt;&gt;"",K40,IF(OR(C40="",D40=""),"Sem dados",IFERROR(IF(C40="M",INDEX(Config!$B$11:$B$14,MATCH(L40,Config!$A$11:$A$14,1)),IF(C40="F",INDEX(Config!$C$11:$C$14,MATCH(L40,Config!$A$11:$A$14,1)),"Sem dados")),"Verificar"))))</f>
        <v/>
      </c>
      <c r="N40" s="39">
        <f>IF(A40="","",IF(COUNTIFS('Movimentações'!$C$6:$C$1505,A40,'Movimentações'!$B$6:$B$1505,"Venda")&gt;0,"Vendido",IF(COUNTIFS('Movimentações'!$C$6:$C$1505,A40,'Movimentações'!$B$6:$B$1505,"Morte")&gt;0,"Morto","Ativo")))</f>
        <v/>
      </c>
      <c r="O40" s="40">
        <f>IF(A40="","",IF(COUNTIF('Pesagens'!$B$6:$B$2005,A40)=0,"",SUMPRODUCT(MAX(('Pesagens'!$B$6:$B$2005=A40)*'Pesagens'!$A$6:$A$2005))))</f>
        <v/>
      </c>
      <c r="P40" s="41">
        <f>IF(A40="","",IF(O40="",IF(J40="","",J40),IFERROR(AVERAGEIFS('Pesagens'!$C$6:$C$2005,'Pesagens'!$B$6:$B$2005,A40,'Pesagens'!$A$6:$A$2005,O40),"")))</f>
        <v/>
      </c>
      <c r="Q40" s="42">
        <f>IF(OR(A40="",O40="",I40="",J40=""),"",IFERROR((P40-J40)/(O40-I40),""))</f>
        <v/>
      </c>
    </row>
    <row r="41">
      <c r="A41" s="36" t="n"/>
      <c r="B41" s="32" t="n"/>
      <c r="C41" s="37" t="n"/>
      <c r="D41" s="31" t="n"/>
      <c r="E41" s="32" t="n"/>
      <c r="F41" s="32" t="n"/>
      <c r="G41" s="32" t="n"/>
      <c r="H41" s="36" t="n"/>
      <c r="I41" s="31" t="n"/>
      <c r="J41" s="38" t="n"/>
      <c r="K41" s="32" t="n"/>
      <c r="L41" s="34">
        <f>IF(OR(A41="",D41=""),"",IF(D41&gt;Config!$B$5,0,DATEDIF(D41,Config!$B$5,"m")))</f>
        <v/>
      </c>
      <c r="M41" s="39">
        <f>IF(A41="","",IF(K41&lt;&gt;"",K41,IF(OR(C41="",D41=""),"Sem dados",IFERROR(IF(C41="M",INDEX(Config!$B$11:$B$14,MATCH(L41,Config!$A$11:$A$14,1)),IF(C41="F",INDEX(Config!$C$11:$C$14,MATCH(L41,Config!$A$11:$A$14,1)),"Sem dados")),"Verificar"))))</f>
        <v/>
      </c>
      <c r="N41" s="39">
        <f>IF(A41="","",IF(COUNTIFS('Movimentações'!$C$6:$C$1505,A41,'Movimentações'!$B$6:$B$1505,"Venda")&gt;0,"Vendido",IF(COUNTIFS('Movimentações'!$C$6:$C$1505,A41,'Movimentações'!$B$6:$B$1505,"Morte")&gt;0,"Morto","Ativo")))</f>
        <v/>
      </c>
      <c r="O41" s="40">
        <f>IF(A41="","",IF(COUNTIF('Pesagens'!$B$6:$B$2005,A41)=0,"",SUMPRODUCT(MAX(('Pesagens'!$B$6:$B$2005=A41)*'Pesagens'!$A$6:$A$2005))))</f>
        <v/>
      </c>
      <c r="P41" s="41">
        <f>IF(A41="","",IF(O41="",IF(J41="","",J41),IFERROR(AVERAGEIFS('Pesagens'!$C$6:$C$2005,'Pesagens'!$B$6:$B$2005,A41,'Pesagens'!$A$6:$A$2005,O41),"")))</f>
        <v/>
      </c>
      <c r="Q41" s="42">
        <f>IF(OR(A41="",O41="",I41="",J41=""),"",IFERROR((P41-J41)/(O41-I41),""))</f>
        <v/>
      </c>
    </row>
    <row r="42">
      <c r="A42" s="36" t="n"/>
      <c r="B42" s="32" t="n"/>
      <c r="C42" s="37" t="n"/>
      <c r="D42" s="31" t="n"/>
      <c r="E42" s="32" t="n"/>
      <c r="F42" s="32" t="n"/>
      <c r="G42" s="32" t="n"/>
      <c r="H42" s="36" t="n"/>
      <c r="I42" s="31" t="n"/>
      <c r="J42" s="38" t="n"/>
      <c r="K42" s="32" t="n"/>
      <c r="L42" s="34">
        <f>IF(OR(A42="",D42=""),"",IF(D42&gt;Config!$B$5,0,DATEDIF(D42,Config!$B$5,"m")))</f>
        <v/>
      </c>
      <c r="M42" s="39">
        <f>IF(A42="","",IF(K42&lt;&gt;"",K42,IF(OR(C42="",D42=""),"Sem dados",IFERROR(IF(C42="M",INDEX(Config!$B$11:$B$14,MATCH(L42,Config!$A$11:$A$14,1)),IF(C42="F",INDEX(Config!$C$11:$C$14,MATCH(L42,Config!$A$11:$A$14,1)),"Sem dados")),"Verificar"))))</f>
        <v/>
      </c>
      <c r="N42" s="39">
        <f>IF(A42="","",IF(COUNTIFS('Movimentações'!$C$6:$C$1505,A42,'Movimentações'!$B$6:$B$1505,"Venda")&gt;0,"Vendido",IF(COUNTIFS('Movimentações'!$C$6:$C$1505,A42,'Movimentações'!$B$6:$B$1505,"Morte")&gt;0,"Morto","Ativo")))</f>
        <v/>
      </c>
      <c r="O42" s="40">
        <f>IF(A42="","",IF(COUNTIF('Pesagens'!$B$6:$B$2005,A42)=0,"",SUMPRODUCT(MAX(('Pesagens'!$B$6:$B$2005=A42)*'Pesagens'!$A$6:$A$2005))))</f>
        <v/>
      </c>
      <c r="P42" s="41">
        <f>IF(A42="","",IF(O42="",IF(J42="","",J42),IFERROR(AVERAGEIFS('Pesagens'!$C$6:$C$2005,'Pesagens'!$B$6:$B$2005,A42,'Pesagens'!$A$6:$A$2005,O42),"")))</f>
        <v/>
      </c>
      <c r="Q42" s="42">
        <f>IF(OR(A42="",O42="",I42="",J42=""),"",IFERROR((P42-J42)/(O42-I42),""))</f>
        <v/>
      </c>
    </row>
    <row r="43">
      <c r="A43" s="36" t="n"/>
      <c r="B43" s="32" t="n"/>
      <c r="C43" s="37" t="n"/>
      <c r="D43" s="31" t="n"/>
      <c r="E43" s="32" t="n"/>
      <c r="F43" s="32" t="n"/>
      <c r="G43" s="32" t="n"/>
      <c r="H43" s="36" t="n"/>
      <c r="I43" s="31" t="n"/>
      <c r="J43" s="38" t="n"/>
      <c r="K43" s="32" t="n"/>
      <c r="L43" s="34">
        <f>IF(OR(A43="",D43=""),"",IF(D43&gt;Config!$B$5,0,DATEDIF(D43,Config!$B$5,"m")))</f>
        <v/>
      </c>
      <c r="M43" s="39">
        <f>IF(A43="","",IF(K43&lt;&gt;"",K43,IF(OR(C43="",D43=""),"Sem dados",IFERROR(IF(C43="M",INDEX(Config!$B$11:$B$14,MATCH(L43,Config!$A$11:$A$14,1)),IF(C43="F",INDEX(Config!$C$11:$C$14,MATCH(L43,Config!$A$11:$A$14,1)),"Sem dados")),"Verificar"))))</f>
        <v/>
      </c>
      <c r="N43" s="39">
        <f>IF(A43="","",IF(COUNTIFS('Movimentações'!$C$6:$C$1505,A43,'Movimentações'!$B$6:$B$1505,"Venda")&gt;0,"Vendido",IF(COUNTIFS('Movimentações'!$C$6:$C$1505,A43,'Movimentações'!$B$6:$B$1505,"Morte")&gt;0,"Morto","Ativo")))</f>
        <v/>
      </c>
      <c r="O43" s="40">
        <f>IF(A43="","",IF(COUNTIF('Pesagens'!$B$6:$B$2005,A43)=0,"",SUMPRODUCT(MAX(('Pesagens'!$B$6:$B$2005=A43)*'Pesagens'!$A$6:$A$2005))))</f>
        <v/>
      </c>
      <c r="P43" s="41">
        <f>IF(A43="","",IF(O43="",IF(J43="","",J43),IFERROR(AVERAGEIFS('Pesagens'!$C$6:$C$2005,'Pesagens'!$B$6:$B$2005,A43,'Pesagens'!$A$6:$A$2005,O43),"")))</f>
        <v/>
      </c>
      <c r="Q43" s="42">
        <f>IF(OR(A43="",O43="",I43="",J43=""),"",IFERROR((P43-J43)/(O43-I43),""))</f>
        <v/>
      </c>
    </row>
    <row r="44">
      <c r="A44" s="36" t="n"/>
      <c r="B44" s="32" t="n"/>
      <c r="C44" s="37" t="n"/>
      <c r="D44" s="31" t="n"/>
      <c r="E44" s="32" t="n"/>
      <c r="F44" s="32" t="n"/>
      <c r="G44" s="32" t="n"/>
      <c r="H44" s="36" t="n"/>
      <c r="I44" s="31" t="n"/>
      <c r="J44" s="38" t="n"/>
      <c r="K44" s="32" t="n"/>
      <c r="L44" s="34">
        <f>IF(OR(A44="",D44=""),"",IF(D44&gt;Config!$B$5,0,DATEDIF(D44,Config!$B$5,"m")))</f>
        <v/>
      </c>
      <c r="M44" s="39">
        <f>IF(A44="","",IF(K44&lt;&gt;"",K44,IF(OR(C44="",D44=""),"Sem dados",IFERROR(IF(C44="M",INDEX(Config!$B$11:$B$14,MATCH(L44,Config!$A$11:$A$14,1)),IF(C44="F",INDEX(Config!$C$11:$C$14,MATCH(L44,Config!$A$11:$A$14,1)),"Sem dados")),"Verificar"))))</f>
        <v/>
      </c>
      <c r="N44" s="39">
        <f>IF(A44="","",IF(COUNTIFS('Movimentações'!$C$6:$C$1505,A44,'Movimentações'!$B$6:$B$1505,"Venda")&gt;0,"Vendido",IF(COUNTIFS('Movimentações'!$C$6:$C$1505,A44,'Movimentações'!$B$6:$B$1505,"Morte")&gt;0,"Morto","Ativo")))</f>
        <v/>
      </c>
      <c r="O44" s="40">
        <f>IF(A44="","",IF(COUNTIF('Pesagens'!$B$6:$B$2005,A44)=0,"",SUMPRODUCT(MAX(('Pesagens'!$B$6:$B$2005=A44)*'Pesagens'!$A$6:$A$2005))))</f>
        <v/>
      </c>
      <c r="P44" s="41">
        <f>IF(A44="","",IF(O44="",IF(J44="","",J44),IFERROR(AVERAGEIFS('Pesagens'!$C$6:$C$2005,'Pesagens'!$B$6:$B$2005,A44,'Pesagens'!$A$6:$A$2005,O44),"")))</f>
        <v/>
      </c>
      <c r="Q44" s="42">
        <f>IF(OR(A44="",O44="",I44="",J44=""),"",IFERROR((P44-J44)/(O44-I44),""))</f>
        <v/>
      </c>
    </row>
    <row r="45">
      <c r="A45" s="36" t="n"/>
      <c r="B45" s="32" t="n"/>
      <c r="C45" s="37" t="n"/>
      <c r="D45" s="31" t="n"/>
      <c r="E45" s="32" t="n"/>
      <c r="F45" s="32" t="n"/>
      <c r="G45" s="32" t="n"/>
      <c r="H45" s="36" t="n"/>
      <c r="I45" s="31" t="n"/>
      <c r="J45" s="38" t="n"/>
      <c r="K45" s="32" t="n"/>
      <c r="L45" s="34">
        <f>IF(OR(A45="",D45=""),"",IF(D45&gt;Config!$B$5,0,DATEDIF(D45,Config!$B$5,"m")))</f>
        <v/>
      </c>
      <c r="M45" s="39">
        <f>IF(A45="","",IF(K45&lt;&gt;"",K45,IF(OR(C45="",D45=""),"Sem dados",IFERROR(IF(C45="M",INDEX(Config!$B$11:$B$14,MATCH(L45,Config!$A$11:$A$14,1)),IF(C45="F",INDEX(Config!$C$11:$C$14,MATCH(L45,Config!$A$11:$A$14,1)),"Sem dados")),"Verificar"))))</f>
        <v/>
      </c>
      <c r="N45" s="39">
        <f>IF(A45="","",IF(COUNTIFS('Movimentações'!$C$6:$C$1505,A45,'Movimentações'!$B$6:$B$1505,"Venda")&gt;0,"Vendido",IF(COUNTIFS('Movimentações'!$C$6:$C$1505,A45,'Movimentações'!$B$6:$B$1505,"Morte")&gt;0,"Morto","Ativo")))</f>
        <v/>
      </c>
      <c r="O45" s="40">
        <f>IF(A45="","",IF(COUNTIF('Pesagens'!$B$6:$B$2005,A45)=0,"",SUMPRODUCT(MAX(('Pesagens'!$B$6:$B$2005=A45)*'Pesagens'!$A$6:$A$2005))))</f>
        <v/>
      </c>
      <c r="P45" s="41">
        <f>IF(A45="","",IF(O45="",IF(J45="","",J45),IFERROR(AVERAGEIFS('Pesagens'!$C$6:$C$2005,'Pesagens'!$B$6:$B$2005,A45,'Pesagens'!$A$6:$A$2005,O45),"")))</f>
        <v/>
      </c>
      <c r="Q45" s="42">
        <f>IF(OR(A45="",O45="",I45="",J45=""),"",IFERROR((P45-J45)/(O45-I45),""))</f>
        <v/>
      </c>
    </row>
    <row r="46">
      <c r="A46" s="36" t="n"/>
      <c r="B46" s="32" t="n"/>
      <c r="C46" s="37" t="n"/>
      <c r="D46" s="31" t="n"/>
      <c r="E46" s="32" t="n"/>
      <c r="F46" s="32" t="n"/>
      <c r="G46" s="32" t="n"/>
      <c r="H46" s="36" t="n"/>
      <c r="I46" s="31" t="n"/>
      <c r="J46" s="38" t="n"/>
      <c r="K46" s="32" t="n"/>
      <c r="L46" s="34">
        <f>IF(OR(A46="",D46=""),"",IF(D46&gt;Config!$B$5,0,DATEDIF(D46,Config!$B$5,"m")))</f>
        <v/>
      </c>
      <c r="M46" s="39">
        <f>IF(A46="","",IF(K46&lt;&gt;"",K46,IF(OR(C46="",D46=""),"Sem dados",IFERROR(IF(C46="M",INDEX(Config!$B$11:$B$14,MATCH(L46,Config!$A$11:$A$14,1)),IF(C46="F",INDEX(Config!$C$11:$C$14,MATCH(L46,Config!$A$11:$A$14,1)),"Sem dados")),"Verificar"))))</f>
        <v/>
      </c>
      <c r="N46" s="39">
        <f>IF(A46="","",IF(COUNTIFS('Movimentações'!$C$6:$C$1505,A46,'Movimentações'!$B$6:$B$1505,"Venda")&gt;0,"Vendido",IF(COUNTIFS('Movimentações'!$C$6:$C$1505,A46,'Movimentações'!$B$6:$B$1505,"Morte")&gt;0,"Morto","Ativo")))</f>
        <v/>
      </c>
      <c r="O46" s="40">
        <f>IF(A46="","",IF(COUNTIF('Pesagens'!$B$6:$B$2005,A46)=0,"",SUMPRODUCT(MAX(('Pesagens'!$B$6:$B$2005=A46)*'Pesagens'!$A$6:$A$2005))))</f>
        <v/>
      </c>
      <c r="P46" s="41">
        <f>IF(A46="","",IF(O46="",IF(J46="","",J46),IFERROR(AVERAGEIFS('Pesagens'!$C$6:$C$2005,'Pesagens'!$B$6:$B$2005,A46,'Pesagens'!$A$6:$A$2005,O46),"")))</f>
        <v/>
      </c>
      <c r="Q46" s="42">
        <f>IF(OR(A46="",O46="",I46="",J46=""),"",IFERROR((P46-J46)/(O46-I46),""))</f>
        <v/>
      </c>
    </row>
    <row r="47">
      <c r="A47" s="36" t="n"/>
      <c r="B47" s="32" t="n"/>
      <c r="C47" s="37" t="n"/>
      <c r="D47" s="31" t="n"/>
      <c r="E47" s="32" t="n"/>
      <c r="F47" s="32" t="n"/>
      <c r="G47" s="32" t="n"/>
      <c r="H47" s="36" t="n"/>
      <c r="I47" s="31" t="n"/>
      <c r="J47" s="38" t="n"/>
      <c r="K47" s="32" t="n"/>
      <c r="L47" s="34">
        <f>IF(OR(A47="",D47=""),"",IF(D47&gt;Config!$B$5,0,DATEDIF(D47,Config!$B$5,"m")))</f>
        <v/>
      </c>
      <c r="M47" s="39">
        <f>IF(A47="","",IF(K47&lt;&gt;"",K47,IF(OR(C47="",D47=""),"Sem dados",IFERROR(IF(C47="M",INDEX(Config!$B$11:$B$14,MATCH(L47,Config!$A$11:$A$14,1)),IF(C47="F",INDEX(Config!$C$11:$C$14,MATCH(L47,Config!$A$11:$A$14,1)),"Sem dados")),"Verificar"))))</f>
        <v/>
      </c>
      <c r="N47" s="39">
        <f>IF(A47="","",IF(COUNTIFS('Movimentações'!$C$6:$C$1505,A47,'Movimentações'!$B$6:$B$1505,"Venda")&gt;0,"Vendido",IF(COUNTIFS('Movimentações'!$C$6:$C$1505,A47,'Movimentações'!$B$6:$B$1505,"Morte")&gt;0,"Morto","Ativo")))</f>
        <v/>
      </c>
      <c r="O47" s="40">
        <f>IF(A47="","",IF(COUNTIF('Pesagens'!$B$6:$B$2005,A47)=0,"",SUMPRODUCT(MAX(('Pesagens'!$B$6:$B$2005=A47)*'Pesagens'!$A$6:$A$2005))))</f>
        <v/>
      </c>
      <c r="P47" s="41">
        <f>IF(A47="","",IF(O47="",IF(J47="","",J47),IFERROR(AVERAGEIFS('Pesagens'!$C$6:$C$2005,'Pesagens'!$B$6:$B$2005,A47,'Pesagens'!$A$6:$A$2005,O47),"")))</f>
        <v/>
      </c>
      <c r="Q47" s="42">
        <f>IF(OR(A47="",O47="",I47="",J47=""),"",IFERROR((P47-J47)/(O47-I47),""))</f>
        <v/>
      </c>
    </row>
    <row r="48">
      <c r="A48" s="36" t="n"/>
      <c r="B48" s="32" t="n"/>
      <c r="C48" s="37" t="n"/>
      <c r="D48" s="31" t="n"/>
      <c r="E48" s="32" t="n"/>
      <c r="F48" s="32" t="n"/>
      <c r="G48" s="32" t="n"/>
      <c r="H48" s="36" t="n"/>
      <c r="I48" s="31" t="n"/>
      <c r="J48" s="38" t="n"/>
      <c r="K48" s="32" t="n"/>
      <c r="L48" s="34">
        <f>IF(OR(A48="",D48=""),"",IF(D48&gt;Config!$B$5,0,DATEDIF(D48,Config!$B$5,"m")))</f>
        <v/>
      </c>
      <c r="M48" s="39">
        <f>IF(A48="","",IF(K48&lt;&gt;"",K48,IF(OR(C48="",D48=""),"Sem dados",IFERROR(IF(C48="M",INDEX(Config!$B$11:$B$14,MATCH(L48,Config!$A$11:$A$14,1)),IF(C48="F",INDEX(Config!$C$11:$C$14,MATCH(L48,Config!$A$11:$A$14,1)),"Sem dados")),"Verificar"))))</f>
        <v/>
      </c>
      <c r="N48" s="39">
        <f>IF(A48="","",IF(COUNTIFS('Movimentações'!$C$6:$C$1505,A48,'Movimentações'!$B$6:$B$1505,"Venda")&gt;0,"Vendido",IF(COUNTIFS('Movimentações'!$C$6:$C$1505,A48,'Movimentações'!$B$6:$B$1505,"Morte")&gt;0,"Morto","Ativo")))</f>
        <v/>
      </c>
      <c r="O48" s="40">
        <f>IF(A48="","",IF(COUNTIF('Pesagens'!$B$6:$B$2005,A48)=0,"",SUMPRODUCT(MAX(('Pesagens'!$B$6:$B$2005=A48)*'Pesagens'!$A$6:$A$2005))))</f>
        <v/>
      </c>
      <c r="P48" s="41">
        <f>IF(A48="","",IF(O48="",IF(J48="","",J48),IFERROR(AVERAGEIFS('Pesagens'!$C$6:$C$2005,'Pesagens'!$B$6:$B$2005,A48,'Pesagens'!$A$6:$A$2005,O48),"")))</f>
        <v/>
      </c>
      <c r="Q48" s="42">
        <f>IF(OR(A48="",O48="",I48="",J48=""),"",IFERROR((P48-J48)/(O48-I48),""))</f>
        <v/>
      </c>
    </row>
    <row r="49">
      <c r="A49" s="36" t="n"/>
      <c r="B49" s="32" t="n"/>
      <c r="C49" s="37" t="n"/>
      <c r="D49" s="31" t="n"/>
      <c r="E49" s="32" t="n"/>
      <c r="F49" s="32" t="n"/>
      <c r="G49" s="32" t="n"/>
      <c r="H49" s="36" t="n"/>
      <c r="I49" s="31" t="n"/>
      <c r="J49" s="38" t="n"/>
      <c r="K49" s="32" t="n"/>
      <c r="L49" s="34">
        <f>IF(OR(A49="",D49=""),"",IF(D49&gt;Config!$B$5,0,DATEDIF(D49,Config!$B$5,"m")))</f>
        <v/>
      </c>
      <c r="M49" s="39">
        <f>IF(A49="","",IF(K49&lt;&gt;"",K49,IF(OR(C49="",D49=""),"Sem dados",IFERROR(IF(C49="M",INDEX(Config!$B$11:$B$14,MATCH(L49,Config!$A$11:$A$14,1)),IF(C49="F",INDEX(Config!$C$11:$C$14,MATCH(L49,Config!$A$11:$A$14,1)),"Sem dados")),"Verificar"))))</f>
        <v/>
      </c>
      <c r="N49" s="39">
        <f>IF(A49="","",IF(COUNTIFS('Movimentações'!$C$6:$C$1505,A49,'Movimentações'!$B$6:$B$1505,"Venda")&gt;0,"Vendido",IF(COUNTIFS('Movimentações'!$C$6:$C$1505,A49,'Movimentações'!$B$6:$B$1505,"Morte")&gt;0,"Morto","Ativo")))</f>
        <v/>
      </c>
      <c r="O49" s="40">
        <f>IF(A49="","",IF(COUNTIF('Pesagens'!$B$6:$B$2005,A49)=0,"",SUMPRODUCT(MAX(('Pesagens'!$B$6:$B$2005=A49)*'Pesagens'!$A$6:$A$2005))))</f>
        <v/>
      </c>
      <c r="P49" s="41">
        <f>IF(A49="","",IF(O49="",IF(J49="","",J49),IFERROR(AVERAGEIFS('Pesagens'!$C$6:$C$2005,'Pesagens'!$B$6:$B$2005,A49,'Pesagens'!$A$6:$A$2005,O49),"")))</f>
        <v/>
      </c>
      <c r="Q49" s="42">
        <f>IF(OR(A49="",O49="",I49="",J49=""),"",IFERROR((P49-J49)/(O49-I49),""))</f>
        <v/>
      </c>
    </row>
    <row r="50">
      <c r="A50" s="36" t="n"/>
      <c r="B50" s="32" t="n"/>
      <c r="C50" s="37" t="n"/>
      <c r="D50" s="31" t="n"/>
      <c r="E50" s="32" t="n"/>
      <c r="F50" s="32" t="n"/>
      <c r="G50" s="32" t="n"/>
      <c r="H50" s="36" t="n"/>
      <c r="I50" s="31" t="n"/>
      <c r="J50" s="38" t="n"/>
      <c r="K50" s="32" t="n"/>
      <c r="L50" s="34">
        <f>IF(OR(A50="",D50=""),"",IF(D50&gt;Config!$B$5,0,DATEDIF(D50,Config!$B$5,"m")))</f>
        <v/>
      </c>
      <c r="M50" s="39">
        <f>IF(A50="","",IF(K50&lt;&gt;"",K50,IF(OR(C50="",D50=""),"Sem dados",IFERROR(IF(C50="M",INDEX(Config!$B$11:$B$14,MATCH(L50,Config!$A$11:$A$14,1)),IF(C50="F",INDEX(Config!$C$11:$C$14,MATCH(L50,Config!$A$11:$A$14,1)),"Sem dados")),"Verificar"))))</f>
        <v/>
      </c>
      <c r="N50" s="39">
        <f>IF(A50="","",IF(COUNTIFS('Movimentações'!$C$6:$C$1505,A50,'Movimentações'!$B$6:$B$1505,"Venda")&gt;0,"Vendido",IF(COUNTIFS('Movimentações'!$C$6:$C$1505,A50,'Movimentações'!$B$6:$B$1505,"Morte")&gt;0,"Morto","Ativo")))</f>
        <v/>
      </c>
      <c r="O50" s="40">
        <f>IF(A50="","",IF(COUNTIF('Pesagens'!$B$6:$B$2005,A50)=0,"",SUMPRODUCT(MAX(('Pesagens'!$B$6:$B$2005=A50)*'Pesagens'!$A$6:$A$2005))))</f>
        <v/>
      </c>
      <c r="P50" s="41">
        <f>IF(A50="","",IF(O50="",IF(J50="","",J50),IFERROR(AVERAGEIFS('Pesagens'!$C$6:$C$2005,'Pesagens'!$B$6:$B$2005,A50,'Pesagens'!$A$6:$A$2005,O50),"")))</f>
        <v/>
      </c>
      <c r="Q50" s="42">
        <f>IF(OR(A50="",O50="",I50="",J50=""),"",IFERROR((P50-J50)/(O50-I50),""))</f>
        <v/>
      </c>
    </row>
    <row r="51">
      <c r="A51" s="36" t="n"/>
      <c r="B51" s="32" t="n"/>
      <c r="C51" s="37" t="n"/>
      <c r="D51" s="31" t="n"/>
      <c r="E51" s="32" t="n"/>
      <c r="F51" s="32" t="n"/>
      <c r="G51" s="32" t="n"/>
      <c r="H51" s="36" t="n"/>
      <c r="I51" s="31" t="n"/>
      <c r="J51" s="38" t="n"/>
      <c r="K51" s="32" t="n"/>
      <c r="L51" s="34">
        <f>IF(OR(A51="",D51=""),"",IF(D51&gt;Config!$B$5,0,DATEDIF(D51,Config!$B$5,"m")))</f>
        <v/>
      </c>
      <c r="M51" s="39">
        <f>IF(A51="","",IF(K51&lt;&gt;"",K51,IF(OR(C51="",D51=""),"Sem dados",IFERROR(IF(C51="M",INDEX(Config!$B$11:$B$14,MATCH(L51,Config!$A$11:$A$14,1)),IF(C51="F",INDEX(Config!$C$11:$C$14,MATCH(L51,Config!$A$11:$A$14,1)),"Sem dados")),"Verificar"))))</f>
        <v/>
      </c>
      <c r="N51" s="39">
        <f>IF(A51="","",IF(COUNTIFS('Movimentações'!$C$6:$C$1505,A51,'Movimentações'!$B$6:$B$1505,"Venda")&gt;0,"Vendido",IF(COUNTIFS('Movimentações'!$C$6:$C$1505,A51,'Movimentações'!$B$6:$B$1505,"Morte")&gt;0,"Morto","Ativo")))</f>
        <v/>
      </c>
      <c r="O51" s="40">
        <f>IF(A51="","",IF(COUNTIF('Pesagens'!$B$6:$B$2005,A51)=0,"",SUMPRODUCT(MAX(('Pesagens'!$B$6:$B$2005=A51)*'Pesagens'!$A$6:$A$2005))))</f>
        <v/>
      </c>
      <c r="P51" s="41">
        <f>IF(A51="","",IF(O51="",IF(J51="","",J51),IFERROR(AVERAGEIFS('Pesagens'!$C$6:$C$2005,'Pesagens'!$B$6:$B$2005,A51,'Pesagens'!$A$6:$A$2005,O51),"")))</f>
        <v/>
      </c>
      <c r="Q51" s="42">
        <f>IF(OR(A51="",O51="",I51="",J51=""),"",IFERROR((P51-J51)/(O51-I51),""))</f>
        <v/>
      </c>
    </row>
    <row r="52">
      <c r="A52" s="36" t="n"/>
      <c r="B52" s="32" t="n"/>
      <c r="C52" s="37" t="n"/>
      <c r="D52" s="31" t="n"/>
      <c r="E52" s="32" t="n"/>
      <c r="F52" s="32" t="n"/>
      <c r="G52" s="32" t="n"/>
      <c r="H52" s="36" t="n"/>
      <c r="I52" s="31" t="n"/>
      <c r="J52" s="38" t="n"/>
      <c r="K52" s="32" t="n"/>
      <c r="L52" s="34">
        <f>IF(OR(A52="",D52=""),"",IF(D52&gt;Config!$B$5,0,DATEDIF(D52,Config!$B$5,"m")))</f>
        <v/>
      </c>
      <c r="M52" s="39">
        <f>IF(A52="","",IF(K52&lt;&gt;"",K52,IF(OR(C52="",D52=""),"Sem dados",IFERROR(IF(C52="M",INDEX(Config!$B$11:$B$14,MATCH(L52,Config!$A$11:$A$14,1)),IF(C52="F",INDEX(Config!$C$11:$C$14,MATCH(L52,Config!$A$11:$A$14,1)),"Sem dados")),"Verificar"))))</f>
        <v/>
      </c>
      <c r="N52" s="39">
        <f>IF(A52="","",IF(COUNTIFS('Movimentações'!$C$6:$C$1505,A52,'Movimentações'!$B$6:$B$1505,"Venda")&gt;0,"Vendido",IF(COUNTIFS('Movimentações'!$C$6:$C$1505,A52,'Movimentações'!$B$6:$B$1505,"Morte")&gt;0,"Morto","Ativo")))</f>
        <v/>
      </c>
      <c r="O52" s="40">
        <f>IF(A52="","",IF(COUNTIF('Pesagens'!$B$6:$B$2005,A52)=0,"",SUMPRODUCT(MAX(('Pesagens'!$B$6:$B$2005=A52)*'Pesagens'!$A$6:$A$2005))))</f>
        <v/>
      </c>
      <c r="P52" s="41">
        <f>IF(A52="","",IF(O52="",IF(J52="","",J52),IFERROR(AVERAGEIFS('Pesagens'!$C$6:$C$2005,'Pesagens'!$B$6:$B$2005,A52,'Pesagens'!$A$6:$A$2005,O52),"")))</f>
        <v/>
      </c>
      <c r="Q52" s="42">
        <f>IF(OR(A52="",O52="",I52="",J52=""),"",IFERROR((P52-J52)/(O52-I52),""))</f>
        <v/>
      </c>
    </row>
    <row r="53">
      <c r="A53" s="36" t="n"/>
      <c r="B53" s="32" t="n"/>
      <c r="C53" s="37" t="n"/>
      <c r="D53" s="31" t="n"/>
      <c r="E53" s="32" t="n"/>
      <c r="F53" s="32" t="n"/>
      <c r="G53" s="32" t="n"/>
      <c r="H53" s="36" t="n"/>
      <c r="I53" s="31" t="n"/>
      <c r="J53" s="38" t="n"/>
      <c r="K53" s="32" t="n"/>
      <c r="L53" s="34">
        <f>IF(OR(A53="",D53=""),"",IF(D53&gt;Config!$B$5,0,DATEDIF(D53,Config!$B$5,"m")))</f>
        <v/>
      </c>
      <c r="M53" s="39">
        <f>IF(A53="","",IF(K53&lt;&gt;"",K53,IF(OR(C53="",D53=""),"Sem dados",IFERROR(IF(C53="M",INDEX(Config!$B$11:$B$14,MATCH(L53,Config!$A$11:$A$14,1)),IF(C53="F",INDEX(Config!$C$11:$C$14,MATCH(L53,Config!$A$11:$A$14,1)),"Sem dados")),"Verificar"))))</f>
        <v/>
      </c>
      <c r="N53" s="39">
        <f>IF(A53="","",IF(COUNTIFS('Movimentações'!$C$6:$C$1505,A53,'Movimentações'!$B$6:$B$1505,"Venda")&gt;0,"Vendido",IF(COUNTIFS('Movimentações'!$C$6:$C$1505,A53,'Movimentações'!$B$6:$B$1505,"Morte")&gt;0,"Morto","Ativo")))</f>
        <v/>
      </c>
      <c r="O53" s="40">
        <f>IF(A53="","",IF(COUNTIF('Pesagens'!$B$6:$B$2005,A53)=0,"",SUMPRODUCT(MAX(('Pesagens'!$B$6:$B$2005=A53)*'Pesagens'!$A$6:$A$2005))))</f>
        <v/>
      </c>
      <c r="P53" s="41">
        <f>IF(A53="","",IF(O53="",IF(J53="","",J53),IFERROR(AVERAGEIFS('Pesagens'!$C$6:$C$2005,'Pesagens'!$B$6:$B$2005,A53,'Pesagens'!$A$6:$A$2005,O53),"")))</f>
        <v/>
      </c>
      <c r="Q53" s="42">
        <f>IF(OR(A53="",O53="",I53="",J53=""),"",IFERROR((P53-J53)/(O53-I53),""))</f>
        <v/>
      </c>
    </row>
    <row r="54">
      <c r="A54" s="36" t="n"/>
      <c r="B54" s="32" t="n"/>
      <c r="C54" s="37" t="n"/>
      <c r="D54" s="31" t="n"/>
      <c r="E54" s="32" t="n"/>
      <c r="F54" s="32" t="n"/>
      <c r="G54" s="32" t="n"/>
      <c r="H54" s="36" t="n"/>
      <c r="I54" s="31" t="n"/>
      <c r="J54" s="38" t="n"/>
      <c r="K54" s="32" t="n"/>
      <c r="L54" s="34">
        <f>IF(OR(A54="",D54=""),"",IF(D54&gt;Config!$B$5,0,DATEDIF(D54,Config!$B$5,"m")))</f>
        <v/>
      </c>
      <c r="M54" s="39">
        <f>IF(A54="","",IF(K54&lt;&gt;"",K54,IF(OR(C54="",D54=""),"Sem dados",IFERROR(IF(C54="M",INDEX(Config!$B$11:$B$14,MATCH(L54,Config!$A$11:$A$14,1)),IF(C54="F",INDEX(Config!$C$11:$C$14,MATCH(L54,Config!$A$11:$A$14,1)),"Sem dados")),"Verificar"))))</f>
        <v/>
      </c>
      <c r="N54" s="39">
        <f>IF(A54="","",IF(COUNTIFS('Movimentações'!$C$6:$C$1505,A54,'Movimentações'!$B$6:$B$1505,"Venda")&gt;0,"Vendido",IF(COUNTIFS('Movimentações'!$C$6:$C$1505,A54,'Movimentações'!$B$6:$B$1505,"Morte")&gt;0,"Morto","Ativo")))</f>
        <v/>
      </c>
      <c r="O54" s="40">
        <f>IF(A54="","",IF(COUNTIF('Pesagens'!$B$6:$B$2005,A54)=0,"",SUMPRODUCT(MAX(('Pesagens'!$B$6:$B$2005=A54)*'Pesagens'!$A$6:$A$2005))))</f>
        <v/>
      </c>
      <c r="P54" s="41">
        <f>IF(A54="","",IF(O54="",IF(J54="","",J54),IFERROR(AVERAGEIFS('Pesagens'!$C$6:$C$2005,'Pesagens'!$B$6:$B$2005,A54,'Pesagens'!$A$6:$A$2005,O54),"")))</f>
        <v/>
      </c>
      <c r="Q54" s="42">
        <f>IF(OR(A54="",O54="",I54="",J54=""),"",IFERROR((P54-J54)/(O54-I54),""))</f>
        <v/>
      </c>
    </row>
    <row r="55">
      <c r="A55" s="36" t="n"/>
      <c r="B55" s="32" t="n"/>
      <c r="C55" s="37" t="n"/>
      <c r="D55" s="31" t="n"/>
      <c r="E55" s="32" t="n"/>
      <c r="F55" s="32" t="n"/>
      <c r="G55" s="32" t="n"/>
      <c r="H55" s="36" t="n"/>
      <c r="I55" s="31" t="n"/>
      <c r="J55" s="38" t="n"/>
      <c r="K55" s="32" t="n"/>
      <c r="L55" s="34">
        <f>IF(OR(A55="",D55=""),"",IF(D55&gt;Config!$B$5,0,DATEDIF(D55,Config!$B$5,"m")))</f>
        <v/>
      </c>
      <c r="M55" s="39">
        <f>IF(A55="","",IF(K55&lt;&gt;"",K55,IF(OR(C55="",D55=""),"Sem dados",IFERROR(IF(C55="M",INDEX(Config!$B$11:$B$14,MATCH(L55,Config!$A$11:$A$14,1)),IF(C55="F",INDEX(Config!$C$11:$C$14,MATCH(L55,Config!$A$11:$A$14,1)),"Sem dados")),"Verificar"))))</f>
        <v/>
      </c>
      <c r="N55" s="39">
        <f>IF(A55="","",IF(COUNTIFS('Movimentações'!$C$6:$C$1505,A55,'Movimentações'!$B$6:$B$1505,"Venda")&gt;0,"Vendido",IF(COUNTIFS('Movimentações'!$C$6:$C$1505,A55,'Movimentações'!$B$6:$B$1505,"Morte")&gt;0,"Morto","Ativo")))</f>
        <v/>
      </c>
      <c r="O55" s="40">
        <f>IF(A55="","",IF(COUNTIF('Pesagens'!$B$6:$B$2005,A55)=0,"",SUMPRODUCT(MAX(('Pesagens'!$B$6:$B$2005=A55)*'Pesagens'!$A$6:$A$2005))))</f>
        <v/>
      </c>
      <c r="P55" s="41">
        <f>IF(A55="","",IF(O55="",IF(J55="","",J55),IFERROR(AVERAGEIFS('Pesagens'!$C$6:$C$2005,'Pesagens'!$B$6:$B$2005,A55,'Pesagens'!$A$6:$A$2005,O55),"")))</f>
        <v/>
      </c>
      <c r="Q55" s="42">
        <f>IF(OR(A55="",O55="",I55="",J55=""),"",IFERROR((P55-J55)/(O55-I55),""))</f>
        <v/>
      </c>
    </row>
    <row r="56">
      <c r="A56" s="36" t="n"/>
      <c r="B56" s="32" t="n"/>
      <c r="C56" s="37" t="n"/>
      <c r="D56" s="31" t="n"/>
      <c r="E56" s="32" t="n"/>
      <c r="F56" s="32" t="n"/>
      <c r="G56" s="32" t="n"/>
      <c r="H56" s="36" t="n"/>
      <c r="I56" s="31" t="n"/>
      <c r="J56" s="38" t="n"/>
      <c r="K56" s="32" t="n"/>
      <c r="L56" s="34">
        <f>IF(OR(A56="",D56=""),"",IF(D56&gt;Config!$B$5,0,DATEDIF(D56,Config!$B$5,"m")))</f>
        <v/>
      </c>
      <c r="M56" s="39">
        <f>IF(A56="","",IF(K56&lt;&gt;"",K56,IF(OR(C56="",D56=""),"Sem dados",IFERROR(IF(C56="M",INDEX(Config!$B$11:$B$14,MATCH(L56,Config!$A$11:$A$14,1)),IF(C56="F",INDEX(Config!$C$11:$C$14,MATCH(L56,Config!$A$11:$A$14,1)),"Sem dados")),"Verificar"))))</f>
        <v/>
      </c>
      <c r="N56" s="39">
        <f>IF(A56="","",IF(COUNTIFS('Movimentações'!$C$6:$C$1505,A56,'Movimentações'!$B$6:$B$1505,"Venda")&gt;0,"Vendido",IF(COUNTIFS('Movimentações'!$C$6:$C$1505,A56,'Movimentações'!$B$6:$B$1505,"Morte")&gt;0,"Morto","Ativo")))</f>
        <v/>
      </c>
      <c r="O56" s="40">
        <f>IF(A56="","",IF(COUNTIF('Pesagens'!$B$6:$B$2005,A56)=0,"",SUMPRODUCT(MAX(('Pesagens'!$B$6:$B$2005=A56)*'Pesagens'!$A$6:$A$2005))))</f>
        <v/>
      </c>
      <c r="P56" s="41">
        <f>IF(A56="","",IF(O56="",IF(J56="","",J56),IFERROR(AVERAGEIFS('Pesagens'!$C$6:$C$2005,'Pesagens'!$B$6:$B$2005,A56,'Pesagens'!$A$6:$A$2005,O56),"")))</f>
        <v/>
      </c>
      <c r="Q56" s="42">
        <f>IF(OR(A56="",O56="",I56="",J56=""),"",IFERROR((P56-J56)/(O56-I56),""))</f>
        <v/>
      </c>
    </row>
    <row r="57">
      <c r="A57" s="36" t="n"/>
      <c r="B57" s="32" t="n"/>
      <c r="C57" s="37" t="n"/>
      <c r="D57" s="31" t="n"/>
      <c r="E57" s="32" t="n"/>
      <c r="F57" s="32" t="n"/>
      <c r="G57" s="32" t="n"/>
      <c r="H57" s="36" t="n"/>
      <c r="I57" s="31" t="n"/>
      <c r="J57" s="38" t="n"/>
      <c r="K57" s="32" t="n"/>
      <c r="L57" s="34">
        <f>IF(OR(A57="",D57=""),"",IF(D57&gt;Config!$B$5,0,DATEDIF(D57,Config!$B$5,"m")))</f>
        <v/>
      </c>
      <c r="M57" s="39">
        <f>IF(A57="","",IF(K57&lt;&gt;"",K57,IF(OR(C57="",D57=""),"Sem dados",IFERROR(IF(C57="M",INDEX(Config!$B$11:$B$14,MATCH(L57,Config!$A$11:$A$14,1)),IF(C57="F",INDEX(Config!$C$11:$C$14,MATCH(L57,Config!$A$11:$A$14,1)),"Sem dados")),"Verificar"))))</f>
        <v/>
      </c>
      <c r="N57" s="39">
        <f>IF(A57="","",IF(COUNTIFS('Movimentações'!$C$6:$C$1505,A57,'Movimentações'!$B$6:$B$1505,"Venda")&gt;0,"Vendido",IF(COUNTIFS('Movimentações'!$C$6:$C$1505,A57,'Movimentações'!$B$6:$B$1505,"Morte")&gt;0,"Morto","Ativo")))</f>
        <v/>
      </c>
      <c r="O57" s="40">
        <f>IF(A57="","",IF(COUNTIF('Pesagens'!$B$6:$B$2005,A57)=0,"",SUMPRODUCT(MAX(('Pesagens'!$B$6:$B$2005=A57)*'Pesagens'!$A$6:$A$2005))))</f>
        <v/>
      </c>
      <c r="P57" s="41">
        <f>IF(A57="","",IF(O57="",IF(J57="","",J57),IFERROR(AVERAGEIFS('Pesagens'!$C$6:$C$2005,'Pesagens'!$B$6:$B$2005,A57,'Pesagens'!$A$6:$A$2005,O57),"")))</f>
        <v/>
      </c>
      <c r="Q57" s="42">
        <f>IF(OR(A57="",O57="",I57="",J57=""),"",IFERROR((P57-J57)/(O57-I57),""))</f>
        <v/>
      </c>
    </row>
    <row r="58">
      <c r="A58" s="36" t="n"/>
      <c r="B58" s="32" t="n"/>
      <c r="C58" s="37" t="n"/>
      <c r="D58" s="31" t="n"/>
      <c r="E58" s="32" t="n"/>
      <c r="F58" s="32" t="n"/>
      <c r="G58" s="32" t="n"/>
      <c r="H58" s="36" t="n"/>
      <c r="I58" s="31" t="n"/>
      <c r="J58" s="38" t="n"/>
      <c r="K58" s="32" t="n"/>
      <c r="L58" s="34">
        <f>IF(OR(A58="",D58=""),"",IF(D58&gt;Config!$B$5,0,DATEDIF(D58,Config!$B$5,"m")))</f>
        <v/>
      </c>
      <c r="M58" s="39">
        <f>IF(A58="","",IF(K58&lt;&gt;"",K58,IF(OR(C58="",D58=""),"Sem dados",IFERROR(IF(C58="M",INDEX(Config!$B$11:$B$14,MATCH(L58,Config!$A$11:$A$14,1)),IF(C58="F",INDEX(Config!$C$11:$C$14,MATCH(L58,Config!$A$11:$A$14,1)),"Sem dados")),"Verificar"))))</f>
        <v/>
      </c>
      <c r="N58" s="39">
        <f>IF(A58="","",IF(COUNTIFS('Movimentações'!$C$6:$C$1505,A58,'Movimentações'!$B$6:$B$1505,"Venda")&gt;0,"Vendido",IF(COUNTIFS('Movimentações'!$C$6:$C$1505,A58,'Movimentações'!$B$6:$B$1505,"Morte")&gt;0,"Morto","Ativo")))</f>
        <v/>
      </c>
      <c r="O58" s="40">
        <f>IF(A58="","",IF(COUNTIF('Pesagens'!$B$6:$B$2005,A58)=0,"",SUMPRODUCT(MAX(('Pesagens'!$B$6:$B$2005=A58)*'Pesagens'!$A$6:$A$2005))))</f>
        <v/>
      </c>
      <c r="P58" s="41">
        <f>IF(A58="","",IF(O58="",IF(J58="","",J58),IFERROR(AVERAGEIFS('Pesagens'!$C$6:$C$2005,'Pesagens'!$B$6:$B$2005,A58,'Pesagens'!$A$6:$A$2005,O58),"")))</f>
        <v/>
      </c>
      <c r="Q58" s="42">
        <f>IF(OR(A58="",O58="",I58="",J58=""),"",IFERROR((P58-J58)/(O58-I58),""))</f>
        <v/>
      </c>
    </row>
    <row r="59">
      <c r="A59" s="36" t="n"/>
      <c r="B59" s="32" t="n"/>
      <c r="C59" s="37" t="n"/>
      <c r="D59" s="31" t="n"/>
      <c r="E59" s="32" t="n"/>
      <c r="F59" s="32" t="n"/>
      <c r="G59" s="32" t="n"/>
      <c r="H59" s="36" t="n"/>
      <c r="I59" s="31" t="n"/>
      <c r="J59" s="38" t="n"/>
      <c r="K59" s="32" t="n"/>
      <c r="L59" s="34">
        <f>IF(OR(A59="",D59=""),"",IF(D59&gt;Config!$B$5,0,DATEDIF(D59,Config!$B$5,"m")))</f>
        <v/>
      </c>
      <c r="M59" s="39">
        <f>IF(A59="","",IF(K59&lt;&gt;"",K59,IF(OR(C59="",D59=""),"Sem dados",IFERROR(IF(C59="M",INDEX(Config!$B$11:$B$14,MATCH(L59,Config!$A$11:$A$14,1)),IF(C59="F",INDEX(Config!$C$11:$C$14,MATCH(L59,Config!$A$11:$A$14,1)),"Sem dados")),"Verificar"))))</f>
        <v/>
      </c>
      <c r="N59" s="39">
        <f>IF(A59="","",IF(COUNTIFS('Movimentações'!$C$6:$C$1505,A59,'Movimentações'!$B$6:$B$1505,"Venda")&gt;0,"Vendido",IF(COUNTIFS('Movimentações'!$C$6:$C$1505,A59,'Movimentações'!$B$6:$B$1505,"Morte")&gt;0,"Morto","Ativo")))</f>
        <v/>
      </c>
      <c r="O59" s="40">
        <f>IF(A59="","",IF(COUNTIF('Pesagens'!$B$6:$B$2005,A59)=0,"",SUMPRODUCT(MAX(('Pesagens'!$B$6:$B$2005=A59)*'Pesagens'!$A$6:$A$2005))))</f>
        <v/>
      </c>
      <c r="P59" s="41">
        <f>IF(A59="","",IF(O59="",IF(J59="","",J59),IFERROR(AVERAGEIFS('Pesagens'!$C$6:$C$2005,'Pesagens'!$B$6:$B$2005,A59,'Pesagens'!$A$6:$A$2005,O59),"")))</f>
        <v/>
      </c>
      <c r="Q59" s="42">
        <f>IF(OR(A59="",O59="",I59="",J59=""),"",IFERROR((P59-J59)/(O59-I59),""))</f>
        <v/>
      </c>
    </row>
    <row r="60">
      <c r="A60" s="36" t="n"/>
      <c r="B60" s="32" t="n"/>
      <c r="C60" s="37" t="n"/>
      <c r="D60" s="31" t="n"/>
      <c r="E60" s="32" t="n"/>
      <c r="F60" s="32" t="n"/>
      <c r="G60" s="32" t="n"/>
      <c r="H60" s="36" t="n"/>
      <c r="I60" s="31" t="n"/>
      <c r="J60" s="38" t="n"/>
      <c r="K60" s="32" t="n"/>
      <c r="L60" s="34">
        <f>IF(OR(A60="",D60=""),"",IF(D60&gt;Config!$B$5,0,DATEDIF(D60,Config!$B$5,"m")))</f>
        <v/>
      </c>
      <c r="M60" s="39">
        <f>IF(A60="","",IF(K60&lt;&gt;"",K60,IF(OR(C60="",D60=""),"Sem dados",IFERROR(IF(C60="M",INDEX(Config!$B$11:$B$14,MATCH(L60,Config!$A$11:$A$14,1)),IF(C60="F",INDEX(Config!$C$11:$C$14,MATCH(L60,Config!$A$11:$A$14,1)),"Sem dados")),"Verificar"))))</f>
        <v/>
      </c>
      <c r="N60" s="39">
        <f>IF(A60="","",IF(COUNTIFS('Movimentações'!$C$6:$C$1505,A60,'Movimentações'!$B$6:$B$1505,"Venda")&gt;0,"Vendido",IF(COUNTIFS('Movimentações'!$C$6:$C$1505,A60,'Movimentações'!$B$6:$B$1505,"Morte")&gt;0,"Morto","Ativo")))</f>
        <v/>
      </c>
      <c r="O60" s="40">
        <f>IF(A60="","",IF(COUNTIF('Pesagens'!$B$6:$B$2005,A60)=0,"",SUMPRODUCT(MAX(('Pesagens'!$B$6:$B$2005=A60)*'Pesagens'!$A$6:$A$2005))))</f>
        <v/>
      </c>
      <c r="P60" s="41">
        <f>IF(A60="","",IF(O60="",IF(J60="","",J60),IFERROR(AVERAGEIFS('Pesagens'!$C$6:$C$2005,'Pesagens'!$B$6:$B$2005,A60,'Pesagens'!$A$6:$A$2005,O60),"")))</f>
        <v/>
      </c>
      <c r="Q60" s="42">
        <f>IF(OR(A60="",O60="",I60="",J60=""),"",IFERROR((P60-J60)/(O60-I60),""))</f>
        <v/>
      </c>
    </row>
    <row r="61">
      <c r="A61" s="36" t="n"/>
      <c r="B61" s="32" t="n"/>
      <c r="C61" s="37" t="n"/>
      <c r="D61" s="31" t="n"/>
      <c r="E61" s="32" t="n"/>
      <c r="F61" s="32" t="n"/>
      <c r="G61" s="32" t="n"/>
      <c r="H61" s="36" t="n"/>
      <c r="I61" s="31" t="n"/>
      <c r="J61" s="38" t="n"/>
      <c r="K61" s="32" t="n"/>
      <c r="L61" s="34">
        <f>IF(OR(A61="",D61=""),"",IF(D61&gt;Config!$B$5,0,DATEDIF(D61,Config!$B$5,"m")))</f>
        <v/>
      </c>
      <c r="M61" s="39">
        <f>IF(A61="","",IF(K61&lt;&gt;"",K61,IF(OR(C61="",D61=""),"Sem dados",IFERROR(IF(C61="M",INDEX(Config!$B$11:$B$14,MATCH(L61,Config!$A$11:$A$14,1)),IF(C61="F",INDEX(Config!$C$11:$C$14,MATCH(L61,Config!$A$11:$A$14,1)),"Sem dados")),"Verificar"))))</f>
        <v/>
      </c>
      <c r="N61" s="39">
        <f>IF(A61="","",IF(COUNTIFS('Movimentações'!$C$6:$C$1505,A61,'Movimentações'!$B$6:$B$1505,"Venda")&gt;0,"Vendido",IF(COUNTIFS('Movimentações'!$C$6:$C$1505,A61,'Movimentações'!$B$6:$B$1505,"Morte")&gt;0,"Morto","Ativo")))</f>
        <v/>
      </c>
      <c r="O61" s="40">
        <f>IF(A61="","",IF(COUNTIF('Pesagens'!$B$6:$B$2005,A61)=0,"",SUMPRODUCT(MAX(('Pesagens'!$B$6:$B$2005=A61)*'Pesagens'!$A$6:$A$2005))))</f>
        <v/>
      </c>
      <c r="P61" s="41">
        <f>IF(A61="","",IF(O61="",IF(J61="","",J61),IFERROR(AVERAGEIFS('Pesagens'!$C$6:$C$2005,'Pesagens'!$B$6:$B$2005,A61,'Pesagens'!$A$6:$A$2005,O61),"")))</f>
        <v/>
      </c>
      <c r="Q61" s="42">
        <f>IF(OR(A61="",O61="",I61="",J61=""),"",IFERROR((P61-J61)/(O61-I61),""))</f>
        <v/>
      </c>
    </row>
    <row r="62">
      <c r="A62" s="36" t="n"/>
      <c r="B62" s="32" t="n"/>
      <c r="C62" s="37" t="n"/>
      <c r="D62" s="31" t="n"/>
      <c r="E62" s="32" t="n"/>
      <c r="F62" s="32" t="n"/>
      <c r="G62" s="32" t="n"/>
      <c r="H62" s="36" t="n"/>
      <c r="I62" s="31" t="n"/>
      <c r="J62" s="38" t="n"/>
      <c r="K62" s="32" t="n"/>
      <c r="L62" s="34">
        <f>IF(OR(A62="",D62=""),"",IF(D62&gt;Config!$B$5,0,DATEDIF(D62,Config!$B$5,"m")))</f>
        <v/>
      </c>
      <c r="M62" s="39">
        <f>IF(A62="","",IF(K62&lt;&gt;"",K62,IF(OR(C62="",D62=""),"Sem dados",IFERROR(IF(C62="M",INDEX(Config!$B$11:$B$14,MATCH(L62,Config!$A$11:$A$14,1)),IF(C62="F",INDEX(Config!$C$11:$C$14,MATCH(L62,Config!$A$11:$A$14,1)),"Sem dados")),"Verificar"))))</f>
        <v/>
      </c>
      <c r="N62" s="39">
        <f>IF(A62="","",IF(COUNTIFS('Movimentações'!$C$6:$C$1505,A62,'Movimentações'!$B$6:$B$1505,"Venda")&gt;0,"Vendido",IF(COUNTIFS('Movimentações'!$C$6:$C$1505,A62,'Movimentações'!$B$6:$B$1505,"Morte")&gt;0,"Morto","Ativo")))</f>
        <v/>
      </c>
      <c r="O62" s="40">
        <f>IF(A62="","",IF(COUNTIF('Pesagens'!$B$6:$B$2005,A62)=0,"",SUMPRODUCT(MAX(('Pesagens'!$B$6:$B$2005=A62)*'Pesagens'!$A$6:$A$2005))))</f>
        <v/>
      </c>
      <c r="P62" s="41">
        <f>IF(A62="","",IF(O62="",IF(J62="","",J62),IFERROR(AVERAGEIFS('Pesagens'!$C$6:$C$2005,'Pesagens'!$B$6:$B$2005,A62,'Pesagens'!$A$6:$A$2005,O62),"")))</f>
        <v/>
      </c>
      <c r="Q62" s="42">
        <f>IF(OR(A62="",O62="",I62="",J62=""),"",IFERROR((P62-J62)/(O62-I62),""))</f>
        <v/>
      </c>
    </row>
    <row r="63">
      <c r="A63" s="36" t="n"/>
      <c r="B63" s="32" t="n"/>
      <c r="C63" s="37" t="n"/>
      <c r="D63" s="31" t="n"/>
      <c r="E63" s="32" t="n"/>
      <c r="F63" s="32" t="n"/>
      <c r="G63" s="32" t="n"/>
      <c r="H63" s="36" t="n"/>
      <c r="I63" s="31" t="n"/>
      <c r="J63" s="38" t="n"/>
      <c r="K63" s="32" t="n"/>
      <c r="L63" s="34">
        <f>IF(OR(A63="",D63=""),"",IF(D63&gt;Config!$B$5,0,DATEDIF(D63,Config!$B$5,"m")))</f>
        <v/>
      </c>
      <c r="M63" s="39">
        <f>IF(A63="","",IF(K63&lt;&gt;"",K63,IF(OR(C63="",D63=""),"Sem dados",IFERROR(IF(C63="M",INDEX(Config!$B$11:$B$14,MATCH(L63,Config!$A$11:$A$14,1)),IF(C63="F",INDEX(Config!$C$11:$C$14,MATCH(L63,Config!$A$11:$A$14,1)),"Sem dados")),"Verificar"))))</f>
        <v/>
      </c>
      <c r="N63" s="39">
        <f>IF(A63="","",IF(COUNTIFS('Movimentações'!$C$6:$C$1505,A63,'Movimentações'!$B$6:$B$1505,"Venda")&gt;0,"Vendido",IF(COUNTIFS('Movimentações'!$C$6:$C$1505,A63,'Movimentações'!$B$6:$B$1505,"Morte")&gt;0,"Morto","Ativo")))</f>
        <v/>
      </c>
      <c r="O63" s="40">
        <f>IF(A63="","",IF(COUNTIF('Pesagens'!$B$6:$B$2005,A63)=0,"",SUMPRODUCT(MAX(('Pesagens'!$B$6:$B$2005=A63)*'Pesagens'!$A$6:$A$2005))))</f>
        <v/>
      </c>
      <c r="P63" s="41">
        <f>IF(A63="","",IF(O63="",IF(J63="","",J63),IFERROR(AVERAGEIFS('Pesagens'!$C$6:$C$2005,'Pesagens'!$B$6:$B$2005,A63,'Pesagens'!$A$6:$A$2005,O63),"")))</f>
        <v/>
      </c>
      <c r="Q63" s="42">
        <f>IF(OR(A63="",O63="",I63="",J63=""),"",IFERROR((P63-J63)/(O63-I63),""))</f>
        <v/>
      </c>
    </row>
    <row r="64">
      <c r="A64" s="36" t="n"/>
      <c r="B64" s="32" t="n"/>
      <c r="C64" s="37" t="n"/>
      <c r="D64" s="31" t="n"/>
      <c r="E64" s="32" t="n"/>
      <c r="F64" s="32" t="n"/>
      <c r="G64" s="32" t="n"/>
      <c r="H64" s="36" t="n"/>
      <c r="I64" s="31" t="n"/>
      <c r="J64" s="38" t="n"/>
      <c r="K64" s="32" t="n"/>
      <c r="L64" s="34">
        <f>IF(OR(A64="",D64=""),"",IF(D64&gt;Config!$B$5,0,DATEDIF(D64,Config!$B$5,"m")))</f>
        <v/>
      </c>
      <c r="M64" s="39">
        <f>IF(A64="","",IF(K64&lt;&gt;"",K64,IF(OR(C64="",D64=""),"Sem dados",IFERROR(IF(C64="M",INDEX(Config!$B$11:$B$14,MATCH(L64,Config!$A$11:$A$14,1)),IF(C64="F",INDEX(Config!$C$11:$C$14,MATCH(L64,Config!$A$11:$A$14,1)),"Sem dados")),"Verificar"))))</f>
        <v/>
      </c>
      <c r="N64" s="39">
        <f>IF(A64="","",IF(COUNTIFS('Movimentações'!$C$6:$C$1505,A64,'Movimentações'!$B$6:$B$1505,"Venda")&gt;0,"Vendido",IF(COUNTIFS('Movimentações'!$C$6:$C$1505,A64,'Movimentações'!$B$6:$B$1505,"Morte")&gt;0,"Morto","Ativo")))</f>
        <v/>
      </c>
      <c r="O64" s="40">
        <f>IF(A64="","",IF(COUNTIF('Pesagens'!$B$6:$B$2005,A64)=0,"",SUMPRODUCT(MAX(('Pesagens'!$B$6:$B$2005=A64)*'Pesagens'!$A$6:$A$2005))))</f>
        <v/>
      </c>
      <c r="P64" s="41">
        <f>IF(A64="","",IF(O64="",IF(J64="","",J64),IFERROR(AVERAGEIFS('Pesagens'!$C$6:$C$2005,'Pesagens'!$B$6:$B$2005,A64,'Pesagens'!$A$6:$A$2005,O64),"")))</f>
        <v/>
      </c>
      <c r="Q64" s="42">
        <f>IF(OR(A64="",O64="",I64="",J64=""),"",IFERROR((P64-J64)/(O64-I64),""))</f>
        <v/>
      </c>
    </row>
    <row r="65">
      <c r="A65" s="36" t="n"/>
      <c r="B65" s="32" t="n"/>
      <c r="C65" s="37" t="n"/>
      <c r="D65" s="31" t="n"/>
      <c r="E65" s="32" t="n"/>
      <c r="F65" s="32" t="n"/>
      <c r="G65" s="32" t="n"/>
      <c r="H65" s="36" t="n"/>
      <c r="I65" s="31" t="n"/>
      <c r="J65" s="38" t="n"/>
      <c r="K65" s="32" t="n"/>
      <c r="L65" s="34">
        <f>IF(OR(A65="",D65=""),"",IF(D65&gt;Config!$B$5,0,DATEDIF(D65,Config!$B$5,"m")))</f>
        <v/>
      </c>
      <c r="M65" s="39">
        <f>IF(A65="","",IF(K65&lt;&gt;"",K65,IF(OR(C65="",D65=""),"Sem dados",IFERROR(IF(C65="M",INDEX(Config!$B$11:$B$14,MATCH(L65,Config!$A$11:$A$14,1)),IF(C65="F",INDEX(Config!$C$11:$C$14,MATCH(L65,Config!$A$11:$A$14,1)),"Sem dados")),"Verificar"))))</f>
        <v/>
      </c>
      <c r="N65" s="39">
        <f>IF(A65="","",IF(COUNTIFS('Movimentações'!$C$6:$C$1505,A65,'Movimentações'!$B$6:$B$1505,"Venda")&gt;0,"Vendido",IF(COUNTIFS('Movimentações'!$C$6:$C$1505,A65,'Movimentações'!$B$6:$B$1505,"Morte")&gt;0,"Morto","Ativo")))</f>
        <v/>
      </c>
      <c r="O65" s="40">
        <f>IF(A65="","",IF(COUNTIF('Pesagens'!$B$6:$B$2005,A65)=0,"",SUMPRODUCT(MAX(('Pesagens'!$B$6:$B$2005=A65)*'Pesagens'!$A$6:$A$2005))))</f>
        <v/>
      </c>
      <c r="P65" s="41">
        <f>IF(A65="","",IF(O65="",IF(J65="","",J65),IFERROR(AVERAGEIFS('Pesagens'!$C$6:$C$2005,'Pesagens'!$B$6:$B$2005,A65,'Pesagens'!$A$6:$A$2005,O65),"")))</f>
        <v/>
      </c>
      <c r="Q65" s="42">
        <f>IF(OR(A65="",O65="",I65="",J65=""),"",IFERROR((P65-J65)/(O65-I65),""))</f>
        <v/>
      </c>
    </row>
    <row r="66">
      <c r="A66" s="36" t="n"/>
      <c r="B66" s="32" t="n"/>
      <c r="C66" s="37" t="n"/>
      <c r="D66" s="31" t="n"/>
      <c r="E66" s="32" t="n"/>
      <c r="F66" s="32" t="n"/>
      <c r="G66" s="32" t="n"/>
      <c r="H66" s="36" t="n"/>
      <c r="I66" s="31" t="n"/>
      <c r="J66" s="38" t="n"/>
      <c r="K66" s="32" t="n"/>
      <c r="L66" s="34">
        <f>IF(OR(A66="",D66=""),"",IF(D66&gt;Config!$B$5,0,DATEDIF(D66,Config!$B$5,"m")))</f>
        <v/>
      </c>
      <c r="M66" s="39">
        <f>IF(A66="","",IF(K66&lt;&gt;"",K66,IF(OR(C66="",D66=""),"Sem dados",IFERROR(IF(C66="M",INDEX(Config!$B$11:$B$14,MATCH(L66,Config!$A$11:$A$14,1)),IF(C66="F",INDEX(Config!$C$11:$C$14,MATCH(L66,Config!$A$11:$A$14,1)),"Sem dados")),"Verificar"))))</f>
        <v/>
      </c>
      <c r="N66" s="39">
        <f>IF(A66="","",IF(COUNTIFS('Movimentações'!$C$6:$C$1505,A66,'Movimentações'!$B$6:$B$1505,"Venda")&gt;0,"Vendido",IF(COUNTIFS('Movimentações'!$C$6:$C$1505,A66,'Movimentações'!$B$6:$B$1505,"Morte")&gt;0,"Morto","Ativo")))</f>
        <v/>
      </c>
      <c r="O66" s="40">
        <f>IF(A66="","",IF(COUNTIF('Pesagens'!$B$6:$B$2005,A66)=0,"",SUMPRODUCT(MAX(('Pesagens'!$B$6:$B$2005=A66)*'Pesagens'!$A$6:$A$2005))))</f>
        <v/>
      </c>
      <c r="P66" s="41">
        <f>IF(A66="","",IF(O66="",IF(J66="","",J66),IFERROR(AVERAGEIFS('Pesagens'!$C$6:$C$2005,'Pesagens'!$B$6:$B$2005,A66,'Pesagens'!$A$6:$A$2005,O66),"")))</f>
        <v/>
      </c>
      <c r="Q66" s="42">
        <f>IF(OR(A66="",O66="",I66="",J66=""),"",IFERROR((P66-J66)/(O66-I66),""))</f>
        <v/>
      </c>
    </row>
    <row r="67">
      <c r="A67" s="36" t="n"/>
      <c r="B67" s="32" t="n"/>
      <c r="C67" s="37" t="n"/>
      <c r="D67" s="31" t="n"/>
      <c r="E67" s="32" t="n"/>
      <c r="F67" s="32" t="n"/>
      <c r="G67" s="32" t="n"/>
      <c r="H67" s="36" t="n"/>
      <c r="I67" s="31" t="n"/>
      <c r="J67" s="38" t="n"/>
      <c r="K67" s="32" t="n"/>
      <c r="L67" s="34">
        <f>IF(OR(A67="",D67=""),"",IF(D67&gt;Config!$B$5,0,DATEDIF(D67,Config!$B$5,"m")))</f>
        <v/>
      </c>
      <c r="M67" s="39">
        <f>IF(A67="","",IF(K67&lt;&gt;"",K67,IF(OR(C67="",D67=""),"Sem dados",IFERROR(IF(C67="M",INDEX(Config!$B$11:$B$14,MATCH(L67,Config!$A$11:$A$14,1)),IF(C67="F",INDEX(Config!$C$11:$C$14,MATCH(L67,Config!$A$11:$A$14,1)),"Sem dados")),"Verificar"))))</f>
        <v/>
      </c>
      <c r="N67" s="39">
        <f>IF(A67="","",IF(COUNTIFS('Movimentações'!$C$6:$C$1505,A67,'Movimentações'!$B$6:$B$1505,"Venda")&gt;0,"Vendido",IF(COUNTIFS('Movimentações'!$C$6:$C$1505,A67,'Movimentações'!$B$6:$B$1505,"Morte")&gt;0,"Morto","Ativo")))</f>
        <v/>
      </c>
      <c r="O67" s="40">
        <f>IF(A67="","",IF(COUNTIF('Pesagens'!$B$6:$B$2005,A67)=0,"",SUMPRODUCT(MAX(('Pesagens'!$B$6:$B$2005=A67)*'Pesagens'!$A$6:$A$2005))))</f>
        <v/>
      </c>
      <c r="P67" s="41">
        <f>IF(A67="","",IF(O67="",IF(J67="","",J67),IFERROR(AVERAGEIFS('Pesagens'!$C$6:$C$2005,'Pesagens'!$B$6:$B$2005,A67,'Pesagens'!$A$6:$A$2005,O67),"")))</f>
        <v/>
      </c>
      <c r="Q67" s="42">
        <f>IF(OR(A67="",O67="",I67="",J67=""),"",IFERROR((P67-J67)/(O67-I67),""))</f>
        <v/>
      </c>
    </row>
    <row r="68">
      <c r="A68" s="36" t="n"/>
      <c r="B68" s="32" t="n"/>
      <c r="C68" s="37" t="n"/>
      <c r="D68" s="31" t="n"/>
      <c r="E68" s="32" t="n"/>
      <c r="F68" s="32" t="n"/>
      <c r="G68" s="32" t="n"/>
      <c r="H68" s="36" t="n"/>
      <c r="I68" s="31" t="n"/>
      <c r="J68" s="38" t="n"/>
      <c r="K68" s="32" t="n"/>
      <c r="L68" s="34">
        <f>IF(OR(A68="",D68=""),"",IF(D68&gt;Config!$B$5,0,DATEDIF(D68,Config!$B$5,"m")))</f>
        <v/>
      </c>
      <c r="M68" s="39">
        <f>IF(A68="","",IF(K68&lt;&gt;"",K68,IF(OR(C68="",D68=""),"Sem dados",IFERROR(IF(C68="M",INDEX(Config!$B$11:$B$14,MATCH(L68,Config!$A$11:$A$14,1)),IF(C68="F",INDEX(Config!$C$11:$C$14,MATCH(L68,Config!$A$11:$A$14,1)),"Sem dados")),"Verificar"))))</f>
        <v/>
      </c>
      <c r="N68" s="39">
        <f>IF(A68="","",IF(COUNTIFS('Movimentações'!$C$6:$C$1505,A68,'Movimentações'!$B$6:$B$1505,"Venda")&gt;0,"Vendido",IF(COUNTIFS('Movimentações'!$C$6:$C$1505,A68,'Movimentações'!$B$6:$B$1505,"Morte")&gt;0,"Morto","Ativo")))</f>
        <v/>
      </c>
      <c r="O68" s="40">
        <f>IF(A68="","",IF(COUNTIF('Pesagens'!$B$6:$B$2005,A68)=0,"",SUMPRODUCT(MAX(('Pesagens'!$B$6:$B$2005=A68)*'Pesagens'!$A$6:$A$2005))))</f>
        <v/>
      </c>
      <c r="P68" s="41">
        <f>IF(A68="","",IF(O68="",IF(J68="","",J68),IFERROR(AVERAGEIFS('Pesagens'!$C$6:$C$2005,'Pesagens'!$B$6:$B$2005,A68,'Pesagens'!$A$6:$A$2005,O68),"")))</f>
        <v/>
      </c>
      <c r="Q68" s="42">
        <f>IF(OR(A68="",O68="",I68="",J68=""),"",IFERROR((P68-J68)/(O68-I68),""))</f>
        <v/>
      </c>
    </row>
    <row r="69">
      <c r="A69" s="36" t="n"/>
      <c r="B69" s="32" t="n"/>
      <c r="C69" s="37" t="n"/>
      <c r="D69" s="31" t="n"/>
      <c r="E69" s="32" t="n"/>
      <c r="F69" s="32" t="n"/>
      <c r="G69" s="32" t="n"/>
      <c r="H69" s="36" t="n"/>
      <c r="I69" s="31" t="n"/>
      <c r="J69" s="38" t="n"/>
      <c r="K69" s="32" t="n"/>
      <c r="L69" s="34">
        <f>IF(OR(A69="",D69=""),"",IF(D69&gt;Config!$B$5,0,DATEDIF(D69,Config!$B$5,"m")))</f>
        <v/>
      </c>
      <c r="M69" s="39">
        <f>IF(A69="","",IF(K69&lt;&gt;"",K69,IF(OR(C69="",D69=""),"Sem dados",IFERROR(IF(C69="M",INDEX(Config!$B$11:$B$14,MATCH(L69,Config!$A$11:$A$14,1)),IF(C69="F",INDEX(Config!$C$11:$C$14,MATCH(L69,Config!$A$11:$A$14,1)),"Sem dados")),"Verificar"))))</f>
        <v/>
      </c>
      <c r="N69" s="39">
        <f>IF(A69="","",IF(COUNTIFS('Movimentações'!$C$6:$C$1505,A69,'Movimentações'!$B$6:$B$1505,"Venda")&gt;0,"Vendido",IF(COUNTIFS('Movimentações'!$C$6:$C$1505,A69,'Movimentações'!$B$6:$B$1505,"Morte")&gt;0,"Morto","Ativo")))</f>
        <v/>
      </c>
      <c r="O69" s="40">
        <f>IF(A69="","",IF(COUNTIF('Pesagens'!$B$6:$B$2005,A69)=0,"",SUMPRODUCT(MAX(('Pesagens'!$B$6:$B$2005=A69)*'Pesagens'!$A$6:$A$2005))))</f>
        <v/>
      </c>
      <c r="P69" s="41">
        <f>IF(A69="","",IF(O69="",IF(J69="","",J69),IFERROR(AVERAGEIFS('Pesagens'!$C$6:$C$2005,'Pesagens'!$B$6:$B$2005,A69,'Pesagens'!$A$6:$A$2005,O69),"")))</f>
        <v/>
      </c>
      <c r="Q69" s="42">
        <f>IF(OR(A69="",O69="",I69="",J69=""),"",IFERROR((P69-J69)/(O69-I69),""))</f>
        <v/>
      </c>
    </row>
    <row r="70">
      <c r="A70" s="36" t="n"/>
      <c r="B70" s="32" t="n"/>
      <c r="C70" s="37" t="n"/>
      <c r="D70" s="31" t="n"/>
      <c r="E70" s="32" t="n"/>
      <c r="F70" s="32" t="n"/>
      <c r="G70" s="32" t="n"/>
      <c r="H70" s="36" t="n"/>
      <c r="I70" s="31" t="n"/>
      <c r="J70" s="38" t="n"/>
      <c r="K70" s="32" t="n"/>
      <c r="L70" s="34">
        <f>IF(OR(A70="",D70=""),"",IF(D70&gt;Config!$B$5,0,DATEDIF(D70,Config!$B$5,"m")))</f>
        <v/>
      </c>
      <c r="M70" s="39">
        <f>IF(A70="","",IF(K70&lt;&gt;"",K70,IF(OR(C70="",D70=""),"Sem dados",IFERROR(IF(C70="M",INDEX(Config!$B$11:$B$14,MATCH(L70,Config!$A$11:$A$14,1)),IF(C70="F",INDEX(Config!$C$11:$C$14,MATCH(L70,Config!$A$11:$A$14,1)),"Sem dados")),"Verificar"))))</f>
        <v/>
      </c>
      <c r="N70" s="39">
        <f>IF(A70="","",IF(COUNTIFS('Movimentações'!$C$6:$C$1505,A70,'Movimentações'!$B$6:$B$1505,"Venda")&gt;0,"Vendido",IF(COUNTIFS('Movimentações'!$C$6:$C$1505,A70,'Movimentações'!$B$6:$B$1505,"Morte")&gt;0,"Morto","Ativo")))</f>
        <v/>
      </c>
      <c r="O70" s="40">
        <f>IF(A70="","",IF(COUNTIF('Pesagens'!$B$6:$B$2005,A70)=0,"",SUMPRODUCT(MAX(('Pesagens'!$B$6:$B$2005=A70)*'Pesagens'!$A$6:$A$2005))))</f>
        <v/>
      </c>
      <c r="P70" s="41">
        <f>IF(A70="","",IF(O70="",IF(J70="","",J70),IFERROR(AVERAGEIFS('Pesagens'!$C$6:$C$2005,'Pesagens'!$B$6:$B$2005,A70,'Pesagens'!$A$6:$A$2005,O70),"")))</f>
        <v/>
      </c>
      <c r="Q70" s="42">
        <f>IF(OR(A70="",O70="",I70="",J70=""),"",IFERROR((P70-J70)/(O70-I70),""))</f>
        <v/>
      </c>
    </row>
    <row r="71">
      <c r="A71" s="36" t="n"/>
      <c r="B71" s="32" t="n"/>
      <c r="C71" s="37" t="n"/>
      <c r="D71" s="31" t="n"/>
      <c r="E71" s="32" t="n"/>
      <c r="F71" s="32" t="n"/>
      <c r="G71" s="32" t="n"/>
      <c r="H71" s="36" t="n"/>
      <c r="I71" s="31" t="n"/>
      <c r="J71" s="38" t="n"/>
      <c r="K71" s="32" t="n"/>
      <c r="L71" s="34">
        <f>IF(OR(A71="",D71=""),"",IF(D71&gt;Config!$B$5,0,DATEDIF(D71,Config!$B$5,"m")))</f>
        <v/>
      </c>
      <c r="M71" s="39">
        <f>IF(A71="","",IF(K71&lt;&gt;"",K71,IF(OR(C71="",D71=""),"Sem dados",IFERROR(IF(C71="M",INDEX(Config!$B$11:$B$14,MATCH(L71,Config!$A$11:$A$14,1)),IF(C71="F",INDEX(Config!$C$11:$C$14,MATCH(L71,Config!$A$11:$A$14,1)),"Sem dados")),"Verificar"))))</f>
        <v/>
      </c>
      <c r="N71" s="39">
        <f>IF(A71="","",IF(COUNTIFS('Movimentações'!$C$6:$C$1505,A71,'Movimentações'!$B$6:$B$1505,"Venda")&gt;0,"Vendido",IF(COUNTIFS('Movimentações'!$C$6:$C$1505,A71,'Movimentações'!$B$6:$B$1505,"Morte")&gt;0,"Morto","Ativo")))</f>
        <v/>
      </c>
      <c r="O71" s="40">
        <f>IF(A71="","",IF(COUNTIF('Pesagens'!$B$6:$B$2005,A71)=0,"",SUMPRODUCT(MAX(('Pesagens'!$B$6:$B$2005=A71)*'Pesagens'!$A$6:$A$2005))))</f>
        <v/>
      </c>
      <c r="P71" s="41">
        <f>IF(A71="","",IF(O71="",IF(J71="","",J71),IFERROR(AVERAGEIFS('Pesagens'!$C$6:$C$2005,'Pesagens'!$B$6:$B$2005,A71,'Pesagens'!$A$6:$A$2005,O71),"")))</f>
        <v/>
      </c>
      <c r="Q71" s="42">
        <f>IF(OR(A71="",O71="",I71="",J71=""),"",IFERROR((P71-J71)/(O71-I71),""))</f>
        <v/>
      </c>
    </row>
    <row r="72">
      <c r="A72" s="36" t="n"/>
      <c r="B72" s="32" t="n"/>
      <c r="C72" s="37" t="n"/>
      <c r="D72" s="31" t="n"/>
      <c r="E72" s="32" t="n"/>
      <c r="F72" s="32" t="n"/>
      <c r="G72" s="32" t="n"/>
      <c r="H72" s="36" t="n"/>
      <c r="I72" s="31" t="n"/>
      <c r="J72" s="38" t="n"/>
      <c r="K72" s="32" t="n"/>
      <c r="L72" s="34">
        <f>IF(OR(A72="",D72=""),"",IF(D72&gt;Config!$B$5,0,DATEDIF(D72,Config!$B$5,"m")))</f>
        <v/>
      </c>
      <c r="M72" s="39">
        <f>IF(A72="","",IF(K72&lt;&gt;"",K72,IF(OR(C72="",D72=""),"Sem dados",IFERROR(IF(C72="M",INDEX(Config!$B$11:$B$14,MATCH(L72,Config!$A$11:$A$14,1)),IF(C72="F",INDEX(Config!$C$11:$C$14,MATCH(L72,Config!$A$11:$A$14,1)),"Sem dados")),"Verificar"))))</f>
        <v/>
      </c>
      <c r="N72" s="39">
        <f>IF(A72="","",IF(COUNTIFS('Movimentações'!$C$6:$C$1505,A72,'Movimentações'!$B$6:$B$1505,"Venda")&gt;0,"Vendido",IF(COUNTIFS('Movimentações'!$C$6:$C$1505,A72,'Movimentações'!$B$6:$B$1505,"Morte")&gt;0,"Morto","Ativo")))</f>
        <v/>
      </c>
      <c r="O72" s="40">
        <f>IF(A72="","",IF(COUNTIF('Pesagens'!$B$6:$B$2005,A72)=0,"",SUMPRODUCT(MAX(('Pesagens'!$B$6:$B$2005=A72)*'Pesagens'!$A$6:$A$2005))))</f>
        <v/>
      </c>
      <c r="P72" s="41">
        <f>IF(A72="","",IF(O72="",IF(J72="","",J72),IFERROR(AVERAGEIFS('Pesagens'!$C$6:$C$2005,'Pesagens'!$B$6:$B$2005,A72,'Pesagens'!$A$6:$A$2005,O72),"")))</f>
        <v/>
      </c>
      <c r="Q72" s="42">
        <f>IF(OR(A72="",O72="",I72="",J72=""),"",IFERROR((P72-J72)/(O72-I72),""))</f>
        <v/>
      </c>
    </row>
    <row r="73">
      <c r="A73" s="36" t="n"/>
      <c r="B73" s="32" t="n"/>
      <c r="C73" s="37" t="n"/>
      <c r="D73" s="31" t="n"/>
      <c r="E73" s="32" t="n"/>
      <c r="F73" s="32" t="n"/>
      <c r="G73" s="32" t="n"/>
      <c r="H73" s="36" t="n"/>
      <c r="I73" s="31" t="n"/>
      <c r="J73" s="38" t="n"/>
      <c r="K73" s="32" t="n"/>
      <c r="L73" s="34">
        <f>IF(OR(A73="",D73=""),"",IF(D73&gt;Config!$B$5,0,DATEDIF(D73,Config!$B$5,"m")))</f>
        <v/>
      </c>
      <c r="M73" s="39">
        <f>IF(A73="","",IF(K73&lt;&gt;"",K73,IF(OR(C73="",D73=""),"Sem dados",IFERROR(IF(C73="M",INDEX(Config!$B$11:$B$14,MATCH(L73,Config!$A$11:$A$14,1)),IF(C73="F",INDEX(Config!$C$11:$C$14,MATCH(L73,Config!$A$11:$A$14,1)),"Sem dados")),"Verificar"))))</f>
        <v/>
      </c>
      <c r="N73" s="39">
        <f>IF(A73="","",IF(COUNTIFS('Movimentações'!$C$6:$C$1505,A73,'Movimentações'!$B$6:$B$1505,"Venda")&gt;0,"Vendido",IF(COUNTIFS('Movimentações'!$C$6:$C$1505,A73,'Movimentações'!$B$6:$B$1505,"Morte")&gt;0,"Morto","Ativo")))</f>
        <v/>
      </c>
      <c r="O73" s="40">
        <f>IF(A73="","",IF(COUNTIF('Pesagens'!$B$6:$B$2005,A73)=0,"",SUMPRODUCT(MAX(('Pesagens'!$B$6:$B$2005=A73)*'Pesagens'!$A$6:$A$2005))))</f>
        <v/>
      </c>
      <c r="P73" s="41">
        <f>IF(A73="","",IF(O73="",IF(J73="","",J73),IFERROR(AVERAGEIFS('Pesagens'!$C$6:$C$2005,'Pesagens'!$B$6:$B$2005,A73,'Pesagens'!$A$6:$A$2005,O73),"")))</f>
        <v/>
      </c>
      <c r="Q73" s="42">
        <f>IF(OR(A73="",O73="",I73="",J73=""),"",IFERROR((P73-J73)/(O73-I73),""))</f>
        <v/>
      </c>
    </row>
    <row r="74">
      <c r="A74" s="36" t="n"/>
      <c r="B74" s="32" t="n"/>
      <c r="C74" s="37" t="n"/>
      <c r="D74" s="31" t="n"/>
      <c r="E74" s="32" t="n"/>
      <c r="F74" s="32" t="n"/>
      <c r="G74" s="32" t="n"/>
      <c r="H74" s="36" t="n"/>
      <c r="I74" s="31" t="n"/>
      <c r="J74" s="38" t="n"/>
      <c r="K74" s="32" t="n"/>
      <c r="L74" s="34">
        <f>IF(OR(A74="",D74=""),"",IF(D74&gt;Config!$B$5,0,DATEDIF(D74,Config!$B$5,"m")))</f>
        <v/>
      </c>
      <c r="M74" s="39">
        <f>IF(A74="","",IF(K74&lt;&gt;"",K74,IF(OR(C74="",D74=""),"Sem dados",IFERROR(IF(C74="M",INDEX(Config!$B$11:$B$14,MATCH(L74,Config!$A$11:$A$14,1)),IF(C74="F",INDEX(Config!$C$11:$C$14,MATCH(L74,Config!$A$11:$A$14,1)),"Sem dados")),"Verificar"))))</f>
        <v/>
      </c>
      <c r="N74" s="39">
        <f>IF(A74="","",IF(COUNTIFS('Movimentações'!$C$6:$C$1505,A74,'Movimentações'!$B$6:$B$1505,"Venda")&gt;0,"Vendido",IF(COUNTIFS('Movimentações'!$C$6:$C$1505,A74,'Movimentações'!$B$6:$B$1505,"Morte")&gt;0,"Morto","Ativo")))</f>
        <v/>
      </c>
      <c r="O74" s="40">
        <f>IF(A74="","",IF(COUNTIF('Pesagens'!$B$6:$B$2005,A74)=0,"",SUMPRODUCT(MAX(('Pesagens'!$B$6:$B$2005=A74)*'Pesagens'!$A$6:$A$2005))))</f>
        <v/>
      </c>
      <c r="P74" s="41">
        <f>IF(A74="","",IF(O74="",IF(J74="","",J74),IFERROR(AVERAGEIFS('Pesagens'!$C$6:$C$2005,'Pesagens'!$B$6:$B$2005,A74,'Pesagens'!$A$6:$A$2005,O74),"")))</f>
        <v/>
      </c>
      <c r="Q74" s="42">
        <f>IF(OR(A74="",O74="",I74="",J74=""),"",IFERROR((P74-J74)/(O74-I74),""))</f>
        <v/>
      </c>
    </row>
    <row r="75">
      <c r="A75" s="36" t="n"/>
      <c r="B75" s="32" t="n"/>
      <c r="C75" s="37" t="n"/>
      <c r="D75" s="31" t="n"/>
      <c r="E75" s="32" t="n"/>
      <c r="F75" s="32" t="n"/>
      <c r="G75" s="32" t="n"/>
      <c r="H75" s="36" t="n"/>
      <c r="I75" s="31" t="n"/>
      <c r="J75" s="38" t="n"/>
      <c r="K75" s="32" t="n"/>
      <c r="L75" s="34">
        <f>IF(OR(A75="",D75=""),"",IF(D75&gt;Config!$B$5,0,DATEDIF(D75,Config!$B$5,"m")))</f>
        <v/>
      </c>
      <c r="M75" s="39">
        <f>IF(A75="","",IF(K75&lt;&gt;"",K75,IF(OR(C75="",D75=""),"Sem dados",IFERROR(IF(C75="M",INDEX(Config!$B$11:$B$14,MATCH(L75,Config!$A$11:$A$14,1)),IF(C75="F",INDEX(Config!$C$11:$C$14,MATCH(L75,Config!$A$11:$A$14,1)),"Sem dados")),"Verificar"))))</f>
        <v/>
      </c>
      <c r="N75" s="39">
        <f>IF(A75="","",IF(COUNTIFS('Movimentações'!$C$6:$C$1505,A75,'Movimentações'!$B$6:$B$1505,"Venda")&gt;0,"Vendido",IF(COUNTIFS('Movimentações'!$C$6:$C$1505,A75,'Movimentações'!$B$6:$B$1505,"Morte")&gt;0,"Morto","Ativo")))</f>
        <v/>
      </c>
      <c r="O75" s="40">
        <f>IF(A75="","",IF(COUNTIF('Pesagens'!$B$6:$B$2005,A75)=0,"",SUMPRODUCT(MAX(('Pesagens'!$B$6:$B$2005=A75)*'Pesagens'!$A$6:$A$2005))))</f>
        <v/>
      </c>
      <c r="P75" s="41">
        <f>IF(A75="","",IF(O75="",IF(J75="","",J75),IFERROR(AVERAGEIFS('Pesagens'!$C$6:$C$2005,'Pesagens'!$B$6:$B$2005,A75,'Pesagens'!$A$6:$A$2005,O75),"")))</f>
        <v/>
      </c>
      <c r="Q75" s="42">
        <f>IF(OR(A75="",O75="",I75="",J75=""),"",IFERROR((P75-J75)/(O75-I75),""))</f>
        <v/>
      </c>
    </row>
    <row r="76">
      <c r="A76" s="36" t="n"/>
      <c r="B76" s="32" t="n"/>
      <c r="C76" s="37" t="n"/>
      <c r="D76" s="31" t="n"/>
      <c r="E76" s="32" t="n"/>
      <c r="F76" s="32" t="n"/>
      <c r="G76" s="32" t="n"/>
      <c r="H76" s="36" t="n"/>
      <c r="I76" s="31" t="n"/>
      <c r="J76" s="38" t="n"/>
      <c r="K76" s="32" t="n"/>
      <c r="L76" s="34">
        <f>IF(OR(A76="",D76=""),"",IF(D76&gt;Config!$B$5,0,DATEDIF(D76,Config!$B$5,"m")))</f>
        <v/>
      </c>
      <c r="M76" s="39">
        <f>IF(A76="","",IF(K76&lt;&gt;"",K76,IF(OR(C76="",D76=""),"Sem dados",IFERROR(IF(C76="M",INDEX(Config!$B$11:$B$14,MATCH(L76,Config!$A$11:$A$14,1)),IF(C76="F",INDEX(Config!$C$11:$C$14,MATCH(L76,Config!$A$11:$A$14,1)),"Sem dados")),"Verificar"))))</f>
        <v/>
      </c>
      <c r="N76" s="39">
        <f>IF(A76="","",IF(COUNTIFS('Movimentações'!$C$6:$C$1505,A76,'Movimentações'!$B$6:$B$1505,"Venda")&gt;0,"Vendido",IF(COUNTIFS('Movimentações'!$C$6:$C$1505,A76,'Movimentações'!$B$6:$B$1505,"Morte")&gt;0,"Morto","Ativo")))</f>
        <v/>
      </c>
      <c r="O76" s="40">
        <f>IF(A76="","",IF(COUNTIF('Pesagens'!$B$6:$B$2005,A76)=0,"",SUMPRODUCT(MAX(('Pesagens'!$B$6:$B$2005=A76)*'Pesagens'!$A$6:$A$2005))))</f>
        <v/>
      </c>
      <c r="P76" s="41">
        <f>IF(A76="","",IF(O76="",IF(J76="","",J76),IFERROR(AVERAGEIFS('Pesagens'!$C$6:$C$2005,'Pesagens'!$B$6:$B$2005,A76,'Pesagens'!$A$6:$A$2005,O76),"")))</f>
        <v/>
      </c>
      <c r="Q76" s="42">
        <f>IF(OR(A76="",O76="",I76="",J76=""),"",IFERROR((P76-J76)/(O76-I76),""))</f>
        <v/>
      </c>
    </row>
    <row r="77">
      <c r="A77" s="36" t="n"/>
      <c r="B77" s="32" t="n"/>
      <c r="C77" s="37" t="n"/>
      <c r="D77" s="31" t="n"/>
      <c r="E77" s="32" t="n"/>
      <c r="F77" s="32" t="n"/>
      <c r="G77" s="32" t="n"/>
      <c r="H77" s="36" t="n"/>
      <c r="I77" s="31" t="n"/>
      <c r="J77" s="38" t="n"/>
      <c r="K77" s="32" t="n"/>
      <c r="L77" s="34">
        <f>IF(OR(A77="",D77=""),"",IF(D77&gt;Config!$B$5,0,DATEDIF(D77,Config!$B$5,"m")))</f>
        <v/>
      </c>
      <c r="M77" s="39">
        <f>IF(A77="","",IF(K77&lt;&gt;"",K77,IF(OR(C77="",D77=""),"Sem dados",IFERROR(IF(C77="M",INDEX(Config!$B$11:$B$14,MATCH(L77,Config!$A$11:$A$14,1)),IF(C77="F",INDEX(Config!$C$11:$C$14,MATCH(L77,Config!$A$11:$A$14,1)),"Sem dados")),"Verificar"))))</f>
        <v/>
      </c>
      <c r="N77" s="39">
        <f>IF(A77="","",IF(COUNTIFS('Movimentações'!$C$6:$C$1505,A77,'Movimentações'!$B$6:$B$1505,"Venda")&gt;0,"Vendido",IF(COUNTIFS('Movimentações'!$C$6:$C$1505,A77,'Movimentações'!$B$6:$B$1505,"Morte")&gt;0,"Morto","Ativo")))</f>
        <v/>
      </c>
      <c r="O77" s="40">
        <f>IF(A77="","",IF(COUNTIF('Pesagens'!$B$6:$B$2005,A77)=0,"",SUMPRODUCT(MAX(('Pesagens'!$B$6:$B$2005=A77)*'Pesagens'!$A$6:$A$2005))))</f>
        <v/>
      </c>
      <c r="P77" s="41">
        <f>IF(A77="","",IF(O77="",IF(J77="","",J77),IFERROR(AVERAGEIFS('Pesagens'!$C$6:$C$2005,'Pesagens'!$B$6:$B$2005,A77,'Pesagens'!$A$6:$A$2005,O77),"")))</f>
        <v/>
      </c>
      <c r="Q77" s="42">
        <f>IF(OR(A77="",O77="",I77="",J77=""),"",IFERROR((P77-J77)/(O77-I77),""))</f>
        <v/>
      </c>
    </row>
    <row r="78">
      <c r="A78" s="36" t="n"/>
      <c r="B78" s="32" t="n"/>
      <c r="C78" s="37" t="n"/>
      <c r="D78" s="31" t="n"/>
      <c r="E78" s="32" t="n"/>
      <c r="F78" s="32" t="n"/>
      <c r="G78" s="32" t="n"/>
      <c r="H78" s="36" t="n"/>
      <c r="I78" s="31" t="n"/>
      <c r="J78" s="38" t="n"/>
      <c r="K78" s="32" t="n"/>
      <c r="L78" s="34">
        <f>IF(OR(A78="",D78=""),"",IF(D78&gt;Config!$B$5,0,DATEDIF(D78,Config!$B$5,"m")))</f>
        <v/>
      </c>
      <c r="M78" s="39">
        <f>IF(A78="","",IF(K78&lt;&gt;"",K78,IF(OR(C78="",D78=""),"Sem dados",IFERROR(IF(C78="M",INDEX(Config!$B$11:$B$14,MATCH(L78,Config!$A$11:$A$14,1)),IF(C78="F",INDEX(Config!$C$11:$C$14,MATCH(L78,Config!$A$11:$A$14,1)),"Sem dados")),"Verificar"))))</f>
        <v/>
      </c>
      <c r="N78" s="39">
        <f>IF(A78="","",IF(COUNTIFS('Movimentações'!$C$6:$C$1505,A78,'Movimentações'!$B$6:$B$1505,"Venda")&gt;0,"Vendido",IF(COUNTIFS('Movimentações'!$C$6:$C$1505,A78,'Movimentações'!$B$6:$B$1505,"Morte")&gt;0,"Morto","Ativo")))</f>
        <v/>
      </c>
      <c r="O78" s="40">
        <f>IF(A78="","",IF(COUNTIF('Pesagens'!$B$6:$B$2005,A78)=0,"",SUMPRODUCT(MAX(('Pesagens'!$B$6:$B$2005=A78)*'Pesagens'!$A$6:$A$2005))))</f>
        <v/>
      </c>
      <c r="P78" s="41">
        <f>IF(A78="","",IF(O78="",IF(J78="","",J78),IFERROR(AVERAGEIFS('Pesagens'!$C$6:$C$2005,'Pesagens'!$B$6:$B$2005,A78,'Pesagens'!$A$6:$A$2005,O78),"")))</f>
        <v/>
      </c>
      <c r="Q78" s="42">
        <f>IF(OR(A78="",O78="",I78="",J78=""),"",IFERROR((P78-J78)/(O78-I78),""))</f>
        <v/>
      </c>
    </row>
    <row r="79">
      <c r="A79" s="36" t="n"/>
      <c r="B79" s="32" t="n"/>
      <c r="C79" s="37" t="n"/>
      <c r="D79" s="31" t="n"/>
      <c r="E79" s="32" t="n"/>
      <c r="F79" s="32" t="n"/>
      <c r="G79" s="32" t="n"/>
      <c r="H79" s="36" t="n"/>
      <c r="I79" s="31" t="n"/>
      <c r="J79" s="38" t="n"/>
      <c r="K79" s="32" t="n"/>
      <c r="L79" s="34">
        <f>IF(OR(A79="",D79=""),"",IF(D79&gt;Config!$B$5,0,DATEDIF(D79,Config!$B$5,"m")))</f>
        <v/>
      </c>
      <c r="M79" s="39">
        <f>IF(A79="","",IF(K79&lt;&gt;"",K79,IF(OR(C79="",D79=""),"Sem dados",IFERROR(IF(C79="M",INDEX(Config!$B$11:$B$14,MATCH(L79,Config!$A$11:$A$14,1)),IF(C79="F",INDEX(Config!$C$11:$C$14,MATCH(L79,Config!$A$11:$A$14,1)),"Sem dados")),"Verificar"))))</f>
        <v/>
      </c>
      <c r="N79" s="39">
        <f>IF(A79="","",IF(COUNTIFS('Movimentações'!$C$6:$C$1505,A79,'Movimentações'!$B$6:$B$1505,"Venda")&gt;0,"Vendido",IF(COUNTIFS('Movimentações'!$C$6:$C$1505,A79,'Movimentações'!$B$6:$B$1505,"Morte")&gt;0,"Morto","Ativo")))</f>
        <v/>
      </c>
      <c r="O79" s="40">
        <f>IF(A79="","",IF(COUNTIF('Pesagens'!$B$6:$B$2005,A79)=0,"",SUMPRODUCT(MAX(('Pesagens'!$B$6:$B$2005=A79)*'Pesagens'!$A$6:$A$2005))))</f>
        <v/>
      </c>
      <c r="P79" s="41">
        <f>IF(A79="","",IF(O79="",IF(J79="","",J79),IFERROR(AVERAGEIFS('Pesagens'!$C$6:$C$2005,'Pesagens'!$B$6:$B$2005,A79,'Pesagens'!$A$6:$A$2005,O79),"")))</f>
        <v/>
      </c>
      <c r="Q79" s="42">
        <f>IF(OR(A79="",O79="",I79="",J79=""),"",IFERROR((P79-J79)/(O79-I79),""))</f>
        <v/>
      </c>
    </row>
    <row r="80">
      <c r="A80" s="36" t="n"/>
      <c r="B80" s="32" t="n"/>
      <c r="C80" s="37" t="n"/>
      <c r="D80" s="31" t="n"/>
      <c r="E80" s="32" t="n"/>
      <c r="F80" s="32" t="n"/>
      <c r="G80" s="32" t="n"/>
      <c r="H80" s="36" t="n"/>
      <c r="I80" s="31" t="n"/>
      <c r="J80" s="38" t="n"/>
      <c r="K80" s="32" t="n"/>
      <c r="L80" s="34">
        <f>IF(OR(A80="",D80=""),"",IF(D80&gt;Config!$B$5,0,DATEDIF(D80,Config!$B$5,"m")))</f>
        <v/>
      </c>
      <c r="M80" s="39">
        <f>IF(A80="","",IF(K80&lt;&gt;"",K80,IF(OR(C80="",D80=""),"Sem dados",IFERROR(IF(C80="M",INDEX(Config!$B$11:$B$14,MATCH(L80,Config!$A$11:$A$14,1)),IF(C80="F",INDEX(Config!$C$11:$C$14,MATCH(L80,Config!$A$11:$A$14,1)),"Sem dados")),"Verificar"))))</f>
        <v/>
      </c>
      <c r="N80" s="39">
        <f>IF(A80="","",IF(COUNTIFS('Movimentações'!$C$6:$C$1505,A80,'Movimentações'!$B$6:$B$1505,"Venda")&gt;0,"Vendido",IF(COUNTIFS('Movimentações'!$C$6:$C$1505,A80,'Movimentações'!$B$6:$B$1505,"Morte")&gt;0,"Morto","Ativo")))</f>
        <v/>
      </c>
      <c r="O80" s="40">
        <f>IF(A80="","",IF(COUNTIF('Pesagens'!$B$6:$B$2005,A80)=0,"",SUMPRODUCT(MAX(('Pesagens'!$B$6:$B$2005=A80)*'Pesagens'!$A$6:$A$2005))))</f>
        <v/>
      </c>
      <c r="P80" s="41">
        <f>IF(A80="","",IF(O80="",IF(J80="","",J80),IFERROR(AVERAGEIFS('Pesagens'!$C$6:$C$2005,'Pesagens'!$B$6:$B$2005,A80,'Pesagens'!$A$6:$A$2005,O80),"")))</f>
        <v/>
      </c>
      <c r="Q80" s="42">
        <f>IF(OR(A80="",O80="",I80="",J80=""),"",IFERROR((P80-J80)/(O80-I80),""))</f>
        <v/>
      </c>
    </row>
    <row r="81">
      <c r="A81" s="36" t="n"/>
      <c r="B81" s="32" t="n"/>
      <c r="C81" s="37" t="n"/>
      <c r="D81" s="31" t="n"/>
      <c r="E81" s="32" t="n"/>
      <c r="F81" s="32" t="n"/>
      <c r="G81" s="32" t="n"/>
      <c r="H81" s="36" t="n"/>
      <c r="I81" s="31" t="n"/>
      <c r="J81" s="38" t="n"/>
      <c r="K81" s="32" t="n"/>
      <c r="L81" s="34">
        <f>IF(OR(A81="",D81=""),"",IF(D81&gt;Config!$B$5,0,DATEDIF(D81,Config!$B$5,"m")))</f>
        <v/>
      </c>
      <c r="M81" s="39">
        <f>IF(A81="","",IF(K81&lt;&gt;"",K81,IF(OR(C81="",D81=""),"Sem dados",IFERROR(IF(C81="M",INDEX(Config!$B$11:$B$14,MATCH(L81,Config!$A$11:$A$14,1)),IF(C81="F",INDEX(Config!$C$11:$C$14,MATCH(L81,Config!$A$11:$A$14,1)),"Sem dados")),"Verificar"))))</f>
        <v/>
      </c>
      <c r="N81" s="39">
        <f>IF(A81="","",IF(COUNTIFS('Movimentações'!$C$6:$C$1505,A81,'Movimentações'!$B$6:$B$1505,"Venda")&gt;0,"Vendido",IF(COUNTIFS('Movimentações'!$C$6:$C$1505,A81,'Movimentações'!$B$6:$B$1505,"Morte")&gt;0,"Morto","Ativo")))</f>
        <v/>
      </c>
      <c r="O81" s="40">
        <f>IF(A81="","",IF(COUNTIF('Pesagens'!$B$6:$B$2005,A81)=0,"",SUMPRODUCT(MAX(('Pesagens'!$B$6:$B$2005=A81)*'Pesagens'!$A$6:$A$2005))))</f>
        <v/>
      </c>
      <c r="P81" s="41">
        <f>IF(A81="","",IF(O81="",IF(J81="","",J81),IFERROR(AVERAGEIFS('Pesagens'!$C$6:$C$2005,'Pesagens'!$B$6:$B$2005,A81,'Pesagens'!$A$6:$A$2005,O81),"")))</f>
        <v/>
      </c>
      <c r="Q81" s="42">
        <f>IF(OR(A81="",O81="",I81="",J81=""),"",IFERROR((P81-J81)/(O81-I81),""))</f>
        <v/>
      </c>
    </row>
    <row r="82">
      <c r="A82" s="36" t="n"/>
      <c r="B82" s="32" t="n"/>
      <c r="C82" s="37" t="n"/>
      <c r="D82" s="31" t="n"/>
      <c r="E82" s="32" t="n"/>
      <c r="F82" s="32" t="n"/>
      <c r="G82" s="32" t="n"/>
      <c r="H82" s="36" t="n"/>
      <c r="I82" s="31" t="n"/>
      <c r="J82" s="38" t="n"/>
      <c r="K82" s="32" t="n"/>
      <c r="L82" s="34">
        <f>IF(OR(A82="",D82=""),"",IF(D82&gt;Config!$B$5,0,DATEDIF(D82,Config!$B$5,"m")))</f>
        <v/>
      </c>
      <c r="M82" s="39">
        <f>IF(A82="","",IF(K82&lt;&gt;"",K82,IF(OR(C82="",D82=""),"Sem dados",IFERROR(IF(C82="M",INDEX(Config!$B$11:$B$14,MATCH(L82,Config!$A$11:$A$14,1)),IF(C82="F",INDEX(Config!$C$11:$C$14,MATCH(L82,Config!$A$11:$A$14,1)),"Sem dados")),"Verificar"))))</f>
        <v/>
      </c>
      <c r="N82" s="39">
        <f>IF(A82="","",IF(COUNTIFS('Movimentações'!$C$6:$C$1505,A82,'Movimentações'!$B$6:$B$1505,"Venda")&gt;0,"Vendido",IF(COUNTIFS('Movimentações'!$C$6:$C$1505,A82,'Movimentações'!$B$6:$B$1505,"Morte")&gt;0,"Morto","Ativo")))</f>
        <v/>
      </c>
      <c r="O82" s="40">
        <f>IF(A82="","",IF(COUNTIF('Pesagens'!$B$6:$B$2005,A82)=0,"",SUMPRODUCT(MAX(('Pesagens'!$B$6:$B$2005=A82)*'Pesagens'!$A$6:$A$2005))))</f>
        <v/>
      </c>
      <c r="P82" s="41">
        <f>IF(A82="","",IF(O82="",IF(J82="","",J82),IFERROR(AVERAGEIFS('Pesagens'!$C$6:$C$2005,'Pesagens'!$B$6:$B$2005,A82,'Pesagens'!$A$6:$A$2005,O82),"")))</f>
        <v/>
      </c>
      <c r="Q82" s="42">
        <f>IF(OR(A82="",O82="",I82="",J82=""),"",IFERROR((P82-J82)/(O82-I82),""))</f>
        <v/>
      </c>
    </row>
    <row r="83">
      <c r="A83" s="36" t="n"/>
      <c r="B83" s="32" t="n"/>
      <c r="C83" s="37" t="n"/>
      <c r="D83" s="31" t="n"/>
      <c r="E83" s="32" t="n"/>
      <c r="F83" s="32" t="n"/>
      <c r="G83" s="32" t="n"/>
      <c r="H83" s="36" t="n"/>
      <c r="I83" s="31" t="n"/>
      <c r="J83" s="38" t="n"/>
      <c r="K83" s="32" t="n"/>
      <c r="L83" s="34">
        <f>IF(OR(A83="",D83=""),"",IF(D83&gt;Config!$B$5,0,DATEDIF(D83,Config!$B$5,"m")))</f>
        <v/>
      </c>
      <c r="M83" s="39">
        <f>IF(A83="","",IF(K83&lt;&gt;"",K83,IF(OR(C83="",D83=""),"Sem dados",IFERROR(IF(C83="M",INDEX(Config!$B$11:$B$14,MATCH(L83,Config!$A$11:$A$14,1)),IF(C83="F",INDEX(Config!$C$11:$C$14,MATCH(L83,Config!$A$11:$A$14,1)),"Sem dados")),"Verificar"))))</f>
        <v/>
      </c>
      <c r="N83" s="39">
        <f>IF(A83="","",IF(COUNTIFS('Movimentações'!$C$6:$C$1505,A83,'Movimentações'!$B$6:$B$1505,"Venda")&gt;0,"Vendido",IF(COUNTIFS('Movimentações'!$C$6:$C$1505,A83,'Movimentações'!$B$6:$B$1505,"Morte")&gt;0,"Morto","Ativo")))</f>
        <v/>
      </c>
      <c r="O83" s="40">
        <f>IF(A83="","",IF(COUNTIF('Pesagens'!$B$6:$B$2005,A83)=0,"",SUMPRODUCT(MAX(('Pesagens'!$B$6:$B$2005=A83)*'Pesagens'!$A$6:$A$2005))))</f>
        <v/>
      </c>
      <c r="P83" s="41">
        <f>IF(A83="","",IF(O83="",IF(J83="","",J83),IFERROR(AVERAGEIFS('Pesagens'!$C$6:$C$2005,'Pesagens'!$B$6:$B$2005,A83,'Pesagens'!$A$6:$A$2005,O83),"")))</f>
        <v/>
      </c>
      <c r="Q83" s="42">
        <f>IF(OR(A83="",O83="",I83="",J83=""),"",IFERROR((P83-J83)/(O83-I83),""))</f>
        <v/>
      </c>
    </row>
    <row r="84">
      <c r="A84" s="36" t="n"/>
      <c r="B84" s="32" t="n"/>
      <c r="C84" s="37" t="n"/>
      <c r="D84" s="31" t="n"/>
      <c r="E84" s="32" t="n"/>
      <c r="F84" s="32" t="n"/>
      <c r="G84" s="32" t="n"/>
      <c r="H84" s="36" t="n"/>
      <c r="I84" s="31" t="n"/>
      <c r="J84" s="38" t="n"/>
      <c r="K84" s="32" t="n"/>
      <c r="L84" s="34">
        <f>IF(OR(A84="",D84=""),"",IF(D84&gt;Config!$B$5,0,DATEDIF(D84,Config!$B$5,"m")))</f>
        <v/>
      </c>
      <c r="M84" s="39">
        <f>IF(A84="","",IF(K84&lt;&gt;"",K84,IF(OR(C84="",D84=""),"Sem dados",IFERROR(IF(C84="M",INDEX(Config!$B$11:$B$14,MATCH(L84,Config!$A$11:$A$14,1)),IF(C84="F",INDEX(Config!$C$11:$C$14,MATCH(L84,Config!$A$11:$A$14,1)),"Sem dados")),"Verificar"))))</f>
        <v/>
      </c>
      <c r="N84" s="39">
        <f>IF(A84="","",IF(COUNTIFS('Movimentações'!$C$6:$C$1505,A84,'Movimentações'!$B$6:$B$1505,"Venda")&gt;0,"Vendido",IF(COUNTIFS('Movimentações'!$C$6:$C$1505,A84,'Movimentações'!$B$6:$B$1505,"Morte")&gt;0,"Morto","Ativo")))</f>
        <v/>
      </c>
      <c r="O84" s="40">
        <f>IF(A84="","",IF(COUNTIF('Pesagens'!$B$6:$B$2005,A84)=0,"",SUMPRODUCT(MAX(('Pesagens'!$B$6:$B$2005=A84)*'Pesagens'!$A$6:$A$2005))))</f>
        <v/>
      </c>
      <c r="P84" s="41">
        <f>IF(A84="","",IF(O84="",IF(J84="","",J84),IFERROR(AVERAGEIFS('Pesagens'!$C$6:$C$2005,'Pesagens'!$B$6:$B$2005,A84,'Pesagens'!$A$6:$A$2005,O84),"")))</f>
        <v/>
      </c>
      <c r="Q84" s="42">
        <f>IF(OR(A84="",O84="",I84="",J84=""),"",IFERROR((P84-J84)/(O84-I84),""))</f>
        <v/>
      </c>
    </row>
    <row r="85">
      <c r="A85" s="36" t="n"/>
      <c r="B85" s="32" t="n"/>
      <c r="C85" s="37" t="n"/>
      <c r="D85" s="31" t="n"/>
      <c r="E85" s="32" t="n"/>
      <c r="F85" s="32" t="n"/>
      <c r="G85" s="32" t="n"/>
      <c r="H85" s="36" t="n"/>
      <c r="I85" s="31" t="n"/>
      <c r="J85" s="38" t="n"/>
      <c r="K85" s="32" t="n"/>
      <c r="L85" s="34">
        <f>IF(OR(A85="",D85=""),"",IF(D85&gt;Config!$B$5,0,DATEDIF(D85,Config!$B$5,"m")))</f>
        <v/>
      </c>
      <c r="M85" s="39">
        <f>IF(A85="","",IF(K85&lt;&gt;"",K85,IF(OR(C85="",D85=""),"Sem dados",IFERROR(IF(C85="M",INDEX(Config!$B$11:$B$14,MATCH(L85,Config!$A$11:$A$14,1)),IF(C85="F",INDEX(Config!$C$11:$C$14,MATCH(L85,Config!$A$11:$A$14,1)),"Sem dados")),"Verificar"))))</f>
        <v/>
      </c>
      <c r="N85" s="39">
        <f>IF(A85="","",IF(COUNTIFS('Movimentações'!$C$6:$C$1505,A85,'Movimentações'!$B$6:$B$1505,"Venda")&gt;0,"Vendido",IF(COUNTIFS('Movimentações'!$C$6:$C$1505,A85,'Movimentações'!$B$6:$B$1505,"Morte")&gt;0,"Morto","Ativo")))</f>
        <v/>
      </c>
      <c r="O85" s="40">
        <f>IF(A85="","",IF(COUNTIF('Pesagens'!$B$6:$B$2005,A85)=0,"",SUMPRODUCT(MAX(('Pesagens'!$B$6:$B$2005=A85)*'Pesagens'!$A$6:$A$2005))))</f>
        <v/>
      </c>
      <c r="P85" s="41">
        <f>IF(A85="","",IF(O85="",IF(J85="","",J85),IFERROR(AVERAGEIFS('Pesagens'!$C$6:$C$2005,'Pesagens'!$B$6:$B$2005,A85,'Pesagens'!$A$6:$A$2005,O85),"")))</f>
        <v/>
      </c>
      <c r="Q85" s="42">
        <f>IF(OR(A85="",O85="",I85="",J85=""),"",IFERROR((P85-J85)/(O85-I85),""))</f>
        <v/>
      </c>
    </row>
    <row r="86">
      <c r="A86" s="36" t="n"/>
      <c r="B86" s="32" t="n"/>
      <c r="C86" s="37" t="n"/>
      <c r="D86" s="31" t="n"/>
      <c r="E86" s="32" t="n"/>
      <c r="F86" s="32" t="n"/>
      <c r="G86" s="32" t="n"/>
      <c r="H86" s="36" t="n"/>
      <c r="I86" s="31" t="n"/>
      <c r="J86" s="38" t="n"/>
      <c r="K86" s="32" t="n"/>
      <c r="L86" s="34">
        <f>IF(OR(A86="",D86=""),"",IF(D86&gt;Config!$B$5,0,DATEDIF(D86,Config!$B$5,"m")))</f>
        <v/>
      </c>
      <c r="M86" s="39">
        <f>IF(A86="","",IF(K86&lt;&gt;"",K86,IF(OR(C86="",D86=""),"Sem dados",IFERROR(IF(C86="M",INDEX(Config!$B$11:$B$14,MATCH(L86,Config!$A$11:$A$14,1)),IF(C86="F",INDEX(Config!$C$11:$C$14,MATCH(L86,Config!$A$11:$A$14,1)),"Sem dados")),"Verificar"))))</f>
        <v/>
      </c>
      <c r="N86" s="39">
        <f>IF(A86="","",IF(COUNTIFS('Movimentações'!$C$6:$C$1505,A86,'Movimentações'!$B$6:$B$1505,"Venda")&gt;0,"Vendido",IF(COUNTIFS('Movimentações'!$C$6:$C$1505,A86,'Movimentações'!$B$6:$B$1505,"Morte")&gt;0,"Morto","Ativo")))</f>
        <v/>
      </c>
      <c r="O86" s="40">
        <f>IF(A86="","",IF(COUNTIF('Pesagens'!$B$6:$B$2005,A86)=0,"",SUMPRODUCT(MAX(('Pesagens'!$B$6:$B$2005=A86)*'Pesagens'!$A$6:$A$2005))))</f>
        <v/>
      </c>
      <c r="P86" s="41">
        <f>IF(A86="","",IF(O86="",IF(J86="","",J86),IFERROR(AVERAGEIFS('Pesagens'!$C$6:$C$2005,'Pesagens'!$B$6:$B$2005,A86,'Pesagens'!$A$6:$A$2005,O86),"")))</f>
        <v/>
      </c>
      <c r="Q86" s="42">
        <f>IF(OR(A86="",O86="",I86="",J86=""),"",IFERROR((P86-J86)/(O86-I86),""))</f>
        <v/>
      </c>
    </row>
    <row r="87">
      <c r="A87" s="36" t="n"/>
      <c r="B87" s="32" t="n"/>
      <c r="C87" s="37" t="n"/>
      <c r="D87" s="31" t="n"/>
      <c r="E87" s="32" t="n"/>
      <c r="F87" s="32" t="n"/>
      <c r="G87" s="32" t="n"/>
      <c r="H87" s="36" t="n"/>
      <c r="I87" s="31" t="n"/>
      <c r="J87" s="38" t="n"/>
      <c r="K87" s="32" t="n"/>
      <c r="L87" s="34">
        <f>IF(OR(A87="",D87=""),"",IF(D87&gt;Config!$B$5,0,DATEDIF(D87,Config!$B$5,"m")))</f>
        <v/>
      </c>
      <c r="M87" s="39">
        <f>IF(A87="","",IF(K87&lt;&gt;"",K87,IF(OR(C87="",D87=""),"Sem dados",IFERROR(IF(C87="M",INDEX(Config!$B$11:$B$14,MATCH(L87,Config!$A$11:$A$14,1)),IF(C87="F",INDEX(Config!$C$11:$C$14,MATCH(L87,Config!$A$11:$A$14,1)),"Sem dados")),"Verificar"))))</f>
        <v/>
      </c>
      <c r="N87" s="39">
        <f>IF(A87="","",IF(COUNTIFS('Movimentações'!$C$6:$C$1505,A87,'Movimentações'!$B$6:$B$1505,"Venda")&gt;0,"Vendido",IF(COUNTIFS('Movimentações'!$C$6:$C$1505,A87,'Movimentações'!$B$6:$B$1505,"Morte")&gt;0,"Morto","Ativo")))</f>
        <v/>
      </c>
      <c r="O87" s="40">
        <f>IF(A87="","",IF(COUNTIF('Pesagens'!$B$6:$B$2005,A87)=0,"",SUMPRODUCT(MAX(('Pesagens'!$B$6:$B$2005=A87)*'Pesagens'!$A$6:$A$2005))))</f>
        <v/>
      </c>
      <c r="P87" s="41">
        <f>IF(A87="","",IF(O87="",IF(J87="","",J87),IFERROR(AVERAGEIFS('Pesagens'!$C$6:$C$2005,'Pesagens'!$B$6:$B$2005,A87,'Pesagens'!$A$6:$A$2005,O87),"")))</f>
        <v/>
      </c>
      <c r="Q87" s="42">
        <f>IF(OR(A87="",O87="",I87="",J87=""),"",IFERROR((P87-J87)/(O87-I87),""))</f>
        <v/>
      </c>
    </row>
    <row r="88">
      <c r="A88" s="36" t="n"/>
      <c r="B88" s="32" t="n"/>
      <c r="C88" s="37" t="n"/>
      <c r="D88" s="31" t="n"/>
      <c r="E88" s="32" t="n"/>
      <c r="F88" s="32" t="n"/>
      <c r="G88" s="32" t="n"/>
      <c r="H88" s="36" t="n"/>
      <c r="I88" s="31" t="n"/>
      <c r="J88" s="38" t="n"/>
      <c r="K88" s="32" t="n"/>
      <c r="L88" s="34">
        <f>IF(OR(A88="",D88=""),"",IF(D88&gt;Config!$B$5,0,DATEDIF(D88,Config!$B$5,"m")))</f>
        <v/>
      </c>
      <c r="M88" s="39">
        <f>IF(A88="","",IF(K88&lt;&gt;"",K88,IF(OR(C88="",D88=""),"Sem dados",IFERROR(IF(C88="M",INDEX(Config!$B$11:$B$14,MATCH(L88,Config!$A$11:$A$14,1)),IF(C88="F",INDEX(Config!$C$11:$C$14,MATCH(L88,Config!$A$11:$A$14,1)),"Sem dados")),"Verificar"))))</f>
        <v/>
      </c>
      <c r="N88" s="39">
        <f>IF(A88="","",IF(COUNTIFS('Movimentações'!$C$6:$C$1505,A88,'Movimentações'!$B$6:$B$1505,"Venda")&gt;0,"Vendido",IF(COUNTIFS('Movimentações'!$C$6:$C$1505,A88,'Movimentações'!$B$6:$B$1505,"Morte")&gt;0,"Morto","Ativo")))</f>
        <v/>
      </c>
      <c r="O88" s="40">
        <f>IF(A88="","",IF(COUNTIF('Pesagens'!$B$6:$B$2005,A88)=0,"",SUMPRODUCT(MAX(('Pesagens'!$B$6:$B$2005=A88)*'Pesagens'!$A$6:$A$2005))))</f>
        <v/>
      </c>
      <c r="P88" s="41">
        <f>IF(A88="","",IF(O88="",IF(J88="","",J88),IFERROR(AVERAGEIFS('Pesagens'!$C$6:$C$2005,'Pesagens'!$B$6:$B$2005,A88,'Pesagens'!$A$6:$A$2005,O88),"")))</f>
        <v/>
      </c>
      <c r="Q88" s="42">
        <f>IF(OR(A88="",O88="",I88="",J88=""),"",IFERROR((P88-J88)/(O88-I88),""))</f>
        <v/>
      </c>
    </row>
    <row r="89">
      <c r="A89" s="36" t="n"/>
      <c r="B89" s="32" t="n"/>
      <c r="C89" s="37" t="n"/>
      <c r="D89" s="31" t="n"/>
      <c r="E89" s="32" t="n"/>
      <c r="F89" s="32" t="n"/>
      <c r="G89" s="32" t="n"/>
      <c r="H89" s="36" t="n"/>
      <c r="I89" s="31" t="n"/>
      <c r="J89" s="38" t="n"/>
      <c r="K89" s="32" t="n"/>
      <c r="L89" s="34">
        <f>IF(OR(A89="",D89=""),"",IF(D89&gt;Config!$B$5,0,DATEDIF(D89,Config!$B$5,"m")))</f>
        <v/>
      </c>
      <c r="M89" s="39">
        <f>IF(A89="","",IF(K89&lt;&gt;"",K89,IF(OR(C89="",D89=""),"Sem dados",IFERROR(IF(C89="M",INDEX(Config!$B$11:$B$14,MATCH(L89,Config!$A$11:$A$14,1)),IF(C89="F",INDEX(Config!$C$11:$C$14,MATCH(L89,Config!$A$11:$A$14,1)),"Sem dados")),"Verificar"))))</f>
        <v/>
      </c>
      <c r="N89" s="39">
        <f>IF(A89="","",IF(COUNTIFS('Movimentações'!$C$6:$C$1505,A89,'Movimentações'!$B$6:$B$1505,"Venda")&gt;0,"Vendido",IF(COUNTIFS('Movimentações'!$C$6:$C$1505,A89,'Movimentações'!$B$6:$B$1505,"Morte")&gt;0,"Morto","Ativo")))</f>
        <v/>
      </c>
      <c r="O89" s="40">
        <f>IF(A89="","",IF(COUNTIF('Pesagens'!$B$6:$B$2005,A89)=0,"",SUMPRODUCT(MAX(('Pesagens'!$B$6:$B$2005=A89)*'Pesagens'!$A$6:$A$2005))))</f>
        <v/>
      </c>
      <c r="P89" s="41">
        <f>IF(A89="","",IF(O89="",IF(J89="","",J89),IFERROR(AVERAGEIFS('Pesagens'!$C$6:$C$2005,'Pesagens'!$B$6:$B$2005,A89,'Pesagens'!$A$6:$A$2005,O89),"")))</f>
        <v/>
      </c>
      <c r="Q89" s="42">
        <f>IF(OR(A89="",O89="",I89="",J89=""),"",IFERROR((P89-J89)/(O89-I89),""))</f>
        <v/>
      </c>
    </row>
    <row r="90">
      <c r="A90" s="36" t="n"/>
      <c r="B90" s="32" t="n"/>
      <c r="C90" s="37" t="n"/>
      <c r="D90" s="31" t="n"/>
      <c r="E90" s="32" t="n"/>
      <c r="F90" s="32" t="n"/>
      <c r="G90" s="32" t="n"/>
      <c r="H90" s="36" t="n"/>
      <c r="I90" s="31" t="n"/>
      <c r="J90" s="38" t="n"/>
      <c r="K90" s="32" t="n"/>
      <c r="L90" s="34">
        <f>IF(OR(A90="",D90=""),"",IF(D90&gt;Config!$B$5,0,DATEDIF(D90,Config!$B$5,"m")))</f>
        <v/>
      </c>
      <c r="M90" s="39">
        <f>IF(A90="","",IF(K90&lt;&gt;"",K90,IF(OR(C90="",D90=""),"Sem dados",IFERROR(IF(C90="M",INDEX(Config!$B$11:$B$14,MATCH(L90,Config!$A$11:$A$14,1)),IF(C90="F",INDEX(Config!$C$11:$C$14,MATCH(L90,Config!$A$11:$A$14,1)),"Sem dados")),"Verificar"))))</f>
        <v/>
      </c>
      <c r="N90" s="39">
        <f>IF(A90="","",IF(COUNTIFS('Movimentações'!$C$6:$C$1505,A90,'Movimentações'!$B$6:$B$1505,"Venda")&gt;0,"Vendido",IF(COUNTIFS('Movimentações'!$C$6:$C$1505,A90,'Movimentações'!$B$6:$B$1505,"Morte")&gt;0,"Morto","Ativo")))</f>
        <v/>
      </c>
      <c r="O90" s="40">
        <f>IF(A90="","",IF(COUNTIF('Pesagens'!$B$6:$B$2005,A90)=0,"",SUMPRODUCT(MAX(('Pesagens'!$B$6:$B$2005=A90)*'Pesagens'!$A$6:$A$2005))))</f>
        <v/>
      </c>
      <c r="P90" s="41">
        <f>IF(A90="","",IF(O90="",IF(J90="","",J90),IFERROR(AVERAGEIFS('Pesagens'!$C$6:$C$2005,'Pesagens'!$B$6:$B$2005,A90,'Pesagens'!$A$6:$A$2005,O90),"")))</f>
        <v/>
      </c>
      <c r="Q90" s="42">
        <f>IF(OR(A90="",O90="",I90="",J90=""),"",IFERROR((P90-J90)/(O90-I90),""))</f>
        <v/>
      </c>
    </row>
    <row r="91">
      <c r="A91" s="36" t="n"/>
      <c r="B91" s="32" t="n"/>
      <c r="C91" s="37" t="n"/>
      <c r="D91" s="31" t="n"/>
      <c r="E91" s="32" t="n"/>
      <c r="F91" s="32" t="n"/>
      <c r="G91" s="32" t="n"/>
      <c r="H91" s="36" t="n"/>
      <c r="I91" s="31" t="n"/>
      <c r="J91" s="38" t="n"/>
      <c r="K91" s="32" t="n"/>
      <c r="L91" s="34">
        <f>IF(OR(A91="",D91=""),"",IF(D91&gt;Config!$B$5,0,DATEDIF(D91,Config!$B$5,"m")))</f>
        <v/>
      </c>
      <c r="M91" s="39">
        <f>IF(A91="","",IF(K91&lt;&gt;"",K91,IF(OR(C91="",D91=""),"Sem dados",IFERROR(IF(C91="M",INDEX(Config!$B$11:$B$14,MATCH(L91,Config!$A$11:$A$14,1)),IF(C91="F",INDEX(Config!$C$11:$C$14,MATCH(L91,Config!$A$11:$A$14,1)),"Sem dados")),"Verificar"))))</f>
        <v/>
      </c>
      <c r="N91" s="39">
        <f>IF(A91="","",IF(COUNTIFS('Movimentações'!$C$6:$C$1505,A91,'Movimentações'!$B$6:$B$1505,"Venda")&gt;0,"Vendido",IF(COUNTIFS('Movimentações'!$C$6:$C$1505,A91,'Movimentações'!$B$6:$B$1505,"Morte")&gt;0,"Morto","Ativo")))</f>
        <v/>
      </c>
      <c r="O91" s="40">
        <f>IF(A91="","",IF(COUNTIF('Pesagens'!$B$6:$B$2005,A91)=0,"",SUMPRODUCT(MAX(('Pesagens'!$B$6:$B$2005=A91)*'Pesagens'!$A$6:$A$2005))))</f>
        <v/>
      </c>
      <c r="P91" s="41">
        <f>IF(A91="","",IF(O91="",IF(J91="","",J91),IFERROR(AVERAGEIFS('Pesagens'!$C$6:$C$2005,'Pesagens'!$B$6:$B$2005,A91,'Pesagens'!$A$6:$A$2005,O91),"")))</f>
        <v/>
      </c>
      <c r="Q91" s="42">
        <f>IF(OR(A91="",O91="",I91="",J91=""),"",IFERROR((P91-J91)/(O91-I91),""))</f>
        <v/>
      </c>
    </row>
    <row r="92">
      <c r="A92" s="36" t="n"/>
      <c r="B92" s="32" t="n"/>
      <c r="C92" s="37" t="n"/>
      <c r="D92" s="31" t="n"/>
      <c r="E92" s="32" t="n"/>
      <c r="F92" s="32" t="n"/>
      <c r="G92" s="32" t="n"/>
      <c r="H92" s="36" t="n"/>
      <c r="I92" s="31" t="n"/>
      <c r="J92" s="38" t="n"/>
      <c r="K92" s="32" t="n"/>
      <c r="L92" s="34">
        <f>IF(OR(A92="",D92=""),"",IF(D92&gt;Config!$B$5,0,DATEDIF(D92,Config!$B$5,"m")))</f>
        <v/>
      </c>
      <c r="M92" s="39">
        <f>IF(A92="","",IF(K92&lt;&gt;"",K92,IF(OR(C92="",D92=""),"Sem dados",IFERROR(IF(C92="M",INDEX(Config!$B$11:$B$14,MATCH(L92,Config!$A$11:$A$14,1)),IF(C92="F",INDEX(Config!$C$11:$C$14,MATCH(L92,Config!$A$11:$A$14,1)),"Sem dados")),"Verificar"))))</f>
        <v/>
      </c>
      <c r="N92" s="39">
        <f>IF(A92="","",IF(COUNTIFS('Movimentações'!$C$6:$C$1505,A92,'Movimentações'!$B$6:$B$1505,"Venda")&gt;0,"Vendido",IF(COUNTIFS('Movimentações'!$C$6:$C$1505,A92,'Movimentações'!$B$6:$B$1505,"Morte")&gt;0,"Morto","Ativo")))</f>
        <v/>
      </c>
      <c r="O92" s="40">
        <f>IF(A92="","",IF(COUNTIF('Pesagens'!$B$6:$B$2005,A92)=0,"",SUMPRODUCT(MAX(('Pesagens'!$B$6:$B$2005=A92)*'Pesagens'!$A$6:$A$2005))))</f>
        <v/>
      </c>
      <c r="P92" s="41">
        <f>IF(A92="","",IF(O92="",IF(J92="","",J92),IFERROR(AVERAGEIFS('Pesagens'!$C$6:$C$2005,'Pesagens'!$B$6:$B$2005,A92,'Pesagens'!$A$6:$A$2005,O92),"")))</f>
        <v/>
      </c>
      <c r="Q92" s="42">
        <f>IF(OR(A92="",O92="",I92="",J92=""),"",IFERROR((P92-J92)/(O92-I92),""))</f>
        <v/>
      </c>
    </row>
    <row r="93">
      <c r="A93" s="36" t="n"/>
      <c r="B93" s="32" t="n"/>
      <c r="C93" s="37" t="n"/>
      <c r="D93" s="31" t="n"/>
      <c r="E93" s="32" t="n"/>
      <c r="F93" s="32" t="n"/>
      <c r="G93" s="32" t="n"/>
      <c r="H93" s="36" t="n"/>
      <c r="I93" s="31" t="n"/>
      <c r="J93" s="38" t="n"/>
      <c r="K93" s="32" t="n"/>
      <c r="L93" s="34">
        <f>IF(OR(A93="",D93=""),"",IF(D93&gt;Config!$B$5,0,DATEDIF(D93,Config!$B$5,"m")))</f>
        <v/>
      </c>
      <c r="M93" s="39">
        <f>IF(A93="","",IF(K93&lt;&gt;"",K93,IF(OR(C93="",D93=""),"Sem dados",IFERROR(IF(C93="M",INDEX(Config!$B$11:$B$14,MATCH(L93,Config!$A$11:$A$14,1)),IF(C93="F",INDEX(Config!$C$11:$C$14,MATCH(L93,Config!$A$11:$A$14,1)),"Sem dados")),"Verificar"))))</f>
        <v/>
      </c>
      <c r="N93" s="39">
        <f>IF(A93="","",IF(COUNTIFS('Movimentações'!$C$6:$C$1505,A93,'Movimentações'!$B$6:$B$1505,"Venda")&gt;0,"Vendido",IF(COUNTIFS('Movimentações'!$C$6:$C$1505,A93,'Movimentações'!$B$6:$B$1505,"Morte")&gt;0,"Morto","Ativo")))</f>
        <v/>
      </c>
      <c r="O93" s="40">
        <f>IF(A93="","",IF(COUNTIF('Pesagens'!$B$6:$B$2005,A93)=0,"",SUMPRODUCT(MAX(('Pesagens'!$B$6:$B$2005=A93)*'Pesagens'!$A$6:$A$2005))))</f>
        <v/>
      </c>
      <c r="P93" s="41">
        <f>IF(A93="","",IF(O93="",IF(J93="","",J93),IFERROR(AVERAGEIFS('Pesagens'!$C$6:$C$2005,'Pesagens'!$B$6:$B$2005,A93,'Pesagens'!$A$6:$A$2005,O93),"")))</f>
        <v/>
      </c>
      <c r="Q93" s="42">
        <f>IF(OR(A93="",O93="",I93="",J93=""),"",IFERROR((P93-J93)/(O93-I93),""))</f>
        <v/>
      </c>
    </row>
    <row r="94">
      <c r="A94" s="36" t="n"/>
      <c r="B94" s="32" t="n"/>
      <c r="C94" s="37" t="n"/>
      <c r="D94" s="31" t="n"/>
      <c r="E94" s="32" t="n"/>
      <c r="F94" s="32" t="n"/>
      <c r="G94" s="32" t="n"/>
      <c r="H94" s="36" t="n"/>
      <c r="I94" s="31" t="n"/>
      <c r="J94" s="38" t="n"/>
      <c r="K94" s="32" t="n"/>
      <c r="L94" s="34">
        <f>IF(OR(A94="",D94=""),"",IF(D94&gt;Config!$B$5,0,DATEDIF(D94,Config!$B$5,"m")))</f>
        <v/>
      </c>
      <c r="M94" s="39">
        <f>IF(A94="","",IF(K94&lt;&gt;"",K94,IF(OR(C94="",D94=""),"Sem dados",IFERROR(IF(C94="M",INDEX(Config!$B$11:$B$14,MATCH(L94,Config!$A$11:$A$14,1)),IF(C94="F",INDEX(Config!$C$11:$C$14,MATCH(L94,Config!$A$11:$A$14,1)),"Sem dados")),"Verificar"))))</f>
        <v/>
      </c>
      <c r="N94" s="39">
        <f>IF(A94="","",IF(COUNTIFS('Movimentações'!$C$6:$C$1505,A94,'Movimentações'!$B$6:$B$1505,"Venda")&gt;0,"Vendido",IF(COUNTIFS('Movimentações'!$C$6:$C$1505,A94,'Movimentações'!$B$6:$B$1505,"Morte")&gt;0,"Morto","Ativo")))</f>
        <v/>
      </c>
      <c r="O94" s="40">
        <f>IF(A94="","",IF(COUNTIF('Pesagens'!$B$6:$B$2005,A94)=0,"",SUMPRODUCT(MAX(('Pesagens'!$B$6:$B$2005=A94)*'Pesagens'!$A$6:$A$2005))))</f>
        <v/>
      </c>
      <c r="P94" s="41">
        <f>IF(A94="","",IF(O94="",IF(J94="","",J94),IFERROR(AVERAGEIFS('Pesagens'!$C$6:$C$2005,'Pesagens'!$B$6:$B$2005,A94,'Pesagens'!$A$6:$A$2005,O94),"")))</f>
        <v/>
      </c>
      <c r="Q94" s="42">
        <f>IF(OR(A94="",O94="",I94="",J94=""),"",IFERROR((P94-J94)/(O94-I94),""))</f>
        <v/>
      </c>
    </row>
    <row r="95">
      <c r="A95" s="36" t="n"/>
      <c r="B95" s="32" t="n"/>
      <c r="C95" s="37" t="n"/>
      <c r="D95" s="31" t="n"/>
      <c r="E95" s="32" t="n"/>
      <c r="F95" s="32" t="n"/>
      <c r="G95" s="32" t="n"/>
      <c r="H95" s="36" t="n"/>
      <c r="I95" s="31" t="n"/>
      <c r="J95" s="38" t="n"/>
      <c r="K95" s="32" t="n"/>
      <c r="L95" s="34">
        <f>IF(OR(A95="",D95=""),"",IF(D95&gt;Config!$B$5,0,DATEDIF(D95,Config!$B$5,"m")))</f>
        <v/>
      </c>
      <c r="M95" s="39">
        <f>IF(A95="","",IF(K95&lt;&gt;"",K95,IF(OR(C95="",D95=""),"Sem dados",IFERROR(IF(C95="M",INDEX(Config!$B$11:$B$14,MATCH(L95,Config!$A$11:$A$14,1)),IF(C95="F",INDEX(Config!$C$11:$C$14,MATCH(L95,Config!$A$11:$A$14,1)),"Sem dados")),"Verificar"))))</f>
        <v/>
      </c>
      <c r="N95" s="39">
        <f>IF(A95="","",IF(COUNTIFS('Movimentações'!$C$6:$C$1505,A95,'Movimentações'!$B$6:$B$1505,"Venda")&gt;0,"Vendido",IF(COUNTIFS('Movimentações'!$C$6:$C$1505,A95,'Movimentações'!$B$6:$B$1505,"Morte")&gt;0,"Morto","Ativo")))</f>
        <v/>
      </c>
      <c r="O95" s="40">
        <f>IF(A95="","",IF(COUNTIF('Pesagens'!$B$6:$B$2005,A95)=0,"",SUMPRODUCT(MAX(('Pesagens'!$B$6:$B$2005=A95)*'Pesagens'!$A$6:$A$2005))))</f>
        <v/>
      </c>
      <c r="P95" s="41">
        <f>IF(A95="","",IF(O95="",IF(J95="","",J95),IFERROR(AVERAGEIFS('Pesagens'!$C$6:$C$2005,'Pesagens'!$B$6:$B$2005,A95,'Pesagens'!$A$6:$A$2005,O95),"")))</f>
        <v/>
      </c>
      <c r="Q95" s="42">
        <f>IF(OR(A95="",O95="",I95="",J95=""),"",IFERROR((P95-J95)/(O95-I95),""))</f>
        <v/>
      </c>
    </row>
    <row r="96">
      <c r="A96" s="36" t="n"/>
      <c r="B96" s="32" t="n"/>
      <c r="C96" s="37" t="n"/>
      <c r="D96" s="31" t="n"/>
      <c r="E96" s="32" t="n"/>
      <c r="F96" s="32" t="n"/>
      <c r="G96" s="32" t="n"/>
      <c r="H96" s="36" t="n"/>
      <c r="I96" s="31" t="n"/>
      <c r="J96" s="38" t="n"/>
      <c r="K96" s="32" t="n"/>
      <c r="L96" s="34">
        <f>IF(OR(A96="",D96=""),"",IF(D96&gt;Config!$B$5,0,DATEDIF(D96,Config!$B$5,"m")))</f>
        <v/>
      </c>
      <c r="M96" s="39">
        <f>IF(A96="","",IF(K96&lt;&gt;"",K96,IF(OR(C96="",D96=""),"Sem dados",IFERROR(IF(C96="M",INDEX(Config!$B$11:$B$14,MATCH(L96,Config!$A$11:$A$14,1)),IF(C96="F",INDEX(Config!$C$11:$C$14,MATCH(L96,Config!$A$11:$A$14,1)),"Sem dados")),"Verificar"))))</f>
        <v/>
      </c>
      <c r="N96" s="39">
        <f>IF(A96="","",IF(COUNTIFS('Movimentações'!$C$6:$C$1505,A96,'Movimentações'!$B$6:$B$1505,"Venda")&gt;0,"Vendido",IF(COUNTIFS('Movimentações'!$C$6:$C$1505,A96,'Movimentações'!$B$6:$B$1505,"Morte")&gt;0,"Morto","Ativo")))</f>
        <v/>
      </c>
      <c r="O96" s="40">
        <f>IF(A96="","",IF(COUNTIF('Pesagens'!$B$6:$B$2005,A96)=0,"",SUMPRODUCT(MAX(('Pesagens'!$B$6:$B$2005=A96)*'Pesagens'!$A$6:$A$2005))))</f>
        <v/>
      </c>
      <c r="P96" s="41">
        <f>IF(A96="","",IF(O96="",IF(J96="","",J96),IFERROR(AVERAGEIFS('Pesagens'!$C$6:$C$2005,'Pesagens'!$B$6:$B$2005,A96,'Pesagens'!$A$6:$A$2005,O96),"")))</f>
        <v/>
      </c>
      <c r="Q96" s="42">
        <f>IF(OR(A96="",O96="",I96="",J96=""),"",IFERROR((P96-J96)/(O96-I96),""))</f>
        <v/>
      </c>
    </row>
    <row r="97">
      <c r="A97" s="36" t="n"/>
      <c r="B97" s="32" t="n"/>
      <c r="C97" s="37" t="n"/>
      <c r="D97" s="31" t="n"/>
      <c r="E97" s="32" t="n"/>
      <c r="F97" s="32" t="n"/>
      <c r="G97" s="32" t="n"/>
      <c r="H97" s="36" t="n"/>
      <c r="I97" s="31" t="n"/>
      <c r="J97" s="38" t="n"/>
      <c r="K97" s="32" t="n"/>
      <c r="L97" s="34">
        <f>IF(OR(A97="",D97=""),"",IF(D97&gt;Config!$B$5,0,DATEDIF(D97,Config!$B$5,"m")))</f>
        <v/>
      </c>
      <c r="M97" s="39">
        <f>IF(A97="","",IF(K97&lt;&gt;"",K97,IF(OR(C97="",D97=""),"Sem dados",IFERROR(IF(C97="M",INDEX(Config!$B$11:$B$14,MATCH(L97,Config!$A$11:$A$14,1)),IF(C97="F",INDEX(Config!$C$11:$C$14,MATCH(L97,Config!$A$11:$A$14,1)),"Sem dados")),"Verificar"))))</f>
        <v/>
      </c>
      <c r="N97" s="39">
        <f>IF(A97="","",IF(COUNTIFS('Movimentações'!$C$6:$C$1505,A97,'Movimentações'!$B$6:$B$1505,"Venda")&gt;0,"Vendido",IF(COUNTIFS('Movimentações'!$C$6:$C$1505,A97,'Movimentações'!$B$6:$B$1505,"Morte")&gt;0,"Morto","Ativo")))</f>
        <v/>
      </c>
      <c r="O97" s="40">
        <f>IF(A97="","",IF(COUNTIF('Pesagens'!$B$6:$B$2005,A97)=0,"",SUMPRODUCT(MAX(('Pesagens'!$B$6:$B$2005=A97)*'Pesagens'!$A$6:$A$2005))))</f>
        <v/>
      </c>
      <c r="P97" s="41">
        <f>IF(A97="","",IF(O97="",IF(J97="","",J97),IFERROR(AVERAGEIFS('Pesagens'!$C$6:$C$2005,'Pesagens'!$B$6:$B$2005,A97,'Pesagens'!$A$6:$A$2005,O97),"")))</f>
        <v/>
      </c>
      <c r="Q97" s="42">
        <f>IF(OR(A97="",O97="",I97="",J97=""),"",IFERROR((P97-J97)/(O97-I97),""))</f>
        <v/>
      </c>
    </row>
    <row r="98">
      <c r="A98" s="36" t="n"/>
      <c r="B98" s="32" t="n"/>
      <c r="C98" s="37" t="n"/>
      <c r="D98" s="31" t="n"/>
      <c r="E98" s="32" t="n"/>
      <c r="F98" s="32" t="n"/>
      <c r="G98" s="32" t="n"/>
      <c r="H98" s="36" t="n"/>
      <c r="I98" s="31" t="n"/>
      <c r="J98" s="38" t="n"/>
      <c r="K98" s="32" t="n"/>
      <c r="L98" s="34">
        <f>IF(OR(A98="",D98=""),"",IF(D98&gt;Config!$B$5,0,DATEDIF(D98,Config!$B$5,"m")))</f>
        <v/>
      </c>
      <c r="M98" s="39">
        <f>IF(A98="","",IF(K98&lt;&gt;"",K98,IF(OR(C98="",D98=""),"Sem dados",IFERROR(IF(C98="M",INDEX(Config!$B$11:$B$14,MATCH(L98,Config!$A$11:$A$14,1)),IF(C98="F",INDEX(Config!$C$11:$C$14,MATCH(L98,Config!$A$11:$A$14,1)),"Sem dados")),"Verificar"))))</f>
        <v/>
      </c>
      <c r="N98" s="39">
        <f>IF(A98="","",IF(COUNTIFS('Movimentações'!$C$6:$C$1505,A98,'Movimentações'!$B$6:$B$1505,"Venda")&gt;0,"Vendido",IF(COUNTIFS('Movimentações'!$C$6:$C$1505,A98,'Movimentações'!$B$6:$B$1505,"Morte")&gt;0,"Morto","Ativo")))</f>
        <v/>
      </c>
      <c r="O98" s="40">
        <f>IF(A98="","",IF(COUNTIF('Pesagens'!$B$6:$B$2005,A98)=0,"",SUMPRODUCT(MAX(('Pesagens'!$B$6:$B$2005=A98)*'Pesagens'!$A$6:$A$2005))))</f>
        <v/>
      </c>
      <c r="P98" s="41">
        <f>IF(A98="","",IF(O98="",IF(J98="","",J98),IFERROR(AVERAGEIFS('Pesagens'!$C$6:$C$2005,'Pesagens'!$B$6:$B$2005,A98,'Pesagens'!$A$6:$A$2005,O98),"")))</f>
        <v/>
      </c>
      <c r="Q98" s="42">
        <f>IF(OR(A98="",O98="",I98="",J98=""),"",IFERROR((P98-J98)/(O98-I98),""))</f>
        <v/>
      </c>
    </row>
    <row r="99">
      <c r="A99" s="36" t="n"/>
      <c r="B99" s="32" t="n"/>
      <c r="C99" s="37" t="n"/>
      <c r="D99" s="31" t="n"/>
      <c r="E99" s="32" t="n"/>
      <c r="F99" s="32" t="n"/>
      <c r="G99" s="32" t="n"/>
      <c r="H99" s="36" t="n"/>
      <c r="I99" s="31" t="n"/>
      <c r="J99" s="38" t="n"/>
      <c r="K99" s="32" t="n"/>
      <c r="L99" s="34">
        <f>IF(OR(A99="",D99=""),"",IF(D99&gt;Config!$B$5,0,DATEDIF(D99,Config!$B$5,"m")))</f>
        <v/>
      </c>
      <c r="M99" s="39">
        <f>IF(A99="","",IF(K99&lt;&gt;"",K99,IF(OR(C99="",D99=""),"Sem dados",IFERROR(IF(C99="M",INDEX(Config!$B$11:$B$14,MATCH(L99,Config!$A$11:$A$14,1)),IF(C99="F",INDEX(Config!$C$11:$C$14,MATCH(L99,Config!$A$11:$A$14,1)),"Sem dados")),"Verificar"))))</f>
        <v/>
      </c>
      <c r="N99" s="39">
        <f>IF(A99="","",IF(COUNTIFS('Movimentações'!$C$6:$C$1505,A99,'Movimentações'!$B$6:$B$1505,"Venda")&gt;0,"Vendido",IF(COUNTIFS('Movimentações'!$C$6:$C$1505,A99,'Movimentações'!$B$6:$B$1505,"Morte")&gt;0,"Morto","Ativo")))</f>
        <v/>
      </c>
      <c r="O99" s="40">
        <f>IF(A99="","",IF(COUNTIF('Pesagens'!$B$6:$B$2005,A99)=0,"",SUMPRODUCT(MAX(('Pesagens'!$B$6:$B$2005=A99)*'Pesagens'!$A$6:$A$2005))))</f>
        <v/>
      </c>
      <c r="P99" s="41">
        <f>IF(A99="","",IF(O99="",IF(J99="","",J99),IFERROR(AVERAGEIFS('Pesagens'!$C$6:$C$2005,'Pesagens'!$B$6:$B$2005,A99,'Pesagens'!$A$6:$A$2005,O99),"")))</f>
        <v/>
      </c>
      <c r="Q99" s="42">
        <f>IF(OR(A99="",O99="",I99="",J99=""),"",IFERROR((P99-J99)/(O99-I99),""))</f>
        <v/>
      </c>
    </row>
    <row r="100">
      <c r="A100" s="36" t="n"/>
      <c r="B100" s="32" t="n"/>
      <c r="C100" s="37" t="n"/>
      <c r="D100" s="31" t="n"/>
      <c r="E100" s="32" t="n"/>
      <c r="F100" s="32" t="n"/>
      <c r="G100" s="32" t="n"/>
      <c r="H100" s="36" t="n"/>
      <c r="I100" s="31" t="n"/>
      <c r="J100" s="38" t="n"/>
      <c r="K100" s="32" t="n"/>
      <c r="L100" s="34">
        <f>IF(OR(A100="",D100=""),"",IF(D100&gt;Config!$B$5,0,DATEDIF(D100,Config!$B$5,"m")))</f>
        <v/>
      </c>
      <c r="M100" s="39">
        <f>IF(A100="","",IF(K100&lt;&gt;"",K100,IF(OR(C100="",D100=""),"Sem dados",IFERROR(IF(C100="M",INDEX(Config!$B$11:$B$14,MATCH(L100,Config!$A$11:$A$14,1)),IF(C100="F",INDEX(Config!$C$11:$C$14,MATCH(L100,Config!$A$11:$A$14,1)),"Sem dados")),"Verificar"))))</f>
        <v/>
      </c>
      <c r="N100" s="39">
        <f>IF(A100="","",IF(COUNTIFS('Movimentações'!$C$6:$C$1505,A100,'Movimentações'!$B$6:$B$1505,"Venda")&gt;0,"Vendido",IF(COUNTIFS('Movimentações'!$C$6:$C$1505,A100,'Movimentações'!$B$6:$B$1505,"Morte")&gt;0,"Morto","Ativo")))</f>
        <v/>
      </c>
      <c r="O100" s="40">
        <f>IF(A100="","",IF(COUNTIF('Pesagens'!$B$6:$B$2005,A100)=0,"",SUMPRODUCT(MAX(('Pesagens'!$B$6:$B$2005=A100)*'Pesagens'!$A$6:$A$2005))))</f>
        <v/>
      </c>
      <c r="P100" s="41">
        <f>IF(A100="","",IF(O100="",IF(J100="","",J100),IFERROR(AVERAGEIFS('Pesagens'!$C$6:$C$2005,'Pesagens'!$B$6:$B$2005,A100,'Pesagens'!$A$6:$A$2005,O100),"")))</f>
        <v/>
      </c>
      <c r="Q100" s="42">
        <f>IF(OR(A100="",O100="",I100="",J100=""),"",IFERROR((P100-J100)/(O100-I100),""))</f>
        <v/>
      </c>
    </row>
    <row r="101">
      <c r="A101" s="36" t="n"/>
      <c r="B101" s="32" t="n"/>
      <c r="C101" s="37" t="n"/>
      <c r="D101" s="31" t="n"/>
      <c r="E101" s="32" t="n"/>
      <c r="F101" s="32" t="n"/>
      <c r="G101" s="32" t="n"/>
      <c r="H101" s="36" t="n"/>
      <c r="I101" s="31" t="n"/>
      <c r="J101" s="38" t="n"/>
      <c r="K101" s="32" t="n"/>
      <c r="L101" s="34">
        <f>IF(OR(A101="",D101=""),"",IF(D101&gt;Config!$B$5,0,DATEDIF(D101,Config!$B$5,"m")))</f>
        <v/>
      </c>
      <c r="M101" s="39">
        <f>IF(A101="","",IF(K101&lt;&gt;"",K101,IF(OR(C101="",D101=""),"Sem dados",IFERROR(IF(C101="M",INDEX(Config!$B$11:$B$14,MATCH(L101,Config!$A$11:$A$14,1)),IF(C101="F",INDEX(Config!$C$11:$C$14,MATCH(L101,Config!$A$11:$A$14,1)),"Sem dados")),"Verificar"))))</f>
        <v/>
      </c>
      <c r="N101" s="39">
        <f>IF(A101="","",IF(COUNTIFS('Movimentações'!$C$6:$C$1505,A101,'Movimentações'!$B$6:$B$1505,"Venda")&gt;0,"Vendido",IF(COUNTIFS('Movimentações'!$C$6:$C$1505,A101,'Movimentações'!$B$6:$B$1505,"Morte")&gt;0,"Morto","Ativo")))</f>
        <v/>
      </c>
      <c r="O101" s="40">
        <f>IF(A101="","",IF(COUNTIF('Pesagens'!$B$6:$B$2005,A101)=0,"",SUMPRODUCT(MAX(('Pesagens'!$B$6:$B$2005=A101)*'Pesagens'!$A$6:$A$2005))))</f>
        <v/>
      </c>
      <c r="P101" s="41">
        <f>IF(A101="","",IF(O101="",IF(J101="","",J101),IFERROR(AVERAGEIFS('Pesagens'!$C$6:$C$2005,'Pesagens'!$B$6:$B$2005,A101,'Pesagens'!$A$6:$A$2005,O101),"")))</f>
        <v/>
      </c>
      <c r="Q101" s="42">
        <f>IF(OR(A101="",O101="",I101="",J101=""),"",IFERROR((P101-J101)/(O101-I101),""))</f>
        <v/>
      </c>
    </row>
    <row r="102">
      <c r="A102" s="36" t="n"/>
      <c r="B102" s="32" t="n"/>
      <c r="C102" s="37" t="n"/>
      <c r="D102" s="31" t="n"/>
      <c r="E102" s="32" t="n"/>
      <c r="F102" s="32" t="n"/>
      <c r="G102" s="32" t="n"/>
      <c r="H102" s="36" t="n"/>
      <c r="I102" s="31" t="n"/>
      <c r="J102" s="38" t="n"/>
      <c r="K102" s="32" t="n"/>
      <c r="L102" s="34">
        <f>IF(OR(A102="",D102=""),"",IF(D102&gt;Config!$B$5,0,DATEDIF(D102,Config!$B$5,"m")))</f>
        <v/>
      </c>
      <c r="M102" s="39">
        <f>IF(A102="","",IF(K102&lt;&gt;"",K102,IF(OR(C102="",D102=""),"Sem dados",IFERROR(IF(C102="M",INDEX(Config!$B$11:$B$14,MATCH(L102,Config!$A$11:$A$14,1)),IF(C102="F",INDEX(Config!$C$11:$C$14,MATCH(L102,Config!$A$11:$A$14,1)),"Sem dados")),"Verificar"))))</f>
        <v/>
      </c>
      <c r="N102" s="39">
        <f>IF(A102="","",IF(COUNTIFS('Movimentações'!$C$6:$C$1505,A102,'Movimentações'!$B$6:$B$1505,"Venda")&gt;0,"Vendido",IF(COUNTIFS('Movimentações'!$C$6:$C$1505,A102,'Movimentações'!$B$6:$B$1505,"Morte")&gt;0,"Morto","Ativo")))</f>
        <v/>
      </c>
      <c r="O102" s="40">
        <f>IF(A102="","",IF(COUNTIF('Pesagens'!$B$6:$B$2005,A102)=0,"",SUMPRODUCT(MAX(('Pesagens'!$B$6:$B$2005=A102)*'Pesagens'!$A$6:$A$2005))))</f>
        <v/>
      </c>
      <c r="P102" s="41">
        <f>IF(A102="","",IF(O102="",IF(J102="","",J102),IFERROR(AVERAGEIFS('Pesagens'!$C$6:$C$2005,'Pesagens'!$B$6:$B$2005,A102,'Pesagens'!$A$6:$A$2005,O102),"")))</f>
        <v/>
      </c>
      <c r="Q102" s="42">
        <f>IF(OR(A102="",O102="",I102="",J102=""),"",IFERROR((P102-J102)/(O102-I102),""))</f>
        <v/>
      </c>
    </row>
    <row r="103">
      <c r="A103" s="36" t="n"/>
      <c r="B103" s="32" t="n"/>
      <c r="C103" s="37" t="n"/>
      <c r="D103" s="31" t="n"/>
      <c r="E103" s="32" t="n"/>
      <c r="F103" s="32" t="n"/>
      <c r="G103" s="32" t="n"/>
      <c r="H103" s="36" t="n"/>
      <c r="I103" s="31" t="n"/>
      <c r="J103" s="38" t="n"/>
      <c r="K103" s="32" t="n"/>
      <c r="L103" s="34">
        <f>IF(OR(A103="",D103=""),"",IF(D103&gt;Config!$B$5,0,DATEDIF(D103,Config!$B$5,"m")))</f>
        <v/>
      </c>
      <c r="M103" s="39">
        <f>IF(A103="","",IF(K103&lt;&gt;"",K103,IF(OR(C103="",D103=""),"Sem dados",IFERROR(IF(C103="M",INDEX(Config!$B$11:$B$14,MATCH(L103,Config!$A$11:$A$14,1)),IF(C103="F",INDEX(Config!$C$11:$C$14,MATCH(L103,Config!$A$11:$A$14,1)),"Sem dados")),"Verificar"))))</f>
        <v/>
      </c>
      <c r="N103" s="39">
        <f>IF(A103="","",IF(COUNTIFS('Movimentações'!$C$6:$C$1505,A103,'Movimentações'!$B$6:$B$1505,"Venda")&gt;0,"Vendido",IF(COUNTIFS('Movimentações'!$C$6:$C$1505,A103,'Movimentações'!$B$6:$B$1505,"Morte")&gt;0,"Morto","Ativo")))</f>
        <v/>
      </c>
      <c r="O103" s="40">
        <f>IF(A103="","",IF(COUNTIF('Pesagens'!$B$6:$B$2005,A103)=0,"",SUMPRODUCT(MAX(('Pesagens'!$B$6:$B$2005=A103)*'Pesagens'!$A$6:$A$2005))))</f>
        <v/>
      </c>
      <c r="P103" s="41">
        <f>IF(A103="","",IF(O103="",IF(J103="","",J103),IFERROR(AVERAGEIFS('Pesagens'!$C$6:$C$2005,'Pesagens'!$B$6:$B$2005,A103,'Pesagens'!$A$6:$A$2005,O103),"")))</f>
        <v/>
      </c>
      <c r="Q103" s="42">
        <f>IF(OR(A103="",O103="",I103="",J103=""),"",IFERROR((P103-J103)/(O103-I103),""))</f>
        <v/>
      </c>
    </row>
    <row r="104">
      <c r="A104" s="36" t="n"/>
      <c r="B104" s="32" t="n"/>
      <c r="C104" s="37" t="n"/>
      <c r="D104" s="31" t="n"/>
      <c r="E104" s="32" t="n"/>
      <c r="F104" s="32" t="n"/>
      <c r="G104" s="32" t="n"/>
      <c r="H104" s="36" t="n"/>
      <c r="I104" s="31" t="n"/>
      <c r="J104" s="38" t="n"/>
      <c r="K104" s="32" t="n"/>
      <c r="L104" s="34">
        <f>IF(OR(A104="",D104=""),"",IF(D104&gt;Config!$B$5,0,DATEDIF(D104,Config!$B$5,"m")))</f>
        <v/>
      </c>
      <c r="M104" s="39">
        <f>IF(A104="","",IF(K104&lt;&gt;"",K104,IF(OR(C104="",D104=""),"Sem dados",IFERROR(IF(C104="M",INDEX(Config!$B$11:$B$14,MATCH(L104,Config!$A$11:$A$14,1)),IF(C104="F",INDEX(Config!$C$11:$C$14,MATCH(L104,Config!$A$11:$A$14,1)),"Sem dados")),"Verificar"))))</f>
        <v/>
      </c>
      <c r="N104" s="39">
        <f>IF(A104="","",IF(COUNTIFS('Movimentações'!$C$6:$C$1505,A104,'Movimentações'!$B$6:$B$1505,"Venda")&gt;0,"Vendido",IF(COUNTIFS('Movimentações'!$C$6:$C$1505,A104,'Movimentações'!$B$6:$B$1505,"Morte")&gt;0,"Morto","Ativo")))</f>
        <v/>
      </c>
      <c r="O104" s="40">
        <f>IF(A104="","",IF(COUNTIF('Pesagens'!$B$6:$B$2005,A104)=0,"",SUMPRODUCT(MAX(('Pesagens'!$B$6:$B$2005=A104)*'Pesagens'!$A$6:$A$2005))))</f>
        <v/>
      </c>
      <c r="P104" s="41">
        <f>IF(A104="","",IF(O104="",IF(J104="","",J104),IFERROR(AVERAGEIFS('Pesagens'!$C$6:$C$2005,'Pesagens'!$B$6:$B$2005,A104,'Pesagens'!$A$6:$A$2005,O104),"")))</f>
        <v/>
      </c>
      <c r="Q104" s="42">
        <f>IF(OR(A104="",O104="",I104="",J104=""),"",IFERROR((P104-J104)/(O104-I104),""))</f>
        <v/>
      </c>
    </row>
    <row r="105">
      <c r="A105" s="36" t="n"/>
      <c r="B105" s="32" t="n"/>
      <c r="C105" s="37" t="n"/>
      <c r="D105" s="31" t="n"/>
      <c r="E105" s="32" t="n"/>
      <c r="F105" s="32" t="n"/>
      <c r="G105" s="32" t="n"/>
      <c r="H105" s="36" t="n"/>
      <c r="I105" s="31" t="n"/>
      <c r="J105" s="38" t="n"/>
      <c r="K105" s="32" t="n"/>
      <c r="L105" s="34">
        <f>IF(OR(A105="",D105=""),"",IF(D105&gt;Config!$B$5,0,DATEDIF(D105,Config!$B$5,"m")))</f>
        <v/>
      </c>
      <c r="M105" s="39">
        <f>IF(A105="","",IF(K105&lt;&gt;"",K105,IF(OR(C105="",D105=""),"Sem dados",IFERROR(IF(C105="M",INDEX(Config!$B$11:$B$14,MATCH(L105,Config!$A$11:$A$14,1)),IF(C105="F",INDEX(Config!$C$11:$C$14,MATCH(L105,Config!$A$11:$A$14,1)),"Sem dados")),"Verificar"))))</f>
        <v/>
      </c>
      <c r="N105" s="39">
        <f>IF(A105="","",IF(COUNTIFS('Movimentações'!$C$6:$C$1505,A105,'Movimentações'!$B$6:$B$1505,"Venda")&gt;0,"Vendido",IF(COUNTIFS('Movimentações'!$C$6:$C$1505,A105,'Movimentações'!$B$6:$B$1505,"Morte")&gt;0,"Morto","Ativo")))</f>
        <v/>
      </c>
      <c r="O105" s="40">
        <f>IF(A105="","",IF(COUNTIF('Pesagens'!$B$6:$B$2005,A105)=0,"",SUMPRODUCT(MAX(('Pesagens'!$B$6:$B$2005=A105)*'Pesagens'!$A$6:$A$2005))))</f>
        <v/>
      </c>
      <c r="P105" s="41">
        <f>IF(A105="","",IF(O105="",IF(J105="","",J105),IFERROR(AVERAGEIFS('Pesagens'!$C$6:$C$2005,'Pesagens'!$B$6:$B$2005,A105,'Pesagens'!$A$6:$A$2005,O105),"")))</f>
        <v/>
      </c>
      <c r="Q105" s="42">
        <f>IF(OR(A105="",O105="",I105="",J105=""),"",IFERROR((P105-J105)/(O105-I105),""))</f>
        <v/>
      </c>
    </row>
    <row r="106">
      <c r="A106" s="36" t="n"/>
      <c r="B106" s="32" t="n"/>
      <c r="C106" s="37" t="n"/>
      <c r="D106" s="31" t="n"/>
      <c r="E106" s="32" t="n"/>
      <c r="F106" s="32" t="n"/>
      <c r="G106" s="32" t="n"/>
      <c r="H106" s="36" t="n"/>
      <c r="I106" s="31" t="n"/>
      <c r="J106" s="38" t="n"/>
      <c r="K106" s="32" t="n"/>
      <c r="L106" s="34">
        <f>IF(OR(A106="",D106=""),"",IF(D106&gt;Config!$B$5,0,DATEDIF(D106,Config!$B$5,"m")))</f>
        <v/>
      </c>
      <c r="M106" s="39">
        <f>IF(A106="","",IF(K106&lt;&gt;"",K106,IF(OR(C106="",D106=""),"Sem dados",IFERROR(IF(C106="M",INDEX(Config!$B$11:$B$14,MATCH(L106,Config!$A$11:$A$14,1)),IF(C106="F",INDEX(Config!$C$11:$C$14,MATCH(L106,Config!$A$11:$A$14,1)),"Sem dados")),"Verificar"))))</f>
        <v/>
      </c>
      <c r="N106" s="39">
        <f>IF(A106="","",IF(COUNTIFS('Movimentações'!$C$6:$C$1505,A106,'Movimentações'!$B$6:$B$1505,"Venda")&gt;0,"Vendido",IF(COUNTIFS('Movimentações'!$C$6:$C$1505,A106,'Movimentações'!$B$6:$B$1505,"Morte")&gt;0,"Morto","Ativo")))</f>
        <v/>
      </c>
      <c r="O106" s="40">
        <f>IF(A106="","",IF(COUNTIF('Pesagens'!$B$6:$B$2005,A106)=0,"",SUMPRODUCT(MAX(('Pesagens'!$B$6:$B$2005=A106)*'Pesagens'!$A$6:$A$2005))))</f>
        <v/>
      </c>
      <c r="P106" s="41">
        <f>IF(A106="","",IF(O106="",IF(J106="","",J106),IFERROR(AVERAGEIFS('Pesagens'!$C$6:$C$2005,'Pesagens'!$B$6:$B$2005,A106,'Pesagens'!$A$6:$A$2005,O106),"")))</f>
        <v/>
      </c>
      <c r="Q106" s="42">
        <f>IF(OR(A106="",O106="",I106="",J106=""),"",IFERROR((P106-J106)/(O106-I106),""))</f>
        <v/>
      </c>
    </row>
    <row r="107">
      <c r="A107" s="36" t="n"/>
      <c r="B107" s="32" t="n"/>
      <c r="C107" s="37" t="n"/>
      <c r="D107" s="31" t="n"/>
      <c r="E107" s="32" t="n"/>
      <c r="F107" s="32" t="n"/>
      <c r="G107" s="32" t="n"/>
      <c r="H107" s="36" t="n"/>
      <c r="I107" s="31" t="n"/>
      <c r="J107" s="38" t="n"/>
      <c r="K107" s="32" t="n"/>
      <c r="L107" s="34">
        <f>IF(OR(A107="",D107=""),"",IF(D107&gt;Config!$B$5,0,DATEDIF(D107,Config!$B$5,"m")))</f>
        <v/>
      </c>
      <c r="M107" s="39">
        <f>IF(A107="","",IF(K107&lt;&gt;"",K107,IF(OR(C107="",D107=""),"Sem dados",IFERROR(IF(C107="M",INDEX(Config!$B$11:$B$14,MATCH(L107,Config!$A$11:$A$14,1)),IF(C107="F",INDEX(Config!$C$11:$C$14,MATCH(L107,Config!$A$11:$A$14,1)),"Sem dados")),"Verificar"))))</f>
        <v/>
      </c>
      <c r="N107" s="39">
        <f>IF(A107="","",IF(COUNTIFS('Movimentações'!$C$6:$C$1505,A107,'Movimentações'!$B$6:$B$1505,"Venda")&gt;0,"Vendido",IF(COUNTIFS('Movimentações'!$C$6:$C$1505,A107,'Movimentações'!$B$6:$B$1505,"Morte")&gt;0,"Morto","Ativo")))</f>
        <v/>
      </c>
      <c r="O107" s="40">
        <f>IF(A107="","",IF(COUNTIF('Pesagens'!$B$6:$B$2005,A107)=0,"",SUMPRODUCT(MAX(('Pesagens'!$B$6:$B$2005=A107)*'Pesagens'!$A$6:$A$2005))))</f>
        <v/>
      </c>
      <c r="P107" s="41">
        <f>IF(A107="","",IF(O107="",IF(J107="","",J107),IFERROR(AVERAGEIFS('Pesagens'!$C$6:$C$2005,'Pesagens'!$B$6:$B$2005,A107,'Pesagens'!$A$6:$A$2005,O107),"")))</f>
        <v/>
      </c>
      <c r="Q107" s="42">
        <f>IF(OR(A107="",O107="",I107="",J107=""),"",IFERROR((P107-J107)/(O107-I107),""))</f>
        <v/>
      </c>
    </row>
    <row r="108">
      <c r="A108" s="36" t="n"/>
      <c r="B108" s="32" t="n"/>
      <c r="C108" s="37" t="n"/>
      <c r="D108" s="31" t="n"/>
      <c r="E108" s="32" t="n"/>
      <c r="F108" s="32" t="n"/>
      <c r="G108" s="32" t="n"/>
      <c r="H108" s="36" t="n"/>
      <c r="I108" s="31" t="n"/>
      <c r="J108" s="38" t="n"/>
      <c r="K108" s="32" t="n"/>
      <c r="L108" s="34">
        <f>IF(OR(A108="",D108=""),"",IF(D108&gt;Config!$B$5,0,DATEDIF(D108,Config!$B$5,"m")))</f>
        <v/>
      </c>
      <c r="M108" s="39">
        <f>IF(A108="","",IF(K108&lt;&gt;"",K108,IF(OR(C108="",D108=""),"Sem dados",IFERROR(IF(C108="M",INDEX(Config!$B$11:$B$14,MATCH(L108,Config!$A$11:$A$14,1)),IF(C108="F",INDEX(Config!$C$11:$C$14,MATCH(L108,Config!$A$11:$A$14,1)),"Sem dados")),"Verificar"))))</f>
        <v/>
      </c>
      <c r="N108" s="39">
        <f>IF(A108="","",IF(COUNTIFS('Movimentações'!$C$6:$C$1505,A108,'Movimentações'!$B$6:$B$1505,"Venda")&gt;0,"Vendido",IF(COUNTIFS('Movimentações'!$C$6:$C$1505,A108,'Movimentações'!$B$6:$B$1505,"Morte")&gt;0,"Morto","Ativo")))</f>
        <v/>
      </c>
      <c r="O108" s="40">
        <f>IF(A108="","",IF(COUNTIF('Pesagens'!$B$6:$B$2005,A108)=0,"",SUMPRODUCT(MAX(('Pesagens'!$B$6:$B$2005=A108)*'Pesagens'!$A$6:$A$2005))))</f>
        <v/>
      </c>
      <c r="P108" s="41">
        <f>IF(A108="","",IF(O108="",IF(J108="","",J108),IFERROR(AVERAGEIFS('Pesagens'!$C$6:$C$2005,'Pesagens'!$B$6:$B$2005,A108,'Pesagens'!$A$6:$A$2005,O108),"")))</f>
        <v/>
      </c>
      <c r="Q108" s="42">
        <f>IF(OR(A108="",O108="",I108="",J108=""),"",IFERROR((P108-J108)/(O108-I108),""))</f>
        <v/>
      </c>
    </row>
    <row r="109">
      <c r="A109" s="36" t="n"/>
      <c r="B109" s="32" t="n"/>
      <c r="C109" s="37" t="n"/>
      <c r="D109" s="31" t="n"/>
      <c r="E109" s="32" t="n"/>
      <c r="F109" s="32" t="n"/>
      <c r="G109" s="32" t="n"/>
      <c r="H109" s="36" t="n"/>
      <c r="I109" s="31" t="n"/>
      <c r="J109" s="38" t="n"/>
      <c r="K109" s="32" t="n"/>
      <c r="L109" s="34">
        <f>IF(OR(A109="",D109=""),"",IF(D109&gt;Config!$B$5,0,DATEDIF(D109,Config!$B$5,"m")))</f>
        <v/>
      </c>
      <c r="M109" s="39">
        <f>IF(A109="","",IF(K109&lt;&gt;"",K109,IF(OR(C109="",D109=""),"Sem dados",IFERROR(IF(C109="M",INDEX(Config!$B$11:$B$14,MATCH(L109,Config!$A$11:$A$14,1)),IF(C109="F",INDEX(Config!$C$11:$C$14,MATCH(L109,Config!$A$11:$A$14,1)),"Sem dados")),"Verificar"))))</f>
        <v/>
      </c>
      <c r="N109" s="39">
        <f>IF(A109="","",IF(COUNTIFS('Movimentações'!$C$6:$C$1505,A109,'Movimentações'!$B$6:$B$1505,"Venda")&gt;0,"Vendido",IF(COUNTIFS('Movimentações'!$C$6:$C$1505,A109,'Movimentações'!$B$6:$B$1505,"Morte")&gt;0,"Morto","Ativo")))</f>
        <v/>
      </c>
      <c r="O109" s="40">
        <f>IF(A109="","",IF(COUNTIF('Pesagens'!$B$6:$B$2005,A109)=0,"",SUMPRODUCT(MAX(('Pesagens'!$B$6:$B$2005=A109)*'Pesagens'!$A$6:$A$2005))))</f>
        <v/>
      </c>
      <c r="P109" s="41">
        <f>IF(A109="","",IF(O109="",IF(J109="","",J109),IFERROR(AVERAGEIFS('Pesagens'!$C$6:$C$2005,'Pesagens'!$B$6:$B$2005,A109,'Pesagens'!$A$6:$A$2005,O109),"")))</f>
        <v/>
      </c>
      <c r="Q109" s="42">
        <f>IF(OR(A109="",O109="",I109="",J109=""),"",IFERROR((P109-J109)/(O109-I109),""))</f>
        <v/>
      </c>
    </row>
    <row r="110">
      <c r="A110" s="36" t="n"/>
      <c r="B110" s="32" t="n"/>
      <c r="C110" s="37" t="n"/>
      <c r="D110" s="31" t="n"/>
      <c r="E110" s="32" t="n"/>
      <c r="F110" s="32" t="n"/>
      <c r="G110" s="32" t="n"/>
      <c r="H110" s="36" t="n"/>
      <c r="I110" s="31" t="n"/>
      <c r="J110" s="38" t="n"/>
      <c r="K110" s="32" t="n"/>
      <c r="L110" s="34">
        <f>IF(OR(A110="",D110=""),"",IF(D110&gt;Config!$B$5,0,DATEDIF(D110,Config!$B$5,"m")))</f>
        <v/>
      </c>
      <c r="M110" s="39">
        <f>IF(A110="","",IF(K110&lt;&gt;"",K110,IF(OR(C110="",D110=""),"Sem dados",IFERROR(IF(C110="M",INDEX(Config!$B$11:$B$14,MATCH(L110,Config!$A$11:$A$14,1)),IF(C110="F",INDEX(Config!$C$11:$C$14,MATCH(L110,Config!$A$11:$A$14,1)),"Sem dados")),"Verificar"))))</f>
        <v/>
      </c>
      <c r="N110" s="39">
        <f>IF(A110="","",IF(COUNTIFS('Movimentações'!$C$6:$C$1505,A110,'Movimentações'!$B$6:$B$1505,"Venda")&gt;0,"Vendido",IF(COUNTIFS('Movimentações'!$C$6:$C$1505,A110,'Movimentações'!$B$6:$B$1505,"Morte")&gt;0,"Morto","Ativo")))</f>
        <v/>
      </c>
      <c r="O110" s="40">
        <f>IF(A110="","",IF(COUNTIF('Pesagens'!$B$6:$B$2005,A110)=0,"",SUMPRODUCT(MAX(('Pesagens'!$B$6:$B$2005=A110)*'Pesagens'!$A$6:$A$2005))))</f>
        <v/>
      </c>
      <c r="P110" s="41">
        <f>IF(A110="","",IF(O110="",IF(J110="","",J110),IFERROR(AVERAGEIFS('Pesagens'!$C$6:$C$2005,'Pesagens'!$B$6:$B$2005,A110,'Pesagens'!$A$6:$A$2005,O110),"")))</f>
        <v/>
      </c>
      <c r="Q110" s="42">
        <f>IF(OR(A110="",O110="",I110="",J110=""),"",IFERROR((P110-J110)/(O110-I110),""))</f>
        <v/>
      </c>
    </row>
    <row r="111">
      <c r="A111" s="36" t="n"/>
      <c r="B111" s="32" t="n"/>
      <c r="C111" s="37" t="n"/>
      <c r="D111" s="31" t="n"/>
      <c r="E111" s="32" t="n"/>
      <c r="F111" s="32" t="n"/>
      <c r="G111" s="32" t="n"/>
      <c r="H111" s="36" t="n"/>
      <c r="I111" s="31" t="n"/>
      <c r="J111" s="38" t="n"/>
      <c r="K111" s="32" t="n"/>
      <c r="L111" s="34">
        <f>IF(OR(A111="",D111=""),"",IF(D111&gt;Config!$B$5,0,DATEDIF(D111,Config!$B$5,"m")))</f>
        <v/>
      </c>
      <c r="M111" s="39">
        <f>IF(A111="","",IF(K111&lt;&gt;"",K111,IF(OR(C111="",D111=""),"Sem dados",IFERROR(IF(C111="M",INDEX(Config!$B$11:$B$14,MATCH(L111,Config!$A$11:$A$14,1)),IF(C111="F",INDEX(Config!$C$11:$C$14,MATCH(L111,Config!$A$11:$A$14,1)),"Sem dados")),"Verificar"))))</f>
        <v/>
      </c>
      <c r="N111" s="39">
        <f>IF(A111="","",IF(COUNTIFS('Movimentações'!$C$6:$C$1505,A111,'Movimentações'!$B$6:$B$1505,"Venda")&gt;0,"Vendido",IF(COUNTIFS('Movimentações'!$C$6:$C$1505,A111,'Movimentações'!$B$6:$B$1505,"Morte")&gt;0,"Morto","Ativo")))</f>
        <v/>
      </c>
      <c r="O111" s="40">
        <f>IF(A111="","",IF(COUNTIF('Pesagens'!$B$6:$B$2005,A111)=0,"",SUMPRODUCT(MAX(('Pesagens'!$B$6:$B$2005=A111)*'Pesagens'!$A$6:$A$2005))))</f>
        <v/>
      </c>
      <c r="P111" s="41">
        <f>IF(A111="","",IF(O111="",IF(J111="","",J111),IFERROR(AVERAGEIFS('Pesagens'!$C$6:$C$2005,'Pesagens'!$B$6:$B$2005,A111,'Pesagens'!$A$6:$A$2005,O111),"")))</f>
        <v/>
      </c>
      <c r="Q111" s="42">
        <f>IF(OR(A111="",O111="",I111="",J111=""),"",IFERROR((P111-J111)/(O111-I111),""))</f>
        <v/>
      </c>
    </row>
    <row r="112">
      <c r="A112" s="36" t="n"/>
      <c r="B112" s="32" t="n"/>
      <c r="C112" s="37" t="n"/>
      <c r="D112" s="31" t="n"/>
      <c r="E112" s="32" t="n"/>
      <c r="F112" s="32" t="n"/>
      <c r="G112" s="32" t="n"/>
      <c r="H112" s="36" t="n"/>
      <c r="I112" s="31" t="n"/>
      <c r="J112" s="38" t="n"/>
      <c r="K112" s="32" t="n"/>
      <c r="L112" s="34">
        <f>IF(OR(A112="",D112=""),"",IF(D112&gt;Config!$B$5,0,DATEDIF(D112,Config!$B$5,"m")))</f>
        <v/>
      </c>
      <c r="M112" s="39">
        <f>IF(A112="","",IF(K112&lt;&gt;"",K112,IF(OR(C112="",D112=""),"Sem dados",IFERROR(IF(C112="M",INDEX(Config!$B$11:$B$14,MATCH(L112,Config!$A$11:$A$14,1)),IF(C112="F",INDEX(Config!$C$11:$C$14,MATCH(L112,Config!$A$11:$A$14,1)),"Sem dados")),"Verificar"))))</f>
        <v/>
      </c>
      <c r="N112" s="39">
        <f>IF(A112="","",IF(COUNTIFS('Movimentações'!$C$6:$C$1505,A112,'Movimentações'!$B$6:$B$1505,"Venda")&gt;0,"Vendido",IF(COUNTIFS('Movimentações'!$C$6:$C$1505,A112,'Movimentações'!$B$6:$B$1505,"Morte")&gt;0,"Morto","Ativo")))</f>
        <v/>
      </c>
      <c r="O112" s="40">
        <f>IF(A112="","",IF(COUNTIF('Pesagens'!$B$6:$B$2005,A112)=0,"",SUMPRODUCT(MAX(('Pesagens'!$B$6:$B$2005=A112)*'Pesagens'!$A$6:$A$2005))))</f>
        <v/>
      </c>
      <c r="P112" s="41">
        <f>IF(A112="","",IF(O112="",IF(J112="","",J112),IFERROR(AVERAGEIFS('Pesagens'!$C$6:$C$2005,'Pesagens'!$B$6:$B$2005,A112,'Pesagens'!$A$6:$A$2005,O112),"")))</f>
        <v/>
      </c>
      <c r="Q112" s="42">
        <f>IF(OR(A112="",O112="",I112="",J112=""),"",IFERROR((P112-J112)/(O112-I112),""))</f>
        <v/>
      </c>
    </row>
    <row r="113">
      <c r="A113" s="36" t="n"/>
      <c r="B113" s="32" t="n"/>
      <c r="C113" s="37" t="n"/>
      <c r="D113" s="31" t="n"/>
      <c r="E113" s="32" t="n"/>
      <c r="F113" s="32" t="n"/>
      <c r="G113" s="32" t="n"/>
      <c r="H113" s="36" t="n"/>
      <c r="I113" s="31" t="n"/>
      <c r="J113" s="38" t="n"/>
      <c r="K113" s="32" t="n"/>
      <c r="L113" s="34">
        <f>IF(OR(A113="",D113=""),"",IF(D113&gt;Config!$B$5,0,DATEDIF(D113,Config!$B$5,"m")))</f>
        <v/>
      </c>
      <c r="M113" s="39">
        <f>IF(A113="","",IF(K113&lt;&gt;"",K113,IF(OR(C113="",D113=""),"Sem dados",IFERROR(IF(C113="M",INDEX(Config!$B$11:$B$14,MATCH(L113,Config!$A$11:$A$14,1)),IF(C113="F",INDEX(Config!$C$11:$C$14,MATCH(L113,Config!$A$11:$A$14,1)),"Sem dados")),"Verificar"))))</f>
        <v/>
      </c>
      <c r="N113" s="39">
        <f>IF(A113="","",IF(COUNTIFS('Movimentações'!$C$6:$C$1505,A113,'Movimentações'!$B$6:$B$1505,"Venda")&gt;0,"Vendido",IF(COUNTIFS('Movimentações'!$C$6:$C$1505,A113,'Movimentações'!$B$6:$B$1505,"Morte")&gt;0,"Morto","Ativo")))</f>
        <v/>
      </c>
      <c r="O113" s="40">
        <f>IF(A113="","",IF(COUNTIF('Pesagens'!$B$6:$B$2005,A113)=0,"",SUMPRODUCT(MAX(('Pesagens'!$B$6:$B$2005=A113)*'Pesagens'!$A$6:$A$2005))))</f>
        <v/>
      </c>
      <c r="P113" s="41">
        <f>IF(A113="","",IF(O113="",IF(J113="","",J113),IFERROR(AVERAGEIFS('Pesagens'!$C$6:$C$2005,'Pesagens'!$B$6:$B$2005,A113,'Pesagens'!$A$6:$A$2005,O113),"")))</f>
        <v/>
      </c>
      <c r="Q113" s="42">
        <f>IF(OR(A113="",O113="",I113="",J113=""),"",IFERROR((P113-J113)/(O113-I113),""))</f>
        <v/>
      </c>
    </row>
    <row r="114">
      <c r="A114" s="36" t="n"/>
      <c r="B114" s="32" t="n"/>
      <c r="C114" s="37" t="n"/>
      <c r="D114" s="31" t="n"/>
      <c r="E114" s="32" t="n"/>
      <c r="F114" s="32" t="n"/>
      <c r="G114" s="32" t="n"/>
      <c r="H114" s="36" t="n"/>
      <c r="I114" s="31" t="n"/>
      <c r="J114" s="38" t="n"/>
      <c r="K114" s="32" t="n"/>
      <c r="L114" s="34">
        <f>IF(OR(A114="",D114=""),"",IF(D114&gt;Config!$B$5,0,DATEDIF(D114,Config!$B$5,"m")))</f>
        <v/>
      </c>
      <c r="M114" s="39">
        <f>IF(A114="","",IF(K114&lt;&gt;"",K114,IF(OR(C114="",D114=""),"Sem dados",IFERROR(IF(C114="M",INDEX(Config!$B$11:$B$14,MATCH(L114,Config!$A$11:$A$14,1)),IF(C114="F",INDEX(Config!$C$11:$C$14,MATCH(L114,Config!$A$11:$A$14,1)),"Sem dados")),"Verificar"))))</f>
        <v/>
      </c>
      <c r="N114" s="39">
        <f>IF(A114="","",IF(COUNTIFS('Movimentações'!$C$6:$C$1505,A114,'Movimentações'!$B$6:$B$1505,"Venda")&gt;0,"Vendido",IF(COUNTIFS('Movimentações'!$C$6:$C$1505,A114,'Movimentações'!$B$6:$B$1505,"Morte")&gt;0,"Morto","Ativo")))</f>
        <v/>
      </c>
      <c r="O114" s="40">
        <f>IF(A114="","",IF(COUNTIF('Pesagens'!$B$6:$B$2005,A114)=0,"",SUMPRODUCT(MAX(('Pesagens'!$B$6:$B$2005=A114)*'Pesagens'!$A$6:$A$2005))))</f>
        <v/>
      </c>
      <c r="P114" s="41">
        <f>IF(A114="","",IF(O114="",IF(J114="","",J114),IFERROR(AVERAGEIFS('Pesagens'!$C$6:$C$2005,'Pesagens'!$B$6:$B$2005,A114,'Pesagens'!$A$6:$A$2005,O114),"")))</f>
        <v/>
      </c>
      <c r="Q114" s="42">
        <f>IF(OR(A114="",O114="",I114="",J114=""),"",IFERROR((P114-J114)/(O114-I114),""))</f>
        <v/>
      </c>
    </row>
    <row r="115">
      <c r="A115" s="36" t="n"/>
      <c r="B115" s="32" t="n"/>
      <c r="C115" s="37" t="n"/>
      <c r="D115" s="31" t="n"/>
      <c r="E115" s="32" t="n"/>
      <c r="F115" s="32" t="n"/>
      <c r="G115" s="32" t="n"/>
      <c r="H115" s="36" t="n"/>
      <c r="I115" s="31" t="n"/>
      <c r="J115" s="38" t="n"/>
      <c r="K115" s="32" t="n"/>
      <c r="L115" s="34">
        <f>IF(OR(A115="",D115=""),"",IF(D115&gt;Config!$B$5,0,DATEDIF(D115,Config!$B$5,"m")))</f>
        <v/>
      </c>
      <c r="M115" s="39">
        <f>IF(A115="","",IF(K115&lt;&gt;"",K115,IF(OR(C115="",D115=""),"Sem dados",IFERROR(IF(C115="M",INDEX(Config!$B$11:$B$14,MATCH(L115,Config!$A$11:$A$14,1)),IF(C115="F",INDEX(Config!$C$11:$C$14,MATCH(L115,Config!$A$11:$A$14,1)),"Sem dados")),"Verificar"))))</f>
        <v/>
      </c>
      <c r="N115" s="39">
        <f>IF(A115="","",IF(COUNTIFS('Movimentações'!$C$6:$C$1505,A115,'Movimentações'!$B$6:$B$1505,"Venda")&gt;0,"Vendido",IF(COUNTIFS('Movimentações'!$C$6:$C$1505,A115,'Movimentações'!$B$6:$B$1505,"Morte")&gt;0,"Morto","Ativo")))</f>
        <v/>
      </c>
      <c r="O115" s="40">
        <f>IF(A115="","",IF(COUNTIF('Pesagens'!$B$6:$B$2005,A115)=0,"",SUMPRODUCT(MAX(('Pesagens'!$B$6:$B$2005=A115)*'Pesagens'!$A$6:$A$2005))))</f>
        <v/>
      </c>
      <c r="P115" s="41">
        <f>IF(A115="","",IF(O115="",IF(J115="","",J115),IFERROR(AVERAGEIFS('Pesagens'!$C$6:$C$2005,'Pesagens'!$B$6:$B$2005,A115,'Pesagens'!$A$6:$A$2005,O115),"")))</f>
        <v/>
      </c>
      <c r="Q115" s="42">
        <f>IF(OR(A115="",O115="",I115="",J115=""),"",IFERROR((P115-J115)/(O115-I115),""))</f>
        <v/>
      </c>
    </row>
    <row r="116">
      <c r="A116" s="36" t="n"/>
      <c r="B116" s="32" t="n"/>
      <c r="C116" s="37" t="n"/>
      <c r="D116" s="31" t="n"/>
      <c r="E116" s="32" t="n"/>
      <c r="F116" s="32" t="n"/>
      <c r="G116" s="32" t="n"/>
      <c r="H116" s="36" t="n"/>
      <c r="I116" s="31" t="n"/>
      <c r="J116" s="38" t="n"/>
      <c r="K116" s="32" t="n"/>
      <c r="L116" s="34">
        <f>IF(OR(A116="",D116=""),"",IF(D116&gt;Config!$B$5,0,DATEDIF(D116,Config!$B$5,"m")))</f>
        <v/>
      </c>
      <c r="M116" s="39">
        <f>IF(A116="","",IF(K116&lt;&gt;"",K116,IF(OR(C116="",D116=""),"Sem dados",IFERROR(IF(C116="M",INDEX(Config!$B$11:$B$14,MATCH(L116,Config!$A$11:$A$14,1)),IF(C116="F",INDEX(Config!$C$11:$C$14,MATCH(L116,Config!$A$11:$A$14,1)),"Sem dados")),"Verificar"))))</f>
        <v/>
      </c>
      <c r="N116" s="39">
        <f>IF(A116="","",IF(COUNTIFS('Movimentações'!$C$6:$C$1505,A116,'Movimentações'!$B$6:$B$1505,"Venda")&gt;0,"Vendido",IF(COUNTIFS('Movimentações'!$C$6:$C$1505,A116,'Movimentações'!$B$6:$B$1505,"Morte")&gt;0,"Morto","Ativo")))</f>
        <v/>
      </c>
      <c r="O116" s="40">
        <f>IF(A116="","",IF(COUNTIF('Pesagens'!$B$6:$B$2005,A116)=0,"",SUMPRODUCT(MAX(('Pesagens'!$B$6:$B$2005=A116)*'Pesagens'!$A$6:$A$2005))))</f>
        <v/>
      </c>
      <c r="P116" s="41">
        <f>IF(A116="","",IF(O116="",IF(J116="","",J116),IFERROR(AVERAGEIFS('Pesagens'!$C$6:$C$2005,'Pesagens'!$B$6:$B$2005,A116,'Pesagens'!$A$6:$A$2005,O116),"")))</f>
        <v/>
      </c>
      <c r="Q116" s="42">
        <f>IF(OR(A116="",O116="",I116="",J116=""),"",IFERROR((P116-J116)/(O116-I116),""))</f>
        <v/>
      </c>
    </row>
    <row r="117">
      <c r="A117" s="36" t="n"/>
      <c r="B117" s="32" t="n"/>
      <c r="C117" s="37" t="n"/>
      <c r="D117" s="31" t="n"/>
      <c r="E117" s="32" t="n"/>
      <c r="F117" s="32" t="n"/>
      <c r="G117" s="32" t="n"/>
      <c r="H117" s="36" t="n"/>
      <c r="I117" s="31" t="n"/>
      <c r="J117" s="38" t="n"/>
      <c r="K117" s="32" t="n"/>
      <c r="L117" s="34">
        <f>IF(OR(A117="",D117=""),"",IF(D117&gt;Config!$B$5,0,DATEDIF(D117,Config!$B$5,"m")))</f>
        <v/>
      </c>
      <c r="M117" s="39">
        <f>IF(A117="","",IF(K117&lt;&gt;"",K117,IF(OR(C117="",D117=""),"Sem dados",IFERROR(IF(C117="M",INDEX(Config!$B$11:$B$14,MATCH(L117,Config!$A$11:$A$14,1)),IF(C117="F",INDEX(Config!$C$11:$C$14,MATCH(L117,Config!$A$11:$A$14,1)),"Sem dados")),"Verificar"))))</f>
        <v/>
      </c>
      <c r="N117" s="39">
        <f>IF(A117="","",IF(COUNTIFS('Movimentações'!$C$6:$C$1505,A117,'Movimentações'!$B$6:$B$1505,"Venda")&gt;0,"Vendido",IF(COUNTIFS('Movimentações'!$C$6:$C$1505,A117,'Movimentações'!$B$6:$B$1505,"Morte")&gt;0,"Morto","Ativo")))</f>
        <v/>
      </c>
      <c r="O117" s="40">
        <f>IF(A117="","",IF(COUNTIF('Pesagens'!$B$6:$B$2005,A117)=0,"",SUMPRODUCT(MAX(('Pesagens'!$B$6:$B$2005=A117)*'Pesagens'!$A$6:$A$2005))))</f>
        <v/>
      </c>
      <c r="P117" s="41">
        <f>IF(A117="","",IF(O117="",IF(J117="","",J117),IFERROR(AVERAGEIFS('Pesagens'!$C$6:$C$2005,'Pesagens'!$B$6:$B$2005,A117,'Pesagens'!$A$6:$A$2005,O117),"")))</f>
        <v/>
      </c>
      <c r="Q117" s="42">
        <f>IF(OR(A117="",O117="",I117="",J117=""),"",IFERROR((P117-J117)/(O117-I117),""))</f>
        <v/>
      </c>
    </row>
    <row r="118">
      <c r="A118" s="36" t="n"/>
      <c r="B118" s="32" t="n"/>
      <c r="C118" s="37" t="n"/>
      <c r="D118" s="31" t="n"/>
      <c r="E118" s="32" t="n"/>
      <c r="F118" s="32" t="n"/>
      <c r="G118" s="32" t="n"/>
      <c r="H118" s="36" t="n"/>
      <c r="I118" s="31" t="n"/>
      <c r="J118" s="38" t="n"/>
      <c r="K118" s="32" t="n"/>
      <c r="L118" s="34">
        <f>IF(OR(A118="",D118=""),"",IF(D118&gt;Config!$B$5,0,DATEDIF(D118,Config!$B$5,"m")))</f>
        <v/>
      </c>
      <c r="M118" s="39">
        <f>IF(A118="","",IF(K118&lt;&gt;"",K118,IF(OR(C118="",D118=""),"Sem dados",IFERROR(IF(C118="M",INDEX(Config!$B$11:$B$14,MATCH(L118,Config!$A$11:$A$14,1)),IF(C118="F",INDEX(Config!$C$11:$C$14,MATCH(L118,Config!$A$11:$A$14,1)),"Sem dados")),"Verificar"))))</f>
        <v/>
      </c>
      <c r="N118" s="39">
        <f>IF(A118="","",IF(COUNTIFS('Movimentações'!$C$6:$C$1505,A118,'Movimentações'!$B$6:$B$1505,"Venda")&gt;0,"Vendido",IF(COUNTIFS('Movimentações'!$C$6:$C$1505,A118,'Movimentações'!$B$6:$B$1505,"Morte")&gt;0,"Morto","Ativo")))</f>
        <v/>
      </c>
      <c r="O118" s="40">
        <f>IF(A118="","",IF(COUNTIF('Pesagens'!$B$6:$B$2005,A118)=0,"",SUMPRODUCT(MAX(('Pesagens'!$B$6:$B$2005=A118)*'Pesagens'!$A$6:$A$2005))))</f>
        <v/>
      </c>
      <c r="P118" s="41">
        <f>IF(A118="","",IF(O118="",IF(J118="","",J118),IFERROR(AVERAGEIFS('Pesagens'!$C$6:$C$2005,'Pesagens'!$B$6:$B$2005,A118,'Pesagens'!$A$6:$A$2005,O118),"")))</f>
        <v/>
      </c>
      <c r="Q118" s="42">
        <f>IF(OR(A118="",O118="",I118="",J118=""),"",IFERROR((P118-J118)/(O118-I118),""))</f>
        <v/>
      </c>
    </row>
    <row r="119">
      <c r="A119" s="36" t="n"/>
      <c r="B119" s="32" t="n"/>
      <c r="C119" s="37" t="n"/>
      <c r="D119" s="31" t="n"/>
      <c r="E119" s="32" t="n"/>
      <c r="F119" s="32" t="n"/>
      <c r="G119" s="32" t="n"/>
      <c r="H119" s="36" t="n"/>
      <c r="I119" s="31" t="n"/>
      <c r="J119" s="38" t="n"/>
      <c r="K119" s="32" t="n"/>
      <c r="L119" s="34">
        <f>IF(OR(A119="",D119=""),"",IF(D119&gt;Config!$B$5,0,DATEDIF(D119,Config!$B$5,"m")))</f>
        <v/>
      </c>
      <c r="M119" s="39">
        <f>IF(A119="","",IF(K119&lt;&gt;"",K119,IF(OR(C119="",D119=""),"Sem dados",IFERROR(IF(C119="M",INDEX(Config!$B$11:$B$14,MATCH(L119,Config!$A$11:$A$14,1)),IF(C119="F",INDEX(Config!$C$11:$C$14,MATCH(L119,Config!$A$11:$A$14,1)),"Sem dados")),"Verificar"))))</f>
        <v/>
      </c>
      <c r="N119" s="39">
        <f>IF(A119="","",IF(COUNTIFS('Movimentações'!$C$6:$C$1505,A119,'Movimentações'!$B$6:$B$1505,"Venda")&gt;0,"Vendido",IF(COUNTIFS('Movimentações'!$C$6:$C$1505,A119,'Movimentações'!$B$6:$B$1505,"Morte")&gt;0,"Morto","Ativo")))</f>
        <v/>
      </c>
      <c r="O119" s="40">
        <f>IF(A119="","",IF(COUNTIF('Pesagens'!$B$6:$B$2005,A119)=0,"",SUMPRODUCT(MAX(('Pesagens'!$B$6:$B$2005=A119)*'Pesagens'!$A$6:$A$2005))))</f>
        <v/>
      </c>
      <c r="P119" s="41">
        <f>IF(A119="","",IF(O119="",IF(J119="","",J119),IFERROR(AVERAGEIFS('Pesagens'!$C$6:$C$2005,'Pesagens'!$B$6:$B$2005,A119,'Pesagens'!$A$6:$A$2005,O119),"")))</f>
        <v/>
      </c>
      <c r="Q119" s="42">
        <f>IF(OR(A119="",O119="",I119="",J119=""),"",IFERROR((P119-J119)/(O119-I119),""))</f>
        <v/>
      </c>
    </row>
    <row r="120">
      <c r="A120" s="36" t="n"/>
      <c r="B120" s="32" t="n"/>
      <c r="C120" s="37" t="n"/>
      <c r="D120" s="31" t="n"/>
      <c r="E120" s="32" t="n"/>
      <c r="F120" s="32" t="n"/>
      <c r="G120" s="32" t="n"/>
      <c r="H120" s="36" t="n"/>
      <c r="I120" s="31" t="n"/>
      <c r="J120" s="38" t="n"/>
      <c r="K120" s="32" t="n"/>
      <c r="L120" s="34">
        <f>IF(OR(A120="",D120=""),"",IF(D120&gt;Config!$B$5,0,DATEDIF(D120,Config!$B$5,"m")))</f>
        <v/>
      </c>
      <c r="M120" s="39">
        <f>IF(A120="","",IF(K120&lt;&gt;"",K120,IF(OR(C120="",D120=""),"Sem dados",IFERROR(IF(C120="M",INDEX(Config!$B$11:$B$14,MATCH(L120,Config!$A$11:$A$14,1)),IF(C120="F",INDEX(Config!$C$11:$C$14,MATCH(L120,Config!$A$11:$A$14,1)),"Sem dados")),"Verificar"))))</f>
        <v/>
      </c>
      <c r="N120" s="39">
        <f>IF(A120="","",IF(COUNTIFS('Movimentações'!$C$6:$C$1505,A120,'Movimentações'!$B$6:$B$1505,"Venda")&gt;0,"Vendido",IF(COUNTIFS('Movimentações'!$C$6:$C$1505,A120,'Movimentações'!$B$6:$B$1505,"Morte")&gt;0,"Morto","Ativo")))</f>
        <v/>
      </c>
      <c r="O120" s="40">
        <f>IF(A120="","",IF(COUNTIF('Pesagens'!$B$6:$B$2005,A120)=0,"",SUMPRODUCT(MAX(('Pesagens'!$B$6:$B$2005=A120)*'Pesagens'!$A$6:$A$2005))))</f>
        <v/>
      </c>
      <c r="P120" s="41">
        <f>IF(A120="","",IF(O120="",IF(J120="","",J120),IFERROR(AVERAGEIFS('Pesagens'!$C$6:$C$2005,'Pesagens'!$B$6:$B$2005,A120,'Pesagens'!$A$6:$A$2005,O120),"")))</f>
        <v/>
      </c>
      <c r="Q120" s="42">
        <f>IF(OR(A120="",O120="",I120="",J120=""),"",IFERROR((P120-J120)/(O120-I120),""))</f>
        <v/>
      </c>
    </row>
    <row r="121">
      <c r="A121" s="36" t="n"/>
      <c r="B121" s="32" t="n"/>
      <c r="C121" s="37" t="n"/>
      <c r="D121" s="31" t="n"/>
      <c r="E121" s="32" t="n"/>
      <c r="F121" s="32" t="n"/>
      <c r="G121" s="32" t="n"/>
      <c r="H121" s="36" t="n"/>
      <c r="I121" s="31" t="n"/>
      <c r="J121" s="38" t="n"/>
      <c r="K121" s="32" t="n"/>
      <c r="L121" s="34">
        <f>IF(OR(A121="",D121=""),"",IF(D121&gt;Config!$B$5,0,DATEDIF(D121,Config!$B$5,"m")))</f>
        <v/>
      </c>
      <c r="M121" s="39">
        <f>IF(A121="","",IF(K121&lt;&gt;"",K121,IF(OR(C121="",D121=""),"Sem dados",IFERROR(IF(C121="M",INDEX(Config!$B$11:$B$14,MATCH(L121,Config!$A$11:$A$14,1)),IF(C121="F",INDEX(Config!$C$11:$C$14,MATCH(L121,Config!$A$11:$A$14,1)),"Sem dados")),"Verificar"))))</f>
        <v/>
      </c>
      <c r="N121" s="39">
        <f>IF(A121="","",IF(COUNTIFS('Movimentações'!$C$6:$C$1505,A121,'Movimentações'!$B$6:$B$1505,"Venda")&gt;0,"Vendido",IF(COUNTIFS('Movimentações'!$C$6:$C$1505,A121,'Movimentações'!$B$6:$B$1505,"Morte")&gt;0,"Morto","Ativo")))</f>
        <v/>
      </c>
      <c r="O121" s="40">
        <f>IF(A121="","",IF(COUNTIF('Pesagens'!$B$6:$B$2005,A121)=0,"",SUMPRODUCT(MAX(('Pesagens'!$B$6:$B$2005=A121)*'Pesagens'!$A$6:$A$2005))))</f>
        <v/>
      </c>
      <c r="P121" s="41">
        <f>IF(A121="","",IF(O121="",IF(J121="","",J121),IFERROR(AVERAGEIFS('Pesagens'!$C$6:$C$2005,'Pesagens'!$B$6:$B$2005,A121,'Pesagens'!$A$6:$A$2005,O121),"")))</f>
        <v/>
      </c>
      <c r="Q121" s="42">
        <f>IF(OR(A121="",O121="",I121="",J121=""),"",IFERROR((P121-J121)/(O121-I121),""))</f>
        <v/>
      </c>
    </row>
    <row r="122">
      <c r="A122" s="36" t="n"/>
      <c r="B122" s="32" t="n"/>
      <c r="C122" s="37" t="n"/>
      <c r="D122" s="31" t="n"/>
      <c r="E122" s="32" t="n"/>
      <c r="F122" s="32" t="n"/>
      <c r="G122" s="32" t="n"/>
      <c r="H122" s="36" t="n"/>
      <c r="I122" s="31" t="n"/>
      <c r="J122" s="38" t="n"/>
      <c r="K122" s="32" t="n"/>
      <c r="L122" s="34">
        <f>IF(OR(A122="",D122=""),"",IF(D122&gt;Config!$B$5,0,DATEDIF(D122,Config!$B$5,"m")))</f>
        <v/>
      </c>
      <c r="M122" s="39">
        <f>IF(A122="","",IF(K122&lt;&gt;"",K122,IF(OR(C122="",D122=""),"Sem dados",IFERROR(IF(C122="M",INDEX(Config!$B$11:$B$14,MATCH(L122,Config!$A$11:$A$14,1)),IF(C122="F",INDEX(Config!$C$11:$C$14,MATCH(L122,Config!$A$11:$A$14,1)),"Sem dados")),"Verificar"))))</f>
        <v/>
      </c>
      <c r="N122" s="39">
        <f>IF(A122="","",IF(COUNTIFS('Movimentações'!$C$6:$C$1505,A122,'Movimentações'!$B$6:$B$1505,"Venda")&gt;0,"Vendido",IF(COUNTIFS('Movimentações'!$C$6:$C$1505,A122,'Movimentações'!$B$6:$B$1505,"Morte")&gt;0,"Morto","Ativo")))</f>
        <v/>
      </c>
      <c r="O122" s="40">
        <f>IF(A122="","",IF(COUNTIF('Pesagens'!$B$6:$B$2005,A122)=0,"",SUMPRODUCT(MAX(('Pesagens'!$B$6:$B$2005=A122)*'Pesagens'!$A$6:$A$2005))))</f>
        <v/>
      </c>
      <c r="P122" s="41">
        <f>IF(A122="","",IF(O122="",IF(J122="","",J122),IFERROR(AVERAGEIFS('Pesagens'!$C$6:$C$2005,'Pesagens'!$B$6:$B$2005,A122,'Pesagens'!$A$6:$A$2005,O122),"")))</f>
        <v/>
      </c>
      <c r="Q122" s="42">
        <f>IF(OR(A122="",O122="",I122="",J122=""),"",IFERROR((P122-J122)/(O122-I122),""))</f>
        <v/>
      </c>
    </row>
    <row r="123">
      <c r="A123" s="36" t="n"/>
      <c r="B123" s="32" t="n"/>
      <c r="C123" s="37" t="n"/>
      <c r="D123" s="31" t="n"/>
      <c r="E123" s="32" t="n"/>
      <c r="F123" s="32" t="n"/>
      <c r="G123" s="32" t="n"/>
      <c r="H123" s="36" t="n"/>
      <c r="I123" s="31" t="n"/>
      <c r="J123" s="38" t="n"/>
      <c r="K123" s="32" t="n"/>
      <c r="L123" s="34">
        <f>IF(OR(A123="",D123=""),"",IF(D123&gt;Config!$B$5,0,DATEDIF(D123,Config!$B$5,"m")))</f>
        <v/>
      </c>
      <c r="M123" s="39">
        <f>IF(A123="","",IF(K123&lt;&gt;"",K123,IF(OR(C123="",D123=""),"Sem dados",IFERROR(IF(C123="M",INDEX(Config!$B$11:$B$14,MATCH(L123,Config!$A$11:$A$14,1)),IF(C123="F",INDEX(Config!$C$11:$C$14,MATCH(L123,Config!$A$11:$A$14,1)),"Sem dados")),"Verificar"))))</f>
        <v/>
      </c>
      <c r="N123" s="39">
        <f>IF(A123="","",IF(COUNTIFS('Movimentações'!$C$6:$C$1505,A123,'Movimentações'!$B$6:$B$1505,"Venda")&gt;0,"Vendido",IF(COUNTIFS('Movimentações'!$C$6:$C$1505,A123,'Movimentações'!$B$6:$B$1505,"Morte")&gt;0,"Morto","Ativo")))</f>
        <v/>
      </c>
      <c r="O123" s="40">
        <f>IF(A123="","",IF(COUNTIF('Pesagens'!$B$6:$B$2005,A123)=0,"",SUMPRODUCT(MAX(('Pesagens'!$B$6:$B$2005=A123)*'Pesagens'!$A$6:$A$2005))))</f>
        <v/>
      </c>
      <c r="P123" s="41">
        <f>IF(A123="","",IF(O123="",IF(J123="","",J123),IFERROR(AVERAGEIFS('Pesagens'!$C$6:$C$2005,'Pesagens'!$B$6:$B$2005,A123,'Pesagens'!$A$6:$A$2005,O123),"")))</f>
        <v/>
      </c>
      <c r="Q123" s="42">
        <f>IF(OR(A123="",O123="",I123="",J123=""),"",IFERROR((P123-J123)/(O123-I123),""))</f>
        <v/>
      </c>
    </row>
    <row r="124">
      <c r="A124" s="36" t="n"/>
      <c r="B124" s="32" t="n"/>
      <c r="C124" s="37" t="n"/>
      <c r="D124" s="31" t="n"/>
      <c r="E124" s="32" t="n"/>
      <c r="F124" s="32" t="n"/>
      <c r="G124" s="32" t="n"/>
      <c r="H124" s="36" t="n"/>
      <c r="I124" s="31" t="n"/>
      <c r="J124" s="38" t="n"/>
      <c r="K124" s="32" t="n"/>
      <c r="L124" s="34">
        <f>IF(OR(A124="",D124=""),"",IF(D124&gt;Config!$B$5,0,DATEDIF(D124,Config!$B$5,"m")))</f>
        <v/>
      </c>
      <c r="M124" s="39">
        <f>IF(A124="","",IF(K124&lt;&gt;"",K124,IF(OR(C124="",D124=""),"Sem dados",IFERROR(IF(C124="M",INDEX(Config!$B$11:$B$14,MATCH(L124,Config!$A$11:$A$14,1)),IF(C124="F",INDEX(Config!$C$11:$C$14,MATCH(L124,Config!$A$11:$A$14,1)),"Sem dados")),"Verificar"))))</f>
        <v/>
      </c>
      <c r="N124" s="39">
        <f>IF(A124="","",IF(COUNTIFS('Movimentações'!$C$6:$C$1505,A124,'Movimentações'!$B$6:$B$1505,"Venda")&gt;0,"Vendido",IF(COUNTIFS('Movimentações'!$C$6:$C$1505,A124,'Movimentações'!$B$6:$B$1505,"Morte")&gt;0,"Morto","Ativo")))</f>
        <v/>
      </c>
      <c r="O124" s="40">
        <f>IF(A124="","",IF(COUNTIF('Pesagens'!$B$6:$B$2005,A124)=0,"",SUMPRODUCT(MAX(('Pesagens'!$B$6:$B$2005=A124)*'Pesagens'!$A$6:$A$2005))))</f>
        <v/>
      </c>
      <c r="P124" s="41">
        <f>IF(A124="","",IF(O124="",IF(J124="","",J124),IFERROR(AVERAGEIFS('Pesagens'!$C$6:$C$2005,'Pesagens'!$B$6:$B$2005,A124,'Pesagens'!$A$6:$A$2005,O124),"")))</f>
        <v/>
      </c>
      <c r="Q124" s="42">
        <f>IF(OR(A124="",O124="",I124="",J124=""),"",IFERROR((P124-J124)/(O124-I124),""))</f>
        <v/>
      </c>
    </row>
    <row r="125">
      <c r="A125" s="36" t="n"/>
      <c r="B125" s="32" t="n"/>
      <c r="C125" s="37" t="n"/>
      <c r="D125" s="31" t="n"/>
      <c r="E125" s="32" t="n"/>
      <c r="F125" s="32" t="n"/>
      <c r="G125" s="32" t="n"/>
      <c r="H125" s="36" t="n"/>
      <c r="I125" s="31" t="n"/>
      <c r="J125" s="38" t="n"/>
      <c r="K125" s="32" t="n"/>
      <c r="L125" s="34">
        <f>IF(OR(A125="",D125=""),"",IF(D125&gt;Config!$B$5,0,DATEDIF(D125,Config!$B$5,"m")))</f>
        <v/>
      </c>
      <c r="M125" s="39">
        <f>IF(A125="","",IF(K125&lt;&gt;"",K125,IF(OR(C125="",D125=""),"Sem dados",IFERROR(IF(C125="M",INDEX(Config!$B$11:$B$14,MATCH(L125,Config!$A$11:$A$14,1)),IF(C125="F",INDEX(Config!$C$11:$C$14,MATCH(L125,Config!$A$11:$A$14,1)),"Sem dados")),"Verificar"))))</f>
        <v/>
      </c>
      <c r="N125" s="39">
        <f>IF(A125="","",IF(COUNTIFS('Movimentações'!$C$6:$C$1505,A125,'Movimentações'!$B$6:$B$1505,"Venda")&gt;0,"Vendido",IF(COUNTIFS('Movimentações'!$C$6:$C$1505,A125,'Movimentações'!$B$6:$B$1505,"Morte")&gt;0,"Morto","Ativo")))</f>
        <v/>
      </c>
      <c r="O125" s="40">
        <f>IF(A125="","",IF(COUNTIF('Pesagens'!$B$6:$B$2005,A125)=0,"",SUMPRODUCT(MAX(('Pesagens'!$B$6:$B$2005=A125)*'Pesagens'!$A$6:$A$2005))))</f>
        <v/>
      </c>
      <c r="P125" s="41">
        <f>IF(A125="","",IF(O125="",IF(J125="","",J125),IFERROR(AVERAGEIFS('Pesagens'!$C$6:$C$2005,'Pesagens'!$B$6:$B$2005,A125,'Pesagens'!$A$6:$A$2005,O125),"")))</f>
        <v/>
      </c>
      <c r="Q125" s="42">
        <f>IF(OR(A125="",O125="",I125="",J125=""),"",IFERROR((P125-J125)/(O125-I125),""))</f>
        <v/>
      </c>
    </row>
    <row r="126">
      <c r="A126" s="36" t="n"/>
      <c r="B126" s="32" t="n"/>
      <c r="C126" s="37" t="n"/>
      <c r="D126" s="31" t="n"/>
      <c r="E126" s="32" t="n"/>
      <c r="F126" s="32" t="n"/>
      <c r="G126" s="32" t="n"/>
      <c r="H126" s="36" t="n"/>
      <c r="I126" s="31" t="n"/>
      <c r="J126" s="38" t="n"/>
      <c r="K126" s="32" t="n"/>
      <c r="L126" s="34">
        <f>IF(OR(A126="",D126=""),"",IF(D126&gt;Config!$B$5,0,DATEDIF(D126,Config!$B$5,"m")))</f>
        <v/>
      </c>
      <c r="M126" s="39">
        <f>IF(A126="","",IF(K126&lt;&gt;"",K126,IF(OR(C126="",D126=""),"Sem dados",IFERROR(IF(C126="M",INDEX(Config!$B$11:$B$14,MATCH(L126,Config!$A$11:$A$14,1)),IF(C126="F",INDEX(Config!$C$11:$C$14,MATCH(L126,Config!$A$11:$A$14,1)),"Sem dados")),"Verificar"))))</f>
        <v/>
      </c>
      <c r="N126" s="39">
        <f>IF(A126="","",IF(COUNTIFS('Movimentações'!$C$6:$C$1505,A126,'Movimentações'!$B$6:$B$1505,"Venda")&gt;0,"Vendido",IF(COUNTIFS('Movimentações'!$C$6:$C$1505,A126,'Movimentações'!$B$6:$B$1505,"Morte")&gt;0,"Morto","Ativo")))</f>
        <v/>
      </c>
      <c r="O126" s="40">
        <f>IF(A126="","",IF(COUNTIF('Pesagens'!$B$6:$B$2005,A126)=0,"",SUMPRODUCT(MAX(('Pesagens'!$B$6:$B$2005=A126)*'Pesagens'!$A$6:$A$2005))))</f>
        <v/>
      </c>
      <c r="P126" s="41">
        <f>IF(A126="","",IF(O126="",IF(J126="","",J126),IFERROR(AVERAGEIFS('Pesagens'!$C$6:$C$2005,'Pesagens'!$B$6:$B$2005,A126,'Pesagens'!$A$6:$A$2005,O126),"")))</f>
        <v/>
      </c>
      <c r="Q126" s="42">
        <f>IF(OR(A126="",O126="",I126="",J126=""),"",IFERROR((P126-J126)/(O126-I126),""))</f>
        <v/>
      </c>
    </row>
    <row r="127">
      <c r="A127" s="36" t="n"/>
      <c r="B127" s="32" t="n"/>
      <c r="C127" s="37" t="n"/>
      <c r="D127" s="31" t="n"/>
      <c r="E127" s="32" t="n"/>
      <c r="F127" s="32" t="n"/>
      <c r="G127" s="32" t="n"/>
      <c r="H127" s="36" t="n"/>
      <c r="I127" s="31" t="n"/>
      <c r="J127" s="38" t="n"/>
      <c r="K127" s="32" t="n"/>
      <c r="L127" s="34">
        <f>IF(OR(A127="",D127=""),"",IF(D127&gt;Config!$B$5,0,DATEDIF(D127,Config!$B$5,"m")))</f>
        <v/>
      </c>
      <c r="M127" s="39">
        <f>IF(A127="","",IF(K127&lt;&gt;"",K127,IF(OR(C127="",D127=""),"Sem dados",IFERROR(IF(C127="M",INDEX(Config!$B$11:$B$14,MATCH(L127,Config!$A$11:$A$14,1)),IF(C127="F",INDEX(Config!$C$11:$C$14,MATCH(L127,Config!$A$11:$A$14,1)),"Sem dados")),"Verificar"))))</f>
        <v/>
      </c>
      <c r="N127" s="39">
        <f>IF(A127="","",IF(COUNTIFS('Movimentações'!$C$6:$C$1505,A127,'Movimentações'!$B$6:$B$1505,"Venda")&gt;0,"Vendido",IF(COUNTIFS('Movimentações'!$C$6:$C$1505,A127,'Movimentações'!$B$6:$B$1505,"Morte")&gt;0,"Morto","Ativo")))</f>
        <v/>
      </c>
      <c r="O127" s="40">
        <f>IF(A127="","",IF(COUNTIF('Pesagens'!$B$6:$B$2005,A127)=0,"",SUMPRODUCT(MAX(('Pesagens'!$B$6:$B$2005=A127)*'Pesagens'!$A$6:$A$2005))))</f>
        <v/>
      </c>
      <c r="P127" s="41">
        <f>IF(A127="","",IF(O127="",IF(J127="","",J127),IFERROR(AVERAGEIFS('Pesagens'!$C$6:$C$2005,'Pesagens'!$B$6:$B$2005,A127,'Pesagens'!$A$6:$A$2005,O127),"")))</f>
        <v/>
      </c>
      <c r="Q127" s="42">
        <f>IF(OR(A127="",O127="",I127="",J127=""),"",IFERROR((P127-J127)/(O127-I127),""))</f>
        <v/>
      </c>
    </row>
    <row r="128">
      <c r="A128" s="36" t="n"/>
      <c r="B128" s="32" t="n"/>
      <c r="C128" s="37" t="n"/>
      <c r="D128" s="31" t="n"/>
      <c r="E128" s="32" t="n"/>
      <c r="F128" s="32" t="n"/>
      <c r="G128" s="32" t="n"/>
      <c r="H128" s="36" t="n"/>
      <c r="I128" s="31" t="n"/>
      <c r="J128" s="38" t="n"/>
      <c r="K128" s="32" t="n"/>
      <c r="L128" s="34">
        <f>IF(OR(A128="",D128=""),"",IF(D128&gt;Config!$B$5,0,DATEDIF(D128,Config!$B$5,"m")))</f>
        <v/>
      </c>
      <c r="M128" s="39">
        <f>IF(A128="","",IF(K128&lt;&gt;"",K128,IF(OR(C128="",D128=""),"Sem dados",IFERROR(IF(C128="M",INDEX(Config!$B$11:$B$14,MATCH(L128,Config!$A$11:$A$14,1)),IF(C128="F",INDEX(Config!$C$11:$C$14,MATCH(L128,Config!$A$11:$A$14,1)),"Sem dados")),"Verificar"))))</f>
        <v/>
      </c>
      <c r="N128" s="39">
        <f>IF(A128="","",IF(COUNTIFS('Movimentações'!$C$6:$C$1505,A128,'Movimentações'!$B$6:$B$1505,"Venda")&gt;0,"Vendido",IF(COUNTIFS('Movimentações'!$C$6:$C$1505,A128,'Movimentações'!$B$6:$B$1505,"Morte")&gt;0,"Morto","Ativo")))</f>
        <v/>
      </c>
      <c r="O128" s="40">
        <f>IF(A128="","",IF(COUNTIF('Pesagens'!$B$6:$B$2005,A128)=0,"",SUMPRODUCT(MAX(('Pesagens'!$B$6:$B$2005=A128)*'Pesagens'!$A$6:$A$2005))))</f>
        <v/>
      </c>
      <c r="P128" s="41">
        <f>IF(A128="","",IF(O128="",IF(J128="","",J128),IFERROR(AVERAGEIFS('Pesagens'!$C$6:$C$2005,'Pesagens'!$B$6:$B$2005,A128,'Pesagens'!$A$6:$A$2005,O128),"")))</f>
        <v/>
      </c>
      <c r="Q128" s="42">
        <f>IF(OR(A128="",O128="",I128="",J128=""),"",IFERROR((P128-J128)/(O128-I128),""))</f>
        <v/>
      </c>
    </row>
    <row r="129">
      <c r="A129" s="36" t="n"/>
      <c r="B129" s="32" t="n"/>
      <c r="C129" s="37" t="n"/>
      <c r="D129" s="31" t="n"/>
      <c r="E129" s="32" t="n"/>
      <c r="F129" s="32" t="n"/>
      <c r="G129" s="32" t="n"/>
      <c r="H129" s="36" t="n"/>
      <c r="I129" s="31" t="n"/>
      <c r="J129" s="38" t="n"/>
      <c r="K129" s="32" t="n"/>
      <c r="L129" s="34">
        <f>IF(OR(A129="",D129=""),"",IF(D129&gt;Config!$B$5,0,DATEDIF(D129,Config!$B$5,"m")))</f>
        <v/>
      </c>
      <c r="M129" s="39">
        <f>IF(A129="","",IF(K129&lt;&gt;"",K129,IF(OR(C129="",D129=""),"Sem dados",IFERROR(IF(C129="M",INDEX(Config!$B$11:$B$14,MATCH(L129,Config!$A$11:$A$14,1)),IF(C129="F",INDEX(Config!$C$11:$C$14,MATCH(L129,Config!$A$11:$A$14,1)),"Sem dados")),"Verificar"))))</f>
        <v/>
      </c>
      <c r="N129" s="39">
        <f>IF(A129="","",IF(COUNTIFS('Movimentações'!$C$6:$C$1505,A129,'Movimentações'!$B$6:$B$1505,"Venda")&gt;0,"Vendido",IF(COUNTIFS('Movimentações'!$C$6:$C$1505,A129,'Movimentações'!$B$6:$B$1505,"Morte")&gt;0,"Morto","Ativo")))</f>
        <v/>
      </c>
      <c r="O129" s="40">
        <f>IF(A129="","",IF(COUNTIF('Pesagens'!$B$6:$B$2005,A129)=0,"",SUMPRODUCT(MAX(('Pesagens'!$B$6:$B$2005=A129)*'Pesagens'!$A$6:$A$2005))))</f>
        <v/>
      </c>
      <c r="P129" s="41">
        <f>IF(A129="","",IF(O129="",IF(J129="","",J129),IFERROR(AVERAGEIFS('Pesagens'!$C$6:$C$2005,'Pesagens'!$B$6:$B$2005,A129,'Pesagens'!$A$6:$A$2005,O129),"")))</f>
        <v/>
      </c>
      <c r="Q129" s="42">
        <f>IF(OR(A129="",O129="",I129="",J129=""),"",IFERROR((P129-J129)/(O129-I129),""))</f>
        <v/>
      </c>
    </row>
    <row r="130">
      <c r="A130" s="36" t="n"/>
      <c r="B130" s="32" t="n"/>
      <c r="C130" s="37" t="n"/>
      <c r="D130" s="31" t="n"/>
      <c r="E130" s="32" t="n"/>
      <c r="F130" s="32" t="n"/>
      <c r="G130" s="32" t="n"/>
      <c r="H130" s="36" t="n"/>
      <c r="I130" s="31" t="n"/>
      <c r="J130" s="38" t="n"/>
      <c r="K130" s="32" t="n"/>
      <c r="L130" s="34">
        <f>IF(OR(A130="",D130=""),"",IF(D130&gt;Config!$B$5,0,DATEDIF(D130,Config!$B$5,"m")))</f>
        <v/>
      </c>
      <c r="M130" s="39">
        <f>IF(A130="","",IF(K130&lt;&gt;"",K130,IF(OR(C130="",D130=""),"Sem dados",IFERROR(IF(C130="M",INDEX(Config!$B$11:$B$14,MATCH(L130,Config!$A$11:$A$14,1)),IF(C130="F",INDEX(Config!$C$11:$C$14,MATCH(L130,Config!$A$11:$A$14,1)),"Sem dados")),"Verificar"))))</f>
        <v/>
      </c>
      <c r="N130" s="39">
        <f>IF(A130="","",IF(COUNTIFS('Movimentações'!$C$6:$C$1505,A130,'Movimentações'!$B$6:$B$1505,"Venda")&gt;0,"Vendido",IF(COUNTIFS('Movimentações'!$C$6:$C$1505,A130,'Movimentações'!$B$6:$B$1505,"Morte")&gt;0,"Morto","Ativo")))</f>
        <v/>
      </c>
      <c r="O130" s="40">
        <f>IF(A130="","",IF(COUNTIF('Pesagens'!$B$6:$B$2005,A130)=0,"",SUMPRODUCT(MAX(('Pesagens'!$B$6:$B$2005=A130)*'Pesagens'!$A$6:$A$2005))))</f>
        <v/>
      </c>
      <c r="P130" s="41">
        <f>IF(A130="","",IF(O130="",IF(J130="","",J130),IFERROR(AVERAGEIFS('Pesagens'!$C$6:$C$2005,'Pesagens'!$B$6:$B$2005,A130,'Pesagens'!$A$6:$A$2005,O130),"")))</f>
        <v/>
      </c>
      <c r="Q130" s="42">
        <f>IF(OR(A130="",O130="",I130="",J130=""),"",IFERROR((P130-J130)/(O130-I130),""))</f>
        <v/>
      </c>
    </row>
    <row r="131">
      <c r="A131" s="36" t="n"/>
      <c r="B131" s="32" t="n"/>
      <c r="C131" s="37" t="n"/>
      <c r="D131" s="31" t="n"/>
      <c r="E131" s="32" t="n"/>
      <c r="F131" s="32" t="n"/>
      <c r="G131" s="32" t="n"/>
      <c r="H131" s="36" t="n"/>
      <c r="I131" s="31" t="n"/>
      <c r="J131" s="38" t="n"/>
      <c r="K131" s="32" t="n"/>
      <c r="L131" s="34">
        <f>IF(OR(A131="",D131=""),"",IF(D131&gt;Config!$B$5,0,DATEDIF(D131,Config!$B$5,"m")))</f>
        <v/>
      </c>
      <c r="M131" s="39">
        <f>IF(A131="","",IF(K131&lt;&gt;"",K131,IF(OR(C131="",D131=""),"Sem dados",IFERROR(IF(C131="M",INDEX(Config!$B$11:$B$14,MATCH(L131,Config!$A$11:$A$14,1)),IF(C131="F",INDEX(Config!$C$11:$C$14,MATCH(L131,Config!$A$11:$A$14,1)),"Sem dados")),"Verificar"))))</f>
        <v/>
      </c>
      <c r="N131" s="39">
        <f>IF(A131="","",IF(COUNTIFS('Movimentações'!$C$6:$C$1505,A131,'Movimentações'!$B$6:$B$1505,"Venda")&gt;0,"Vendido",IF(COUNTIFS('Movimentações'!$C$6:$C$1505,A131,'Movimentações'!$B$6:$B$1505,"Morte")&gt;0,"Morto","Ativo")))</f>
        <v/>
      </c>
      <c r="O131" s="40">
        <f>IF(A131="","",IF(COUNTIF('Pesagens'!$B$6:$B$2005,A131)=0,"",SUMPRODUCT(MAX(('Pesagens'!$B$6:$B$2005=A131)*'Pesagens'!$A$6:$A$2005))))</f>
        <v/>
      </c>
      <c r="P131" s="41">
        <f>IF(A131="","",IF(O131="",IF(J131="","",J131),IFERROR(AVERAGEIFS('Pesagens'!$C$6:$C$2005,'Pesagens'!$B$6:$B$2005,A131,'Pesagens'!$A$6:$A$2005,O131),"")))</f>
        <v/>
      </c>
      <c r="Q131" s="42">
        <f>IF(OR(A131="",O131="",I131="",J131=""),"",IFERROR((P131-J131)/(O131-I131),""))</f>
        <v/>
      </c>
    </row>
    <row r="132">
      <c r="A132" s="36" t="n"/>
      <c r="B132" s="32" t="n"/>
      <c r="C132" s="37" t="n"/>
      <c r="D132" s="31" t="n"/>
      <c r="E132" s="32" t="n"/>
      <c r="F132" s="32" t="n"/>
      <c r="G132" s="32" t="n"/>
      <c r="H132" s="36" t="n"/>
      <c r="I132" s="31" t="n"/>
      <c r="J132" s="38" t="n"/>
      <c r="K132" s="32" t="n"/>
      <c r="L132" s="34">
        <f>IF(OR(A132="",D132=""),"",IF(D132&gt;Config!$B$5,0,DATEDIF(D132,Config!$B$5,"m")))</f>
        <v/>
      </c>
      <c r="M132" s="39">
        <f>IF(A132="","",IF(K132&lt;&gt;"",K132,IF(OR(C132="",D132=""),"Sem dados",IFERROR(IF(C132="M",INDEX(Config!$B$11:$B$14,MATCH(L132,Config!$A$11:$A$14,1)),IF(C132="F",INDEX(Config!$C$11:$C$14,MATCH(L132,Config!$A$11:$A$14,1)),"Sem dados")),"Verificar"))))</f>
        <v/>
      </c>
      <c r="N132" s="39">
        <f>IF(A132="","",IF(COUNTIFS('Movimentações'!$C$6:$C$1505,A132,'Movimentações'!$B$6:$B$1505,"Venda")&gt;0,"Vendido",IF(COUNTIFS('Movimentações'!$C$6:$C$1505,A132,'Movimentações'!$B$6:$B$1505,"Morte")&gt;0,"Morto","Ativo")))</f>
        <v/>
      </c>
      <c r="O132" s="40">
        <f>IF(A132="","",IF(COUNTIF('Pesagens'!$B$6:$B$2005,A132)=0,"",SUMPRODUCT(MAX(('Pesagens'!$B$6:$B$2005=A132)*'Pesagens'!$A$6:$A$2005))))</f>
        <v/>
      </c>
      <c r="P132" s="41">
        <f>IF(A132="","",IF(O132="",IF(J132="","",J132),IFERROR(AVERAGEIFS('Pesagens'!$C$6:$C$2005,'Pesagens'!$B$6:$B$2005,A132,'Pesagens'!$A$6:$A$2005,O132),"")))</f>
        <v/>
      </c>
      <c r="Q132" s="42">
        <f>IF(OR(A132="",O132="",I132="",J132=""),"",IFERROR((P132-J132)/(O132-I132),""))</f>
        <v/>
      </c>
    </row>
    <row r="133">
      <c r="A133" s="36" t="n"/>
      <c r="B133" s="32" t="n"/>
      <c r="C133" s="37" t="n"/>
      <c r="D133" s="31" t="n"/>
      <c r="E133" s="32" t="n"/>
      <c r="F133" s="32" t="n"/>
      <c r="G133" s="32" t="n"/>
      <c r="H133" s="36" t="n"/>
      <c r="I133" s="31" t="n"/>
      <c r="J133" s="38" t="n"/>
      <c r="K133" s="32" t="n"/>
      <c r="L133" s="34">
        <f>IF(OR(A133="",D133=""),"",IF(D133&gt;Config!$B$5,0,DATEDIF(D133,Config!$B$5,"m")))</f>
        <v/>
      </c>
      <c r="M133" s="39">
        <f>IF(A133="","",IF(K133&lt;&gt;"",K133,IF(OR(C133="",D133=""),"Sem dados",IFERROR(IF(C133="M",INDEX(Config!$B$11:$B$14,MATCH(L133,Config!$A$11:$A$14,1)),IF(C133="F",INDEX(Config!$C$11:$C$14,MATCH(L133,Config!$A$11:$A$14,1)),"Sem dados")),"Verificar"))))</f>
        <v/>
      </c>
      <c r="N133" s="39">
        <f>IF(A133="","",IF(COUNTIFS('Movimentações'!$C$6:$C$1505,A133,'Movimentações'!$B$6:$B$1505,"Venda")&gt;0,"Vendido",IF(COUNTIFS('Movimentações'!$C$6:$C$1505,A133,'Movimentações'!$B$6:$B$1505,"Morte")&gt;0,"Morto","Ativo")))</f>
        <v/>
      </c>
      <c r="O133" s="40">
        <f>IF(A133="","",IF(COUNTIF('Pesagens'!$B$6:$B$2005,A133)=0,"",SUMPRODUCT(MAX(('Pesagens'!$B$6:$B$2005=A133)*'Pesagens'!$A$6:$A$2005))))</f>
        <v/>
      </c>
      <c r="P133" s="41">
        <f>IF(A133="","",IF(O133="",IF(J133="","",J133),IFERROR(AVERAGEIFS('Pesagens'!$C$6:$C$2005,'Pesagens'!$B$6:$B$2005,A133,'Pesagens'!$A$6:$A$2005,O133),"")))</f>
        <v/>
      </c>
      <c r="Q133" s="42">
        <f>IF(OR(A133="",O133="",I133="",J133=""),"",IFERROR((P133-J133)/(O133-I133),""))</f>
        <v/>
      </c>
    </row>
    <row r="134">
      <c r="A134" s="36" t="n"/>
      <c r="B134" s="32" t="n"/>
      <c r="C134" s="37" t="n"/>
      <c r="D134" s="31" t="n"/>
      <c r="E134" s="32" t="n"/>
      <c r="F134" s="32" t="n"/>
      <c r="G134" s="32" t="n"/>
      <c r="H134" s="36" t="n"/>
      <c r="I134" s="31" t="n"/>
      <c r="J134" s="38" t="n"/>
      <c r="K134" s="32" t="n"/>
      <c r="L134" s="34">
        <f>IF(OR(A134="",D134=""),"",IF(D134&gt;Config!$B$5,0,DATEDIF(D134,Config!$B$5,"m")))</f>
        <v/>
      </c>
      <c r="M134" s="39">
        <f>IF(A134="","",IF(K134&lt;&gt;"",K134,IF(OR(C134="",D134=""),"Sem dados",IFERROR(IF(C134="M",INDEX(Config!$B$11:$B$14,MATCH(L134,Config!$A$11:$A$14,1)),IF(C134="F",INDEX(Config!$C$11:$C$14,MATCH(L134,Config!$A$11:$A$14,1)),"Sem dados")),"Verificar"))))</f>
        <v/>
      </c>
      <c r="N134" s="39">
        <f>IF(A134="","",IF(COUNTIFS('Movimentações'!$C$6:$C$1505,A134,'Movimentações'!$B$6:$B$1505,"Venda")&gt;0,"Vendido",IF(COUNTIFS('Movimentações'!$C$6:$C$1505,A134,'Movimentações'!$B$6:$B$1505,"Morte")&gt;0,"Morto","Ativo")))</f>
        <v/>
      </c>
      <c r="O134" s="40">
        <f>IF(A134="","",IF(COUNTIF('Pesagens'!$B$6:$B$2005,A134)=0,"",SUMPRODUCT(MAX(('Pesagens'!$B$6:$B$2005=A134)*'Pesagens'!$A$6:$A$2005))))</f>
        <v/>
      </c>
      <c r="P134" s="41">
        <f>IF(A134="","",IF(O134="",IF(J134="","",J134),IFERROR(AVERAGEIFS('Pesagens'!$C$6:$C$2005,'Pesagens'!$B$6:$B$2005,A134,'Pesagens'!$A$6:$A$2005,O134),"")))</f>
        <v/>
      </c>
      <c r="Q134" s="42">
        <f>IF(OR(A134="",O134="",I134="",J134=""),"",IFERROR((P134-J134)/(O134-I134),""))</f>
        <v/>
      </c>
    </row>
    <row r="135">
      <c r="A135" s="36" t="n"/>
      <c r="B135" s="32" t="n"/>
      <c r="C135" s="37" t="n"/>
      <c r="D135" s="31" t="n"/>
      <c r="E135" s="32" t="n"/>
      <c r="F135" s="32" t="n"/>
      <c r="G135" s="32" t="n"/>
      <c r="H135" s="36" t="n"/>
      <c r="I135" s="31" t="n"/>
      <c r="J135" s="38" t="n"/>
      <c r="K135" s="32" t="n"/>
      <c r="L135" s="34">
        <f>IF(OR(A135="",D135=""),"",IF(D135&gt;Config!$B$5,0,DATEDIF(D135,Config!$B$5,"m")))</f>
        <v/>
      </c>
      <c r="M135" s="39">
        <f>IF(A135="","",IF(K135&lt;&gt;"",K135,IF(OR(C135="",D135=""),"Sem dados",IFERROR(IF(C135="M",INDEX(Config!$B$11:$B$14,MATCH(L135,Config!$A$11:$A$14,1)),IF(C135="F",INDEX(Config!$C$11:$C$14,MATCH(L135,Config!$A$11:$A$14,1)),"Sem dados")),"Verificar"))))</f>
        <v/>
      </c>
      <c r="N135" s="39">
        <f>IF(A135="","",IF(COUNTIFS('Movimentações'!$C$6:$C$1505,A135,'Movimentações'!$B$6:$B$1505,"Venda")&gt;0,"Vendido",IF(COUNTIFS('Movimentações'!$C$6:$C$1505,A135,'Movimentações'!$B$6:$B$1505,"Morte")&gt;0,"Morto","Ativo")))</f>
        <v/>
      </c>
      <c r="O135" s="40">
        <f>IF(A135="","",IF(COUNTIF('Pesagens'!$B$6:$B$2005,A135)=0,"",SUMPRODUCT(MAX(('Pesagens'!$B$6:$B$2005=A135)*'Pesagens'!$A$6:$A$2005))))</f>
        <v/>
      </c>
      <c r="P135" s="41">
        <f>IF(A135="","",IF(O135="",IF(J135="","",J135),IFERROR(AVERAGEIFS('Pesagens'!$C$6:$C$2005,'Pesagens'!$B$6:$B$2005,A135,'Pesagens'!$A$6:$A$2005,O135),"")))</f>
        <v/>
      </c>
      <c r="Q135" s="42">
        <f>IF(OR(A135="",O135="",I135="",J135=""),"",IFERROR((P135-J135)/(O135-I135),""))</f>
        <v/>
      </c>
    </row>
    <row r="136">
      <c r="A136" s="36" t="n"/>
      <c r="B136" s="32" t="n"/>
      <c r="C136" s="37" t="n"/>
      <c r="D136" s="31" t="n"/>
      <c r="E136" s="32" t="n"/>
      <c r="F136" s="32" t="n"/>
      <c r="G136" s="32" t="n"/>
      <c r="H136" s="36" t="n"/>
      <c r="I136" s="31" t="n"/>
      <c r="J136" s="38" t="n"/>
      <c r="K136" s="32" t="n"/>
      <c r="L136" s="34">
        <f>IF(OR(A136="",D136=""),"",IF(D136&gt;Config!$B$5,0,DATEDIF(D136,Config!$B$5,"m")))</f>
        <v/>
      </c>
      <c r="M136" s="39">
        <f>IF(A136="","",IF(K136&lt;&gt;"",K136,IF(OR(C136="",D136=""),"Sem dados",IFERROR(IF(C136="M",INDEX(Config!$B$11:$B$14,MATCH(L136,Config!$A$11:$A$14,1)),IF(C136="F",INDEX(Config!$C$11:$C$14,MATCH(L136,Config!$A$11:$A$14,1)),"Sem dados")),"Verificar"))))</f>
        <v/>
      </c>
      <c r="N136" s="39">
        <f>IF(A136="","",IF(COUNTIFS('Movimentações'!$C$6:$C$1505,A136,'Movimentações'!$B$6:$B$1505,"Venda")&gt;0,"Vendido",IF(COUNTIFS('Movimentações'!$C$6:$C$1505,A136,'Movimentações'!$B$6:$B$1505,"Morte")&gt;0,"Morto","Ativo")))</f>
        <v/>
      </c>
      <c r="O136" s="40">
        <f>IF(A136="","",IF(COUNTIF('Pesagens'!$B$6:$B$2005,A136)=0,"",SUMPRODUCT(MAX(('Pesagens'!$B$6:$B$2005=A136)*'Pesagens'!$A$6:$A$2005))))</f>
        <v/>
      </c>
      <c r="P136" s="41">
        <f>IF(A136="","",IF(O136="",IF(J136="","",J136),IFERROR(AVERAGEIFS('Pesagens'!$C$6:$C$2005,'Pesagens'!$B$6:$B$2005,A136,'Pesagens'!$A$6:$A$2005,O136),"")))</f>
        <v/>
      </c>
      <c r="Q136" s="42">
        <f>IF(OR(A136="",O136="",I136="",J136=""),"",IFERROR((P136-J136)/(O136-I136),""))</f>
        <v/>
      </c>
    </row>
    <row r="137">
      <c r="A137" s="36" t="n"/>
      <c r="B137" s="32" t="n"/>
      <c r="C137" s="37" t="n"/>
      <c r="D137" s="31" t="n"/>
      <c r="E137" s="32" t="n"/>
      <c r="F137" s="32" t="n"/>
      <c r="G137" s="32" t="n"/>
      <c r="H137" s="36" t="n"/>
      <c r="I137" s="31" t="n"/>
      <c r="J137" s="38" t="n"/>
      <c r="K137" s="32" t="n"/>
      <c r="L137" s="34">
        <f>IF(OR(A137="",D137=""),"",IF(D137&gt;Config!$B$5,0,DATEDIF(D137,Config!$B$5,"m")))</f>
        <v/>
      </c>
      <c r="M137" s="39">
        <f>IF(A137="","",IF(K137&lt;&gt;"",K137,IF(OR(C137="",D137=""),"Sem dados",IFERROR(IF(C137="M",INDEX(Config!$B$11:$B$14,MATCH(L137,Config!$A$11:$A$14,1)),IF(C137="F",INDEX(Config!$C$11:$C$14,MATCH(L137,Config!$A$11:$A$14,1)),"Sem dados")),"Verificar"))))</f>
        <v/>
      </c>
      <c r="N137" s="39">
        <f>IF(A137="","",IF(COUNTIFS('Movimentações'!$C$6:$C$1505,A137,'Movimentações'!$B$6:$B$1505,"Venda")&gt;0,"Vendido",IF(COUNTIFS('Movimentações'!$C$6:$C$1505,A137,'Movimentações'!$B$6:$B$1505,"Morte")&gt;0,"Morto","Ativo")))</f>
        <v/>
      </c>
      <c r="O137" s="40">
        <f>IF(A137="","",IF(COUNTIF('Pesagens'!$B$6:$B$2005,A137)=0,"",SUMPRODUCT(MAX(('Pesagens'!$B$6:$B$2005=A137)*'Pesagens'!$A$6:$A$2005))))</f>
        <v/>
      </c>
      <c r="P137" s="41">
        <f>IF(A137="","",IF(O137="",IF(J137="","",J137),IFERROR(AVERAGEIFS('Pesagens'!$C$6:$C$2005,'Pesagens'!$B$6:$B$2005,A137,'Pesagens'!$A$6:$A$2005,O137),"")))</f>
        <v/>
      </c>
      <c r="Q137" s="42">
        <f>IF(OR(A137="",O137="",I137="",J137=""),"",IFERROR((P137-J137)/(O137-I137),""))</f>
        <v/>
      </c>
    </row>
    <row r="138">
      <c r="A138" s="36" t="n"/>
      <c r="B138" s="32" t="n"/>
      <c r="C138" s="37" t="n"/>
      <c r="D138" s="31" t="n"/>
      <c r="E138" s="32" t="n"/>
      <c r="F138" s="32" t="n"/>
      <c r="G138" s="32" t="n"/>
      <c r="H138" s="36" t="n"/>
      <c r="I138" s="31" t="n"/>
      <c r="J138" s="38" t="n"/>
      <c r="K138" s="32" t="n"/>
      <c r="L138" s="34">
        <f>IF(OR(A138="",D138=""),"",IF(D138&gt;Config!$B$5,0,DATEDIF(D138,Config!$B$5,"m")))</f>
        <v/>
      </c>
      <c r="M138" s="39">
        <f>IF(A138="","",IF(K138&lt;&gt;"",K138,IF(OR(C138="",D138=""),"Sem dados",IFERROR(IF(C138="M",INDEX(Config!$B$11:$B$14,MATCH(L138,Config!$A$11:$A$14,1)),IF(C138="F",INDEX(Config!$C$11:$C$14,MATCH(L138,Config!$A$11:$A$14,1)),"Sem dados")),"Verificar"))))</f>
        <v/>
      </c>
      <c r="N138" s="39">
        <f>IF(A138="","",IF(COUNTIFS('Movimentações'!$C$6:$C$1505,A138,'Movimentações'!$B$6:$B$1505,"Venda")&gt;0,"Vendido",IF(COUNTIFS('Movimentações'!$C$6:$C$1505,A138,'Movimentações'!$B$6:$B$1505,"Morte")&gt;0,"Morto","Ativo")))</f>
        <v/>
      </c>
      <c r="O138" s="40">
        <f>IF(A138="","",IF(COUNTIF('Pesagens'!$B$6:$B$2005,A138)=0,"",SUMPRODUCT(MAX(('Pesagens'!$B$6:$B$2005=A138)*'Pesagens'!$A$6:$A$2005))))</f>
        <v/>
      </c>
      <c r="P138" s="41">
        <f>IF(A138="","",IF(O138="",IF(J138="","",J138),IFERROR(AVERAGEIFS('Pesagens'!$C$6:$C$2005,'Pesagens'!$B$6:$B$2005,A138,'Pesagens'!$A$6:$A$2005,O138),"")))</f>
        <v/>
      </c>
      <c r="Q138" s="42">
        <f>IF(OR(A138="",O138="",I138="",J138=""),"",IFERROR((P138-J138)/(O138-I138),""))</f>
        <v/>
      </c>
    </row>
    <row r="139">
      <c r="A139" s="36" t="n"/>
      <c r="B139" s="32" t="n"/>
      <c r="C139" s="37" t="n"/>
      <c r="D139" s="31" t="n"/>
      <c r="E139" s="32" t="n"/>
      <c r="F139" s="32" t="n"/>
      <c r="G139" s="32" t="n"/>
      <c r="H139" s="36" t="n"/>
      <c r="I139" s="31" t="n"/>
      <c r="J139" s="38" t="n"/>
      <c r="K139" s="32" t="n"/>
      <c r="L139" s="34">
        <f>IF(OR(A139="",D139=""),"",IF(D139&gt;Config!$B$5,0,DATEDIF(D139,Config!$B$5,"m")))</f>
        <v/>
      </c>
      <c r="M139" s="39">
        <f>IF(A139="","",IF(K139&lt;&gt;"",K139,IF(OR(C139="",D139=""),"Sem dados",IFERROR(IF(C139="M",INDEX(Config!$B$11:$B$14,MATCH(L139,Config!$A$11:$A$14,1)),IF(C139="F",INDEX(Config!$C$11:$C$14,MATCH(L139,Config!$A$11:$A$14,1)),"Sem dados")),"Verificar"))))</f>
        <v/>
      </c>
      <c r="N139" s="39">
        <f>IF(A139="","",IF(COUNTIFS('Movimentações'!$C$6:$C$1505,A139,'Movimentações'!$B$6:$B$1505,"Venda")&gt;0,"Vendido",IF(COUNTIFS('Movimentações'!$C$6:$C$1505,A139,'Movimentações'!$B$6:$B$1505,"Morte")&gt;0,"Morto","Ativo")))</f>
        <v/>
      </c>
      <c r="O139" s="40">
        <f>IF(A139="","",IF(COUNTIF('Pesagens'!$B$6:$B$2005,A139)=0,"",SUMPRODUCT(MAX(('Pesagens'!$B$6:$B$2005=A139)*'Pesagens'!$A$6:$A$2005))))</f>
        <v/>
      </c>
      <c r="P139" s="41">
        <f>IF(A139="","",IF(O139="",IF(J139="","",J139),IFERROR(AVERAGEIFS('Pesagens'!$C$6:$C$2005,'Pesagens'!$B$6:$B$2005,A139,'Pesagens'!$A$6:$A$2005,O139),"")))</f>
        <v/>
      </c>
      <c r="Q139" s="42">
        <f>IF(OR(A139="",O139="",I139="",J139=""),"",IFERROR((P139-J139)/(O139-I139),""))</f>
        <v/>
      </c>
    </row>
    <row r="140">
      <c r="A140" s="36" t="n"/>
      <c r="B140" s="32" t="n"/>
      <c r="C140" s="37" t="n"/>
      <c r="D140" s="31" t="n"/>
      <c r="E140" s="32" t="n"/>
      <c r="F140" s="32" t="n"/>
      <c r="G140" s="32" t="n"/>
      <c r="H140" s="36" t="n"/>
      <c r="I140" s="31" t="n"/>
      <c r="J140" s="38" t="n"/>
      <c r="K140" s="32" t="n"/>
      <c r="L140" s="34">
        <f>IF(OR(A140="",D140=""),"",IF(D140&gt;Config!$B$5,0,DATEDIF(D140,Config!$B$5,"m")))</f>
        <v/>
      </c>
      <c r="M140" s="39">
        <f>IF(A140="","",IF(K140&lt;&gt;"",K140,IF(OR(C140="",D140=""),"Sem dados",IFERROR(IF(C140="M",INDEX(Config!$B$11:$B$14,MATCH(L140,Config!$A$11:$A$14,1)),IF(C140="F",INDEX(Config!$C$11:$C$14,MATCH(L140,Config!$A$11:$A$14,1)),"Sem dados")),"Verificar"))))</f>
        <v/>
      </c>
      <c r="N140" s="39">
        <f>IF(A140="","",IF(COUNTIFS('Movimentações'!$C$6:$C$1505,A140,'Movimentações'!$B$6:$B$1505,"Venda")&gt;0,"Vendido",IF(COUNTIFS('Movimentações'!$C$6:$C$1505,A140,'Movimentações'!$B$6:$B$1505,"Morte")&gt;0,"Morto","Ativo")))</f>
        <v/>
      </c>
      <c r="O140" s="40">
        <f>IF(A140="","",IF(COUNTIF('Pesagens'!$B$6:$B$2005,A140)=0,"",SUMPRODUCT(MAX(('Pesagens'!$B$6:$B$2005=A140)*'Pesagens'!$A$6:$A$2005))))</f>
        <v/>
      </c>
      <c r="P140" s="41">
        <f>IF(A140="","",IF(O140="",IF(J140="","",J140),IFERROR(AVERAGEIFS('Pesagens'!$C$6:$C$2005,'Pesagens'!$B$6:$B$2005,A140,'Pesagens'!$A$6:$A$2005,O140),"")))</f>
        <v/>
      </c>
      <c r="Q140" s="42">
        <f>IF(OR(A140="",O140="",I140="",J140=""),"",IFERROR((P140-J140)/(O140-I140),""))</f>
        <v/>
      </c>
    </row>
    <row r="141">
      <c r="A141" s="36" t="n"/>
      <c r="B141" s="32" t="n"/>
      <c r="C141" s="37" t="n"/>
      <c r="D141" s="31" t="n"/>
      <c r="E141" s="32" t="n"/>
      <c r="F141" s="32" t="n"/>
      <c r="G141" s="32" t="n"/>
      <c r="H141" s="36" t="n"/>
      <c r="I141" s="31" t="n"/>
      <c r="J141" s="38" t="n"/>
      <c r="K141" s="32" t="n"/>
      <c r="L141" s="34">
        <f>IF(OR(A141="",D141=""),"",IF(D141&gt;Config!$B$5,0,DATEDIF(D141,Config!$B$5,"m")))</f>
        <v/>
      </c>
      <c r="M141" s="39">
        <f>IF(A141="","",IF(K141&lt;&gt;"",K141,IF(OR(C141="",D141=""),"Sem dados",IFERROR(IF(C141="M",INDEX(Config!$B$11:$B$14,MATCH(L141,Config!$A$11:$A$14,1)),IF(C141="F",INDEX(Config!$C$11:$C$14,MATCH(L141,Config!$A$11:$A$14,1)),"Sem dados")),"Verificar"))))</f>
        <v/>
      </c>
      <c r="N141" s="39">
        <f>IF(A141="","",IF(COUNTIFS('Movimentações'!$C$6:$C$1505,A141,'Movimentações'!$B$6:$B$1505,"Venda")&gt;0,"Vendido",IF(COUNTIFS('Movimentações'!$C$6:$C$1505,A141,'Movimentações'!$B$6:$B$1505,"Morte")&gt;0,"Morto","Ativo")))</f>
        <v/>
      </c>
      <c r="O141" s="40">
        <f>IF(A141="","",IF(COUNTIF('Pesagens'!$B$6:$B$2005,A141)=0,"",SUMPRODUCT(MAX(('Pesagens'!$B$6:$B$2005=A141)*'Pesagens'!$A$6:$A$2005))))</f>
        <v/>
      </c>
      <c r="P141" s="41">
        <f>IF(A141="","",IF(O141="",IF(J141="","",J141),IFERROR(AVERAGEIFS('Pesagens'!$C$6:$C$2005,'Pesagens'!$B$6:$B$2005,A141,'Pesagens'!$A$6:$A$2005,O141),"")))</f>
        <v/>
      </c>
      <c r="Q141" s="42">
        <f>IF(OR(A141="",O141="",I141="",J141=""),"",IFERROR((P141-J141)/(O141-I141),""))</f>
        <v/>
      </c>
    </row>
    <row r="142">
      <c r="A142" s="36" t="n"/>
      <c r="B142" s="32" t="n"/>
      <c r="C142" s="37" t="n"/>
      <c r="D142" s="31" t="n"/>
      <c r="E142" s="32" t="n"/>
      <c r="F142" s="32" t="n"/>
      <c r="G142" s="32" t="n"/>
      <c r="H142" s="36" t="n"/>
      <c r="I142" s="31" t="n"/>
      <c r="J142" s="38" t="n"/>
      <c r="K142" s="32" t="n"/>
      <c r="L142" s="34">
        <f>IF(OR(A142="",D142=""),"",IF(D142&gt;Config!$B$5,0,DATEDIF(D142,Config!$B$5,"m")))</f>
        <v/>
      </c>
      <c r="M142" s="39">
        <f>IF(A142="","",IF(K142&lt;&gt;"",K142,IF(OR(C142="",D142=""),"Sem dados",IFERROR(IF(C142="M",INDEX(Config!$B$11:$B$14,MATCH(L142,Config!$A$11:$A$14,1)),IF(C142="F",INDEX(Config!$C$11:$C$14,MATCH(L142,Config!$A$11:$A$14,1)),"Sem dados")),"Verificar"))))</f>
        <v/>
      </c>
      <c r="N142" s="39">
        <f>IF(A142="","",IF(COUNTIFS('Movimentações'!$C$6:$C$1505,A142,'Movimentações'!$B$6:$B$1505,"Venda")&gt;0,"Vendido",IF(COUNTIFS('Movimentações'!$C$6:$C$1505,A142,'Movimentações'!$B$6:$B$1505,"Morte")&gt;0,"Morto","Ativo")))</f>
        <v/>
      </c>
      <c r="O142" s="40">
        <f>IF(A142="","",IF(COUNTIF('Pesagens'!$B$6:$B$2005,A142)=0,"",SUMPRODUCT(MAX(('Pesagens'!$B$6:$B$2005=A142)*'Pesagens'!$A$6:$A$2005))))</f>
        <v/>
      </c>
      <c r="P142" s="41">
        <f>IF(A142="","",IF(O142="",IF(J142="","",J142),IFERROR(AVERAGEIFS('Pesagens'!$C$6:$C$2005,'Pesagens'!$B$6:$B$2005,A142,'Pesagens'!$A$6:$A$2005,O142),"")))</f>
        <v/>
      </c>
      <c r="Q142" s="42">
        <f>IF(OR(A142="",O142="",I142="",J142=""),"",IFERROR((P142-J142)/(O142-I142),""))</f>
        <v/>
      </c>
    </row>
    <row r="143">
      <c r="A143" s="36" t="n"/>
      <c r="B143" s="32" t="n"/>
      <c r="C143" s="37" t="n"/>
      <c r="D143" s="31" t="n"/>
      <c r="E143" s="32" t="n"/>
      <c r="F143" s="32" t="n"/>
      <c r="G143" s="32" t="n"/>
      <c r="H143" s="36" t="n"/>
      <c r="I143" s="31" t="n"/>
      <c r="J143" s="38" t="n"/>
      <c r="K143" s="32" t="n"/>
      <c r="L143" s="34">
        <f>IF(OR(A143="",D143=""),"",IF(D143&gt;Config!$B$5,0,DATEDIF(D143,Config!$B$5,"m")))</f>
        <v/>
      </c>
      <c r="M143" s="39">
        <f>IF(A143="","",IF(K143&lt;&gt;"",K143,IF(OR(C143="",D143=""),"Sem dados",IFERROR(IF(C143="M",INDEX(Config!$B$11:$B$14,MATCH(L143,Config!$A$11:$A$14,1)),IF(C143="F",INDEX(Config!$C$11:$C$14,MATCH(L143,Config!$A$11:$A$14,1)),"Sem dados")),"Verificar"))))</f>
        <v/>
      </c>
      <c r="N143" s="39">
        <f>IF(A143="","",IF(COUNTIFS('Movimentações'!$C$6:$C$1505,A143,'Movimentações'!$B$6:$B$1505,"Venda")&gt;0,"Vendido",IF(COUNTIFS('Movimentações'!$C$6:$C$1505,A143,'Movimentações'!$B$6:$B$1505,"Morte")&gt;0,"Morto","Ativo")))</f>
        <v/>
      </c>
      <c r="O143" s="40">
        <f>IF(A143="","",IF(COUNTIF('Pesagens'!$B$6:$B$2005,A143)=0,"",SUMPRODUCT(MAX(('Pesagens'!$B$6:$B$2005=A143)*'Pesagens'!$A$6:$A$2005))))</f>
        <v/>
      </c>
      <c r="P143" s="41">
        <f>IF(A143="","",IF(O143="",IF(J143="","",J143),IFERROR(AVERAGEIFS('Pesagens'!$C$6:$C$2005,'Pesagens'!$B$6:$B$2005,A143,'Pesagens'!$A$6:$A$2005,O143),"")))</f>
        <v/>
      </c>
      <c r="Q143" s="42">
        <f>IF(OR(A143="",O143="",I143="",J143=""),"",IFERROR((P143-J143)/(O143-I143),""))</f>
        <v/>
      </c>
    </row>
    <row r="144">
      <c r="A144" s="36" t="n"/>
      <c r="B144" s="32" t="n"/>
      <c r="C144" s="37" t="n"/>
      <c r="D144" s="31" t="n"/>
      <c r="E144" s="32" t="n"/>
      <c r="F144" s="32" t="n"/>
      <c r="G144" s="32" t="n"/>
      <c r="H144" s="36" t="n"/>
      <c r="I144" s="31" t="n"/>
      <c r="J144" s="38" t="n"/>
      <c r="K144" s="32" t="n"/>
      <c r="L144" s="34">
        <f>IF(OR(A144="",D144=""),"",IF(D144&gt;Config!$B$5,0,DATEDIF(D144,Config!$B$5,"m")))</f>
        <v/>
      </c>
      <c r="M144" s="39">
        <f>IF(A144="","",IF(K144&lt;&gt;"",K144,IF(OR(C144="",D144=""),"Sem dados",IFERROR(IF(C144="M",INDEX(Config!$B$11:$B$14,MATCH(L144,Config!$A$11:$A$14,1)),IF(C144="F",INDEX(Config!$C$11:$C$14,MATCH(L144,Config!$A$11:$A$14,1)),"Sem dados")),"Verificar"))))</f>
        <v/>
      </c>
      <c r="N144" s="39">
        <f>IF(A144="","",IF(COUNTIFS('Movimentações'!$C$6:$C$1505,A144,'Movimentações'!$B$6:$B$1505,"Venda")&gt;0,"Vendido",IF(COUNTIFS('Movimentações'!$C$6:$C$1505,A144,'Movimentações'!$B$6:$B$1505,"Morte")&gt;0,"Morto","Ativo")))</f>
        <v/>
      </c>
      <c r="O144" s="40">
        <f>IF(A144="","",IF(COUNTIF('Pesagens'!$B$6:$B$2005,A144)=0,"",SUMPRODUCT(MAX(('Pesagens'!$B$6:$B$2005=A144)*'Pesagens'!$A$6:$A$2005))))</f>
        <v/>
      </c>
      <c r="P144" s="41">
        <f>IF(A144="","",IF(O144="",IF(J144="","",J144),IFERROR(AVERAGEIFS('Pesagens'!$C$6:$C$2005,'Pesagens'!$B$6:$B$2005,A144,'Pesagens'!$A$6:$A$2005,O144),"")))</f>
        <v/>
      </c>
      <c r="Q144" s="42">
        <f>IF(OR(A144="",O144="",I144="",J144=""),"",IFERROR((P144-J144)/(O144-I144),""))</f>
        <v/>
      </c>
    </row>
    <row r="145">
      <c r="A145" s="36" t="n"/>
      <c r="B145" s="32" t="n"/>
      <c r="C145" s="37" t="n"/>
      <c r="D145" s="31" t="n"/>
      <c r="E145" s="32" t="n"/>
      <c r="F145" s="32" t="n"/>
      <c r="G145" s="32" t="n"/>
      <c r="H145" s="36" t="n"/>
      <c r="I145" s="31" t="n"/>
      <c r="J145" s="38" t="n"/>
      <c r="K145" s="32" t="n"/>
      <c r="L145" s="34">
        <f>IF(OR(A145="",D145=""),"",IF(D145&gt;Config!$B$5,0,DATEDIF(D145,Config!$B$5,"m")))</f>
        <v/>
      </c>
      <c r="M145" s="39">
        <f>IF(A145="","",IF(K145&lt;&gt;"",K145,IF(OR(C145="",D145=""),"Sem dados",IFERROR(IF(C145="M",INDEX(Config!$B$11:$B$14,MATCH(L145,Config!$A$11:$A$14,1)),IF(C145="F",INDEX(Config!$C$11:$C$14,MATCH(L145,Config!$A$11:$A$14,1)),"Sem dados")),"Verificar"))))</f>
        <v/>
      </c>
      <c r="N145" s="39">
        <f>IF(A145="","",IF(COUNTIFS('Movimentações'!$C$6:$C$1505,A145,'Movimentações'!$B$6:$B$1505,"Venda")&gt;0,"Vendido",IF(COUNTIFS('Movimentações'!$C$6:$C$1505,A145,'Movimentações'!$B$6:$B$1505,"Morte")&gt;0,"Morto","Ativo")))</f>
        <v/>
      </c>
      <c r="O145" s="40">
        <f>IF(A145="","",IF(COUNTIF('Pesagens'!$B$6:$B$2005,A145)=0,"",SUMPRODUCT(MAX(('Pesagens'!$B$6:$B$2005=A145)*'Pesagens'!$A$6:$A$2005))))</f>
        <v/>
      </c>
      <c r="P145" s="41">
        <f>IF(A145="","",IF(O145="",IF(J145="","",J145),IFERROR(AVERAGEIFS('Pesagens'!$C$6:$C$2005,'Pesagens'!$B$6:$B$2005,A145,'Pesagens'!$A$6:$A$2005,O145),"")))</f>
        <v/>
      </c>
      <c r="Q145" s="42">
        <f>IF(OR(A145="",O145="",I145="",J145=""),"",IFERROR((P145-J145)/(O145-I145),""))</f>
        <v/>
      </c>
    </row>
    <row r="146">
      <c r="A146" s="36" t="n"/>
      <c r="B146" s="32" t="n"/>
      <c r="C146" s="37" t="n"/>
      <c r="D146" s="31" t="n"/>
      <c r="E146" s="32" t="n"/>
      <c r="F146" s="32" t="n"/>
      <c r="G146" s="32" t="n"/>
      <c r="H146" s="36" t="n"/>
      <c r="I146" s="31" t="n"/>
      <c r="J146" s="38" t="n"/>
      <c r="K146" s="32" t="n"/>
      <c r="L146" s="34">
        <f>IF(OR(A146="",D146=""),"",IF(D146&gt;Config!$B$5,0,DATEDIF(D146,Config!$B$5,"m")))</f>
        <v/>
      </c>
      <c r="M146" s="39">
        <f>IF(A146="","",IF(K146&lt;&gt;"",K146,IF(OR(C146="",D146=""),"Sem dados",IFERROR(IF(C146="M",INDEX(Config!$B$11:$B$14,MATCH(L146,Config!$A$11:$A$14,1)),IF(C146="F",INDEX(Config!$C$11:$C$14,MATCH(L146,Config!$A$11:$A$14,1)),"Sem dados")),"Verificar"))))</f>
        <v/>
      </c>
      <c r="N146" s="39">
        <f>IF(A146="","",IF(COUNTIFS('Movimentações'!$C$6:$C$1505,A146,'Movimentações'!$B$6:$B$1505,"Venda")&gt;0,"Vendido",IF(COUNTIFS('Movimentações'!$C$6:$C$1505,A146,'Movimentações'!$B$6:$B$1505,"Morte")&gt;0,"Morto","Ativo")))</f>
        <v/>
      </c>
      <c r="O146" s="40">
        <f>IF(A146="","",IF(COUNTIF('Pesagens'!$B$6:$B$2005,A146)=0,"",SUMPRODUCT(MAX(('Pesagens'!$B$6:$B$2005=A146)*'Pesagens'!$A$6:$A$2005))))</f>
        <v/>
      </c>
      <c r="P146" s="41">
        <f>IF(A146="","",IF(O146="",IF(J146="","",J146),IFERROR(AVERAGEIFS('Pesagens'!$C$6:$C$2005,'Pesagens'!$B$6:$B$2005,A146,'Pesagens'!$A$6:$A$2005,O146),"")))</f>
        <v/>
      </c>
      <c r="Q146" s="42">
        <f>IF(OR(A146="",O146="",I146="",J146=""),"",IFERROR((P146-J146)/(O146-I146),""))</f>
        <v/>
      </c>
    </row>
    <row r="147">
      <c r="A147" s="36" t="n"/>
      <c r="B147" s="32" t="n"/>
      <c r="C147" s="37" t="n"/>
      <c r="D147" s="31" t="n"/>
      <c r="E147" s="32" t="n"/>
      <c r="F147" s="32" t="n"/>
      <c r="G147" s="32" t="n"/>
      <c r="H147" s="36" t="n"/>
      <c r="I147" s="31" t="n"/>
      <c r="J147" s="38" t="n"/>
      <c r="K147" s="32" t="n"/>
      <c r="L147" s="34">
        <f>IF(OR(A147="",D147=""),"",IF(D147&gt;Config!$B$5,0,DATEDIF(D147,Config!$B$5,"m")))</f>
        <v/>
      </c>
      <c r="M147" s="39">
        <f>IF(A147="","",IF(K147&lt;&gt;"",K147,IF(OR(C147="",D147=""),"Sem dados",IFERROR(IF(C147="M",INDEX(Config!$B$11:$B$14,MATCH(L147,Config!$A$11:$A$14,1)),IF(C147="F",INDEX(Config!$C$11:$C$14,MATCH(L147,Config!$A$11:$A$14,1)),"Sem dados")),"Verificar"))))</f>
        <v/>
      </c>
      <c r="N147" s="39">
        <f>IF(A147="","",IF(COUNTIFS('Movimentações'!$C$6:$C$1505,A147,'Movimentações'!$B$6:$B$1505,"Venda")&gt;0,"Vendido",IF(COUNTIFS('Movimentações'!$C$6:$C$1505,A147,'Movimentações'!$B$6:$B$1505,"Morte")&gt;0,"Morto","Ativo")))</f>
        <v/>
      </c>
      <c r="O147" s="40">
        <f>IF(A147="","",IF(COUNTIF('Pesagens'!$B$6:$B$2005,A147)=0,"",SUMPRODUCT(MAX(('Pesagens'!$B$6:$B$2005=A147)*'Pesagens'!$A$6:$A$2005))))</f>
        <v/>
      </c>
      <c r="P147" s="41">
        <f>IF(A147="","",IF(O147="",IF(J147="","",J147),IFERROR(AVERAGEIFS('Pesagens'!$C$6:$C$2005,'Pesagens'!$B$6:$B$2005,A147,'Pesagens'!$A$6:$A$2005,O147),"")))</f>
        <v/>
      </c>
      <c r="Q147" s="42">
        <f>IF(OR(A147="",O147="",I147="",J147=""),"",IFERROR((P147-J147)/(O147-I147),""))</f>
        <v/>
      </c>
    </row>
    <row r="148">
      <c r="A148" s="36" t="n"/>
      <c r="B148" s="32" t="n"/>
      <c r="C148" s="37" t="n"/>
      <c r="D148" s="31" t="n"/>
      <c r="E148" s="32" t="n"/>
      <c r="F148" s="32" t="n"/>
      <c r="G148" s="32" t="n"/>
      <c r="H148" s="36" t="n"/>
      <c r="I148" s="31" t="n"/>
      <c r="J148" s="38" t="n"/>
      <c r="K148" s="32" t="n"/>
      <c r="L148" s="34">
        <f>IF(OR(A148="",D148=""),"",IF(D148&gt;Config!$B$5,0,DATEDIF(D148,Config!$B$5,"m")))</f>
        <v/>
      </c>
      <c r="M148" s="39">
        <f>IF(A148="","",IF(K148&lt;&gt;"",K148,IF(OR(C148="",D148=""),"Sem dados",IFERROR(IF(C148="M",INDEX(Config!$B$11:$B$14,MATCH(L148,Config!$A$11:$A$14,1)),IF(C148="F",INDEX(Config!$C$11:$C$14,MATCH(L148,Config!$A$11:$A$14,1)),"Sem dados")),"Verificar"))))</f>
        <v/>
      </c>
      <c r="N148" s="39">
        <f>IF(A148="","",IF(COUNTIFS('Movimentações'!$C$6:$C$1505,A148,'Movimentações'!$B$6:$B$1505,"Venda")&gt;0,"Vendido",IF(COUNTIFS('Movimentações'!$C$6:$C$1505,A148,'Movimentações'!$B$6:$B$1505,"Morte")&gt;0,"Morto","Ativo")))</f>
        <v/>
      </c>
      <c r="O148" s="40">
        <f>IF(A148="","",IF(COUNTIF('Pesagens'!$B$6:$B$2005,A148)=0,"",SUMPRODUCT(MAX(('Pesagens'!$B$6:$B$2005=A148)*'Pesagens'!$A$6:$A$2005))))</f>
        <v/>
      </c>
      <c r="P148" s="41">
        <f>IF(A148="","",IF(O148="",IF(J148="","",J148),IFERROR(AVERAGEIFS('Pesagens'!$C$6:$C$2005,'Pesagens'!$B$6:$B$2005,A148,'Pesagens'!$A$6:$A$2005,O148),"")))</f>
        <v/>
      </c>
      <c r="Q148" s="42">
        <f>IF(OR(A148="",O148="",I148="",J148=""),"",IFERROR((P148-J148)/(O148-I148),""))</f>
        <v/>
      </c>
    </row>
    <row r="149">
      <c r="A149" s="36" t="n"/>
      <c r="B149" s="32" t="n"/>
      <c r="C149" s="37" t="n"/>
      <c r="D149" s="31" t="n"/>
      <c r="E149" s="32" t="n"/>
      <c r="F149" s="32" t="n"/>
      <c r="G149" s="32" t="n"/>
      <c r="H149" s="36" t="n"/>
      <c r="I149" s="31" t="n"/>
      <c r="J149" s="38" t="n"/>
      <c r="K149" s="32" t="n"/>
      <c r="L149" s="34">
        <f>IF(OR(A149="",D149=""),"",IF(D149&gt;Config!$B$5,0,DATEDIF(D149,Config!$B$5,"m")))</f>
        <v/>
      </c>
      <c r="M149" s="39">
        <f>IF(A149="","",IF(K149&lt;&gt;"",K149,IF(OR(C149="",D149=""),"Sem dados",IFERROR(IF(C149="M",INDEX(Config!$B$11:$B$14,MATCH(L149,Config!$A$11:$A$14,1)),IF(C149="F",INDEX(Config!$C$11:$C$14,MATCH(L149,Config!$A$11:$A$14,1)),"Sem dados")),"Verificar"))))</f>
        <v/>
      </c>
      <c r="N149" s="39">
        <f>IF(A149="","",IF(COUNTIFS('Movimentações'!$C$6:$C$1505,A149,'Movimentações'!$B$6:$B$1505,"Venda")&gt;0,"Vendido",IF(COUNTIFS('Movimentações'!$C$6:$C$1505,A149,'Movimentações'!$B$6:$B$1505,"Morte")&gt;0,"Morto","Ativo")))</f>
        <v/>
      </c>
      <c r="O149" s="40">
        <f>IF(A149="","",IF(COUNTIF('Pesagens'!$B$6:$B$2005,A149)=0,"",SUMPRODUCT(MAX(('Pesagens'!$B$6:$B$2005=A149)*'Pesagens'!$A$6:$A$2005))))</f>
        <v/>
      </c>
      <c r="P149" s="41">
        <f>IF(A149="","",IF(O149="",IF(J149="","",J149),IFERROR(AVERAGEIFS('Pesagens'!$C$6:$C$2005,'Pesagens'!$B$6:$B$2005,A149,'Pesagens'!$A$6:$A$2005,O149),"")))</f>
        <v/>
      </c>
      <c r="Q149" s="42">
        <f>IF(OR(A149="",O149="",I149="",J149=""),"",IFERROR((P149-J149)/(O149-I149),""))</f>
        <v/>
      </c>
    </row>
    <row r="150">
      <c r="A150" s="36" t="n"/>
      <c r="B150" s="32" t="n"/>
      <c r="C150" s="37" t="n"/>
      <c r="D150" s="31" t="n"/>
      <c r="E150" s="32" t="n"/>
      <c r="F150" s="32" t="n"/>
      <c r="G150" s="32" t="n"/>
      <c r="H150" s="36" t="n"/>
      <c r="I150" s="31" t="n"/>
      <c r="J150" s="38" t="n"/>
      <c r="K150" s="32" t="n"/>
      <c r="L150" s="34">
        <f>IF(OR(A150="",D150=""),"",IF(D150&gt;Config!$B$5,0,DATEDIF(D150,Config!$B$5,"m")))</f>
        <v/>
      </c>
      <c r="M150" s="39">
        <f>IF(A150="","",IF(K150&lt;&gt;"",K150,IF(OR(C150="",D150=""),"Sem dados",IFERROR(IF(C150="M",INDEX(Config!$B$11:$B$14,MATCH(L150,Config!$A$11:$A$14,1)),IF(C150="F",INDEX(Config!$C$11:$C$14,MATCH(L150,Config!$A$11:$A$14,1)),"Sem dados")),"Verificar"))))</f>
        <v/>
      </c>
      <c r="N150" s="39">
        <f>IF(A150="","",IF(COUNTIFS('Movimentações'!$C$6:$C$1505,A150,'Movimentações'!$B$6:$B$1505,"Venda")&gt;0,"Vendido",IF(COUNTIFS('Movimentações'!$C$6:$C$1505,A150,'Movimentações'!$B$6:$B$1505,"Morte")&gt;0,"Morto","Ativo")))</f>
        <v/>
      </c>
      <c r="O150" s="40">
        <f>IF(A150="","",IF(COUNTIF('Pesagens'!$B$6:$B$2005,A150)=0,"",SUMPRODUCT(MAX(('Pesagens'!$B$6:$B$2005=A150)*'Pesagens'!$A$6:$A$2005))))</f>
        <v/>
      </c>
      <c r="P150" s="41">
        <f>IF(A150="","",IF(O150="",IF(J150="","",J150),IFERROR(AVERAGEIFS('Pesagens'!$C$6:$C$2005,'Pesagens'!$B$6:$B$2005,A150,'Pesagens'!$A$6:$A$2005,O150),"")))</f>
        <v/>
      </c>
      <c r="Q150" s="42">
        <f>IF(OR(A150="",O150="",I150="",J150=""),"",IFERROR((P150-J150)/(O150-I150),""))</f>
        <v/>
      </c>
    </row>
    <row r="151">
      <c r="A151" s="36" t="n"/>
      <c r="B151" s="32" t="n"/>
      <c r="C151" s="37" t="n"/>
      <c r="D151" s="31" t="n"/>
      <c r="E151" s="32" t="n"/>
      <c r="F151" s="32" t="n"/>
      <c r="G151" s="32" t="n"/>
      <c r="H151" s="36" t="n"/>
      <c r="I151" s="31" t="n"/>
      <c r="J151" s="38" t="n"/>
      <c r="K151" s="32" t="n"/>
      <c r="L151" s="34">
        <f>IF(OR(A151="",D151=""),"",IF(D151&gt;Config!$B$5,0,DATEDIF(D151,Config!$B$5,"m")))</f>
        <v/>
      </c>
      <c r="M151" s="39">
        <f>IF(A151="","",IF(K151&lt;&gt;"",K151,IF(OR(C151="",D151=""),"Sem dados",IFERROR(IF(C151="M",INDEX(Config!$B$11:$B$14,MATCH(L151,Config!$A$11:$A$14,1)),IF(C151="F",INDEX(Config!$C$11:$C$14,MATCH(L151,Config!$A$11:$A$14,1)),"Sem dados")),"Verificar"))))</f>
        <v/>
      </c>
      <c r="N151" s="39">
        <f>IF(A151="","",IF(COUNTIFS('Movimentações'!$C$6:$C$1505,A151,'Movimentações'!$B$6:$B$1505,"Venda")&gt;0,"Vendido",IF(COUNTIFS('Movimentações'!$C$6:$C$1505,A151,'Movimentações'!$B$6:$B$1505,"Morte")&gt;0,"Morto","Ativo")))</f>
        <v/>
      </c>
      <c r="O151" s="40">
        <f>IF(A151="","",IF(COUNTIF('Pesagens'!$B$6:$B$2005,A151)=0,"",SUMPRODUCT(MAX(('Pesagens'!$B$6:$B$2005=A151)*'Pesagens'!$A$6:$A$2005))))</f>
        <v/>
      </c>
      <c r="P151" s="41">
        <f>IF(A151="","",IF(O151="",IF(J151="","",J151),IFERROR(AVERAGEIFS('Pesagens'!$C$6:$C$2005,'Pesagens'!$B$6:$B$2005,A151,'Pesagens'!$A$6:$A$2005,O151),"")))</f>
        <v/>
      </c>
      <c r="Q151" s="42">
        <f>IF(OR(A151="",O151="",I151="",J151=""),"",IFERROR((P151-J151)/(O151-I151),""))</f>
        <v/>
      </c>
    </row>
    <row r="152">
      <c r="A152" s="36" t="n"/>
      <c r="B152" s="32" t="n"/>
      <c r="C152" s="37" t="n"/>
      <c r="D152" s="31" t="n"/>
      <c r="E152" s="32" t="n"/>
      <c r="F152" s="32" t="n"/>
      <c r="G152" s="32" t="n"/>
      <c r="H152" s="36" t="n"/>
      <c r="I152" s="31" t="n"/>
      <c r="J152" s="38" t="n"/>
      <c r="K152" s="32" t="n"/>
      <c r="L152" s="34">
        <f>IF(OR(A152="",D152=""),"",IF(D152&gt;Config!$B$5,0,DATEDIF(D152,Config!$B$5,"m")))</f>
        <v/>
      </c>
      <c r="M152" s="39">
        <f>IF(A152="","",IF(K152&lt;&gt;"",K152,IF(OR(C152="",D152=""),"Sem dados",IFERROR(IF(C152="M",INDEX(Config!$B$11:$B$14,MATCH(L152,Config!$A$11:$A$14,1)),IF(C152="F",INDEX(Config!$C$11:$C$14,MATCH(L152,Config!$A$11:$A$14,1)),"Sem dados")),"Verificar"))))</f>
        <v/>
      </c>
      <c r="N152" s="39">
        <f>IF(A152="","",IF(COUNTIFS('Movimentações'!$C$6:$C$1505,A152,'Movimentações'!$B$6:$B$1505,"Venda")&gt;0,"Vendido",IF(COUNTIFS('Movimentações'!$C$6:$C$1505,A152,'Movimentações'!$B$6:$B$1505,"Morte")&gt;0,"Morto","Ativo")))</f>
        <v/>
      </c>
      <c r="O152" s="40">
        <f>IF(A152="","",IF(COUNTIF('Pesagens'!$B$6:$B$2005,A152)=0,"",SUMPRODUCT(MAX(('Pesagens'!$B$6:$B$2005=A152)*'Pesagens'!$A$6:$A$2005))))</f>
        <v/>
      </c>
      <c r="P152" s="41">
        <f>IF(A152="","",IF(O152="",IF(J152="","",J152),IFERROR(AVERAGEIFS('Pesagens'!$C$6:$C$2005,'Pesagens'!$B$6:$B$2005,A152,'Pesagens'!$A$6:$A$2005,O152),"")))</f>
        <v/>
      </c>
      <c r="Q152" s="42">
        <f>IF(OR(A152="",O152="",I152="",J152=""),"",IFERROR((P152-J152)/(O152-I152),""))</f>
        <v/>
      </c>
    </row>
    <row r="153">
      <c r="A153" s="36" t="n"/>
      <c r="B153" s="32" t="n"/>
      <c r="C153" s="37" t="n"/>
      <c r="D153" s="31" t="n"/>
      <c r="E153" s="32" t="n"/>
      <c r="F153" s="32" t="n"/>
      <c r="G153" s="32" t="n"/>
      <c r="H153" s="36" t="n"/>
      <c r="I153" s="31" t="n"/>
      <c r="J153" s="38" t="n"/>
      <c r="K153" s="32" t="n"/>
      <c r="L153" s="34">
        <f>IF(OR(A153="",D153=""),"",IF(D153&gt;Config!$B$5,0,DATEDIF(D153,Config!$B$5,"m")))</f>
        <v/>
      </c>
      <c r="M153" s="39">
        <f>IF(A153="","",IF(K153&lt;&gt;"",K153,IF(OR(C153="",D153=""),"Sem dados",IFERROR(IF(C153="M",INDEX(Config!$B$11:$B$14,MATCH(L153,Config!$A$11:$A$14,1)),IF(C153="F",INDEX(Config!$C$11:$C$14,MATCH(L153,Config!$A$11:$A$14,1)),"Sem dados")),"Verificar"))))</f>
        <v/>
      </c>
      <c r="N153" s="39">
        <f>IF(A153="","",IF(COUNTIFS('Movimentações'!$C$6:$C$1505,A153,'Movimentações'!$B$6:$B$1505,"Venda")&gt;0,"Vendido",IF(COUNTIFS('Movimentações'!$C$6:$C$1505,A153,'Movimentações'!$B$6:$B$1505,"Morte")&gt;0,"Morto","Ativo")))</f>
        <v/>
      </c>
      <c r="O153" s="40">
        <f>IF(A153="","",IF(COUNTIF('Pesagens'!$B$6:$B$2005,A153)=0,"",SUMPRODUCT(MAX(('Pesagens'!$B$6:$B$2005=A153)*'Pesagens'!$A$6:$A$2005))))</f>
        <v/>
      </c>
      <c r="P153" s="41">
        <f>IF(A153="","",IF(O153="",IF(J153="","",J153),IFERROR(AVERAGEIFS('Pesagens'!$C$6:$C$2005,'Pesagens'!$B$6:$B$2005,A153,'Pesagens'!$A$6:$A$2005,O153),"")))</f>
        <v/>
      </c>
      <c r="Q153" s="42">
        <f>IF(OR(A153="",O153="",I153="",J153=""),"",IFERROR((P153-J153)/(O153-I153),""))</f>
        <v/>
      </c>
    </row>
    <row r="154">
      <c r="A154" s="36" t="n"/>
      <c r="B154" s="32" t="n"/>
      <c r="C154" s="37" t="n"/>
      <c r="D154" s="31" t="n"/>
      <c r="E154" s="32" t="n"/>
      <c r="F154" s="32" t="n"/>
      <c r="G154" s="32" t="n"/>
      <c r="H154" s="36" t="n"/>
      <c r="I154" s="31" t="n"/>
      <c r="J154" s="38" t="n"/>
      <c r="K154" s="32" t="n"/>
      <c r="L154" s="34">
        <f>IF(OR(A154="",D154=""),"",IF(D154&gt;Config!$B$5,0,DATEDIF(D154,Config!$B$5,"m")))</f>
        <v/>
      </c>
      <c r="M154" s="39">
        <f>IF(A154="","",IF(K154&lt;&gt;"",K154,IF(OR(C154="",D154=""),"Sem dados",IFERROR(IF(C154="M",INDEX(Config!$B$11:$B$14,MATCH(L154,Config!$A$11:$A$14,1)),IF(C154="F",INDEX(Config!$C$11:$C$14,MATCH(L154,Config!$A$11:$A$14,1)),"Sem dados")),"Verificar"))))</f>
        <v/>
      </c>
      <c r="N154" s="39">
        <f>IF(A154="","",IF(COUNTIFS('Movimentações'!$C$6:$C$1505,A154,'Movimentações'!$B$6:$B$1505,"Venda")&gt;0,"Vendido",IF(COUNTIFS('Movimentações'!$C$6:$C$1505,A154,'Movimentações'!$B$6:$B$1505,"Morte")&gt;0,"Morto","Ativo")))</f>
        <v/>
      </c>
      <c r="O154" s="40">
        <f>IF(A154="","",IF(COUNTIF('Pesagens'!$B$6:$B$2005,A154)=0,"",SUMPRODUCT(MAX(('Pesagens'!$B$6:$B$2005=A154)*'Pesagens'!$A$6:$A$2005))))</f>
        <v/>
      </c>
      <c r="P154" s="41">
        <f>IF(A154="","",IF(O154="",IF(J154="","",J154),IFERROR(AVERAGEIFS('Pesagens'!$C$6:$C$2005,'Pesagens'!$B$6:$B$2005,A154,'Pesagens'!$A$6:$A$2005,O154),"")))</f>
        <v/>
      </c>
      <c r="Q154" s="42">
        <f>IF(OR(A154="",O154="",I154="",J154=""),"",IFERROR((P154-J154)/(O154-I154),""))</f>
        <v/>
      </c>
    </row>
    <row r="155">
      <c r="A155" s="36" t="n"/>
      <c r="B155" s="32" t="n"/>
      <c r="C155" s="37" t="n"/>
      <c r="D155" s="31" t="n"/>
      <c r="E155" s="32" t="n"/>
      <c r="F155" s="32" t="n"/>
      <c r="G155" s="32" t="n"/>
      <c r="H155" s="36" t="n"/>
      <c r="I155" s="31" t="n"/>
      <c r="J155" s="38" t="n"/>
      <c r="K155" s="32" t="n"/>
      <c r="L155" s="34">
        <f>IF(OR(A155="",D155=""),"",IF(D155&gt;Config!$B$5,0,DATEDIF(D155,Config!$B$5,"m")))</f>
        <v/>
      </c>
      <c r="M155" s="39">
        <f>IF(A155="","",IF(K155&lt;&gt;"",K155,IF(OR(C155="",D155=""),"Sem dados",IFERROR(IF(C155="M",INDEX(Config!$B$11:$B$14,MATCH(L155,Config!$A$11:$A$14,1)),IF(C155="F",INDEX(Config!$C$11:$C$14,MATCH(L155,Config!$A$11:$A$14,1)),"Sem dados")),"Verificar"))))</f>
        <v/>
      </c>
      <c r="N155" s="39">
        <f>IF(A155="","",IF(COUNTIFS('Movimentações'!$C$6:$C$1505,A155,'Movimentações'!$B$6:$B$1505,"Venda")&gt;0,"Vendido",IF(COUNTIFS('Movimentações'!$C$6:$C$1505,A155,'Movimentações'!$B$6:$B$1505,"Morte")&gt;0,"Morto","Ativo")))</f>
        <v/>
      </c>
      <c r="O155" s="40">
        <f>IF(A155="","",IF(COUNTIF('Pesagens'!$B$6:$B$2005,A155)=0,"",SUMPRODUCT(MAX(('Pesagens'!$B$6:$B$2005=A155)*'Pesagens'!$A$6:$A$2005))))</f>
        <v/>
      </c>
      <c r="P155" s="41">
        <f>IF(A155="","",IF(O155="",IF(J155="","",J155),IFERROR(AVERAGEIFS('Pesagens'!$C$6:$C$2005,'Pesagens'!$B$6:$B$2005,A155,'Pesagens'!$A$6:$A$2005,O155),"")))</f>
        <v/>
      </c>
      <c r="Q155" s="42">
        <f>IF(OR(A155="",O155="",I155="",J155=""),"",IFERROR((P155-J155)/(O155-I155),""))</f>
        <v/>
      </c>
    </row>
    <row r="156">
      <c r="A156" s="36" t="n"/>
      <c r="B156" s="32" t="n"/>
      <c r="C156" s="37" t="n"/>
      <c r="D156" s="31" t="n"/>
      <c r="E156" s="32" t="n"/>
      <c r="F156" s="32" t="n"/>
      <c r="G156" s="32" t="n"/>
      <c r="H156" s="36" t="n"/>
      <c r="I156" s="31" t="n"/>
      <c r="J156" s="38" t="n"/>
      <c r="K156" s="32" t="n"/>
      <c r="L156" s="34">
        <f>IF(OR(A156="",D156=""),"",IF(D156&gt;Config!$B$5,0,DATEDIF(D156,Config!$B$5,"m")))</f>
        <v/>
      </c>
      <c r="M156" s="39">
        <f>IF(A156="","",IF(K156&lt;&gt;"",K156,IF(OR(C156="",D156=""),"Sem dados",IFERROR(IF(C156="M",INDEX(Config!$B$11:$B$14,MATCH(L156,Config!$A$11:$A$14,1)),IF(C156="F",INDEX(Config!$C$11:$C$14,MATCH(L156,Config!$A$11:$A$14,1)),"Sem dados")),"Verificar"))))</f>
        <v/>
      </c>
      <c r="N156" s="39">
        <f>IF(A156="","",IF(COUNTIFS('Movimentações'!$C$6:$C$1505,A156,'Movimentações'!$B$6:$B$1505,"Venda")&gt;0,"Vendido",IF(COUNTIFS('Movimentações'!$C$6:$C$1505,A156,'Movimentações'!$B$6:$B$1505,"Morte")&gt;0,"Morto","Ativo")))</f>
        <v/>
      </c>
      <c r="O156" s="40">
        <f>IF(A156="","",IF(COUNTIF('Pesagens'!$B$6:$B$2005,A156)=0,"",SUMPRODUCT(MAX(('Pesagens'!$B$6:$B$2005=A156)*'Pesagens'!$A$6:$A$2005))))</f>
        <v/>
      </c>
      <c r="P156" s="41">
        <f>IF(A156="","",IF(O156="",IF(J156="","",J156),IFERROR(AVERAGEIFS('Pesagens'!$C$6:$C$2005,'Pesagens'!$B$6:$B$2005,A156,'Pesagens'!$A$6:$A$2005,O156),"")))</f>
        <v/>
      </c>
      <c r="Q156" s="42">
        <f>IF(OR(A156="",O156="",I156="",J156=""),"",IFERROR((P156-J156)/(O156-I156),""))</f>
        <v/>
      </c>
    </row>
    <row r="157">
      <c r="A157" s="36" t="n"/>
      <c r="B157" s="32" t="n"/>
      <c r="C157" s="37" t="n"/>
      <c r="D157" s="31" t="n"/>
      <c r="E157" s="32" t="n"/>
      <c r="F157" s="32" t="n"/>
      <c r="G157" s="32" t="n"/>
      <c r="H157" s="36" t="n"/>
      <c r="I157" s="31" t="n"/>
      <c r="J157" s="38" t="n"/>
      <c r="K157" s="32" t="n"/>
      <c r="L157" s="34">
        <f>IF(OR(A157="",D157=""),"",IF(D157&gt;Config!$B$5,0,DATEDIF(D157,Config!$B$5,"m")))</f>
        <v/>
      </c>
      <c r="M157" s="39">
        <f>IF(A157="","",IF(K157&lt;&gt;"",K157,IF(OR(C157="",D157=""),"Sem dados",IFERROR(IF(C157="M",INDEX(Config!$B$11:$B$14,MATCH(L157,Config!$A$11:$A$14,1)),IF(C157="F",INDEX(Config!$C$11:$C$14,MATCH(L157,Config!$A$11:$A$14,1)),"Sem dados")),"Verificar"))))</f>
        <v/>
      </c>
      <c r="N157" s="39">
        <f>IF(A157="","",IF(COUNTIFS('Movimentações'!$C$6:$C$1505,A157,'Movimentações'!$B$6:$B$1505,"Venda")&gt;0,"Vendido",IF(COUNTIFS('Movimentações'!$C$6:$C$1505,A157,'Movimentações'!$B$6:$B$1505,"Morte")&gt;0,"Morto","Ativo")))</f>
        <v/>
      </c>
      <c r="O157" s="40">
        <f>IF(A157="","",IF(COUNTIF('Pesagens'!$B$6:$B$2005,A157)=0,"",SUMPRODUCT(MAX(('Pesagens'!$B$6:$B$2005=A157)*'Pesagens'!$A$6:$A$2005))))</f>
        <v/>
      </c>
      <c r="P157" s="41">
        <f>IF(A157="","",IF(O157="",IF(J157="","",J157),IFERROR(AVERAGEIFS('Pesagens'!$C$6:$C$2005,'Pesagens'!$B$6:$B$2005,A157,'Pesagens'!$A$6:$A$2005,O157),"")))</f>
        <v/>
      </c>
      <c r="Q157" s="42">
        <f>IF(OR(A157="",O157="",I157="",J157=""),"",IFERROR((P157-J157)/(O157-I157),""))</f>
        <v/>
      </c>
    </row>
    <row r="158">
      <c r="A158" s="36" t="n"/>
      <c r="B158" s="32" t="n"/>
      <c r="C158" s="37" t="n"/>
      <c r="D158" s="31" t="n"/>
      <c r="E158" s="32" t="n"/>
      <c r="F158" s="32" t="n"/>
      <c r="G158" s="32" t="n"/>
      <c r="H158" s="36" t="n"/>
      <c r="I158" s="31" t="n"/>
      <c r="J158" s="38" t="n"/>
      <c r="K158" s="32" t="n"/>
      <c r="L158" s="34">
        <f>IF(OR(A158="",D158=""),"",IF(D158&gt;Config!$B$5,0,DATEDIF(D158,Config!$B$5,"m")))</f>
        <v/>
      </c>
      <c r="M158" s="39">
        <f>IF(A158="","",IF(K158&lt;&gt;"",K158,IF(OR(C158="",D158=""),"Sem dados",IFERROR(IF(C158="M",INDEX(Config!$B$11:$B$14,MATCH(L158,Config!$A$11:$A$14,1)),IF(C158="F",INDEX(Config!$C$11:$C$14,MATCH(L158,Config!$A$11:$A$14,1)),"Sem dados")),"Verificar"))))</f>
        <v/>
      </c>
      <c r="N158" s="39">
        <f>IF(A158="","",IF(COUNTIFS('Movimentações'!$C$6:$C$1505,A158,'Movimentações'!$B$6:$B$1505,"Venda")&gt;0,"Vendido",IF(COUNTIFS('Movimentações'!$C$6:$C$1505,A158,'Movimentações'!$B$6:$B$1505,"Morte")&gt;0,"Morto","Ativo")))</f>
        <v/>
      </c>
      <c r="O158" s="40">
        <f>IF(A158="","",IF(COUNTIF('Pesagens'!$B$6:$B$2005,A158)=0,"",SUMPRODUCT(MAX(('Pesagens'!$B$6:$B$2005=A158)*'Pesagens'!$A$6:$A$2005))))</f>
        <v/>
      </c>
      <c r="P158" s="41">
        <f>IF(A158="","",IF(O158="",IF(J158="","",J158),IFERROR(AVERAGEIFS('Pesagens'!$C$6:$C$2005,'Pesagens'!$B$6:$B$2005,A158,'Pesagens'!$A$6:$A$2005,O158),"")))</f>
        <v/>
      </c>
      <c r="Q158" s="42">
        <f>IF(OR(A158="",O158="",I158="",J158=""),"",IFERROR((P158-J158)/(O158-I158),""))</f>
        <v/>
      </c>
    </row>
    <row r="159">
      <c r="A159" s="36" t="n"/>
      <c r="B159" s="32" t="n"/>
      <c r="C159" s="37" t="n"/>
      <c r="D159" s="31" t="n"/>
      <c r="E159" s="32" t="n"/>
      <c r="F159" s="32" t="n"/>
      <c r="G159" s="32" t="n"/>
      <c r="H159" s="36" t="n"/>
      <c r="I159" s="31" t="n"/>
      <c r="J159" s="38" t="n"/>
      <c r="K159" s="32" t="n"/>
      <c r="L159" s="34">
        <f>IF(OR(A159="",D159=""),"",IF(D159&gt;Config!$B$5,0,DATEDIF(D159,Config!$B$5,"m")))</f>
        <v/>
      </c>
      <c r="M159" s="39">
        <f>IF(A159="","",IF(K159&lt;&gt;"",K159,IF(OR(C159="",D159=""),"Sem dados",IFERROR(IF(C159="M",INDEX(Config!$B$11:$B$14,MATCH(L159,Config!$A$11:$A$14,1)),IF(C159="F",INDEX(Config!$C$11:$C$14,MATCH(L159,Config!$A$11:$A$14,1)),"Sem dados")),"Verificar"))))</f>
        <v/>
      </c>
      <c r="N159" s="39">
        <f>IF(A159="","",IF(COUNTIFS('Movimentações'!$C$6:$C$1505,A159,'Movimentações'!$B$6:$B$1505,"Venda")&gt;0,"Vendido",IF(COUNTIFS('Movimentações'!$C$6:$C$1505,A159,'Movimentações'!$B$6:$B$1505,"Morte")&gt;0,"Morto","Ativo")))</f>
        <v/>
      </c>
      <c r="O159" s="40">
        <f>IF(A159="","",IF(COUNTIF('Pesagens'!$B$6:$B$2005,A159)=0,"",SUMPRODUCT(MAX(('Pesagens'!$B$6:$B$2005=A159)*'Pesagens'!$A$6:$A$2005))))</f>
        <v/>
      </c>
      <c r="P159" s="41">
        <f>IF(A159="","",IF(O159="",IF(J159="","",J159),IFERROR(AVERAGEIFS('Pesagens'!$C$6:$C$2005,'Pesagens'!$B$6:$B$2005,A159,'Pesagens'!$A$6:$A$2005,O159),"")))</f>
        <v/>
      </c>
      <c r="Q159" s="42">
        <f>IF(OR(A159="",O159="",I159="",J159=""),"",IFERROR((P159-J159)/(O159-I159),""))</f>
        <v/>
      </c>
    </row>
    <row r="160">
      <c r="A160" s="36" t="n"/>
      <c r="B160" s="32" t="n"/>
      <c r="C160" s="37" t="n"/>
      <c r="D160" s="31" t="n"/>
      <c r="E160" s="32" t="n"/>
      <c r="F160" s="32" t="n"/>
      <c r="G160" s="32" t="n"/>
      <c r="H160" s="36" t="n"/>
      <c r="I160" s="31" t="n"/>
      <c r="J160" s="38" t="n"/>
      <c r="K160" s="32" t="n"/>
      <c r="L160" s="34">
        <f>IF(OR(A160="",D160=""),"",IF(D160&gt;Config!$B$5,0,DATEDIF(D160,Config!$B$5,"m")))</f>
        <v/>
      </c>
      <c r="M160" s="39">
        <f>IF(A160="","",IF(K160&lt;&gt;"",K160,IF(OR(C160="",D160=""),"Sem dados",IFERROR(IF(C160="M",INDEX(Config!$B$11:$B$14,MATCH(L160,Config!$A$11:$A$14,1)),IF(C160="F",INDEX(Config!$C$11:$C$14,MATCH(L160,Config!$A$11:$A$14,1)),"Sem dados")),"Verificar"))))</f>
        <v/>
      </c>
      <c r="N160" s="39">
        <f>IF(A160="","",IF(COUNTIFS('Movimentações'!$C$6:$C$1505,A160,'Movimentações'!$B$6:$B$1505,"Venda")&gt;0,"Vendido",IF(COUNTIFS('Movimentações'!$C$6:$C$1505,A160,'Movimentações'!$B$6:$B$1505,"Morte")&gt;0,"Morto","Ativo")))</f>
        <v/>
      </c>
      <c r="O160" s="40">
        <f>IF(A160="","",IF(COUNTIF('Pesagens'!$B$6:$B$2005,A160)=0,"",SUMPRODUCT(MAX(('Pesagens'!$B$6:$B$2005=A160)*'Pesagens'!$A$6:$A$2005))))</f>
        <v/>
      </c>
      <c r="P160" s="41">
        <f>IF(A160="","",IF(O160="",IF(J160="","",J160),IFERROR(AVERAGEIFS('Pesagens'!$C$6:$C$2005,'Pesagens'!$B$6:$B$2005,A160,'Pesagens'!$A$6:$A$2005,O160),"")))</f>
        <v/>
      </c>
      <c r="Q160" s="42">
        <f>IF(OR(A160="",O160="",I160="",J160=""),"",IFERROR((P160-J160)/(O160-I160),""))</f>
        <v/>
      </c>
    </row>
    <row r="161">
      <c r="A161" s="36" t="n"/>
      <c r="B161" s="32" t="n"/>
      <c r="C161" s="37" t="n"/>
      <c r="D161" s="31" t="n"/>
      <c r="E161" s="32" t="n"/>
      <c r="F161" s="32" t="n"/>
      <c r="G161" s="32" t="n"/>
      <c r="H161" s="36" t="n"/>
      <c r="I161" s="31" t="n"/>
      <c r="J161" s="38" t="n"/>
      <c r="K161" s="32" t="n"/>
      <c r="L161" s="34">
        <f>IF(OR(A161="",D161=""),"",IF(D161&gt;Config!$B$5,0,DATEDIF(D161,Config!$B$5,"m")))</f>
        <v/>
      </c>
      <c r="M161" s="39">
        <f>IF(A161="","",IF(K161&lt;&gt;"",K161,IF(OR(C161="",D161=""),"Sem dados",IFERROR(IF(C161="M",INDEX(Config!$B$11:$B$14,MATCH(L161,Config!$A$11:$A$14,1)),IF(C161="F",INDEX(Config!$C$11:$C$14,MATCH(L161,Config!$A$11:$A$14,1)),"Sem dados")),"Verificar"))))</f>
        <v/>
      </c>
      <c r="N161" s="39">
        <f>IF(A161="","",IF(COUNTIFS('Movimentações'!$C$6:$C$1505,A161,'Movimentações'!$B$6:$B$1505,"Venda")&gt;0,"Vendido",IF(COUNTIFS('Movimentações'!$C$6:$C$1505,A161,'Movimentações'!$B$6:$B$1505,"Morte")&gt;0,"Morto","Ativo")))</f>
        <v/>
      </c>
      <c r="O161" s="40">
        <f>IF(A161="","",IF(COUNTIF('Pesagens'!$B$6:$B$2005,A161)=0,"",SUMPRODUCT(MAX(('Pesagens'!$B$6:$B$2005=A161)*'Pesagens'!$A$6:$A$2005))))</f>
        <v/>
      </c>
      <c r="P161" s="41">
        <f>IF(A161="","",IF(O161="",IF(J161="","",J161),IFERROR(AVERAGEIFS('Pesagens'!$C$6:$C$2005,'Pesagens'!$B$6:$B$2005,A161,'Pesagens'!$A$6:$A$2005,O161),"")))</f>
        <v/>
      </c>
      <c r="Q161" s="42">
        <f>IF(OR(A161="",O161="",I161="",J161=""),"",IFERROR((P161-J161)/(O161-I161),""))</f>
        <v/>
      </c>
    </row>
    <row r="162">
      <c r="A162" s="36" t="n"/>
      <c r="B162" s="32" t="n"/>
      <c r="C162" s="37" t="n"/>
      <c r="D162" s="31" t="n"/>
      <c r="E162" s="32" t="n"/>
      <c r="F162" s="32" t="n"/>
      <c r="G162" s="32" t="n"/>
      <c r="H162" s="36" t="n"/>
      <c r="I162" s="31" t="n"/>
      <c r="J162" s="38" t="n"/>
      <c r="K162" s="32" t="n"/>
      <c r="L162" s="34">
        <f>IF(OR(A162="",D162=""),"",IF(D162&gt;Config!$B$5,0,DATEDIF(D162,Config!$B$5,"m")))</f>
        <v/>
      </c>
      <c r="M162" s="39">
        <f>IF(A162="","",IF(K162&lt;&gt;"",K162,IF(OR(C162="",D162=""),"Sem dados",IFERROR(IF(C162="M",INDEX(Config!$B$11:$B$14,MATCH(L162,Config!$A$11:$A$14,1)),IF(C162="F",INDEX(Config!$C$11:$C$14,MATCH(L162,Config!$A$11:$A$14,1)),"Sem dados")),"Verificar"))))</f>
        <v/>
      </c>
      <c r="N162" s="39">
        <f>IF(A162="","",IF(COUNTIFS('Movimentações'!$C$6:$C$1505,A162,'Movimentações'!$B$6:$B$1505,"Venda")&gt;0,"Vendido",IF(COUNTIFS('Movimentações'!$C$6:$C$1505,A162,'Movimentações'!$B$6:$B$1505,"Morte")&gt;0,"Morto","Ativo")))</f>
        <v/>
      </c>
      <c r="O162" s="40">
        <f>IF(A162="","",IF(COUNTIF('Pesagens'!$B$6:$B$2005,A162)=0,"",SUMPRODUCT(MAX(('Pesagens'!$B$6:$B$2005=A162)*'Pesagens'!$A$6:$A$2005))))</f>
        <v/>
      </c>
      <c r="P162" s="41">
        <f>IF(A162="","",IF(O162="",IF(J162="","",J162),IFERROR(AVERAGEIFS('Pesagens'!$C$6:$C$2005,'Pesagens'!$B$6:$B$2005,A162,'Pesagens'!$A$6:$A$2005,O162),"")))</f>
        <v/>
      </c>
      <c r="Q162" s="42">
        <f>IF(OR(A162="",O162="",I162="",J162=""),"",IFERROR((P162-J162)/(O162-I162),""))</f>
        <v/>
      </c>
    </row>
    <row r="163">
      <c r="A163" s="36" t="n"/>
      <c r="B163" s="32" t="n"/>
      <c r="C163" s="37" t="n"/>
      <c r="D163" s="31" t="n"/>
      <c r="E163" s="32" t="n"/>
      <c r="F163" s="32" t="n"/>
      <c r="G163" s="32" t="n"/>
      <c r="H163" s="36" t="n"/>
      <c r="I163" s="31" t="n"/>
      <c r="J163" s="38" t="n"/>
      <c r="K163" s="32" t="n"/>
      <c r="L163" s="34">
        <f>IF(OR(A163="",D163=""),"",IF(D163&gt;Config!$B$5,0,DATEDIF(D163,Config!$B$5,"m")))</f>
        <v/>
      </c>
      <c r="M163" s="39">
        <f>IF(A163="","",IF(K163&lt;&gt;"",K163,IF(OR(C163="",D163=""),"Sem dados",IFERROR(IF(C163="M",INDEX(Config!$B$11:$B$14,MATCH(L163,Config!$A$11:$A$14,1)),IF(C163="F",INDEX(Config!$C$11:$C$14,MATCH(L163,Config!$A$11:$A$14,1)),"Sem dados")),"Verificar"))))</f>
        <v/>
      </c>
      <c r="N163" s="39">
        <f>IF(A163="","",IF(COUNTIFS('Movimentações'!$C$6:$C$1505,A163,'Movimentações'!$B$6:$B$1505,"Venda")&gt;0,"Vendido",IF(COUNTIFS('Movimentações'!$C$6:$C$1505,A163,'Movimentações'!$B$6:$B$1505,"Morte")&gt;0,"Morto","Ativo")))</f>
        <v/>
      </c>
      <c r="O163" s="40">
        <f>IF(A163="","",IF(COUNTIF('Pesagens'!$B$6:$B$2005,A163)=0,"",SUMPRODUCT(MAX(('Pesagens'!$B$6:$B$2005=A163)*'Pesagens'!$A$6:$A$2005))))</f>
        <v/>
      </c>
      <c r="P163" s="41">
        <f>IF(A163="","",IF(O163="",IF(J163="","",J163),IFERROR(AVERAGEIFS('Pesagens'!$C$6:$C$2005,'Pesagens'!$B$6:$B$2005,A163,'Pesagens'!$A$6:$A$2005,O163),"")))</f>
        <v/>
      </c>
      <c r="Q163" s="42">
        <f>IF(OR(A163="",O163="",I163="",J163=""),"",IFERROR((P163-J163)/(O163-I163),""))</f>
        <v/>
      </c>
    </row>
    <row r="164">
      <c r="A164" s="36" t="n"/>
      <c r="B164" s="32" t="n"/>
      <c r="C164" s="37" t="n"/>
      <c r="D164" s="31" t="n"/>
      <c r="E164" s="32" t="n"/>
      <c r="F164" s="32" t="n"/>
      <c r="G164" s="32" t="n"/>
      <c r="H164" s="36" t="n"/>
      <c r="I164" s="31" t="n"/>
      <c r="J164" s="38" t="n"/>
      <c r="K164" s="32" t="n"/>
      <c r="L164" s="34">
        <f>IF(OR(A164="",D164=""),"",IF(D164&gt;Config!$B$5,0,DATEDIF(D164,Config!$B$5,"m")))</f>
        <v/>
      </c>
      <c r="M164" s="39">
        <f>IF(A164="","",IF(K164&lt;&gt;"",K164,IF(OR(C164="",D164=""),"Sem dados",IFERROR(IF(C164="M",INDEX(Config!$B$11:$B$14,MATCH(L164,Config!$A$11:$A$14,1)),IF(C164="F",INDEX(Config!$C$11:$C$14,MATCH(L164,Config!$A$11:$A$14,1)),"Sem dados")),"Verificar"))))</f>
        <v/>
      </c>
      <c r="N164" s="39">
        <f>IF(A164="","",IF(COUNTIFS('Movimentações'!$C$6:$C$1505,A164,'Movimentações'!$B$6:$B$1505,"Venda")&gt;0,"Vendido",IF(COUNTIFS('Movimentações'!$C$6:$C$1505,A164,'Movimentações'!$B$6:$B$1505,"Morte")&gt;0,"Morto","Ativo")))</f>
        <v/>
      </c>
      <c r="O164" s="40">
        <f>IF(A164="","",IF(COUNTIF('Pesagens'!$B$6:$B$2005,A164)=0,"",SUMPRODUCT(MAX(('Pesagens'!$B$6:$B$2005=A164)*'Pesagens'!$A$6:$A$2005))))</f>
        <v/>
      </c>
      <c r="P164" s="41">
        <f>IF(A164="","",IF(O164="",IF(J164="","",J164),IFERROR(AVERAGEIFS('Pesagens'!$C$6:$C$2005,'Pesagens'!$B$6:$B$2005,A164,'Pesagens'!$A$6:$A$2005,O164),"")))</f>
        <v/>
      </c>
      <c r="Q164" s="42">
        <f>IF(OR(A164="",O164="",I164="",J164=""),"",IFERROR((P164-J164)/(O164-I164),""))</f>
        <v/>
      </c>
    </row>
    <row r="165">
      <c r="A165" s="36" t="n"/>
      <c r="B165" s="32" t="n"/>
      <c r="C165" s="37" t="n"/>
      <c r="D165" s="31" t="n"/>
      <c r="E165" s="32" t="n"/>
      <c r="F165" s="32" t="n"/>
      <c r="G165" s="32" t="n"/>
      <c r="H165" s="36" t="n"/>
      <c r="I165" s="31" t="n"/>
      <c r="J165" s="38" t="n"/>
      <c r="K165" s="32" t="n"/>
      <c r="L165" s="34">
        <f>IF(OR(A165="",D165=""),"",IF(D165&gt;Config!$B$5,0,DATEDIF(D165,Config!$B$5,"m")))</f>
        <v/>
      </c>
      <c r="M165" s="39">
        <f>IF(A165="","",IF(K165&lt;&gt;"",K165,IF(OR(C165="",D165=""),"Sem dados",IFERROR(IF(C165="M",INDEX(Config!$B$11:$B$14,MATCH(L165,Config!$A$11:$A$14,1)),IF(C165="F",INDEX(Config!$C$11:$C$14,MATCH(L165,Config!$A$11:$A$14,1)),"Sem dados")),"Verificar"))))</f>
        <v/>
      </c>
      <c r="N165" s="39">
        <f>IF(A165="","",IF(COUNTIFS('Movimentações'!$C$6:$C$1505,A165,'Movimentações'!$B$6:$B$1505,"Venda")&gt;0,"Vendido",IF(COUNTIFS('Movimentações'!$C$6:$C$1505,A165,'Movimentações'!$B$6:$B$1505,"Morte")&gt;0,"Morto","Ativo")))</f>
        <v/>
      </c>
      <c r="O165" s="40">
        <f>IF(A165="","",IF(COUNTIF('Pesagens'!$B$6:$B$2005,A165)=0,"",SUMPRODUCT(MAX(('Pesagens'!$B$6:$B$2005=A165)*'Pesagens'!$A$6:$A$2005))))</f>
        <v/>
      </c>
      <c r="P165" s="41">
        <f>IF(A165="","",IF(O165="",IF(J165="","",J165),IFERROR(AVERAGEIFS('Pesagens'!$C$6:$C$2005,'Pesagens'!$B$6:$B$2005,A165,'Pesagens'!$A$6:$A$2005,O165),"")))</f>
        <v/>
      </c>
      <c r="Q165" s="42">
        <f>IF(OR(A165="",O165="",I165="",J165=""),"",IFERROR((P165-J165)/(O165-I165),""))</f>
        <v/>
      </c>
    </row>
    <row r="166">
      <c r="A166" s="36" t="n"/>
      <c r="B166" s="32" t="n"/>
      <c r="C166" s="37" t="n"/>
      <c r="D166" s="31" t="n"/>
      <c r="E166" s="32" t="n"/>
      <c r="F166" s="32" t="n"/>
      <c r="G166" s="32" t="n"/>
      <c r="H166" s="36" t="n"/>
      <c r="I166" s="31" t="n"/>
      <c r="J166" s="38" t="n"/>
      <c r="K166" s="32" t="n"/>
      <c r="L166" s="34">
        <f>IF(OR(A166="",D166=""),"",IF(D166&gt;Config!$B$5,0,DATEDIF(D166,Config!$B$5,"m")))</f>
        <v/>
      </c>
      <c r="M166" s="39">
        <f>IF(A166="","",IF(K166&lt;&gt;"",K166,IF(OR(C166="",D166=""),"Sem dados",IFERROR(IF(C166="M",INDEX(Config!$B$11:$B$14,MATCH(L166,Config!$A$11:$A$14,1)),IF(C166="F",INDEX(Config!$C$11:$C$14,MATCH(L166,Config!$A$11:$A$14,1)),"Sem dados")),"Verificar"))))</f>
        <v/>
      </c>
      <c r="N166" s="39">
        <f>IF(A166="","",IF(COUNTIFS('Movimentações'!$C$6:$C$1505,A166,'Movimentações'!$B$6:$B$1505,"Venda")&gt;0,"Vendido",IF(COUNTIFS('Movimentações'!$C$6:$C$1505,A166,'Movimentações'!$B$6:$B$1505,"Morte")&gt;0,"Morto","Ativo")))</f>
        <v/>
      </c>
      <c r="O166" s="40">
        <f>IF(A166="","",IF(COUNTIF('Pesagens'!$B$6:$B$2005,A166)=0,"",SUMPRODUCT(MAX(('Pesagens'!$B$6:$B$2005=A166)*'Pesagens'!$A$6:$A$2005))))</f>
        <v/>
      </c>
      <c r="P166" s="41">
        <f>IF(A166="","",IF(O166="",IF(J166="","",J166),IFERROR(AVERAGEIFS('Pesagens'!$C$6:$C$2005,'Pesagens'!$B$6:$B$2005,A166,'Pesagens'!$A$6:$A$2005,O166),"")))</f>
        <v/>
      </c>
      <c r="Q166" s="42">
        <f>IF(OR(A166="",O166="",I166="",J166=""),"",IFERROR((P166-J166)/(O166-I166),""))</f>
        <v/>
      </c>
    </row>
    <row r="167">
      <c r="A167" s="36" t="n"/>
      <c r="B167" s="32" t="n"/>
      <c r="C167" s="37" t="n"/>
      <c r="D167" s="31" t="n"/>
      <c r="E167" s="32" t="n"/>
      <c r="F167" s="32" t="n"/>
      <c r="G167" s="32" t="n"/>
      <c r="H167" s="36" t="n"/>
      <c r="I167" s="31" t="n"/>
      <c r="J167" s="38" t="n"/>
      <c r="K167" s="32" t="n"/>
      <c r="L167" s="34">
        <f>IF(OR(A167="",D167=""),"",IF(D167&gt;Config!$B$5,0,DATEDIF(D167,Config!$B$5,"m")))</f>
        <v/>
      </c>
      <c r="M167" s="39">
        <f>IF(A167="","",IF(K167&lt;&gt;"",K167,IF(OR(C167="",D167=""),"Sem dados",IFERROR(IF(C167="M",INDEX(Config!$B$11:$B$14,MATCH(L167,Config!$A$11:$A$14,1)),IF(C167="F",INDEX(Config!$C$11:$C$14,MATCH(L167,Config!$A$11:$A$14,1)),"Sem dados")),"Verificar"))))</f>
        <v/>
      </c>
      <c r="N167" s="39">
        <f>IF(A167="","",IF(COUNTIFS('Movimentações'!$C$6:$C$1505,A167,'Movimentações'!$B$6:$B$1505,"Venda")&gt;0,"Vendido",IF(COUNTIFS('Movimentações'!$C$6:$C$1505,A167,'Movimentações'!$B$6:$B$1505,"Morte")&gt;0,"Morto","Ativo")))</f>
        <v/>
      </c>
      <c r="O167" s="40">
        <f>IF(A167="","",IF(COUNTIF('Pesagens'!$B$6:$B$2005,A167)=0,"",SUMPRODUCT(MAX(('Pesagens'!$B$6:$B$2005=A167)*'Pesagens'!$A$6:$A$2005))))</f>
        <v/>
      </c>
      <c r="P167" s="41">
        <f>IF(A167="","",IF(O167="",IF(J167="","",J167),IFERROR(AVERAGEIFS('Pesagens'!$C$6:$C$2005,'Pesagens'!$B$6:$B$2005,A167,'Pesagens'!$A$6:$A$2005,O167),"")))</f>
        <v/>
      </c>
      <c r="Q167" s="42">
        <f>IF(OR(A167="",O167="",I167="",J167=""),"",IFERROR((P167-J167)/(O167-I167),""))</f>
        <v/>
      </c>
    </row>
    <row r="168">
      <c r="A168" s="36" t="n"/>
      <c r="B168" s="32" t="n"/>
      <c r="C168" s="37" t="n"/>
      <c r="D168" s="31" t="n"/>
      <c r="E168" s="32" t="n"/>
      <c r="F168" s="32" t="n"/>
      <c r="G168" s="32" t="n"/>
      <c r="H168" s="36" t="n"/>
      <c r="I168" s="31" t="n"/>
      <c r="J168" s="38" t="n"/>
      <c r="K168" s="32" t="n"/>
      <c r="L168" s="34">
        <f>IF(OR(A168="",D168=""),"",IF(D168&gt;Config!$B$5,0,DATEDIF(D168,Config!$B$5,"m")))</f>
        <v/>
      </c>
      <c r="M168" s="39">
        <f>IF(A168="","",IF(K168&lt;&gt;"",K168,IF(OR(C168="",D168=""),"Sem dados",IFERROR(IF(C168="M",INDEX(Config!$B$11:$B$14,MATCH(L168,Config!$A$11:$A$14,1)),IF(C168="F",INDEX(Config!$C$11:$C$14,MATCH(L168,Config!$A$11:$A$14,1)),"Sem dados")),"Verificar"))))</f>
        <v/>
      </c>
      <c r="N168" s="39">
        <f>IF(A168="","",IF(COUNTIFS('Movimentações'!$C$6:$C$1505,A168,'Movimentações'!$B$6:$B$1505,"Venda")&gt;0,"Vendido",IF(COUNTIFS('Movimentações'!$C$6:$C$1505,A168,'Movimentações'!$B$6:$B$1505,"Morte")&gt;0,"Morto","Ativo")))</f>
        <v/>
      </c>
      <c r="O168" s="40">
        <f>IF(A168="","",IF(COUNTIF('Pesagens'!$B$6:$B$2005,A168)=0,"",SUMPRODUCT(MAX(('Pesagens'!$B$6:$B$2005=A168)*'Pesagens'!$A$6:$A$2005))))</f>
        <v/>
      </c>
      <c r="P168" s="41">
        <f>IF(A168="","",IF(O168="",IF(J168="","",J168),IFERROR(AVERAGEIFS('Pesagens'!$C$6:$C$2005,'Pesagens'!$B$6:$B$2005,A168,'Pesagens'!$A$6:$A$2005,O168),"")))</f>
        <v/>
      </c>
      <c r="Q168" s="42">
        <f>IF(OR(A168="",O168="",I168="",J168=""),"",IFERROR((P168-J168)/(O168-I168),""))</f>
        <v/>
      </c>
    </row>
    <row r="169">
      <c r="A169" s="36" t="n"/>
      <c r="B169" s="32" t="n"/>
      <c r="C169" s="37" t="n"/>
      <c r="D169" s="31" t="n"/>
      <c r="E169" s="32" t="n"/>
      <c r="F169" s="32" t="n"/>
      <c r="G169" s="32" t="n"/>
      <c r="H169" s="36" t="n"/>
      <c r="I169" s="31" t="n"/>
      <c r="J169" s="38" t="n"/>
      <c r="K169" s="32" t="n"/>
      <c r="L169" s="34">
        <f>IF(OR(A169="",D169=""),"",IF(D169&gt;Config!$B$5,0,DATEDIF(D169,Config!$B$5,"m")))</f>
        <v/>
      </c>
      <c r="M169" s="39">
        <f>IF(A169="","",IF(K169&lt;&gt;"",K169,IF(OR(C169="",D169=""),"Sem dados",IFERROR(IF(C169="M",INDEX(Config!$B$11:$B$14,MATCH(L169,Config!$A$11:$A$14,1)),IF(C169="F",INDEX(Config!$C$11:$C$14,MATCH(L169,Config!$A$11:$A$14,1)),"Sem dados")),"Verificar"))))</f>
        <v/>
      </c>
      <c r="N169" s="39">
        <f>IF(A169="","",IF(COUNTIFS('Movimentações'!$C$6:$C$1505,A169,'Movimentações'!$B$6:$B$1505,"Venda")&gt;0,"Vendido",IF(COUNTIFS('Movimentações'!$C$6:$C$1505,A169,'Movimentações'!$B$6:$B$1505,"Morte")&gt;0,"Morto","Ativo")))</f>
        <v/>
      </c>
      <c r="O169" s="40">
        <f>IF(A169="","",IF(COUNTIF('Pesagens'!$B$6:$B$2005,A169)=0,"",SUMPRODUCT(MAX(('Pesagens'!$B$6:$B$2005=A169)*'Pesagens'!$A$6:$A$2005))))</f>
        <v/>
      </c>
      <c r="P169" s="41">
        <f>IF(A169="","",IF(O169="",IF(J169="","",J169),IFERROR(AVERAGEIFS('Pesagens'!$C$6:$C$2005,'Pesagens'!$B$6:$B$2005,A169,'Pesagens'!$A$6:$A$2005,O169),"")))</f>
        <v/>
      </c>
      <c r="Q169" s="42">
        <f>IF(OR(A169="",O169="",I169="",J169=""),"",IFERROR((P169-J169)/(O169-I169),""))</f>
        <v/>
      </c>
    </row>
    <row r="170">
      <c r="A170" s="36" t="n"/>
      <c r="B170" s="32" t="n"/>
      <c r="C170" s="37" t="n"/>
      <c r="D170" s="31" t="n"/>
      <c r="E170" s="32" t="n"/>
      <c r="F170" s="32" t="n"/>
      <c r="G170" s="32" t="n"/>
      <c r="H170" s="36" t="n"/>
      <c r="I170" s="31" t="n"/>
      <c r="J170" s="38" t="n"/>
      <c r="K170" s="32" t="n"/>
      <c r="L170" s="34">
        <f>IF(OR(A170="",D170=""),"",IF(D170&gt;Config!$B$5,0,DATEDIF(D170,Config!$B$5,"m")))</f>
        <v/>
      </c>
      <c r="M170" s="39">
        <f>IF(A170="","",IF(K170&lt;&gt;"",K170,IF(OR(C170="",D170=""),"Sem dados",IFERROR(IF(C170="M",INDEX(Config!$B$11:$B$14,MATCH(L170,Config!$A$11:$A$14,1)),IF(C170="F",INDEX(Config!$C$11:$C$14,MATCH(L170,Config!$A$11:$A$14,1)),"Sem dados")),"Verificar"))))</f>
        <v/>
      </c>
      <c r="N170" s="39">
        <f>IF(A170="","",IF(COUNTIFS('Movimentações'!$C$6:$C$1505,A170,'Movimentações'!$B$6:$B$1505,"Venda")&gt;0,"Vendido",IF(COUNTIFS('Movimentações'!$C$6:$C$1505,A170,'Movimentações'!$B$6:$B$1505,"Morte")&gt;0,"Morto","Ativo")))</f>
        <v/>
      </c>
      <c r="O170" s="40">
        <f>IF(A170="","",IF(COUNTIF('Pesagens'!$B$6:$B$2005,A170)=0,"",SUMPRODUCT(MAX(('Pesagens'!$B$6:$B$2005=A170)*'Pesagens'!$A$6:$A$2005))))</f>
        <v/>
      </c>
      <c r="P170" s="41">
        <f>IF(A170="","",IF(O170="",IF(J170="","",J170),IFERROR(AVERAGEIFS('Pesagens'!$C$6:$C$2005,'Pesagens'!$B$6:$B$2005,A170,'Pesagens'!$A$6:$A$2005,O170),"")))</f>
        <v/>
      </c>
      <c r="Q170" s="42">
        <f>IF(OR(A170="",O170="",I170="",J170=""),"",IFERROR((P170-J170)/(O170-I170),""))</f>
        <v/>
      </c>
    </row>
    <row r="171">
      <c r="A171" s="36" t="n"/>
      <c r="B171" s="32" t="n"/>
      <c r="C171" s="37" t="n"/>
      <c r="D171" s="31" t="n"/>
      <c r="E171" s="32" t="n"/>
      <c r="F171" s="32" t="n"/>
      <c r="G171" s="32" t="n"/>
      <c r="H171" s="36" t="n"/>
      <c r="I171" s="31" t="n"/>
      <c r="J171" s="38" t="n"/>
      <c r="K171" s="32" t="n"/>
      <c r="L171" s="34">
        <f>IF(OR(A171="",D171=""),"",IF(D171&gt;Config!$B$5,0,DATEDIF(D171,Config!$B$5,"m")))</f>
        <v/>
      </c>
      <c r="M171" s="39">
        <f>IF(A171="","",IF(K171&lt;&gt;"",K171,IF(OR(C171="",D171=""),"Sem dados",IFERROR(IF(C171="M",INDEX(Config!$B$11:$B$14,MATCH(L171,Config!$A$11:$A$14,1)),IF(C171="F",INDEX(Config!$C$11:$C$14,MATCH(L171,Config!$A$11:$A$14,1)),"Sem dados")),"Verificar"))))</f>
        <v/>
      </c>
      <c r="N171" s="39">
        <f>IF(A171="","",IF(COUNTIFS('Movimentações'!$C$6:$C$1505,A171,'Movimentações'!$B$6:$B$1505,"Venda")&gt;0,"Vendido",IF(COUNTIFS('Movimentações'!$C$6:$C$1505,A171,'Movimentações'!$B$6:$B$1505,"Morte")&gt;0,"Morto","Ativo")))</f>
        <v/>
      </c>
      <c r="O171" s="40">
        <f>IF(A171="","",IF(COUNTIF('Pesagens'!$B$6:$B$2005,A171)=0,"",SUMPRODUCT(MAX(('Pesagens'!$B$6:$B$2005=A171)*'Pesagens'!$A$6:$A$2005))))</f>
        <v/>
      </c>
      <c r="P171" s="41">
        <f>IF(A171="","",IF(O171="",IF(J171="","",J171),IFERROR(AVERAGEIFS('Pesagens'!$C$6:$C$2005,'Pesagens'!$B$6:$B$2005,A171,'Pesagens'!$A$6:$A$2005,O171),"")))</f>
        <v/>
      </c>
      <c r="Q171" s="42">
        <f>IF(OR(A171="",O171="",I171="",J171=""),"",IFERROR((P171-J171)/(O171-I171),""))</f>
        <v/>
      </c>
    </row>
    <row r="172">
      <c r="A172" s="36" t="n"/>
      <c r="B172" s="32" t="n"/>
      <c r="C172" s="37" t="n"/>
      <c r="D172" s="31" t="n"/>
      <c r="E172" s="32" t="n"/>
      <c r="F172" s="32" t="n"/>
      <c r="G172" s="32" t="n"/>
      <c r="H172" s="36" t="n"/>
      <c r="I172" s="31" t="n"/>
      <c r="J172" s="38" t="n"/>
      <c r="K172" s="32" t="n"/>
      <c r="L172" s="34">
        <f>IF(OR(A172="",D172=""),"",IF(D172&gt;Config!$B$5,0,DATEDIF(D172,Config!$B$5,"m")))</f>
        <v/>
      </c>
      <c r="M172" s="39">
        <f>IF(A172="","",IF(K172&lt;&gt;"",K172,IF(OR(C172="",D172=""),"Sem dados",IFERROR(IF(C172="M",INDEX(Config!$B$11:$B$14,MATCH(L172,Config!$A$11:$A$14,1)),IF(C172="F",INDEX(Config!$C$11:$C$14,MATCH(L172,Config!$A$11:$A$14,1)),"Sem dados")),"Verificar"))))</f>
        <v/>
      </c>
      <c r="N172" s="39">
        <f>IF(A172="","",IF(COUNTIFS('Movimentações'!$C$6:$C$1505,A172,'Movimentações'!$B$6:$B$1505,"Venda")&gt;0,"Vendido",IF(COUNTIFS('Movimentações'!$C$6:$C$1505,A172,'Movimentações'!$B$6:$B$1505,"Morte")&gt;0,"Morto","Ativo")))</f>
        <v/>
      </c>
      <c r="O172" s="40">
        <f>IF(A172="","",IF(COUNTIF('Pesagens'!$B$6:$B$2005,A172)=0,"",SUMPRODUCT(MAX(('Pesagens'!$B$6:$B$2005=A172)*'Pesagens'!$A$6:$A$2005))))</f>
        <v/>
      </c>
      <c r="P172" s="41">
        <f>IF(A172="","",IF(O172="",IF(J172="","",J172),IFERROR(AVERAGEIFS('Pesagens'!$C$6:$C$2005,'Pesagens'!$B$6:$B$2005,A172,'Pesagens'!$A$6:$A$2005,O172),"")))</f>
        <v/>
      </c>
      <c r="Q172" s="42">
        <f>IF(OR(A172="",O172="",I172="",J172=""),"",IFERROR((P172-J172)/(O172-I172),""))</f>
        <v/>
      </c>
    </row>
    <row r="173">
      <c r="A173" s="36" t="n"/>
      <c r="B173" s="32" t="n"/>
      <c r="C173" s="37" t="n"/>
      <c r="D173" s="31" t="n"/>
      <c r="E173" s="32" t="n"/>
      <c r="F173" s="32" t="n"/>
      <c r="G173" s="32" t="n"/>
      <c r="H173" s="36" t="n"/>
      <c r="I173" s="31" t="n"/>
      <c r="J173" s="38" t="n"/>
      <c r="K173" s="32" t="n"/>
      <c r="L173" s="34">
        <f>IF(OR(A173="",D173=""),"",IF(D173&gt;Config!$B$5,0,DATEDIF(D173,Config!$B$5,"m")))</f>
        <v/>
      </c>
      <c r="M173" s="39">
        <f>IF(A173="","",IF(K173&lt;&gt;"",K173,IF(OR(C173="",D173=""),"Sem dados",IFERROR(IF(C173="M",INDEX(Config!$B$11:$B$14,MATCH(L173,Config!$A$11:$A$14,1)),IF(C173="F",INDEX(Config!$C$11:$C$14,MATCH(L173,Config!$A$11:$A$14,1)),"Sem dados")),"Verificar"))))</f>
        <v/>
      </c>
      <c r="N173" s="39">
        <f>IF(A173="","",IF(COUNTIFS('Movimentações'!$C$6:$C$1505,A173,'Movimentações'!$B$6:$B$1505,"Venda")&gt;0,"Vendido",IF(COUNTIFS('Movimentações'!$C$6:$C$1505,A173,'Movimentações'!$B$6:$B$1505,"Morte")&gt;0,"Morto","Ativo")))</f>
        <v/>
      </c>
      <c r="O173" s="40">
        <f>IF(A173="","",IF(COUNTIF('Pesagens'!$B$6:$B$2005,A173)=0,"",SUMPRODUCT(MAX(('Pesagens'!$B$6:$B$2005=A173)*'Pesagens'!$A$6:$A$2005))))</f>
        <v/>
      </c>
      <c r="P173" s="41">
        <f>IF(A173="","",IF(O173="",IF(J173="","",J173),IFERROR(AVERAGEIFS('Pesagens'!$C$6:$C$2005,'Pesagens'!$B$6:$B$2005,A173,'Pesagens'!$A$6:$A$2005,O173),"")))</f>
        <v/>
      </c>
      <c r="Q173" s="42">
        <f>IF(OR(A173="",O173="",I173="",J173=""),"",IFERROR((P173-J173)/(O173-I173),""))</f>
        <v/>
      </c>
    </row>
    <row r="174">
      <c r="A174" s="36" t="n"/>
      <c r="B174" s="32" t="n"/>
      <c r="C174" s="37" t="n"/>
      <c r="D174" s="31" t="n"/>
      <c r="E174" s="32" t="n"/>
      <c r="F174" s="32" t="n"/>
      <c r="G174" s="32" t="n"/>
      <c r="H174" s="36" t="n"/>
      <c r="I174" s="31" t="n"/>
      <c r="J174" s="38" t="n"/>
      <c r="K174" s="32" t="n"/>
      <c r="L174" s="34">
        <f>IF(OR(A174="",D174=""),"",IF(D174&gt;Config!$B$5,0,DATEDIF(D174,Config!$B$5,"m")))</f>
        <v/>
      </c>
      <c r="M174" s="39">
        <f>IF(A174="","",IF(K174&lt;&gt;"",K174,IF(OR(C174="",D174=""),"Sem dados",IFERROR(IF(C174="M",INDEX(Config!$B$11:$B$14,MATCH(L174,Config!$A$11:$A$14,1)),IF(C174="F",INDEX(Config!$C$11:$C$14,MATCH(L174,Config!$A$11:$A$14,1)),"Sem dados")),"Verificar"))))</f>
        <v/>
      </c>
      <c r="N174" s="39">
        <f>IF(A174="","",IF(COUNTIFS('Movimentações'!$C$6:$C$1505,A174,'Movimentações'!$B$6:$B$1505,"Venda")&gt;0,"Vendido",IF(COUNTIFS('Movimentações'!$C$6:$C$1505,A174,'Movimentações'!$B$6:$B$1505,"Morte")&gt;0,"Morto","Ativo")))</f>
        <v/>
      </c>
      <c r="O174" s="40">
        <f>IF(A174="","",IF(COUNTIF('Pesagens'!$B$6:$B$2005,A174)=0,"",SUMPRODUCT(MAX(('Pesagens'!$B$6:$B$2005=A174)*'Pesagens'!$A$6:$A$2005))))</f>
        <v/>
      </c>
      <c r="P174" s="41">
        <f>IF(A174="","",IF(O174="",IF(J174="","",J174),IFERROR(AVERAGEIFS('Pesagens'!$C$6:$C$2005,'Pesagens'!$B$6:$B$2005,A174,'Pesagens'!$A$6:$A$2005,O174),"")))</f>
        <v/>
      </c>
      <c r="Q174" s="42">
        <f>IF(OR(A174="",O174="",I174="",J174=""),"",IFERROR((P174-J174)/(O174-I174),""))</f>
        <v/>
      </c>
    </row>
    <row r="175">
      <c r="A175" s="36" t="n"/>
      <c r="B175" s="32" t="n"/>
      <c r="C175" s="37" t="n"/>
      <c r="D175" s="31" t="n"/>
      <c r="E175" s="32" t="n"/>
      <c r="F175" s="32" t="n"/>
      <c r="G175" s="32" t="n"/>
      <c r="H175" s="36" t="n"/>
      <c r="I175" s="31" t="n"/>
      <c r="J175" s="38" t="n"/>
      <c r="K175" s="32" t="n"/>
      <c r="L175" s="34">
        <f>IF(OR(A175="",D175=""),"",IF(D175&gt;Config!$B$5,0,DATEDIF(D175,Config!$B$5,"m")))</f>
        <v/>
      </c>
      <c r="M175" s="39">
        <f>IF(A175="","",IF(K175&lt;&gt;"",K175,IF(OR(C175="",D175=""),"Sem dados",IFERROR(IF(C175="M",INDEX(Config!$B$11:$B$14,MATCH(L175,Config!$A$11:$A$14,1)),IF(C175="F",INDEX(Config!$C$11:$C$14,MATCH(L175,Config!$A$11:$A$14,1)),"Sem dados")),"Verificar"))))</f>
        <v/>
      </c>
      <c r="N175" s="39">
        <f>IF(A175="","",IF(COUNTIFS('Movimentações'!$C$6:$C$1505,A175,'Movimentações'!$B$6:$B$1505,"Venda")&gt;0,"Vendido",IF(COUNTIFS('Movimentações'!$C$6:$C$1505,A175,'Movimentações'!$B$6:$B$1505,"Morte")&gt;0,"Morto","Ativo")))</f>
        <v/>
      </c>
      <c r="O175" s="40">
        <f>IF(A175="","",IF(COUNTIF('Pesagens'!$B$6:$B$2005,A175)=0,"",SUMPRODUCT(MAX(('Pesagens'!$B$6:$B$2005=A175)*'Pesagens'!$A$6:$A$2005))))</f>
        <v/>
      </c>
      <c r="P175" s="41">
        <f>IF(A175="","",IF(O175="",IF(J175="","",J175),IFERROR(AVERAGEIFS('Pesagens'!$C$6:$C$2005,'Pesagens'!$B$6:$B$2005,A175,'Pesagens'!$A$6:$A$2005,O175),"")))</f>
        <v/>
      </c>
      <c r="Q175" s="42">
        <f>IF(OR(A175="",O175="",I175="",J175=""),"",IFERROR((P175-J175)/(O175-I175),""))</f>
        <v/>
      </c>
    </row>
    <row r="176">
      <c r="A176" s="36" t="n"/>
      <c r="B176" s="32" t="n"/>
      <c r="C176" s="37" t="n"/>
      <c r="D176" s="31" t="n"/>
      <c r="E176" s="32" t="n"/>
      <c r="F176" s="32" t="n"/>
      <c r="G176" s="32" t="n"/>
      <c r="H176" s="36" t="n"/>
      <c r="I176" s="31" t="n"/>
      <c r="J176" s="38" t="n"/>
      <c r="K176" s="32" t="n"/>
      <c r="L176" s="34">
        <f>IF(OR(A176="",D176=""),"",IF(D176&gt;Config!$B$5,0,DATEDIF(D176,Config!$B$5,"m")))</f>
        <v/>
      </c>
      <c r="M176" s="39">
        <f>IF(A176="","",IF(K176&lt;&gt;"",K176,IF(OR(C176="",D176=""),"Sem dados",IFERROR(IF(C176="M",INDEX(Config!$B$11:$B$14,MATCH(L176,Config!$A$11:$A$14,1)),IF(C176="F",INDEX(Config!$C$11:$C$14,MATCH(L176,Config!$A$11:$A$14,1)),"Sem dados")),"Verificar"))))</f>
        <v/>
      </c>
      <c r="N176" s="39">
        <f>IF(A176="","",IF(COUNTIFS('Movimentações'!$C$6:$C$1505,A176,'Movimentações'!$B$6:$B$1505,"Venda")&gt;0,"Vendido",IF(COUNTIFS('Movimentações'!$C$6:$C$1505,A176,'Movimentações'!$B$6:$B$1505,"Morte")&gt;0,"Morto","Ativo")))</f>
        <v/>
      </c>
      <c r="O176" s="40">
        <f>IF(A176="","",IF(COUNTIF('Pesagens'!$B$6:$B$2005,A176)=0,"",SUMPRODUCT(MAX(('Pesagens'!$B$6:$B$2005=A176)*'Pesagens'!$A$6:$A$2005))))</f>
        <v/>
      </c>
      <c r="P176" s="41">
        <f>IF(A176="","",IF(O176="",IF(J176="","",J176),IFERROR(AVERAGEIFS('Pesagens'!$C$6:$C$2005,'Pesagens'!$B$6:$B$2005,A176,'Pesagens'!$A$6:$A$2005,O176),"")))</f>
        <v/>
      </c>
      <c r="Q176" s="42">
        <f>IF(OR(A176="",O176="",I176="",J176=""),"",IFERROR((P176-J176)/(O176-I176),""))</f>
        <v/>
      </c>
    </row>
    <row r="177">
      <c r="A177" s="36" t="n"/>
      <c r="B177" s="32" t="n"/>
      <c r="C177" s="37" t="n"/>
      <c r="D177" s="31" t="n"/>
      <c r="E177" s="32" t="n"/>
      <c r="F177" s="32" t="n"/>
      <c r="G177" s="32" t="n"/>
      <c r="H177" s="36" t="n"/>
      <c r="I177" s="31" t="n"/>
      <c r="J177" s="38" t="n"/>
      <c r="K177" s="32" t="n"/>
      <c r="L177" s="34">
        <f>IF(OR(A177="",D177=""),"",IF(D177&gt;Config!$B$5,0,DATEDIF(D177,Config!$B$5,"m")))</f>
        <v/>
      </c>
      <c r="M177" s="39">
        <f>IF(A177="","",IF(K177&lt;&gt;"",K177,IF(OR(C177="",D177=""),"Sem dados",IFERROR(IF(C177="M",INDEX(Config!$B$11:$B$14,MATCH(L177,Config!$A$11:$A$14,1)),IF(C177="F",INDEX(Config!$C$11:$C$14,MATCH(L177,Config!$A$11:$A$14,1)),"Sem dados")),"Verificar"))))</f>
        <v/>
      </c>
      <c r="N177" s="39">
        <f>IF(A177="","",IF(COUNTIFS('Movimentações'!$C$6:$C$1505,A177,'Movimentações'!$B$6:$B$1505,"Venda")&gt;0,"Vendido",IF(COUNTIFS('Movimentações'!$C$6:$C$1505,A177,'Movimentações'!$B$6:$B$1505,"Morte")&gt;0,"Morto","Ativo")))</f>
        <v/>
      </c>
      <c r="O177" s="40">
        <f>IF(A177="","",IF(COUNTIF('Pesagens'!$B$6:$B$2005,A177)=0,"",SUMPRODUCT(MAX(('Pesagens'!$B$6:$B$2005=A177)*'Pesagens'!$A$6:$A$2005))))</f>
        <v/>
      </c>
      <c r="P177" s="41">
        <f>IF(A177="","",IF(O177="",IF(J177="","",J177),IFERROR(AVERAGEIFS('Pesagens'!$C$6:$C$2005,'Pesagens'!$B$6:$B$2005,A177,'Pesagens'!$A$6:$A$2005,O177),"")))</f>
        <v/>
      </c>
      <c r="Q177" s="42">
        <f>IF(OR(A177="",O177="",I177="",J177=""),"",IFERROR((P177-J177)/(O177-I177),""))</f>
        <v/>
      </c>
    </row>
    <row r="178">
      <c r="A178" s="36" t="n"/>
      <c r="B178" s="32" t="n"/>
      <c r="C178" s="37" t="n"/>
      <c r="D178" s="31" t="n"/>
      <c r="E178" s="32" t="n"/>
      <c r="F178" s="32" t="n"/>
      <c r="G178" s="32" t="n"/>
      <c r="H178" s="36" t="n"/>
      <c r="I178" s="31" t="n"/>
      <c r="J178" s="38" t="n"/>
      <c r="K178" s="32" t="n"/>
      <c r="L178" s="34">
        <f>IF(OR(A178="",D178=""),"",IF(D178&gt;Config!$B$5,0,DATEDIF(D178,Config!$B$5,"m")))</f>
        <v/>
      </c>
      <c r="M178" s="39">
        <f>IF(A178="","",IF(K178&lt;&gt;"",K178,IF(OR(C178="",D178=""),"Sem dados",IFERROR(IF(C178="M",INDEX(Config!$B$11:$B$14,MATCH(L178,Config!$A$11:$A$14,1)),IF(C178="F",INDEX(Config!$C$11:$C$14,MATCH(L178,Config!$A$11:$A$14,1)),"Sem dados")),"Verificar"))))</f>
        <v/>
      </c>
      <c r="N178" s="39">
        <f>IF(A178="","",IF(COUNTIFS('Movimentações'!$C$6:$C$1505,A178,'Movimentações'!$B$6:$B$1505,"Venda")&gt;0,"Vendido",IF(COUNTIFS('Movimentações'!$C$6:$C$1505,A178,'Movimentações'!$B$6:$B$1505,"Morte")&gt;0,"Morto","Ativo")))</f>
        <v/>
      </c>
      <c r="O178" s="40">
        <f>IF(A178="","",IF(COUNTIF('Pesagens'!$B$6:$B$2005,A178)=0,"",SUMPRODUCT(MAX(('Pesagens'!$B$6:$B$2005=A178)*'Pesagens'!$A$6:$A$2005))))</f>
        <v/>
      </c>
      <c r="P178" s="41">
        <f>IF(A178="","",IF(O178="",IF(J178="","",J178),IFERROR(AVERAGEIFS('Pesagens'!$C$6:$C$2005,'Pesagens'!$B$6:$B$2005,A178,'Pesagens'!$A$6:$A$2005,O178),"")))</f>
        <v/>
      </c>
      <c r="Q178" s="42">
        <f>IF(OR(A178="",O178="",I178="",J178=""),"",IFERROR((P178-J178)/(O178-I178),""))</f>
        <v/>
      </c>
    </row>
    <row r="179">
      <c r="A179" s="36" t="n"/>
      <c r="B179" s="32" t="n"/>
      <c r="C179" s="37" t="n"/>
      <c r="D179" s="31" t="n"/>
      <c r="E179" s="32" t="n"/>
      <c r="F179" s="32" t="n"/>
      <c r="G179" s="32" t="n"/>
      <c r="H179" s="36" t="n"/>
      <c r="I179" s="31" t="n"/>
      <c r="J179" s="38" t="n"/>
      <c r="K179" s="32" t="n"/>
      <c r="L179" s="34">
        <f>IF(OR(A179="",D179=""),"",IF(D179&gt;Config!$B$5,0,DATEDIF(D179,Config!$B$5,"m")))</f>
        <v/>
      </c>
      <c r="M179" s="39">
        <f>IF(A179="","",IF(K179&lt;&gt;"",K179,IF(OR(C179="",D179=""),"Sem dados",IFERROR(IF(C179="M",INDEX(Config!$B$11:$B$14,MATCH(L179,Config!$A$11:$A$14,1)),IF(C179="F",INDEX(Config!$C$11:$C$14,MATCH(L179,Config!$A$11:$A$14,1)),"Sem dados")),"Verificar"))))</f>
        <v/>
      </c>
      <c r="N179" s="39">
        <f>IF(A179="","",IF(COUNTIFS('Movimentações'!$C$6:$C$1505,A179,'Movimentações'!$B$6:$B$1505,"Venda")&gt;0,"Vendido",IF(COUNTIFS('Movimentações'!$C$6:$C$1505,A179,'Movimentações'!$B$6:$B$1505,"Morte")&gt;0,"Morto","Ativo")))</f>
        <v/>
      </c>
      <c r="O179" s="40">
        <f>IF(A179="","",IF(COUNTIF('Pesagens'!$B$6:$B$2005,A179)=0,"",SUMPRODUCT(MAX(('Pesagens'!$B$6:$B$2005=A179)*'Pesagens'!$A$6:$A$2005))))</f>
        <v/>
      </c>
      <c r="P179" s="41">
        <f>IF(A179="","",IF(O179="",IF(J179="","",J179),IFERROR(AVERAGEIFS('Pesagens'!$C$6:$C$2005,'Pesagens'!$B$6:$B$2005,A179,'Pesagens'!$A$6:$A$2005,O179),"")))</f>
        <v/>
      </c>
      <c r="Q179" s="42">
        <f>IF(OR(A179="",O179="",I179="",J179=""),"",IFERROR((P179-J179)/(O179-I179),""))</f>
        <v/>
      </c>
    </row>
    <row r="180">
      <c r="A180" s="36" t="n"/>
      <c r="B180" s="32" t="n"/>
      <c r="C180" s="37" t="n"/>
      <c r="D180" s="31" t="n"/>
      <c r="E180" s="32" t="n"/>
      <c r="F180" s="32" t="n"/>
      <c r="G180" s="32" t="n"/>
      <c r="H180" s="36" t="n"/>
      <c r="I180" s="31" t="n"/>
      <c r="J180" s="38" t="n"/>
      <c r="K180" s="32" t="n"/>
      <c r="L180" s="34">
        <f>IF(OR(A180="",D180=""),"",IF(D180&gt;Config!$B$5,0,DATEDIF(D180,Config!$B$5,"m")))</f>
        <v/>
      </c>
      <c r="M180" s="39">
        <f>IF(A180="","",IF(K180&lt;&gt;"",K180,IF(OR(C180="",D180=""),"Sem dados",IFERROR(IF(C180="M",INDEX(Config!$B$11:$B$14,MATCH(L180,Config!$A$11:$A$14,1)),IF(C180="F",INDEX(Config!$C$11:$C$14,MATCH(L180,Config!$A$11:$A$14,1)),"Sem dados")),"Verificar"))))</f>
        <v/>
      </c>
      <c r="N180" s="39">
        <f>IF(A180="","",IF(COUNTIFS('Movimentações'!$C$6:$C$1505,A180,'Movimentações'!$B$6:$B$1505,"Venda")&gt;0,"Vendido",IF(COUNTIFS('Movimentações'!$C$6:$C$1505,A180,'Movimentações'!$B$6:$B$1505,"Morte")&gt;0,"Morto","Ativo")))</f>
        <v/>
      </c>
      <c r="O180" s="40">
        <f>IF(A180="","",IF(COUNTIF('Pesagens'!$B$6:$B$2005,A180)=0,"",SUMPRODUCT(MAX(('Pesagens'!$B$6:$B$2005=A180)*'Pesagens'!$A$6:$A$2005))))</f>
        <v/>
      </c>
      <c r="P180" s="41">
        <f>IF(A180="","",IF(O180="",IF(J180="","",J180),IFERROR(AVERAGEIFS('Pesagens'!$C$6:$C$2005,'Pesagens'!$B$6:$B$2005,A180,'Pesagens'!$A$6:$A$2005,O180),"")))</f>
        <v/>
      </c>
      <c r="Q180" s="42">
        <f>IF(OR(A180="",O180="",I180="",J180=""),"",IFERROR((P180-J180)/(O180-I180),""))</f>
        <v/>
      </c>
    </row>
    <row r="181">
      <c r="A181" s="36" t="n"/>
      <c r="B181" s="32" t="n"/>
      <c r="C181" s="37" t="n"/>
      <c r="D181" s="31" t="n"/>
      <c r="E181" s="32" t="n"/>
      <c r="F181" s="32" t="n"/>
      <c r="G181" s="32" t="n"/>
      <c r="H181" s="36" t="n"/>
      <c r="I181" s="31" t="n"/>
      <c r="J181" s="38" t="n"/>
      <c r="K181" s="32" t="n"/>
      <c r="L181" s="34">
        <f>IF(OR(A181="",D181=""),"",IF(D181&gt;Config!$B$5,0,DATEDIF(D181,Config!$B$5,"m")))</f>
        <v/>
      </c>
      <c r="M181" s="39">
        <f>IF(A181="","",IF(K181&lt;&gt;"",K181,IF(OR(C181="",D181=""),"Sem dados",IFERROR(IF(C181="M",INDEX(Config!$B$11:$B$14,MATCH(L181,Config!$A$11:$A$14,1)),IF(C181="F",INDEX(Config!$C$11:$C$14,MATCH(L181,Config!$A$11:$A$14,1)),"Sem dados")),"Verificar"))))</f>
        <v/>
      </c>
      <c r="N181" s="39">
        <f>IF(A181="","",IF(COUNTIFS('Movimentações'!$C$6:$C$1505,A181,'Movimentações'!$B$6:$B$1505,"Venda")&gt;0,"Vendido",IF(COUNTIFS('Movimentações'!$C$6:$C$1505,A181,'Movimentações'!$B$6:$B$1505,"Morte")&gt;0,"Morto","Ativo")))</f>
        <v/>
      </c>
      <c r="O181" s="40">
        <f>IF(A181="","",IF(COUNTIF('Pesagens'!$B$6:$B$2005,A181)=0,"",SUMPRODUCT(MAX(('Pesagens'!$B$6:$B$2005=A181)*'Pesagens'!$A$6:$A$2005))))</f>
        <v/>
      </c>
      <c r="P181" s="41">
        <f>IF(A181="","",IF(O181="",IF(J181="","",J181),IFERROR(AVERAGEIFS('Pesagens'!$C$6:$C$2005,'Pesagens'!$B$6:$B$2005,A181,'Pesagens'!$A$6:$A$2005,O181),"")))</f>
        <v/>
      </c>
      <c r="Q181" s="42">
        <f>IF(OR(A181="",O181="",I181="",J181=""),"",IFERROR((P181-J181)/(O181-I181),""))</f>
        <v/>
      </c>
    </row>
    <row r="182">
      <c r="A182" s="36" t="n"/>
      <c r="B182" s="32" t="n"/>
      <c r="C182" s="37" t="n"/>
      <c r="D182" s="31" t="n"/>
      <c r="E182" s="32" t="n"/>
      <c r="F182" s="32" t="n"/>
      <c r="G182" s="32" t="n"/>
      <c r="H182" s="36" t="n"/>
      <c r="I182" s="31" t="n"/>
      <c r="J182" s="38" t="n"/>
      <c r="K182" s="32" t="n"/>
      <c r="L182" s="34">
        <f>IF(OR(A182="",D182=""),"",IF(D182&gt;Config!$B$5,0,DATEDIF(D182,Config!$B$5,"m")))</f>
        <v/>
      </c>
      <c r="M182" s="39">
        <f>IF(A182="","",IF(K182&lt;&gt;"",K182,IF(OR(C182="",D182=""),"Sem dados",IFERROR(IF(C182="M",INDEX(Config!$B$11:$B$14,MATCH(L182,Config!$A$11:$A$14,1)),IF(C182="F",INDEX(Config!$C$11:$C$14,MATCH(L182,Config!$A$11:$A$14,1)),"Sem dados")),"Verificar"))))</f>
        <v/>
      </c>
      <c r="N182" s="39">
        <f>IF(A182="","",IF(COUNTIFS('Movimentações'!$C$6:$C$1505,A182,'Movimentações'!$B$6:$B$1505,"Venda")&gt;0,"Vendido",IF(COUNTIFS('Movimentações'!$C$6:$C$1505,A182,'Movimentações'!$B$6:$B$1505,"Morte")&gt;0,"Morto","Ativo")))</f>
        <v/>
      </c>
      <c r="O182" s="40">
        <f>IF(A182="","",IF(COUNTIF('Pesagens'!$B$6:$B$2005,A182)=0,"",SUMPRODUCT(MAX(('Pesagens'!$B$6:$B$2005=A182)*'Pesagens'!$A$6:$A$2005))))</f>
        <v/>
      </c>
      <c r="P182" s="41">
        <f>IF(A182="","",IF(O182="",IF(J182="","",J182),IFERROR(AVERAGEIFS('Pesagens'!$C$6:$C$2005,'Pesagens'!$B$6:$B$2005,A182,'Pesagens'!$A$6:$A$2005,O182),"")))</f>
        <v/>
      </c>
      <c r="Q182" s="42">
        <f>IF(OR(A182="",O182="",I182="",J182=""),"",IFERROR((P182-J182)/(O182-I182),""))</f>
        <v/>
      </c>
    </row>
    <row r="183">
      <c r="A183" s="36" t="n"/>
      <c r="B183" s="32" t="n"/>
      <c r="C183" s="37" t="n"/>
      <c r="D183" s="31" t="n"/>
      <c r="E183" s="32" t="n"/>
      <c r="F183" s="32" t="n"/>
      <c r="G183" s="32" t="n"/>
      <c r="H183" s="36" t="n"/>
      <c r="I183" s="31" t="n"/>
      <c r="J183" s="38" t="n"/>
      <c r="K183" s="32" t="n"/>
      <c r="L183" s="34">
        <f>IF(OR(A183="",D183=""),"",IF(D183&gt;Config!$B$5,0,DATEDIF(D183,Config!$B$5,"m")))</f>
        <v/>
      </c>
      <c r="M183" s="39">
        <f>IF(A183="","",IF(K183&lt;&gt;"",K183,IF(OR(C183="",D183=""),"Sem dados",IFERROR(IF(C183="M",INDEX(Config!$B$11:$B$14,MATCH(L183,Config!$A$11:$A$14,1)),IF(C183="F",INDEX(Config!$C$11:$C$14,MATCH(L183,Config!$A$11:$A$14,1)),"Sem dados")),"Verificar"))))</f>
        <v/>
      </c>
      <c r="N183" s="39">
        <f>IF(A183="","",IF(COUNTIFS('Movimentações'!$C$6:$C$1505,A183,'Movimentações'!$B$6:$B$1505,"Venda")&gt;0,"Vendido",IF(COUNTIFS('Movimentações'!$C$6:$C$1505,A183,'Movimentações'!$B$6:$B$1505,"Morte")&gt;0,"Morto","Ativo")))</f>
        <v/>
      </c>
      <c r="O183" s="40">
        <f>IF(A183="","",IF(COUNTIF('Pesagens'!$B$6:$B$2005,A183)=0,"",SUMPRODUCT(MAX(('Pesagens'!$B$6:$B$2005=A183)*'Pesagens'!$A$6:$A$2005))))</f>
        <v/>
      </c>
      <c r="P183" s="41">
        <f>IF(A183="","",IF(O183="",IF(J183="","",J183),IFERROR(AVERAGEIFS('Pesagens'!$C$6:$C$2005,'Pesagens'!$B$6:$B$2005,A183,'Pesagens'!$A$6:$A$2005,O183),"")))</f>
        <v/>
      </c>
      <c r="Q183" s="42">
        <f>IF(OR(A183="",O183="",I183="",J183=""),"",IFERROR((P183-J183)/(O183-I183),""))</f>
        <v/>
      </c>
    </row>
    <row r="184">
      <c r="A184" s="36" t="n"/>
      <c r="B184" s="32" t="n"/>
      <c r="C184" s="37" t="n"/>
      <c r="D184" s="31" t="n"/>
      <c r="E184" s="32" t="n"/>
      <c r="F184" s="32" t="n"/>
      <c r="G184" s="32" t="n"/>
      <c r="H184" s="36" t="n"/>
      <c r="I184" s="31" t="n"/>
      <c r="J184" s="38" t="n"/>
      <c r="K184" s="32" t="n"/>
      <c r="L184" s="34">
        <f>IF(OR(A184="",D184=""),"",IF(D184&gt;Config!$B$5,0,DATEDIF(D184,Config!$B$5,"m")))</f>
        <v/>
      </c>
      <c r="M184" s="39">
        <f>IF(A184="","",IF(K184&lt;&gt;"",K184,IF(OR(C184="",D184=""),"Sem dados",IFERROR(IF(C184="M",INDEX(Config!$B$11:$B$14,MATCH(L184,Config!$A$11:$A$14,1)),IF(C184="F",INDEX(Config!$C$11:$C$14,MATCH(L184,Config!$A$11:$A$14,1)),"Sem dados")),"Verificar"))))</f>
        <v/>
      </c>
      <c r="N184" s="39">
        <f>IF(A184="","",IF(COUNTIFS('Movimentações'!$C$6:$C$1505,A184,'Movimentações'!$B$6:$B$1505,"Venda")&gt;0,"Vendido",IF(COUNTIFS('Movimentações'!$C$6:$C$1505,A184,'Movimentações'!$B$6:$B$1505,"Morte")&gt;0,"Morto","Ativo")))</f>
        <v/>
      </c>
      <c r="O184" s="40">
        <f>IF(A184="","",IF(COUNTIF('Pesagens'!$B$6:$B$2005,A184)=0,"",SUMPRODUCT(MAX(('Pesagens'!$B$6:$B$2005=A184)*'Pesagens'!$A$6:$A$2005))))</f>
        <v/>
      </c>
      <c r="P184" s="41">
        <f>IF(A184="","",IF(O184="",IF(J184="","",J184),IFERROR(AVERAGEIFS('Pesagens'!$C$6:$C$2005,'Pesagens'!$B$6:$B$2005,A184,'Pesagens'!$A$6:$A$2005,O184),"")))</f>
        <v/>
      </c>
      <c r="Q184" s="42">
        <f>IF(OR(A184="",O184="",I184="",J184=""),"",IFERROR((P184-J184)/(O184-I184),""))</f>
        <v/>
      </c>
    </row>
    <row r="185">
      <c r="A185" s="36" t="n"/>
      <c r="B185" s="32" t="n"/>
      <c r="C185" s="37" t="n"/>
      <c r="D185" s="31" t="n"/>
      <c r="E185" s="32" t="n"/>
      <c r="F185" s="32" t="n"/>
      <c r="G185" s="32" t="n"/>
      <c r="H185" s="36" t="n"/>
      <c r="I185" s="31" t="n"/>
      <c r="J185" s="38" t="n"/>
      <c r="K185" s="32" t="n"/>
      <c r="L185" s="34">
        <f>IF(OR(A185="",D185=""),"",IF(D185&gt;Config!$B$5,0,DATEDIF(D185,Config!$B$5,"m")))</f>
        <v/>
      </c>
      <c r="M185" s="39">
        <f>IF(A185="","",IF(K185&lt;&gt;"",K185,IF(OR(C185="",D185=""),"Sem dados",IFERROR(IF(C185="M",INDEX(Config!$B$11:$B$14,MATCH(L185,Config!$A$11:$A$14,1)),IF(C185="F",INDEX(Config!$C$11:$C$14,MATCH(L185,Config!$A$11:$A$14,1)),"Sem dados")),"Verificar"))))</f>
        <v/>
      </c>
      <c r="N185" s="39">
        <f>IF(A185="","",IF(COUNTIFS('Movimentações'!$C$6:$C$1505,A185,'Movimentações'!$B$6:$B$1505,"Venda")&gt;0,"Vendido",IF(COUNTIFS('Movimentações'!$C$6:$C$1505,A185,'Movimentações'!$B$6:$B$1505,"Morte")&gt;0,"Morto","Ativo")))</f>
        <v/>
      </c>
      <c r="O185" s="40">
        <f>IF(A185="","",IF(COUNTIF('Pesagens'!$B$6:$B$2005,A185)=0,"",SUMPRODUCT(MAX(('Pesagens'!$B$6:$B$2005=A185)*'Pesagens'!$A$6:$A$2005))))</f>
        <v/>
      </c>
      <c r="P185" s="41">
        <f>IF(A185="","",IF(O185="",IF(J185="","",J185),IFERROR(AVERAGEIFS('Pesagens'!$C$6:$C$2005,'Pesagens'!$B$6:$B$2005,A185,'Pesagens'!$A$6:$A$2005,O185),"")))</f>
        <v/>
      </c>
      <c r="Q185" s="42">
        <f>IF(OR(A185="",O185="",I185="",J185=""),"",IFERROR((P185-J185)/(O185-I185),""))</f>
        <v/>
      </c>
    </row>
    <row r="186">
      <c r="A186" s="36" t="n"/>
      <c r="B186" s="32" t="n"/>
      <c r="C186" s="37" t="n"/>
      <c r="D186" s="31" t="n"/>
      <c r="E186" s="32" t="n"/>
      <c r="F186" s="32" t="n"/>
      <c r="G186" s="32" t="n"/>
      <c r="H186" s="36" t="n"/>
      <c r="I186" s="31" t="n"/>
      <c r="J186" s="38" t="n"/>
      <c r="K186" s="32" t="n"/>
      <c r="L186" s="34">
        <f>IF(OR(A186="",D186=""),"",IF(D186&gt;Config!$B$5,0,DATEDIF(D186,Config!$B$5,"m")))</f>
        <v/>
      </c>
      <c r="M186" s="39">
        <f>IF(A186="","",IF(K186&lt;&gt;"",K186,IF(OR(C186="",D186=""),"Sem dados",IFERROR(IF(C186="M",INDEX(Config!$B$11:$B$14,MATCH(L186,Config!$A$11:$A$14,1)),IF(C186="F",INDEX(Config!$C$11:$C$14,MATCH(L186,Config!$A$11:$A$14,1)),"Sem dados")),"Verificar"))))</f>
        <v/>
      </c>
      <c r="N186" s="39">
        <f>IF(A186="","",IF(COUNTIFS('Movimentações'!$C$6:$C$1505,A186,'Movimentações'!$B$6:$B$1505,"Venda")&gt;0,"Vendido",IF(COUNTIFS('Movimentações'!$C$6:$C$1505,A186,'Movimentações'!$B$6:$B$1505,"Morte")&gt;0,"Morto","Ativo")))</f>
        <v/>
      </c>
      <c r="O186" s="40">
        <f>IF(A186="","",IF(COUNTIF('Pesagens'!$B$6:$B$2005,A186)=0,"",SUMPRODUCT(MAX(('Pesagens'!$B$6:$B$2005=A186)*'Pesagens'!$A$6:$A$2005))))</f>
        <v/>
      </c>
      <c r="P186" s="41">
        <f>IF(A186="","",IF(O186="",IF(J186="","",J186),IFERROR(AVERAGEIFS('Pesagens'!$C$6:$C$2005,'Pesagens'!$B$6:$B$2005,A186,'Pesagens'!$A$6:$A$2005,O186),"")))</f>
        <v/>
      </c>
      <c r="Q186" s="42">
        <f>IF(OR(A186="",O186="",I186="",J186=""),"",IFERROR((P186-J186)/(O186-I186),""))</f>
        <v/>
      </c>
    </row>
    <row r="187">
      <c r="A187" s="36" t="n"/>
      <c r="B187" s="32" t="n"/>
      <c r="C187" s="37" t="n"/>
      <c r="D187" s="31" t="n"/>
      <c r="E187" s="32" t="n"/>
      <c r="F187" s="32" t="n"/>
      <c r="G187" s="32" t="n"/>
      <c r="H187" s="36" t="n"/>
      <c r="I187" s="31" t="n"/>
      <c r="J187" s="38" t="n"/>
      <c r="K187" s="32" t="n"/>
      <c r="L187" s="34">
        <f>IF(OR(A187="",D187=""),"",IF(D187&gt;Config!$B$5,0,DATEDIF(D187,Config!$B$5,"m")))</f>
        <v/>
      </c>
      <c r="M187" s="39">
        <f>IF(A187="","",IF(K187&lt;&gt;"",K187,IF(OR(C187="",D187=""),"Sem dados",IFERROR(IF(C187="M",INDEX(Config!$B$11:$B$14,MATCH(L187,Config!$A$11:$A$14,1)),IF(C187="F",INDEX(Config!$C$11:$C$14,MATCH(L187,Config!$A$11:$A$14,1)),"Sem dados")),"Verificar"))))</f>
        <v/>
      </c>
      <c r="N187" s="39">
        <f>IF(A187="","",IF(COUNTIFS('Movimentações'!$C$6:$C$1505,A187,'Movimentações'!$B$6:$B$1505,"Venda")&gt;0,"Vendido",IF(COUNTIFS('Movimentações'!$C$6:$C$1505,A187,'Movimentações'!$B$6:$B$1505,"Morte")&gt;0,"Morto","Ativo")))</f>
        <v/>
      </c>
      <c r="O187" s="40">
        <f>IF(A187="","",IF(COUNTIF('Pesagens'!$B$6:$B$2005,A187)=0,"",SUMPRODUCT(MAX(('Pesagens'!$B$6:$B$2005=A187)*'Pesagens'!$A$6:$A$2005))))</f>
        <v/>
      </c>
      <c r="P187" s="41">
        <f>IF(A187="","",IF(O187="",IF(J187="","",J187),IFERROR(AVERAGEIFS('Pesagens'!$C$6:$C$2005,'Pesagens'!$B$6:$B$2005,A187,'Pesagens'!$A$6:$A$2005,O187),"")))</f>
        <v/>
      </c>
      <c r="Q187" s="42">
        <f>IF(OR(A187="",O187="",I187="",J187=""),"",IFERROR((P187-J187)/(O187-I187),""))</f>
        <v/>
      </c>
    </row>
    <row r="188">
      <c r="A188" s="36" t="n"/>
      <c r="B188" s="32" t="n"/>
      <c r="C188" s="37" t="n"/>
      <c r="D188" s="31" t="n"/>
      <c r="E188" s="32" t="n"/>
      <c r="F188" s="32" t="n"/>
      <c r="G188" s="32" t="n"/>
      <c r="H188" s="36" t="n"/>
      <c r="I188" s="31" t="n"/>
      <c r="J188" s="38" t="n"/>
      <c r="K188" s="32" t="n"/>
      <c r="L188" s="34">
        <f>IF(OR(A188="",D188=""),"",IF(D188&gt;Config!$B$5,0,DATEDIF(D188,Config!$B$5,"m")))</f>
        <v/>
      </c>
      <c r="M188" s="39">
        <f>IF(A188="","",IF(K188&lt;&gt;"",K188,IF(OR(C188="",D188=""),"Sem dados",IFERROR(IF(C188="M",INDEX(Config!$B$11:$B$14,MATCH(L188,Config!$A$11:$A$14,1)),IF(C188="F",INDEX(Config!$C$11:$C$14,MATCH(L188,Config!$A$11:$A$14,1)),"Sem dados")),"Verificar"))))</f>
        <v/>
      </c>
      <c r="N188" s="39">
        <f>IF(A188="","",IF(COUNTIFS('Movimentações'!$C$6:$C$1505,A188,'Movimentações'!$B$6:$B$1505,"Venda")&gt;0,"Vendido",IF(COUNTIFS('Movimentações'!$C$6:$C$1505,A188,'Movimentações'!$B$6:$B$1505,"Morte")&gt;0,"Morto","Ativo")))</f>
        <v/>
      </c>
      <c r="O188" s="40">
        <f>IF(A188="","",IF(COUNTIF('Pesagens'!$B$6:$B$2005,A188)=0,"",SUMPRODUCT(MAX(('Pesagens'!$B$6:$B$2005=A188)*'Pesagens'!$A$6:$A$2005))))</f>
        <v/>
      </c>
      <c r="P188" s="41">
        <f>IF(A188="","",IF(O188="",IF(J188="","",J188),IFERROR(AVERAGEIFS('Pesagens'!$C$6:$C$2005,'Pesagens'!$B$6:$B$2005,A188,'Pesagens'!$A$6:$A$2005,O188),"")))</f>
        <v/>
      </c>
      <c r="Q188" s="42">
        <f>IF(OR(A188="",O188="",I188="",J188=""),"",IFERROR((P188-J188)/(O188-I188),""))</f>
        <v/>
      </c>
    </row>
    <row r="189">
      <c r="A189" s="36" t="n"/>
      <c r="B189" s="32" t="n"/>
      <c r="C189" s="37" t="n"/>
      <c r="D189" s="31" t="n"/>
      <c r="E189" s="32" t="n"/>
      <c r="F189" s="32" t="n"/>
      <c r="G189" s="32" t="n"/>
      <c r="H189" s="36" t="n"/>
      <c r="I189" s="31" t="n"/>
      <c r="J189" s="38" t="n"/>
      <c r="K189" s="32" t="n"/>
      <c r="L189" s="34">
        <f>IF(OR(A189="",D189=""),"",IF(D189&gt;Config!$B$5,0,DATEDIF(D189,Config!$B$5,"m")))</f>
        <v/>
      </c>
      <c r="M189" s="39">
        <f>IF(A189="","",IF(K189&lt;&gt;"",K189,IF(OR(C189="",D189=""),"Sem dados",IFERROR(IF(C189="M",INDEX(Config!$B$11:$B$14,MATCH(L189,Config!$A$11:$A$14,1)),IF(C189="F",INDEX(Config!$C$11:$C$14,MATCH(L189,Config!$A$11:$A$14,1)),"Sem dados")),"Verificar"))))</f>
        <v/>
      </c>
      <c r="N189" s="39">
        <f>IF(A189="","",IF(COUNTIFS('Movimentações'!$C$6:$C$1505,A189,'Movimentações'!$B$6:$B$1505,"Venda")&gt;0,"Vendido",IF(COUNTIFS('Movimentações'!$C$6:$C$1505,A189,'Movimentações'!$B$6:$B$1505,"Morte")&gt;0,"Morto","Ativo")))</f>
        <v/>
      </c>
      <c r="O189" s="40">
        <f>IF(A189="","",IF(COUNTIF('Pesagens'!$B$6:$B$2005,A189)=0,"",SUMPRODUCT(MAX(('Pesagens'!$B$6:$B$2005=A189)*'Pesagens'!$A$6:$A$2005))))</f>
        <v/>
      </c>
      <c r="P189" s="41">
        <f>IF(A189="","",IF(O189="",IF(J189="","",J189),IFERROR(AVERAGEIFS('Pesagens'!$C$6:$C$2005,'Pesagens'!$B$6:$B$2005,A189,'Pesagens'!$A$6:$A$2005,O189),"")))</f>
        <v/>
      </c>
      <c r="Q189" s="42">
        <f>IF(OR(A189="",O189="",I189="",J189=""),"",IFERROR((P189-J189)/(O189-I189),""))</f>
        <v/>
      </c>
    </row>
    <row r="190">
      <c r="A190" s="36" t="n"/>
      <c r="B190" s="32" t="n"/>
      <c r="C190" s="37" t="n"/>
      <c r="D190" s="31" t="n"/>
      <c r="E190" s="32" t="n"/>
      <c r="F190" s="32" t="n"/>
      <c r="G190" s="32" t="n"/>
      <c r="H190" s="36" t="n"/>
      <c r="I190" s="31" t="n"/>
      <c r="J190" s="38" t="n"/>
      <c r="K190" s="32" t="n"/>
      <c r="L190" s="34">
        <f>IF(OR(A190="",D190=""),"",IF(D190&gt;Config!$B$5,0,DATEDIF(D190,Config!$B$5,"m")))</f>
        <v/>
      </c>
      <c r="M190" s="39">
        <f>IF(A190="","",IF(K190&lt;&gt;"",K190,IF(OR(C190="",D190=""),"Sem dados",IFERROR(IF(C190="M",INDEX(Config!$B$11:$B$14,MATCH(L190,Config!$A$11:$A$14,1)),IF(C190="F",INDEX(Config!$C$11:$C$14,MATCH(L190,Config!$A$11:$A$14,1)),"Sem dados")),"Verificar"))))</f>
        <v/>
      </c>
      <c r="N190" s="39">
        <f>IF(A190="","",IF(COUNTIFS('Movimentações'!$C$6:$C$1505,A190,'Movimentações'!$B$6:$B$1505,"Venda")&gt;0,"Vendido",IF(COUNTIFS('Movimentações'!$C$6:$C$1505,A190,'Movimentações'!$B$6:$B$1505,"Morte")&gt;0,"Morto","Ativo")))</f>
        <v/>
      </c>
      <c r="O190" s="40">
        <f>IF(A190="","",IF(COUNTIF('Pesagens'!$B$6:$B$2005,A190)=0,"",SUMPRODUCT(MAX(('Pesagens'!$B$6:$B$2005=A190)*'Pesagens'!$A$6:$A$2005))))</f>
        <v/>
      </c>
      <c r="P190" s="41">
        <f>IF(A190="","",IF(O190="",IF(J190="","",J190),IFERROR(AVERAGEIFS('Pesagens'!$C$6:$C$2005,'Pesagens'!$B$6:$B$2005,A190,'Pesagens'!$A$6:$A$2005,O190),"")))</f>
        <v/>
      </c>
      <c r="Q190" s="42">
        <f>IF(OR(A190="",O190="",I190="",J190=""),"",IFERROR((P190-J190)/(O190-I190),""))</f>
        <v/>
      </c>
    </row>
    <row r="191">
      <c r="A191" s="36" t="n"/>
      <c r="B191" s="32" t="n"/>
      <c r="C191" s="37" t="n"/>
      <c r="D191" s="31" t="n"/>
      <c r="E191" s="32" t="n"/>
      <c r="F191" s="32" t="n"/>
      <c r="G191" s="32" t="n"/>
      <c r="H191" s="36" t="n"/>
      <c r="I191" s="31" t="n"/>
      <c r="J191" s="38" t="n"/>
      <c r="K191" s="32" t="n"/>
      <c r="L191" s="34">
        <f>IF(OR(A191="",D191=""),"",IF(D191&gt;Config!$B$5,0,DATEDIF(D191,Config!$B$5,"m")))</f>
        <v/>
      </c>
      <c r="M191" s="39">
        <f>IF(A191="","",IF(K191&lt;&gt;"",K191,IF(OR(C191="",D191=""),"Sem dados",IFERROR(IF(C191="M",INDEX(Config!$B$11:$B$14,MATCH(L191,Config!$A$11:$A$14,1)),IF(C191="F",INDEX(Config!$C$11:$C$14,MATCH(L191,Config!$A$11:$A$14,1)),"Sem dados")),"Verificar"))))</f>
        <v/>
      </c>
      <c r="N191" s="39">
        <f>IF(A191="","",IF(COUNTIFS('Movimentações'!$C$6:$C$1505,A191,'Movimentações'!$B$6:$B$1505,"Venda")&gt;0,"Vendido",IF(COUNTIFS('Movimentações'!$C$6:$C$1505,A191,'Movimentações'!$B$6:$B$1505,"Morte")&gt;0,"Morto","Ativo")))</f>
        <v/>
      </c>
      <c r="O191" s="40">
        <f>IF(A191="","",IF(COUNTIF('Pesagens'!$B$6:$B$2005,A191)=0,"",SUMPRODUCT(MAX(('Pesagens'!$B$6:$B$2005=A191)*'Pesagens'!$A$6:$A$2005))))</f>
        <v/>
      </c>
      <c r="P191" s="41">
        <f>IF(A191="","",IF(O191="",IF(J191="","",J191),IFERROR(AVERAGEIFS('Pesagens'!$C$6:$C$2005,'Pesagens'!$B$6:$B$2005,A191,'Pesagens'!$A$6:$A$2005,O191),"")))</f>
        <v/>
      </c>
      <c r="Q191" s="42">
        <f>IF(OR(A191="",O191="",I191="",J191=""),"",IFERROR((P191-J191)/(O191-I191),""))</f>
        <v/>
      </c>
    </row>
    <row r="192">
      <c r="A192" s="36" t="n"/>
      <c r="B192" s="32" t="n"/>
      <c r="C192" s="37" t="n"/>
      <c r="D192" s="31" t="n"/>
      <c r="E192" s="32" t="n"/>
      <c r="F192" s="32" t="n"/>
      <c r="G192" s="32" t="n"/>
      <c r="H192" s="36" t="n"/>
      <c r="I192" s="31" t="n"/>
      <c r="J192" s="38" t="n"/>
      <c r="K192" s="32" t="n"/>
      <c r="L192" s="34">
        <f>IF(OR(A192="",D192=""),"",IF(D192&gt;Config!$B$5,0,DATEDIF(D192,Config!$B$5,"m")))</f>
        <v/>
      </c>
      <c r="M192" s="39">
        <f>IF(A192="","",IF(K192&lt;&gt;"",K192,IF(OR(C192="",D192=""),"Sem dados",IFERROR(IF(C192="M",INDEX(Config!$B$11:$B$14,MATCH(L192,Config!$A$11:$A$14,1)),IF(C192="F",INDEX(Config!$C$11:$C$14,MATCH(L192,Config!$A$11:$A$14,1)),"Sem dados")),"Verificar"))))</f>
        <v/>
      </c>
      <c r="N192" s="39">
        <f>IF(A192="","",IF(COUNTIFS('Movimentações'!$C$6:$C$1505,A192,'Movimentações'!$B$6:$B$1505,"Venda")&gt;0,"Vendido",IF(COUNTIFS('Movimentações'!$C$6:$C$1505,A192,'Movimentações'!$B$6:$B$1505,"Morte")&gt;0,"Morto","Ativo")))</f>
        <v/>
      </c>
      <c r="O192" s="40">
        <f>IF(A192="","",IF(COUNTIF('Pesagens'!$B$6:$B$2005,A192)=0,"",SUMPRODUCT(MAX(('Pesagens'!$B$6:$B$2005=A192)*'Pesagens'!$A$6:$A$2005))))</f>
        <v/>
      </c>
      <c r="P192" s="41">
        <f>IF(A192="","",IF(O192="",IF(J192="","",J192),IFERROR(AVERAGEIFS('Pesagens'!$C$6:$C$2005,'Pesagens'!$B$6:$B$2005,A192,'Pesagens'!$A$6:$A$2005,O192),"")))</f>
        <v/>
      </c>
      <c r="Q192" s="42">
        <f>IF(OR(A192="",O192="",I192="",J192=""),"",IFERROR((P192-J192)/(O192-I192),""))</f>
        <v/>
      </c>
    </row>
    <row r="193">
      <c r="A193" s="36" t="n"/>
      <c r="B193" s="32" t="n"/>
      <c r="C193" s="37" t="n"/>
      <c r="D193" s="31" t="n"/>
      <c r="E193" s="32" t="n"/>
      <c r="F193" s="32" t="n"/>
      <c r="G193" s="32" t="n"/>
      <c r="H193" s="36" t="n"/>
      <c r="I193" s="31" t="n"/>
      <c r="J193" s="38" t="n"/>
      <c r="K193" s="32" t="n"/>
      <c r="L193" s="34">
        <f>IF(OR(A193="",D193=""),"",IF(D193&gt;Config!$B$5,0,DATEDIF(D193,Config!$B$5,"m")))</f>
        <v/>
      </c>
      <c r="M193" s="39">
        <f>IF(A193="","",IF(K193&lt;&gt;"",K193,IF(OR(C193="",D193=""),"Sem dados",IFERROR(IF(C193="M",INDEX(Config!$B$11:$B$14,MATCH(L193,Config!$A$11:$A$14,1)),IF(C193="F",INDEX(Config!$C$11:$C$14,MATCH(L193,Config!$A$11:$A$14,1)),"Sem dados")),"Verificar"))))</f>
        <v/>
      </c>
      <c r="N193" s="39">
        <f>IF(A193="","",IF(COUNTIFS('Movimentações'!$C$6:$C$1505,A193,'Movimentações'!$B$6:$B$1505,"Venda")&gt;0,"Vendido",IF(COUNTIFS('Movimentações'!$C$6:$C$1505,A193,'Movimentações'!$B$6:$B$1505,"Morte")&gt;0,"Morto","Ativo")))</f>
        <v/>
      </c>
      <c r="O193" s="40">
        <f>IF(A193="","",IF(COUNTIF('Pesagens'!$B$6:$B$2005,A193)=0,"",SUMPRODUCT(MAX(('Pesagens'!$B$6:$B$2005=A193)*'Pesagens'!$A$6:$A$2005))))</f>
        <v/>
      </c>
      <c r="P193" s="41">
        <f>IF(A193="","",IF(O193="",IF(J193="","",J193),IFERROR(AVERAGEIFS('Pesagens'!$C$6:$C$2005,'Pesagens'!$B$6:$B$2005,A193,'Pesagens'!$A$6:$A$2005,O193),"")))</f>
        <v/>
      </c>
      <c r="Q193" s="42">
        <f>IF(OR(A193="",O193="",I193="",J193=""),"",IFERROR((P193-J193)/(O193-I193),""))</f>
        <v/>
      </c>
    </row>
    <row r="194">
      <c r="A194" s="36" t="n"/>
      <c r="B194" s="32" t="n"/>
      <c r="C194" s="37" t="n"/>
      <c r="D194" s="31" t="n"/>
      <c r="E194" s="32" t="n"/>
      <c r="F194" s="32" t="n"/>
      <c r="G194" s="32" t="n"/>
      <c r="H194" s="36" t="n"/>
      <c r="I194" s="31" t="n"/>
      <c r="J194" s="38" t="n"/>
      <c r="K194" s="32" t="n"/>
      <c r="L194" s="34">
        <f>IF(OR(A194="",D194=""),"",IF(D194&gt;Config!$B$5,0,DATEDIF(D194,Config!$B$5,"m")))</f>
        <v/>
      </c>
      <c r="M194" s="39">
        <f>IF(A194="","",IF(K194&lt;&gt;"",K194,IF(OR(C194="",D194=""),"Sem dados",IFERROR(IF(C194="M",INDEX(Config!$B$11:$B$14,MATCH(L194,Config!$A$11:$A$14,1)),IF(C194="F",INDEX(Config!$C$11:$C$14,MATCH(L194,Config!$A$11:$A$14,1)),"Sem dados")),"Verificar"))))</f>
        <v/>
      </c>
      <c r="N194" s="39">
        <f>IF(A194="","",IF(COUNTIFS('Movimentações'!$C$6:$C$1505,A194,'Movimentações'!$B$6:$B$1505,"Venda")&gt;0,"Vendido",IF(COUNTIFS('Movimentações'!$C$6:$C$1505,A194,'Movimentações'!$B$6:$B$1505,"Morte")&gt;0,"Morto","Ativo")))</f>
        <v/>
      </c>
      <c r="O194" s="40">
        <f>IF(A194="","",IF(COUNTIF('Pesagens'!$B$6:$B$2005,A194)=0,"",SUMPRODUCT(MAX(('Pesagens'!$B$6:$B$2005=A194)*'Pesagens'!$A$6:$A$2005))))</f>
        <v/>
      </c>
      <c r="P194" s="41">
        <f>IF(A194="","",IF(O194="",IF(J194="","",J194),IFERROR(AVERAGEIFS('Pesagens'!$C$6:$C$2005,'Pesagens'!$B$6:$B$2005,A194,'Pesagens'!$A$6:$A$2005,O194),"")))</f>
        <v/>
      </c>
      <c r="Q194" s="42">
        <f>IF(OR(A194="",O194="",I194="",J194=""),"",IFERROR((P194-J194)/(O194-I194),""))</f>
        <v/>
      </c>
    </row>
    <row r="195">
      <c r="A195" s="36" t="n"/>
      <c r="B195" s="32" t="n"/>
      <c r="C195" s="37" t="n"/>
      <c r="D195" s="31" t="n"/>
      <c r="E195" s="32" t="n"/>
      <c r="F195" s="32" t="n"/>
      <c r="G195" s="32" t="n"/>
      <c r="H195" s="36" t="n"/>
      <c r="I195" s="31" t="n"/>
      <c r="J195" s="38" t="n"/>
      <c r="K195" s="32" t="n"/>
      <c r="L195" s="34">
        <f>IF(OR(A195="",D195=""),"",IF(D195&gt;Config!$B$5,0,DATEDIF(D195,Config!$B$5,"m")))</f>
        <v/>
      </c>
      <c r="M195" s="39">
        <f>IF(A195="","",IF(K195&lt;&gt;"",K195,IF(OR(C195="",D195=""),"Sem dados",IFERROR(IF(C195="M",INDEX(Config!$B$11:$B$14,MATCH(L195,Config!$A$11:$A$14,1)),IF(C195="F",INDEX(Config!$C$11:$C$14,MATCH(L195,Config!$A$11:$A$14,1)),"Sem dados")),"Verificar"))))</f>
        <v/>
      </c>
      <c r="N195" s="39">
        <f>IF(A195="","",IF(COUNTIFS('Movimentações'!$C$6:$C$1505,A195,'Movimentações'!$B$6:$B$1505,"Venda")&gt;0,"Vendido",IF(COUNTIFS('Movimentações'!$C$6:$C$1505,A195,'Movimentações'!$B$6:$B$1505,"Morte")&gt;0,"Morto","Ativo")))</f>
        <v/>
      </c>
      <c r="O195" s="40">
        <f>IF(A195="","",IF(COUNTIF('Pesagens'!$B$6:$B$2005,A195)=0,"",SUMPRODUCT(MAX(('Pesagens'!$B$6:$B$2005=A195)*'Pesagens'!$A$6:$A$2005))))</f>
        <v/>
      </c>
      <c r="P195" s="41">
        <f>IF(A195="","",IF(O195="",IF(J195="","",J195),IFERROR(AVERAGEIFS('Pesagens'!$C$6:$C$2005,'Pesagens'!$B$6:$B$2005,A195,'Pesagens'!$A$6:$A$2005,O195),"")))</f>
        <v/>
      </c>
      <c r="Q195" s="42">
        <f>IF(OR(A195="",O195="",I195="",J195=""),"",IFERROR((P195-J195)/(O195-I195),""))</f>
        <v/>
      </c>
    </row>
    <row r="196">
      <c r="A196" s="36" t="n"/>
      <c r="B196" s="32" t="n"/>
      <c r="C196" s="37" t="n"/>
      <c r="D196" s="31" t="n"/>
      <c r="E196" s="32" t="n"/>
      <c r="F196" s="32" t="n"/>
      <c r="G196" s="32" t="n"/>
      <c r="H196" s="36" t="n"/>
      <c r="I196" s="31" t="n"/>
      <c r="J196" s="38" t="n"/>
      <c r="K196" s="32" t="n"/>
      <c r="L196" s="34">
        <f>IF(OR(A196="",D196=""),"",IF(D196&gt;Config!$B$5,0,DATEDIF(D196,Config!$B$5,"m")))</f>
        <v/>
      </c>
      <c r="M196" s="39">
        <f>IF(A196="","",IF(K196&lt;&gt;"",K196,IF(OR(C196="",D196=""),"Sem dados",IFERROR(IF(C196="M",INDEX(Config!$B$11:$B$14,MATCH(L196,Config!$A$11:$A$14,1)),IF(C196="F",INDEX(Config!$C$11:$C$14,MATCH(L196,Config!$A$11:$A$14,1)),"Sem dados")),"Verificar"))))</f>
        <v/>
      </c>
      <c r="N196" s="39">
        <f>IF(A196="","",IF(COUNTIFS('Movimentações'!$C$6:$C$1505,A196,'Movimentações'!$B$6:$B$1505,"Venda")&gt;0,"Vendido",IF(COUNTIFS('Movimentações'!$C$6:$C$1505,A196,'Movimentações'!$B$6:$B$1505,"Morte")&gt;0,"Morto","Ativo")))</f>
        <v/>
      </c>
      <c r="O196" s="40">
        <f>IF(A196="","",IF(COUNTIF('Pesagens'!$B$6:$B$2005,A196)=0,"",SUMPRODUCT(MAX(('Pesagens'!$B$6:$B$2005=A196)*'Pesagens'!$A$6:$A$2005))))</f>
        <v/>
      </c>
      <c r="P196" s="41">
        <f>IF(A196="","",IF(O196="",IF(J196="","",J196),IFERROR(AVERAGEIFS('Pesagens'!$C$6:$C$2005,'Pesagens'!$B$6:$B$2005,A196,'Pesagens'!$A$6:$A$2005,O196),"")))</f>
        <v/>
      </c>
      <c r="Q196" s="42">
        <f>IF(OR(A196="",O196="",I196="",J196=""),"",IFERROR((P196-J196)/(O196-I196),""))</f>
        <v/>
      </c>
    </row>
    <row r="197">
      <c r="A197" s="36" t="n"/>
      <c r="B197" s="32" t="n"/>
      <c r="C197" s="37" t="n"/>
      <c r="D197" s="31" t="n"/>
      <c r="E197" s="32" t="n"/>
      <c r="F197" s="32" t="n"/>
      <c r="G197" s="32" t="n"/>
      <c r="H197" s="36" t="n"/>
      <c r="I197" s="31" t="n"/>
      <c r="J197" s="38" t="n"/>
      <c r="K197" s="32" t="n"/>
      <c r="L197" s="34">
        <f>IF(OR(A197="",D197=""),"",IF(D197&gt;Config!$B$5,0,DATEDIF(D197,Config!$B$5,"m")))</f>
        <v/>
      </c>
      <c r="M197" s="39">
        <f>IF(A197="","",IF(K197&lt;&gt;"",K197,IF(OR(C197="",D197=""),"Sem dados",IFERROR(IF(C197="M",INDEX(Config!$B$11:$B$14,MATCH(L197,Config!$A$11:$A$14,1)),IF(C197="F",INDEX(Config!$C$11:$C$14,MATCH(L197,Config!$A$11:$A$14,1)),"Sem dados")),"Verificar"))))</f>
        <v/>
      </c>
      <c r="N197" s="39">
        <f>IF(A197="","",IF(COUNTIFS('Movimentações'!$C$6:$C$1505,A197,'Movimentações'!$B$6:$B$1505,"Venda")&gt;0,"Vendido",IF(COUNTIFS('Movimentações'!$C$6:$C$1505,A197,'Movimentações'!$B$6:$B$1505,"Morte")&gt;0,"Morto","Ativo")))</f>
        <v/>
      </c>
      <c r="O197" s="40">
        <f>IF(A197="","",IF(COUNTIF('Pesagens'!$B$6:$B$2005,A197)=0,"",SUMPRODUCT(MAX(('Pesagens'!$B$6:$B$2005=A197)*'Pesagens'!$A$6:$A$2005))))</f>
        <v/>
      </c>
      <c r="P197" s="41">
        <f>IF(A197="","",IF(O197="",IF(J197="","",J197),IFERROR(AVERAGEIFS('Pesagens'!$C$6:$C$2005,'Pesagens'!$B$6:$B$2005,A197,'Pesagens'!$A$6:$A$2005,O197),"")))</f>
        <v/>
      </c>
      <c r="Q197" s="42">
        <f>IF(OR(A197="",O197="",I197="",J197=""),"",IFERROR((P197-J197)/(O197-I197),""))</f>
        <v/>
      </c>
    </row>
    <row r="198">
      <c r="A198" s="36" t="n"/>
      <c r="B198" s="32" t="n"/>
      <c r="C198" s="37" t="n"/>
      <c r="D198" s="31" t="n"/>
      <c r="E198" s="32" t="n"/>
      <c r="F198" s="32" t="n"/>
      <c r="G198" s="32" t="n"/>
      <c r="H198" s="36" t="n"/>
      <c r="I198" s="31" t="n"/>
      <c r="J198" s="38" t="n"/>
      <c r="K198" s="32" t="n"/>
      <c r="L198" s="34">
        <f>IF(OR(A198="",D198=""),"",IF(D198&gt;Config!$B$5,0,DATEDIF(D198,Config!$B$5,"m")))</f>
        <v/>
      </c>
      <c r="M198" s="39">
        <f>IF(A198="","",IF(K198&lt;&gt;"",K198,IF(OR(C198="",D198=""),"Sem dados",IFERROR(IF(C198="M",INDEX(Config!$B$11:$B$14,MATCH(L198,Config!$A$11:$A$14,1)),IF(C198="F",INDEX(Config!$C$11:$C$14,MATCH(L198,Config!$A$11:$A$14,1)),"Sem dados")),"Verificar"))))</f>
        <v/>
      </c>
      <c r="N198" s="39">
        <f>IF(A198="","",IF(COUNTIFS('Movimentações'!$C$6:$C$1505,A198,'Movimentações'!$B$6:$B$1505,"Venda")&gt;0,"Vendido",IF(COUNTIFS('Movimentações'!$C$6:$C$1505,A198,'Movimentações'!$B$6:$B$1505,"Morte")&gt;0,"Morto","Ativo")))</f>
        <v/>
      </c>
      <c r="O198" s="40">
        <f>IF(A198="","",IF(COUNTIF('Pesagens'!$B$6:$B$2005,A198)=0,"",SUMPRODUCT(MAX(('Pesagens'!$B$6:$B$2005=A198)*'Pesagens'!$A$6:$A$2005))))</f>
        <v/>
      </c>
      <c r="P198" s="41">
        <f>IF(A198="","",IF(O198="",IF(J198="","",J198),IFERROR(AVERAGEIFS('Pesagens'!$C$6:$C$2005,'Pesagens'!$B$6:$B$2005,A198,'Pesagens'!$A$6:$A$2005,O198),"")))</f>
        <v/>
      </c>
      <c r="Q198" s="42">
        <f>IF(OR(A198="",O198="",I198="",J198=""),"",IFERROR((P198-J198)/(O198-I198),""))</f>
        <v/>
      </c>
    </row>
    <row r="199">
      <c r="A199" s="36" t="n"/>
      <c r="B199" s="32" t="n"/>
      <c r="C199" s="37" t="n"/>
      <c r="D199" s="31" t="n"/>
      <c r="E199" s="32" t="n"/>
      <c r="F199" s="32" t="n"/>
      <c r="G199" s="32" t="n"/>
      <c r="H199" s="36" t="n"/>
      <c r="I199" s="31" t="n"/>
      <c r="J199" s="38" t="n"/>
      <c r="K199" s="32" t="n"/>
      <c r="L199" s="34">
        <f>IF(OR(A199="",D199=""),"",IF(D199&gt;Config!$B$5,0,DATEDIF(D199,Config!$B$5,"m")))</f>
        <v/>
      </c>
      <c r="M199" s="39">
        <f>IF(A199="","",IF(K199&lt;&gt;"",K199,IF(OR(C199="",D199=""),"Sem dados",IFERROR(IF(C199="M",INDEX(Config!$B$11:$B$14,MATCH(L199,Config!$A$11:$A$14,1)),IF(C199="F",INDEX(Config!$C$11:$C$14,MATCH(L199,Config!$A$11:$A$14,1)),"Sem dados")),"Verificar"))))</f>
        <v/>
      </c>
      <c r="N199" s="39">
        <f>IF(A199="","",IF(COUNTIFS('Movimentações'!$C$6:$C$1505,A199,'Movimentações'!$B$6:$B$1505,"Venda")&gt;0,"Vendido",IF(COUNTIFS('Movimentações'!$C$6:$C$1505,A199,'Movimentações'!$B$6:$B$1505,"Morte")&gt;0,"Morto","Ativo")))</f>
        <v/>
      </c>
      <c r="O199" s="40">
        <f>IF(A199="","",IF(COUNTIF('Pesagens'!$B$6:$B$2005,A199)=0,"",SUMPRODUCT(MAX(('Pesagens'!$B$6:$B$2005=A199)*'Pesagens'!$A$6:$A$2005))))</f>
        <v/>
      </c>
      <c r="P199" s="41">
        <f>IF(A199="","",IF(O199="",IF(J199="","",J199),IFERROR(AVERAGEIFS('Pesagens'!$C$6:$C$2005,'Pesagens'!$B$6:$B$2005,A199,'Pesagens'!$A$6:$A$2005,O199),"")))</f>
        <v/>
      </c>
      <c r="Q199" s="42">
        <f>IF(OR(A199="",O199="",I199="",J199=""),"",IFERROR((P199-J199)/(O199-I199),""))</f>
        <v/>
      </c>
    </row>
    <row r="200">
      <c r="A200" s="36" t="n"/>
      <c r="B200" s="32" t="n"/>
      <c r="C200" s="37" t="n"/>
      <c r="D200" s="31" t="n"/>
      <c r="E200" s="32" t="n"/>
      <c r="F200" s="32" t="n"/>
      <c r="G200" s="32" t="n"/>
      <c r="H200" s="36" t="n"/>
      <c r="I200" s="31" t="n"/>
      <c r="J200" s="38" t="n"/>
      <c r="K200" s="32" t="n"/>
      <c r="L200" s="34">
        <f>IF(OR(A200="",D200=""),"",IF(D200&gt;Config!$B$5,0,DATEDIF(D200,Config!$B$5,"m")))</f>
        <v/>
      </c>
      <c r="M200" s="39">
        <f>IF(A200="","",IF(K200&lt;&gt;"",K200,IF(OR(C200="",D200=""),"Sem dados",IFERROR(IF(C200="M",INDEX(Config!$B$11:$B$14,MATCH(L200,Config!$A$11:$A$14,1)),IF(C200="F",INDEX(Config!$C$11:$C$14,MATCH(L200,Config!$A$11:$A$14,1)),"Sem dados")),"Verificar"))))</f>
        <v/>
      </c>
      <c r="N200" s="39">
        <f>IF(A200="","",IF(COUNTIFS('Movimentações'!$C$6:$C$1505,A200,'Movimentações'!$B$6:$B$1505,"Venda")&gt;0,"Vendido",IF(COUNTIFS('Movimentações'!$C$6:$C$1505,A200,'Movimentações'!$B$6:$B$1505,"Morte")&gt;0,"Morto","Ativo")))</f>
        <v/>
      </c>
      <c r="O200" s="40">
        <f>IF(A200="","",IF(COUNTIF('Pesagens'!$B$6:$B$2005,A200)=0,"",SUMPRODUCT(MAX(('Pesagens'!$B$6:$B$2005=A200)*'Pesagens'!$A$6:$A$2005))))</f>
        <v/>
      </c>
      <c r="P200" s="41">
        <f>IF(A200="","",IF(O200="",IF(J200="","",J200),IFERROR(AVERAGEIFS('Pesagens'!$C$6:$C$2005,'Pesagens'!$B$6:$B$2005,A200,'Pesagens'!$A$6:$A$2005,O200),"")))</f>
        <v/>
      </c>
      <c r="Q200" s="42">
        <f>IF(OR(A200="",O200="",I200="",J200=""),"",IFERROR((P200-J200)/(O200-I200),""))</f>
        <v/>
      </c>
    </row>
    <row r="201">
      <c r="A201" s="36" t="n"/>
      <c r="B201" s="32" t="n"/>
      <c r="C201" s="37" t="n"/>
      <c r="D201" s="31" t="n"/>
      <c r="E201" s="32" t="n"/>
      <c r="F201" s="32" t="n"/>
      <c r="G201" s="32" t="n"/>
      <c r="H201" s="36" t="n"/>
      <c r="I201" s="31" t="n"/>
      <c r="J201" s="38" t="n"/>
      <c r="K201" s="32" t="n"/>
      <c r="L201" s="34">
        <f>IF(OR(A201="",D201=""),"",IF(D201&gt;Config!$B$5,0,DATEDIF(D201,Config!$B$5,"m")))</f>
        <v/>
      </c>
      <c r="M201" s="39">
        <f>IF(A201="","",IF(K201&lt;&gt;"",K201,IF(OR(C201="",D201=""),"Sem dados",IFERROR(IF(C201="M",INDEX(Config!$B$11:$B$14,MATCH(L201,Config!$A$11:$A$14,1)),IF(C201="F",INDEX(Config!$C$11:$C$14,MATCH(L201,Config!$A$11:$A$14,1)),"Sem dados")),"Verificar"))))</f>
        <v/>
      </c>
      <c r="N201" s="39">
        <f>IF(A201="","",IF(COUNTIFS('Movimentações'!$C$6:$C$1505,A201,'Movimentações'!$B$6:$B$1505,"Venda")&gt;0,"Vendido",IF(COUNTIFS('Movimentações'!$C$6:$C$1505,A201,'Movimentações'!$B$6:$B$1505,"Morte")&gt;0,"Morto","Ativo")))</f>
        <v/>
      </c>
      <c r="O201" s="40">
        <f>IF(A201="","",IF(COUNTIF('Pesagens'!$B$6:$B$2005,A201)=0,"",SUMPRODUCT(MAX(('Pesagens'!$B$6:$B$2005=A201)*'Pesagens'!$A$6:$A$2005))))</f>
        <v/>
      </c>
      <c r="P201" s="41">
        <f>IF(A201="","",IF(O201="",IF(J201="","",J201),IFERROR(AVERAGEIFS('Pesagens'!$C$6:$C$2005,'Pesagens'!$B$6:$B$2005,A201,'Pesagens'!$A$6:$A$2005,O201),"")))</f>
        <v/>
      </c>
      <c r="Q201" s="42">
        <f>IF(OR(A201="",O201="",I201="",J201=""),"",IFERROR((P201-J201)/(O201-I201),""))</f>
        <v/>
      </c>
    </row>
    <row r="202">
      <c r="A202" s="36" t="n"/>
      <c r="B202" s="32" t="n"/>
      <c r="C202" s="37" t="n"/>
      <c r="D202" s="31" t="n"/>
      <c r="E202" s="32" t="n"/>
      <c r="F202" s="32" t="n"/>
      <c r="G202" s="32" t="n"/>
      <c r="H202" s="36" t="n"/>
      <c r="I202" s="31" t="n"/>
      <c r="J202" s="38" t="n"/>
      <c r="K202" s="32" t="n"/>
      <c r="L202" s="34">
        <f>IF(OR(A202="",D202=""),"",IF(D202&gt;Config!$B$5,0,DATEDIF(D202,Config!$B$5,"m")))</f>
        <v/>
      </c>
      <c r="M202" s="39">
        <f>IF(A202="","",IF(K202&lt;&gt;"",K202,IF(OR(C202="",D202=""),"Sem dados",IFERROR(IF(C202="M",INDEX(Config!$B$11:$B$14,MATCH(L202,Config!$A$11:$A$14,1)),IF(C202="F",INDEX(Config!$C$11:$C$14,MATCH(L202,Config!$A$11:$A$14,1)),"Sem dados")),"Verificar"))))</f>
        <v/>
      </c>
      <c r="N202" s="39">
        <f>IF(A202="","",IF(COUNTIFS('Movimentações'!$C$6:$C$1505,A202,'Movimentações'!$B$6:$B$1505,"Venda")&gt;0,"Vendido",IF(COUNTIFS('Movimentações'!$C$6:$C$1505,A202,'Movimentações'!$B$6:$B$1505,"Morte")&gt;0,"Morto","Ativo")))</f>
        <v/>
      </c>
      <c r="O202" s="40">
        <f>IF(A202="","",IF(COUNTIF('Pesagens'!$B$6:$B$2005,A202)=0,"",SUMPRODUCT(MAX(('Pesagens'!$B$6:$B$2005=A202)*'Pesagens'!$A$6:$A$2005))))</f>
        <v/>
      </c>
      <c r="P202" s="41">
        <f>IF(A202="","",IF(O202="",IF(J202="","",J202),IFERROR(AVERAGEIFS('Pesagens'!$C$6:$C$2005,'Pesagens'!$B$6:$B$2005,A202,'Pesagens'!$A$6:$A$2005,O202),"")))</f>
        <v/>
      </c>
      <c r="Q202" s="42">
        <f>IF(OR(A202="",O202="",I202="",J202=""),"",IFERROR((P202-J202)/(O202-I202),""))</f>
        <v/>
      </c>
    </row>
    <row r="203">
      <c r="A203" s="36" t="n"/>
      <c r="B203" s="32" t="n"/>
      <c r="C203" s="37" t="n"/>
      <c r="D203" s="31" t="n"/>
      <c r="E203" s="32" t="n"/>
      <c r="F203" s="32" t="n"/>
      <c r="G203" s="32" t="n"/>
      <c r="H203" s="36" t="n"/>
      <c r="I203" s="31" t="n"/>
      <c r="J203" s="38" t="n"/>
      <c r="K203" s="32" t="n"/>
      <c r="L203" s="34">
        <f>IF(OR(A203="",D203=""),"",IF(D203&gt;Config!$B$5,0,DATEDIF(D203,Config!$B$5,"m")))</f>
        <v/>
      </c>
      <c r="M203" s="39">
        <f>IF(A203="","",IF(K203&lt;&gt;"",K203,IF(OR(C203="",D203=""),"Sem dados",IFERROR(IF(C203="M",INDEX(Config!$B$11:$B$14,MATCH(L203,Config!$A$11:$A$14,1)),IF(C203="F",INDEX(Config!$C$11:$C$14,MATCH(L203,Config!$A$11:$A$14,1)),"Sem dados")),"Verificar"))))</f>
        <v/>
      </c>
      <c r="N203" s="39">
        <f>IF(A203="","",IF(COUNTIFS('Movimentações'!$C$6:$C$1505,A203,'Movimentações'!$B$6:$B$1505,"Venda")&gt;0,"Vendido",IF(COUNTIFS('Movimentações'!$C$6:$C$1505,A203,'Movimentações'!$B$6:$B$1505,"Morte")&gt;0,"Morto","Ativo")))</f>
        <v/>
      </c>
      <c r="O203" s="40">
        <f>IF(A203="","",IF(COUNTIF('Pesagens'!$B$6:$B$2005,A203)=0,"",SUMPRODUCT(MAX(('Pesagens'!$B$6:$B$2005=A203)*'Pesagens'!$A$6:$A$2005))))</f>
        <v/>
      </c>
      <c r="P203" s="41">
        <f>IF(A203="","",IF(O203="",IF(J203="","",J203),IFERROR(AVERAGEIFS('Pesagens'!$C$6:$C$2005,'Pesagens'!$B$6:$B$2005,A203,'Pesagens'!$A$6:$A$2005,O203),"")))</f>
        <v/>
      </c>
      <c r="Q203" s="42">
        <f>IF(OR(A203="",O203="",I203="",J203=""),"",IFERROR((P203-J203)/(O203-I203),""))</f>
        <v/>
      </c>
    </row>
    <row r="204">
      <c r="A204" s="36" t="n"/>
      <c r="B204" s="32" t="n"/>
      <c r="C204" s="37" t="n"/>
      <c r="D204" s="31" t="n"/>
      <c r="E204" s="32" t="n"/>
      <c r="F204" s="32" t="n"/>
      <c r="G204" s="32" t="n"/>
      <c r="H204" s="36" t="n"/>
      <c r="I204" s="31" t="n"/>
      <c r="J204" s="38" t="n"/>
      <c r="K204" s="32" t="n"/>
      <c r="L204" s="34">
        <f>IF(OR(A204="",D204=""),"",IF(D204&gt;Config!$B$5,0,DATEDIF(D204,Config!$B$5,"m")))</f>
        <v/>
      </c>
      <c r="M204" s="39">
        <f>IF(A204="","",IF(K204&lt;&gt;"",K204,IF(OR(C204="",D204=""),"Sem dados",IFERROR(IF(C204="M",INDEX(Config!$B$11:$B$14,MATCH(L204,Config!$A$11:$A$14,1)),IF(C204="F",INDEX(Config!$C$11:$C$14,MATCH(L204,Config!$A$11:$A$14,1)),"Sem dados")),"Verificar"))))</f>
        <v/>
      </c>
      <c r="N204" s="39">
        <f>IF(A204="","",IF(COUNTIFS('Movimentações'!$C$6:$C$1505,A204,'Movimentações'!$B$6:$B$1505,"Venda")&gt;0,"Vendido",IF(COUNTIFS('Movimentações'!$C$6:$C$1505,A204,'Movimentações'!$B$6:$B$1505,"Morte")&gt;0,"Morto","Ativo")))</f>
        <v/>
      </c>
      <c r="O204" s="40">
        <f>IF(A204="","",IF(COUNTIF('Pesagens'!$B$6:$B$2005,A204)=0,"",SUMPRODUCT(MAX(('Pesagens'!$B$6:$B$2005=A204)*'Pesagens'!$A$6:$A$2005))))</f>
        <v/>
      </c>
      <c r="P204" s="41">
        <f>IF(A204="","",IF(O204="",IF(J204="","",J204),IFERROR(AVERAGEIFS('Pesagens'!$C$6:$C$2005,'Pesagens'!$B$6:$B$2005,A204,'Pesagens'!$A$6:$A$2005,O204),"")))</f>
        <v/>
      </c>
      <c r="Q204" s="42">
        <f>IF(OR(A204="",O204="",I204="",J204=""),"",IFERROR((P204-J204)/(O204-I204),""))</f>
        <v/>
      </c>
    </row>
    <row r="205">
      <c r="A205" s="36" t="n"/>
      <c r="B205" s="32" t="n"/>
      <c r="C205" s="37" t="n"/>
      <c r="D205" s="31" t="n"/>
      <c r="E205" s="32" t="n"/>
      <c r="F205" s="32" t="n"/>
      <c r="G205" s="32" t="n"/>
      <c r="H205" s="36" t="n"/>
      <c r="I205" s="31" t="n"/>
      <c r="J205" s="38" t="n"/>
      <c r="K205" s="32" t="n"/>
      <c r="L205" s="34">
        <f>IF(OR(A205="",D205=""),"",IF(D205&gt;Config!$B$5,0,DATEDIF(D205,Config!$B$5,"m")))</f>
        <v/>
      </c>
      <c r="M205" s="39">
        <f>IF(A205="","",IF(K205&lt;&gt;"",K205,IF(OR(C205="",D205=""),"Sem dados",IFERROR(IF(C205="M",INDEX(Config!$B$11:$B$14,MATCH(L205,Config!$A$11:$A$14,1)),IF(C205="F",INDEX(Config!$C$11:$C$14,MATCH(L205,Config!$A$11:$A$14,1)),"Sem dados")),"Verificar"))))</f>
        <v/>
      </c>
      <c r="N205" s="39">
        <f>IF(A205="","",IF(COUNTIFS('Movimentações'!$C$6:$C$1505,A205,'Movimentações'!$B$6:$B$1505,"Venda")&gt;0,"Vendido",IF(COUNTIFS('Movimentações'!$C$6:$C$1505,A205,'Movimentações'!$B$6:$B$1505,"Morte")&gt;0,"Morto","Ativo")))</f>
        <v/>
      </c>
      <c r="O205" s="40">
        <f>IF(A205="","",IF(COUNTIF('Pesagens'!$B$6:$B$2005,A205)=0,"",SUMPRODUCT(MAX(('Pesagens'!$B$6:$B$2005=A205)*'Pesagens'!$A$6:$A$2005))))</f>
        <v/>
      </c>
      <c r="P205" s="41">
        <f>IF(A205="","",IF(O205="",IF(J205="","",J205),IFERROR(AVERAGEIFS('Pesagens'!$C$6:$C$2005,'Pesagens'!$B$6:$B$2005,A205,'Pesagens'!$A$6:$A$2005,O205),"")))</f>
        <v/>
      </c>
      <c r="Q205" s="42">
        <f>IF(OR(A205="",O205="",I205="",J205=""),"",IFERROR((P205-J205)/(O205-I205),""))</f>
        <v/>
      </c>
    </row>
    <row r="206">
      <c r="A206" s="36" t="n"/>
      <c r="B206" s="32" t="n"/>
      <c r="C206" s="37" t="n"/>
      <c r="D206" s="31" t="n"/>
      <c r="E206" s="32" t="n"/>
      <c r="F206" s="32" t="n"/>
      <c r="G206" s="32" t="n"/>
      <c r="H206" s="36" t="n"/>
      <c r="I206" s="31" t="n"/>
      <c r="J206" s="38" t="n"/>
      <c r="K206" s="32" t="n"/>
      <c r="L206" s="34">
        <f>IF(OR(A206="",D206=""),"",IF(D206&gt;Config!$B$5,0,DATEDIF(D206,Config!$B$5,"m")))</f>
        <v/>
      </c>
      <c r="M206" s="39">
        <f>IF(A206="","",IF(K206&lt;&gt;"",K206,IF(OR(C206="",D206=""),"Sem dados",IFERROR(IF(C206="M",INDEX(Config!$B$11:$B$14,MATCH(L206,Config!$A$11:$A$14,1)),IF(C206="F",INDEX(Config!$C$11:$C$14,MATCH(L206,Config!$A$11:$A$14,1)),"Sem dados")),"Verificar"))))</f>
        <v/>
      </c>
      <c r="N206" s="39">
        <f>IF(A206="","",IF(COUNTIFS('Movimentações'!$C$6:$C$1505,A206,'Movimentações'!$B$6:$B$1505,"Venda")&gt;0,"Vendido",IF(COUNTIFS('Movimentações'!$C$6:$C$1505,A206,'Movimentações'!$B$6:$B$1505,"Morte")&gt;0,"Morto","Ativo")))</f>
        <v/>
      </c>
      <c r="O206" s="40">
        <f>IF(A206="","",IF(COUNTIF('Pesagens'!$B$6:$B$2005,A206)=0,"",SUMPRODUCT(MAX(('Pesagens'!$B$6:$B$2005=A206)*'Pesagens'!$A$6:$A$2005))))</f>
        <v/>
      </c>
      <c r="P206" s="41">
        <f>IF(A206="","",IF(O206="",IF(J206="","",J206),IFERROR(AVERAGEIFS('Pesagens'!$C$6:$C$2005,'Pesagens'!$B$6:$B$2005,A206,'Pesagens'!$A$6:$A$2005,O206),"")))</f>
        <v/>
      </c>
      <c r="Q206" s="42">
        <f>IF(OR(A206="",O206="",I206="",J206=""),"",IFERROR((P206-J206)/(O206-I206),""))</f>
        <v/>
      </c>
    </row>
    <row r="207">
      <c r="A207" s="36" t="n"/>
      <c r="B207" s="32" t="n"/>
      <c r="C207" s="37" t="n"/>
      <c r="D207" s="31" t="n"/>
      <c r="E207" s="32" t="n"/>
      <c r="F207" s="32" t="n"/>
      <c r="G207" s="32" t="n"/>
      <c r="H207" s="36" t="n"/>
      <c r="I207" s="31" t="n"/>
      <c r="J207" s="38" t="n"/>
      <c r="K207" s="32" t="n"/>
      <c r="L207" s="34">
        <f>IF(OR(A207="",D207=""),"",IF(D207&gt;Config!$B$5,0,DATEDIF(D207,Config!$B$5,"m")))</f>
        <v/>
      </c>
      <c r="M207" s="39">
        <f>IF(A207="","",IF(K207&lt;&gt;"",K207,IF(OR(C207="",D207=""),"Sem dados",IFERROR(IF(C207="M",INDEX(Config!$B$11:$B$14,MATCH(L207,Config!$A$11:$A$14,1)),IF(C207="F",INDEX(Config!$C$11:$C$14,MATCH(L207,Config!$A$11:$A$14,1)),"Sem dados")),"Verificar"))))</f>
        <v/>
      </c>
      <c r="N207" s="39">
        <f>IF(A207="","",IF(COUNTIFS('Movimentações'!$C$6:$C$1505,A207,'Movimentações'!$B$6:$B$1505,"Venda")&gt;0,"Vendido",IF(COUNTIFS('Movimentações'!$C$6:$C$1505,A207,'Movimentações'!$B$6:$B$1505,"Morte")&gt;0,"Morto","Ativo")))</f>
        <v/>
      </c>
      <c r="O207" s="40">
        <f>IF(A207="","",IF(COUNTIF('Pesagens'!$B$6:$B$2005,A207)=0,"",SUMPRODUCT(MAX(('Pesagens'!$B$6:$B$2005=A207)*'Pesagens'!$A$6:$A$2005))))</f>
        <v/>
      </c>
      <c r="P207" s="41">
        <f>IF(A207="","",IF(O207="",IF(J207="","",J207),IFERROR(AVERAGEIFS('Pesagens'!$C$6:$C$2005,'Pesagens'!$B$6:$B$2005,A207,'Pesagens'!$A$6:$A$2005,O207),"")))</f>
        <v/>
      </c>
      <c r="Q207" s="42">
        <f>IF(OR(A207="",O207="",I207="",J207=""),"",IFERROR((P207-J207)/(O207-I207),""))</f>
        <v/>
      </c>
    </row>
    <row r="208">
      <c r="A208" s="36" t="n"/>
      <c r="B208" s="32" t="n"/>
      <c r="C208" s="37" t="n"/>
      <c r="D208" s="31" t="n"/>
      <c r="E208" s="32" t="n"/>
      <c r="F208" s="32" t="n"/>
      <c r="G208" s="32" t="n"/>
      <c r="H208" s="36" t="n"/>
      <c r="I208" s="31" t="n"/>
      <c r="J208" s="38" t="n"/>
      <c r="K208" s="32" t="n"/>
      <c r="L208" s="34">
        <f>IF(OR(A208="",D208=""),"",IF(D208&gt;Config!$B$5,0,DATEDIF(D208,Config!$B$5,"m")))</f>
        <v/>
      </c>
      <c r="M208" s="39">
        <f>IF(A208="","",IF(K208&lt;&gt;"",K208,IF(OR(C208="",D208=""),"Sem dados",IFERROR(IF(C208="M",INDEX(Config!$B$11:$B$14,MATCH(L208,Config!$A$11:$A$14,1)),IF(C208="F",INDEX(Config!$C$11:$C$14,MATCH(L208,Config!$A$11:$A$14,1)),"Sem dados")),"Verificar"))))</f>
        <v/>
      </c>
      <c r="N208" s="39">
        <f>IF(A208="","",IF(COUNTIFS('Movimentações'!$C$6:$C$1505,A208,'Movimentações'!$B$6:$B$1505,"Venda")&gt;0,"Vendido",IF(COUNTIFS('Movimentações'!$C$6:$C$1505,A208,'Movimentações'!$B$6:$B$1505,"Morte")&gt;0,"Morto","Ativo")))</f>
        <v/>
      </c>
      <c r="O208" s="40">
        <f>IF(A208="","",IF(COUNTIF('Pesagens'!$B$6:$B$2005,A208)=0,"",SUMPRODUCT(MAX(('Pesagens'!$B$6:$B$2005=A208)*'Pesagens'!$A$6:$A$2005))))</f>
        <v/>
      </c>
      <c r="P208" s="41">
        <f>IF(A208="","",IF(O208="",IF(J208="","",J208),IFERROR(AVERAGEIFS('Pesagens'!$C$6:$C$2005,'Pesagens'!$B$6:$B$2005,A208,'Pesagens'!$A$6:$A$2005,O208),"")))</f>
        <v/>
      </c>
      <c r="Q208" s="42">
        <f>IF(OR(A208="",O208="",I208="",J208=""),"",IFERROR((P208-J208)/(O208-I208),""))</f>
        <v/>
      </c>
    </row>
    <row r="209">
      <c r="A209" s="36" t="n"/>
      <c r="B209" s="32" t="n"/>
      <c r="C209" s="37" t="n"/>
      <c r="D209" s="31" t="n"/>
      <c r="E209" s="32" t="n"/>
      <c r="F209" s="32" t="n"/>
      <c r="G209" s="32" t="n"/>
      <c r="H209" s="36" t="n"/>
      <c r="I209" s="31" t="n"/>
      <c r="J209" s="38" t="n"/>
      <c r="K209" s="32" t="n"/>
      <c r="L209" s="34">
        <f>IF(OR(A209="",D209=""),"",IF(D209&gt;Config!$B$5,0,DATEDIF(D209,Config!$B$5,"m")))</f>
        <v/>
      </c>
      <c r="M209" s="39">
        <f>IF(A209="","",IF(K209&lt;&gt;"",K209,IF(OR(C209="",D209=""),"Sem dados",IFERROR(IF(C209="M",INDEX(Config!$B$11:$B$14,MATCH(L209,Config!$A$11:$A$14,1)),IF(C209="F",INDEX(Config!$C$11:$C$14,MATCH(L209,Config!$A$11:$A$14,1)),"Sem dados")),"Verificar"))))</f>
        <v/>
      </c>
      <c r="N209" s="39">
        <f>IF(A209="","",IF(COUNTIFS('Movimentações'!$C$6:$C$1505,A209,'Movimentações'!$B$6:$B$1505,"Venda")&gt;0,"Vendido",IF(COUNTIFS('Movimentações'!$C$6:$C$1505,A209,'Movimentações'!$B$6:$B$1505,"Morte")&gt;0,"Morto","Ativo")))</f>
        <v/>
      </c>
      <c r="O209" s="40">
        <f>IF(A209="","",IF(COUNTIF('Pesagens'!$B$6:$B$2005,A209)=0,"",SUMPRODUCT(MAX(('Pesagens'!$B$6:$B$2005=A209)*'Pesagens'!$A$6:$A$2005))))</f>
        <v/>
      </c>
      <c r="P209" s="41">
        <f>IF(A209="","",IF(O209="",IF(J209="","",J209),IFERROR(AVERAGEIFS('Pesagens'!$C$6:$C$2005,'Pesagens'!$B$6:$B$2005,A209,'Pesagens'!$A$6:$A$2005,O209),"")))</f>
        <v/>
      </c>
      <c r="Q209" s="42">
        <f>IF(OR(A209="",O209="",I209="",J209=""),"",IFERROR((P209-J209)/(O209-I209),""))</f>
        <v/>
      </c>
    </row>
    <row r="210">
      <c r="A210" s="36" t="n"/>
      <c r="B210" s="32" t="n"/>
      <c r="C210" s="37" t="n"/>
      <c r="D210" s="31" t="n"/>
      <c r="E210" s="32" t="n"/>
      <c r="F210" s="32" t="n"/>
      <c r="G210" s="32" t="n"/>
      <c r="H210" s="36" t="n"/>
      <c r="I210" s="31" t="n"/>
      <c r="J210" s="38" t="n"/>
      <c r="K210" s="32" t="n"/>
      <c r="L210" s="34">
        <f>IF(OR(A210="",D210=""),"",IF(D210&gt;Config!$B$5,0,DATEDIF(D210,Config!$B$5,"m")))</f>
        <v/>
      </c>
      <c r="M210" s="39">
        <f>IF(A210="","",IF(K210&lt;&gt;"",K210,IF(OR(C210="",D210=""),"Sem dados",IFERROR(IF(C210="M",INDEX(Config!$B$11:$B$14,MATCH(L210,Config!$A$11:$A$14,1)),IF(C210="F",INDEX(Config!$C$11:$C$14,MATCH(L210,Config!$A$11:$A$14,1)),"Sem dados")),"Verificar"))))</f>
        <v/>
      </c>
      <c r="N210" s="39">
        <f>IF(A210="","",IF(COUNTIFS('Movimentações'!$C$6:$C$1505,A210,'Movimentações'!$B$6:$B$1505,"Venda")&gt;0,"Vendido",IF(COUNTIFS('Movimentações'!$C$6:$C$1505,A210,'Movimentações'!$B$6:$B$1505,"Morte")&gt;0,"Morto","Ativo")))</f>
        <v/>
      </c>
      <c r="O210" s="40">
        <f>IF(A210="","",IF(COUNTIF('Pesagens'!$B$6:$B$2005,A210)=0,"",SUMPRODUCT(MAX(('Pesagens'!$B$6:$B$2005=A210)*'Pesagens'!$A$6:$A$2005))))</f>
        <v/>
      </c>
      <c r="P210" s="41">
        <f>IF(A210="","",IF(O210="",IF(J210="","",J210),IFERROR(AVERAGEIFS('Pesagens'!$C$6:$C$2005,'Pesagens'!$B$6:$B$2005,A210,'Pesagens'!$A$6:$A$2005,O210),"")))</f>
        <v/>
      </c>
      <c r="Q210" s="42">
        <f>IF(OR(A210="",O210="",I210="",J210=""),"",IFERROR((P210-J210)/(O210-I210),""))</f>
        <v/>
      </c>
    </row>
    <row r="211">
      <c r="A211" s="36" t="n"/>
      <c r="B211" s="32" t="n"/>
      <c r="C211" s="37" t="n"/>
      <c r="D211" s="31" t="n"/>
      <c r="E211" s="32" t="n"/>
      <c r="F211" s="32" t="n"/>
      <c r="G211" s="32" t="n"/>
      <c r="H211" s="36" t="n"/>
      <c r="I211" s="31" t="n"/>
      <c r="J211" s="38" t="n"/>
      <c r="K211" s="32" t="n"/>
      <c r="L211" s="34">
        <f>IF(OR(A211="",D211=""),"",IF(D211&gt;Config!$B$5,0,DATEDIF(D211,Config!$B$5,"m")))</f>
        <v/>
      </c>
      <c r="M211" s="39">
        <f>IF(A211="","",IF(K211&lt;&gt;"",K211,IF(OR(C211="",D211=""),"Sem dados",IFERROR(IF(C211="M",INDEX(Config!$B$11:$B$14,MATCH(L211,Config!$A$11:$A$14,1)),IF(C211="F",INDEX(Config!$C$11:$C$14,MATCH(L211,Config!$A$11:$A$14,1)),"Sem dados")),"Verificar"))))</f>
        <v/>
      </c>
      <c r="N211" s="39">
        <f>IF(A211="","",IF(COUNTIFS('Movimentações'!$C$6:$C$1505,A211,'Movimentações'!$B$6:$B$1505,"Venda")&gt;0,"Vendido",IF(COUNTIFS('Movimentações'!$C$6:$C$1505,A211,'Movimentações'!$B$6:$B$1505,"Morte")&gt;0,"Morto","Ativo")))</f>
        <v/>
      </c>
      <c r="O211" s="40">
        <f>IF(A211="","",IF(COUNTIF('Pesagens'!$B$6:$B$2005,A211)=0,"",SUMPRODUCT(MAX(('Pesagens'!$B$6:$B$2005=A211)*'Pesagens'!$A$6:$A$2005))))</f>
        <v/>
      </c>
      <c r="P211" s="41">
        <f>IF(A211="","",IF(O211="",IF(J211="","",J211),IFERROR(AVERAGEIFS('Pesagens'!$C$6:$C$2005,'Pesagens'!$B$6:$B$2005,A211,'Pesagens'!$A$6:$A$2005,O211),"")))</f>
        <v/>
      </c>
      <c r="Q211" s="42">
        <f>IF(OR(A211="",O211="",I211="",J211=""),"",IFERROR((P211-J211)/(O211-I211),""))</f>
        <v/>
      </c>
    </row>
    <row r="212">
      <c r="A212" s="36" t="n"/>
      <c r="B212" s="32" t="n"/>
      <c r="C212" s="37" t="n"/>
      <c r="D212" s="31" t="n"/>
      <c r="E212" s="32" t="n"/>
      <c r="F212" s="32" t="n"/>
      <c r="G212" s="32" t="n"/>
      <c r="H212" s="36" t="n"/>
      <c r="I212" s="31" t="n"/>
      <c r="J212" s="38" t="n"/>
      <c r="K212" s="32" t="n"/>
      <c r="L212" s="34">
        <f>IF(OR(A212="",D212=""),"",IF(D212&gt;Config!$B$5,0,DATEDIF(D212,Config!$B$5,"m")))</f>
        <v/>
      </c>
      <c r="M212" s="39">
        <f>IF(A212="","",IF(K212&lt;&gt;"",K212,IF(OR(C212="",D212=""),"Sem dados",IFERROR(IF(C212="M",INDEX(Config!$B$11:$B$14,MATCH(L212,Config!$A$11:$A$14,1)),IF(C212="F",INDEX(Config!$C$11:$C$14,MATCH(L212,Config!$A$11:$A$14,1)),"Sem dados")),"Verificar"))))</f>
        <v/>
      </c>
      <c r="N212" s="39">
        <f>IF(A212="","",IF(COUNTIFS('Movimentações'!$C$6:$C$1505,A212,'Movimentações'!$B$6:$B$1505,"Venda")&gt;0,"Vendido",IF(COUNTIFS('Movimentações'!$C$6:$C$1505,A212,'Movimentações'!$B$6:$B$1505,"Morte")&gt;0,"Morto","Ativo")))</f>
        <v/>
      </c>
      <c r="O212" s="40">
        <f>IF(A212="","",IF(COUNTIF('Pesagens'!$B$6:$B$2005,A212)=0,"",SUMPRODUCT(MAX(('Pesagens'!$B$6:$B$2005=A212)*'Pesagens'!$A$6:$A$2005))))</f>
        <v/>
      </c>
      <c r="P212" s="41">
        <f>IF(A212="","",IF(O212="",IF(J212="","",J212),IFERROR(AVERAGEIFS('Pesagens'!$C$6:$C$2005,'Pesagens'!$B$6:$B$2005,A212,'Pesagens'!$A$6:$A$2005,O212),"")))</f>
        <v/>
      </c>
      <c r="Q212" s="42">
        <f>IF(OR(A212="",O212="",I212="",J212=""),"",IFERROR((P212-J212)/(O212-I212),""))</f>
        <v/>
      </c>
    </row>
    <row r="213">
      <c r="A213" s="36" t="n"/>
      <c r="B213" s="32" t="n"/>
      <c r="C213" s="37" t="n"/>
      <c r="D213" s="31" t="n"/>
      <c r="E213" s="32" t="n"/>
      <c r="F213" s="32" t="n"/>
      <c r="G213" s="32" t="n"/>
      <c r="H213" s="36" t="n"/>
      <c r="I213" s="31" t="n"/>
      <c r="J213" s="38" t="n"/>
      <c r="K213" s="32" t="n"/>
      <c r="L213" s="34">
        <f>IF(OR(A213="",D213=""),"",IF(D213&gt;Config!$B$5,0,DATEDIF(D213,Config!$B$5,"m")))</f>
        <v/>
      </c>
      <c r="M213" s="39">
        <f>IF(A213="","",IF(K213&lt;&gt;"",K213,IF(OR(C213="",D213=""),"Sem dados",IFERROR(IF(C213="M",INDEX(Config!$B$11:$B$14,MATCH(L213,Config!$A$11:$A$14,1)),IF(C213="F",INDEX(Config!$C$11:$C$14,MATCH(L213,Config!$A$11:$A$14,1)),"Sem dados")),"Verificar"))))</f>
        <v/>
      </c>
      <c r="N213" s="39">
        <f>IF(A213="","",IF(COUNTIFS('Movimentações'!$C$6:$C$1505,A213,'Movimentações'!$B$6:$B$1505,"Venda")&gt;0,"Vendido",IF(COUNTIFS('Movimentações'!$C$6:$C$1505,A213,'Movimentações'!$B$6:$B$1505,"Morte")&gt;0,"Morto","Ativo")))</f>
        <v/>
      </c>
      <c r="O213" s="40">
        <f>IF(A213="","",IF(COUNTIF('Pesagens'!$B$6:$B$2005,A213)=0,"",SUMPRODUCT(MAX(('Pesagens'!$B$6:$B$2005=A213)*'Pesagens'!$A$6:$A$2005))))</f>
        <v/>
      </c>
      <c r="P213" s="41">
        <f>IF(A213="","",IF(O213="",IF(J213="","",J213),IFERROR(AVERAGEIFS('Pesagens'!$C$6:$C$2005,'Pesagens'!$B$6:$B$2005,A213,'Pesagens'!$A$6:$A$2005,O213),"")))</f>
        <v/>
      </c>
      <c r="Q213" s="42">
        <f>IF(OR(A213="",O213="",I213="",J213=""),"",IFERROR((P213-J213)/(O213-I213),""))</f>
        <v/>
      </c>
    </row>
    <row r="214">
      <c r="A214" s="36" t="n"/>
      <c r="B214" s="32" t="n"/>
      <c r="C214" s="37" t="n"/>
      <c r="D214" s="31" t="n"/>
      <c r="E214" s="32" t="n"/>
      <c r="F214" s="32" t="n"/>
      <c r="G214" s="32" t="n"/>
      <c r="H214" s="36" t="n"/>
      <c r="I214" s="31" t="n"/>
      <c r="J214" s="38" t="n"/>
      <c r="K214" s="32" t="n"/>
      <c r="L214" s="34">
        <f>IF(OR(A214="",D214=""),"",IF(D214&gt;Config!$B$5,0,DATEDIF(D214,Config!$B$5,"m")))</f>
        <v/>
      </c>
      <c r="M214" s="39">
        <f>IF(A214="","",IF(K214&lt;&gt;"",K214,IF(OR(C214="",D214=""),"Sem dados",IFERROR(IF(C214="M",INDEX(Config!$B$11:$B$14,MATCH(L214,Config!$A$11:$A$14,1)),IF(C214="F",INDEX(Config!$C$11:$C$14,MATCH(L214,Config!$A$11:$A$14,1)),"Sem dados")),"Verificar"))))</f>
        <v/>
      </c>
      <c r="N214" s="39">
        <f>IF(A214="","",IF(COUNTIFS('Movimentações'!$C$6:$C$1505,A214,'Movimentações'!$B$6:$B$1505,"Venda")&gt;0,"Vendido",IF(COUNTIFS('Movimentações'!$C$6:$C$1505,A214,'Movimentações'!$B$6:$B$1505,"Morte")&gt;0,"Morto","Ativo")))</f>
        <v/>
      </c>
      <c r="O214" s="40">
        <f>IF(A214="","",IF(COUNTIF('Pesagens'!$B$6:$B$2005,A214)=0,"",SUMPRODUCT(MAX(('Pesagens'!$B$6:$B$2005=A214)*'Pesagens'!$A$6:$A$2005))))</f>
        <v/>
      </c>
      <c r="P214" s="41">
        <f>IF(A214="","",IF(O214="",IF(J214="","",J214),IFERROR(AVERAGEIFS('Pesagens'!$C$6:$C$2005,'Pesagens'!$B$6:$B$2005,A214,'Pesagens'!$A$6:$A$2005,O214),"")))</f>
        <v/>
      </c>
      <c r="Q214" s="42">
        <f>IF(OR(A214="",O214="",I214="",J214=""),"",IFERROR((P214-J214)/(O214-I214),""))</f>
        <v/>
      </c>
    </row>
    <row r="215">
      <c r="A215" s="36" t="n"/>
      <c r="B215" s="32" t="n"/>
      <c r="C215" s="37" t="n"/>
      <c r="D215" s="31" t="n"/>
      <c r="E215" s="32" t="n"/>
      <c r="F215" s="32" t="n"/>
      <c r="G215" s="32" t="n"/>
      <c r="H215" s="36" t="n"/>
      <c r="I215" s="31" t="n"/>
      <c r="J215" s="38" t="n"/>
      <c r="K215" s="32" t="n"/>
      <c r="L215" s="34">
        <f>IF(OR(A215="",D215=""),"",IF(D215&gt;Config!$B$5,0,DATEDIF(D215,Config!$B$5,"m")))</f>
        <v/>
      </c>
      <c r="M215" s="39">
        <f>IF(A215="","",IF(K215&lt;&gt;"",K215,IF(OR(C215="",D215=""),"Sem dados",IFERROR(IF(C215="M",INDEX(Config!$B$11:$B$14,MATCH(L215,Config!$A$11:$A$14,1)),IF(C215="F",INDEX(Config!$C$11:$C$14,MATCH(L215,Config!$A$11:$A$14,1)),"Sem dados")),"Verificar"))))</f>
        <v/>
      </c>
      <c r="N215" s="39">
        <f>IF(A215="","",IF(COUNTIFS('Movimentações'!$C$6:$C$1505,A215,'Movimentações'!$B$6:$B$1505,"Venda")&gt;0,"Vendido",IF(COUNTIFS('Movimentações'!$C$6:$C$1505,A215,'Movimentações'!$B$6:$B$1505,"Morte")&gt;0,"Morto","Ativo")))</f>
        <v/>
      </c>
      <c r="O215" s="40">
        <f>IF(A215="","",IF(COUNTIF('Pesagens'!$B$6:$B$2005,A215)=0,"",SUMPRODUCT(MAX(('Pesagens'!$B$6:$B$2005=A215)*'Pesagens'!$A$6:$A$2005))))</f>
        <v/>
      </c>
      <c r="P215" s="41">
        <f>IF(A215="","",IF(O215="",IF(J215="","",J215),IFERROR(AVERAGEIFS('Pesagens'!$C$6:$C$2005,'Pesagens'!$B$6:$B$2005,A215,'Pesagens'!$A$6:$A$2005,O215),"")))</f>
        <v/>
      </c>
      <c r="Q215" s="42">
        <f>IF(OR(A215="",O215="",I215="",J215=""),"",IFERROR((P215-J215)/(O215-I215),""))</f>
        <v/>
      </c>
    </row>
    <row r="216">
      <c r="A216" s="36" t="n"/>
      <c r="B216" s="32" t="n"/>
      <c r="C216" s="37" t="n"/>
      <c r="D216" s="31" t="n"/>
      <c r="E216" s="32" t="n"/>
      <c r="F216" s="32" t="n"/>
      <c r="G216" s="32" t="n"/>
      <c r="H216" s="36" t="n"/>
      <c r="I216" s="31" t="n"/>
      <c r="J216" s="38" t="n"/>
      <c r="K216" s="32" t="n"/>
      <c r="L216" s="34">
        <f>IF(OR(A216="",D216=""),"",IF(D216&gt;Config!$B$5,0,DATEDIF(D216,Config!$B$5,"m")))</f>
        <v/>
      </c>
      <c r="M216" s="39">
        <f>IF(A216="","",IF(K216&lt;&gt;"",K216,IF(OR(C216="",D216=""),"Sem dados",IFERROR(IF(C216="M",INDEX(Config!$B$11:$B$14,MATCH(L216,Config!$A$11:$A$14,1)),IF(C216="F",INDEX(Config!$C$11:$C$14,MATCH(L216,Config!$A$11:$A$14,1)),"Sem dados")),"Verificar"))))</f>
        <v/>
      </c>
      <c r="N216" s="39">
        <f>IF(A216="","",IF(COUNTIFS('Movimentações'!$C$6:$C$1505,A216,'Movimentações'!$B$6:$B$1505,"Venda")&gt;0,"Vendido",IF(COUNTIFS('Movimentações'!$C$6:$C$1505,A216,'Movimentações'!$B$6:$B$1505,"Morte")&gt;0,"Morto","Ativo")))</f>
        <v/>
      </c>
      <c r="O216" s="40">
        <f>IF(A216="","",IF(COUNTIF('Pesagens'!$B$6:$B$2005,A216)=0,"",SUMPRODUCT(MAX(('Pesagens'!$B$6:$B$2005=A216)*'Pesagens'!$A$6:$A$2005))))</f>
        <v/>
      </c>
      <c r="P216" s="41">
        <f>IF(A216="","",IF(O216="",IF(J216="","",J216),IFERROR(AVERAGEIFS('Pesagens'!$C$6:$C$2005,'Pesagens'!$B$6:$B$2005,A216,'Pesagens'!$A$6:$A$2005,O216),"")))</f>
        <v/>
      </c>
      <c r="Q216" s="42">
        <f>IF(OR(A216="",O216="",I216="",J216=""),"",IFERROR((P216-J216)/(O216-I216),""))</f>
        <v/>
      </c>
    </row>
    <row r="217">
      <c r="A217" s="36" t="n"/>
      <c r="B217" s="32" t="n"/>
      <c r="C217" s="37" t="n"/>
      <c r="D217" s="31" t="n"/>
      <c r="E217" s="32" t="n"/>
      <c r="F217" s="32" t="n"/>
      <c r="G217" s="32" t="n"/>
      <c r="H217" s="36" t="n"/>
      <c r="I217" s="31" t="n"/>
      <c r="J217" s="38" t="n"/>
      <c r="K217" s="32" t="n"/>
      <c r="L217" s="34">
        <f>IF(OR(A217="",D217=""),"",IF(D217&gt;Config!$B$5,0,DATEDIF(D217,Config!$B$5,"m")))</f>
        <v/>
      </c>
      <c r="M217" s="39">
        <f>IF(A217="","",IF(K217&lt;&gt;"",K217,IF(OR(C217="",D217=""),"Sem dados",IFERROR(IF(C217="M",INDEX(Config!$B$11:$B$14,MATCH(L217,Config!$A$11:$A$14,1)),IF(C217="F",INDEX(Config!$C$11:$C$14,MATCH(L217,Config!$A$11:$A$14,1)),"Sem dados")),"Verificar"))))</f>
        <v/>
      </c>
      <c r="N217" s="39">
        <f>IF(A217="","",IF(COUNTIFS('Movimentações'!$C$6:$C$1505,A217,'Movimentações'!$B$6:$B$1505,"Venda")&gt;0,"Vendido",IF(COUNTIFS('Movimentações'!$C$6:$C$1505,A217,'Movimentações'!$B$6:$B$1505,"Morte")&gt;0,"Morto","Ativo")))</f>
        <v/>
      </c>
      <c r="O217" s="40">
        <f>IF(A217="","",IF(COUNTIF('Pesagens'!$B$6:$B$2005,A217)=0,"",SUMPRODUCT(MAX(('Pesagens'!$B$6:$B$2005=A217)*'Pesagens'!$A$6:$A$2005))))</f>
        <v/>
      </c>
      <c r="P217" s="41">
        <f>IF(A217="","",IF(O217="",IF(J217="","",J217),IFERROR(AVERAGEIFS('Pesagens'!$C$6:$C$2005,'Pesagens'!$B$6:$B$2005,A217,'Pesagens'!$A$6:$A$2005,O217),"")))</f>
        <v/>
      </c>
      <c r="Q217" s="42">
        <f>IF(OR(A217="",O217="",I217="",J217=""),"",IFERROR((P217-J217)/(O217-I217),""))</f>
        <v/>
      </c>
    </row>
    <row r="218">
      <c r="A218" s="36" t="n"/>
      <c r="B218" s="32" t="n"/>
      <c r="C218" s="37" t="n"/>
      <c r="D218" s="31" t="n"/>
      <c r="E218" s="32" t="n"/>
      <c r="F218" s="32" t="n"/>
      <c r="G218" s="32" t="n"/>
      <c r="H218" s="36" t="n"/>
      <c r="I218" s="31" t="n"/>
      <c r="J218" s="38" t="n"/>
      <c r="K218" s="32" t="n"/>
      <c r="L218" s="34">
        <f>IF(OR(A218="",D218=""),"",IF(D218&gt;Config!$B$5,0,DATEDIF(D218,Config!$B$5,"m")))</f>
        <v/>
      </c>
      <c r="M218" s="39">
        <f>IF(A218="","",IF(K218&lt;&gt;"",K218,IF(OR(C218="",D218=""),"Sem dados",IFERROR(IF(C218="M",INDEX(Config!$B$11:$B$14,MATCH(L218,Config!$A$11:$A$14,1)),IF(C218="F",INDEX(Config!$C$11:$C$14,MATCH(L218,Config!$A$11:$A$14,1)),"Sem dados")),"Verificar"))))</f>
        <v/>
      </c>
      <c r="N218" s="39">
        <f>IF(A218="","",IF(COUNTIFS('Movimentações'!$C$6:$C$1505,A218,'Movimentações'!$B$6:$B$1505,"Venda")&gt;0,"Vendido",IF(COUNTIFS('Movimentações'!$C$6:$C$1505,A218,'Movimentações'!$B$6:$B$1505,"Morte")&gt;0,"Morto","Ativo")))</f>
        <v/>
      </c>
      <c r="O218" s="40">
        <f>IF(A218="","",IF(COUNTIF('Pesagens'!$B$6:$B$2005,A218)=0,"",SUMPRODUCT(MAX(('Pesagens'!$B$6:$B$2005=A218)*'Pesagens'!$A$6:$A$2005))))</f>
        <v/>
      </c>
      <c r="P218" s="41">
        <f>IF(A218="","",IF(O218="",IF(J218="","",J218),IFERROR(AVERAGEIFS('Pesagens'!$C$6:$C$2005,'Pesagens'!$B$6:$B$2005,A218,'Pesagens'!$A$6:$A$2005,O218),"")))</f>
        <v/>
      </c>
      <c r="Q218" s="42">
        <f>IF(OR(A218="",O218="",I218="",J218=""),"",IFERROR((P218-J218)/(O218-I218),""))</f>
        <v/>
      </c>
    </row>
    <row r="219">
      <c r="A219" s="36" t="n"/>
      <c r="B219" s="32" t="n"/>
      <c r="C219" s="37" t="n"/>
      <c r="D219" s="31" t="n"/>
      <c r="E219" s="32" t="n"/>
      <c r="F219" s="32" t="n"/>
      <c r="G219" s="32" t="n"/>
      <c r="H219" s="36" t="n"/>
      <c r="I219" s="31" t="n"/>
      <c r="J219" s="38" t="n"/>
      <c r="K219" s="32" t="n"/>
      <c r="L219" s="34">
        <f>IF(OR(A219="",D219=""),"",IF(D219&gt;Config!$B$5,0,DATEDIF(D219,Config!$B$5,"m")))</f>
        <v/>
      </c>
      <c r="M219" s="39">
        <f>IF(A219="","",IF(K219&lt;&gt;"",K219,IF(OR(C219="",D219=""),"Sem dados",IFERROR(IF(C219="M",INDEX(Config!$B$11:$B$14,MATCH(L219,Config!$A$11:$A$14,1)),IF(C219="F",INDEX(Config!$C$11:$C$14,MATCH(L219,Config!$A$11:$A$14,1)),"Sem dados")),"Verificar"))))</f>
        <v/>
      </c>
      <c r="N219" s="39">
        <f>IF(A219="","",IF(COUNTIFS('Movimentações'!$C$6:$C$1505,A219,'Movimentações'!$B$6:$B$1505,"Venda")&gt;0,"Vendido",IF(COUNTIFS('Movimentações'!$C$6:$C$1505,A219,'Movimentações'!$B$6:$B$1505,"Morte")&gt;0,"Morto","Ativo")))</f>
        <v/>
      </c>
      <c r="O219" s="40">
        <f>IF(A219="","",IF(COUNTIF('Pesagens'!$B$6:$B$2005,A219)=0,"",SUMPRODUCT(MAX(('Pesagens'!$B$6:$B$2005=A219)*'Pesagens'!$A$6:$A$2005))))</f>
        <v/>
      </c>
      <c r="P219" s="41">
        <f>IF(A219="","",IF(O219="",IF(J219="","",J219),IFERROR(AVERAGEIFS('Pesagens'!$C$6:$C$2005,'Pesagens'!$B$6:$B$2005,A219,'Pesagens'!$A$6:$A$2005,O219),"")))</f>
        <v/>
      </c>
      <c r="Q219" s="42">
        <f>IF(OR(A219="",O219="",I219="",J219=""),"",IFERROR((P219-J219)/(O219-I219),""))</f>
        <v/>
      </c>
    </row>
    <row r="220">
      <c r="A220" s="36" t="n"/>
      <c r="B220" s="32" t="n"/>
      <c r="C220" s="37" t="n"/>
      <c r="D220" s="31" t="n"/>
      <c r="E220" s="32" t="n"/>
      <c r="F220" s="32" t="n"/>
      <c r="G220" s="32" t="n"/>
      <c r="H220" s="36" t="n"/>
      <c r="I220" s="31" t="n"/>
      <c r="J220" s="38" t="n"/>
      <c r="K220" s="32" t="n"/>
      <c r="L220" s="34">
        <f>IF(OR(A220="",D220=""),"",IF(D220&gt;Config!$B$5,0,DATEDIF(D220,Config!$B$5,"m")))</f>
        <v/>
      </c>
      <c r="M220" s="39">
        <f>IF(A220="","",IF(K220&lt;&gt;"",K220,IF(OR(C220="",D220=""),"Sem dados",IFERROR(IF(C220="M",INDEX(Config!$B$11:$B$14,MATCH(L220,Config!$A$11:$A$14,1)),IF(C220="F",INDEX(Config!$C$11:$C$14,MATCH(L220,Config!$A$11:$A$14,1)),"Sem dados")),"Verificar"))))</f>
        <v/>
      </c>
      <c r="N220" s="39">
        <f>IF(A220="","",IF(COUNTIFS('Movimentações'!$C$6:$C$1505,A220,'Movimentações'!$B$6:$B$1505,"Venda")&gt;0,"Vendido",IF(COUNTIFS('Movimentações'!$C$6:$C$1505,A220,'Movimentações'!$B$6:$B$1505,"Morte")&gt;0,"Morto","Ativo")))</f>
        <v/>
      </c>
      <c r="O220" s="40">
        <f>IF(A220="","",IF(COUNTIF('Pesagens'!$B$6:$B$2005,A220)=0,"",SUMPRODUCT(MAX(('Pesagens'!$B$6:$B$2005=A220)*'Pesagens'!$A$6:$A$2005))))</f>
        <v/>
      </c>
      <c r="P220" s="41">
        <f>IF(A220="","",IF(O220="",IF(J220="","",J220),IFERROR(AVERAGEIFS('Pesagens'!$C$6:$C$2005,'Pesagens'!$B$6:$B$2005,A220,'Pesagens'!$A$6:$A$2005,O220),"")))</f>
        <v/>
      </c>
      <c r="Q220" s="42">
        <f>IF(OR(A220="",O220="",I220="",J220=""),"",IFERROR((P220-J220)/(O220-I220),""))</f>
        <v/>
      </c>
    </row>
    <row r="221">
      <c r="A221" s="36" t="n"/>
      <c r="B221" s="32" t="n"/>
      <c r="C221" s="37" t="n"/>
      <c r="D221" s="31" t="n"/>
      <c r="E221" s="32" t="n"/>
      <c r="F221" s="32" t="n"/>
      <c r="G221" s="32" t="n"/>
      <c r="H221" s="36" t="n"/>
      <c r="I221" s="31" t="n"/>
      <c r="J221" s="38" t="n"/>
      <c r="K221" s="32" t="n"/>
      <c r="L221" s="34">
        <f>IF(OR(A221="",D221=""),"",IF(D221&gt;Config!$B$5,0,DATEDIF(D221,Config!$B$5,"m")))</f>
        <v/>
      </c>
      <c r="M221" s="39">
        <f>IF(A221="","",IF(K221&lt;&gt;"",K221,IF(OR(C221="",D221=""),"Sem dados",IFERROR(IF(C221="M",INDEX(Config!$B$11:$B$14,MATCH(L221,Config!$A$11:$A$14,1)),IF(C221="F",INDEX(Config!$C$11:$C$14,MATCH(L221,Config!$A$11:$A$14,1)),"Sem dados")),"Verificar"))))</f>
        <v/>
      </c>
      <c r="N221" s="39">
        <f>IF(A221="","",IF(COUNTIFS('Movimentações'!$C$6:$C$1505,A221,'Movimentações'!$B$6:$B$1505,"Venda")&gt;0,"Vendido",IF(COUNTIFS('Movimentações'!$C$6:$C$1505,A221,'Movimentações'!$B$6:$B$1505,"Morte")&gt;0,"Morto","Ativo")))</f>
        <v/>
      </c>
      <c r="O221" s="40">
        <f>IF(A221="","",IF(COUNTIF('Pesagens'!$B$6:$B$2005,A221)=0,"",SUMPRODUCT(MAX(('Pesagens'!$B$6:$B$2005=A221)*'Pesagens'!$A$6:$A$2005))))</f>
        <v/>
      </c>
      <c r="P221" s="41">
        <f>IF(A221="","",IF(O221="",IF(J221="","",J221),IFERROR(AVERAGEIFS('Pesagens'!$C$6:$C$2005,'Pesagens'!$B$6:$B$2005,A221,'Pesagens'!$A$6:$A$2005,O221),"")))</f>
        <v/>
      </c>
      <c r="Q221" s="42">
        <f>IF(OR(A221="",O221="",I221="",J221=""),"",IFERROR((P221-J221)/(O221-I221),""))</f>
        <v/>
      </c>
    </row>
    <row r="222">
      <c r="A222" s="36" t="n"/>
      <c r="B222" s="32" t="n"/>
      <c r="C222" s="37" t="n"/>
      <c r="D222" s="31" t="n"/>
      <c r="E222" s="32" t="n"/>
      <c r="F222" s="32" t="n"/>
      <c r="G222" s="32" t="n"/>
      <c r="H222" s="36" t="n"/>
      <c r="I222" s="31" t="n"/>
      <c r="J222" s="38" t="n"/>
      <c r="K222" s="32" t="n"/>
      <c r="L222" s="34">
        <f>IF(OR(A222="",D222=""),"",IF(D222&gt;Config!$B$5,0,DATEDIF(D222,Config!$B$5,"m")))</f>
        <v/>
      </c>
      <c r="M222" s="39">
        <f>IF(A222="","",IF(K222&lt;&gt;"",K222,IF(OR(C222="",D222=""),"Sem dados",IFERROR(IF(C222="M",INDEX(Config!$B$11:$B$14,MATCH(L222,Config!$A$11:$A$14,1)),IF(C222="F",INDEX(Config!$C$11:$C$14,MATCH(L222,Config!$A$11:$A$14,1)),"Sem dados")),"Verificar"))))</f>
        <v/>
      </c>
      <c r="N222" s="39">
        <f>IF(A222="","",IF(COUNTIFS('Movimentações'!$C$6:$C$1505,A222,'Movimentações'!$B$6:$B$1505,"Venda")&gt;0,"Vendido",IF(COUNTIFS('Movimentações'!$C$6:$C$1505,A222,'Movimentações'!$B$6:$B$1505,"Morte")&gt;0,"Morto","Ativo")))</f>
        <v/>
      </c>
      <c r="O222" s="40">
        <f>IF(A222="","",IF(COUNTIF('Pesagens'!$B$6:$B$2005,A222)=0,"",SUMPRODUCT(MAX(('Pesagens'!$B$6:$B$2005=A222)*'Pesagens'!$A$6:$A$2005))))</f>
        <v/>
      </c>
      <c r="P222" s="41">
        <f>IF(A222="","",IF(O222="",IF(J222="","",J222),IFERROR(AVERAGEIFS('Pesagens'!$C$6:$C$2005,'Pesagens'!$B$6:$B$2005,A222,'Pesagens'!$A$6:$A$2005,O222),"")))</f>
        <v/>
      </c>
      <c r="Q222" s="42">
        <f>IF(OR(A222="",O222="",I222="",J222=""),"",IFERROR((P222-J222)/(O222-I222),""))</f>
        <v/>
      </c>
    </row>
    <row r="223">
      <c r="A223" s="36" t="n"/>
      <c r="B223" s="32" t="n"/>
      <c r="C223" s="37" t="n"/>
      <c r="D223" s="31" t="n"/>
      <c r="E223" s="32" t="n"/>
      <c r="F223" s="32" t="n"/>
      <c r="G223" s="32" t="n"/>
      <c r="H223" s="36" t="n"/>
      <c r="I223" s="31" t="n"/>
      <c r="J223" s="38" t="n"/>
      <c r="K223" s="32" t="n"/>
      <c r="L223" s="34">
        <f>IF(OR(A223="",D223=""),"",IF(D223&gt;Config!$B$5,0,DATEDIF(D223,Config!$B$5,"m")))</f>
        <v/>
      </c>
      <c r="M223" s="39">
        <f>IF(A223="","",IF(K223&lt;&gt;"",K223,IF(OR(C223="",D223=""),"Sem dados",IFERROR(IF(C223="M",INDEX(Config!$B$11:$B$14,MATCH(L223,Config!$A$11:$A$14,1)),IF(C223="F",INDEX(Config!$C$11:$C$14,MATCH(L223,Config!$A$11:$A$14,1)),"Sem dados")),"Verificar"))))</f>
        <v/>
      </c>
      <c r="N223" s="39">
        <f>IF(A223="","",IF(COUNTIFS('Movimentações'!$C$6:$C$1505,A223,'Movimentações'!$B$6:$B$1505,"Venda")&gt;0,"Vendido",IF(COUNTIFS('Movimentações'!$C$6:$C$1505,A223,'Movimentações'!$B$6:$B$1505,"Morte")&gt;0,"Morto","Ativo")))</f>
        <v/>
      </c>
      <c r="O223" s="40">
        <f>IF(A223="","",IF(COUNTIF('Pesagens'!$B$6:$B$2005,A223)=0,"",SUMPRODUCT(MAX(('Pesagens'!$B$6:$B$2005=A223)*'Pesagens'!$A$6:$A$2005))))</f>
        <v/>
      </c>
      <c r="P223" s="41">
        <f>IF(A223="","",IF(O223="",IF(J223="","",J223),IFERROR(AVERAGEIFS('Pesagens'!$C$6:$C$2005,'Pesagens'!$B$6:$B$2005,A223,'Pesagens'!$A$6:$A$2005,O223),"")))</f>
        <v/>
      </c>
      <c r="Q223" s="42">
        <f>IF(OR(A223="",O223="",I223="",J223=""),"",IFERROR((P223-J223)/(O223-I223),""))</f>
        <v/>
      </c>
    </row>
    <row r="224">
      <c r="A224" s="36" t="n"/>
      <c r="B224" s="32" t="n"/>
      <c r="C224" s="37" t="n"/>
      <c r="D224" s="31" t="n"/>
      <c r="E224" s="32" t="n"/>
      <c r="F224" s="32" t="n"/>
      <c r="G224" s="32" t="n"/>
      <c r="H224" s="36" t="n"/>
      <c r="I224" s="31" t="n"/>
      <c r="J224" s="38" t="n"/>
      <c r="K224" s="32" t="n"/>
      <c r="L224" s="34">
        <f>IF(OR(A224="",D224=""),"",IF(D224&gt;Config!$B$5,0,DATEDIF(D224,Config!$B$5,"m")))</f>
        <v/>
      </c>
      <c r="M224" s="39">
        <f>IF(A224="","",IF(K224&lt;&gt;"",K224,IF(OR(C224="",D224=""),"Sem dados",IFERROR(IF(C224="M",INDEX(Config!$B$11:$B$14,MATCH(L224,Config!$A$11:$A$14,1)),IF(C224="F",INDEX(Config!$C$11:$C$14,MATCH(L224,Config!$A$11:$A$14,1)),"Sem dados")),"Verificar"))))</f>
        <v/>
      </c>
      <c r="N224" s="39">
        <f>IF(A224="","",IF(COUNTIFS('Movimentações'!$C$6:$C$1505,A224,'Movimentações'!$B$6:$B$1505,"Venda")&gt;0,"Vendido",IF(COUNTIFS('Movimentações'!$C$6:$C$1505,A224,'Movimentações'!$B$6:$B$1505,"Morte")&gt;0,"Morto","Ativo")))</f>
        <v/>
      </c>
      <c r="O224" s="40">
        <f>IF(A224="","",IF(COUNTIF('Pesagens'!$B$6:$B$2005,A224)=0,"",SUMPRODUCT(MAX(('Pesagens'!$B$6:$B$2005=A224)*'Pesagens'!$A$6:$A$2005))))</f>
        <v/>
      </c>
      <c r="P224" s="41">
        <f>IF(A224="","",IF(O224="",IF(J224="","",J224),IFERROR(AVERAGEIFS('Pesagens'!$C$6:$C$2005,'Pesagens'!$B$6:$B$2005,A224,'Pesagens'!$A$6:$A$2005,O224),"")))</f>
        <v/>
      </c>
      <c r="Q224" s="42">
        <f>IF(OR(A224="",O224="",I224="",J224=""),"",IFERROR((P224-J224)/(O224-I224),""))</f>
        <v/>
      </c>
    </row>
    <row r="225">
      <c r="A225" s="36" t="n"/>
      <c r="B225" s="32" t="n"/>
      <c r="C225" s="37" t="n"/>
      <c r="D225" s="31" t="n"/>
      <c r="E225" s="32" t="n"/>
      <c r="F225" s="32" t="n"/>
      <c r="G225" s="32" t="n"/>
      <c r="H225" s="36" t="n"/>
      <c r="I225" s="31" t="n"/>
      <c r="J225" s="38" t="n"/>
      <c r="K225" s="32" t="n"/>
      <c r="L225" s="34">
        <f>IF(OR(A225="",D225=""),"",IF(D225&gt;Config!$B$5,0,DATEDIF(D225,Config!$B$5,"m")))</f>
        <v/>
      </c>
      <c r="M225" s="39">
        <f>IF(A225="","",IF(K225&lt;&gt;"",K225,IF(OR(C225="",D225=""),"Sem dados",IFERROR(IF(C225="M",INDEX(Config!$B$11:$B$14,MATCH(L225,Config!$A$11:$A$14,1)),IF(C225="F",INDEX(Config!$C$11:$C$14,MATCH(L225,Config!$A$11:$A$14,1)),"Sem dados")),"Verificar"))))</f>
        <v/>
      </c>
      <c r="N225" s="39">
        <f>IF(A225="","",IF(COUNTIFS('Movimentações'!$C$6:$C$1505,A225,'Movimentações'!$B$6:$B$1505,"Venda")&gt;0,"Vendido",IF(COUNTIFS('Movimentações'!$C$6:$C$1505,A225,'Movimentações'!$B$6:$B$1505,"Morte")&gt;0,"Morto","Ativo")))</f>
        <v/>
      </c>
      <c r="O225" s="40">
        <f>IF(A225="","",IF(COUNTIF('Pesagens'!$B$6:$B$2005,A225)=0,"",SUMPRODUCT(MAX(('Pesagens'!$B$6:$B$2005=A225)*'Pesagens'!$A$6:$A$2005))))</f>
        <v/>
      </c>
      <c r="P225" s="41">
        <f>IF(A225="","",IF(O225="",IF(J225="","",J225),IFERROR(AVERAGEIFS('Pesagens'!$C$6:$C$2005,'Pesagens'!$B$6:$B$2005,A225,'Pesagens'!$A$6:$A$2005,O225),"")))</f>
        <v/>
      </c>
      <c r="Q225" s="42">
        <f>IF(OR(A225="",O225="",I225="",J225=""),"",IFERROR((P225-J225)/(O225-I225),""))</f>
        <v/>
      </c>
    </row>
    <row r="226">
      <c r="A226" s="36" t="n"/>
      <c r="B226" s="32" t="n"/>
      <c r="C226" s="37" t="n"/>
      <c r="D226" s="31" t="n"/>
      <c r="E226" s="32" t="n"/>
      <c r="F226" s="32" t="n"/>
      <c r="G226" s="32" t="n"/>
      <c r="H226" s="36" t="n"/>
      <c r="I226" s="31" t="n"/>
      <c r="J226" s="38" t="n"/>
      <c r="K226" s="32" t="n"/>
      <c r="L226" s="34">
        <f>IF(OR(A226="",D226=""),"",IF(D226&gt;Config!$B$5,0,DATEDIF(D226,Config!$B$5,"m")))</f>
        <v/>
      </c>
      <c r="M226" s="39">
        <f>IF(A226="","",IF(K226&lt;&gt;"",K226,IF(OR(C226="",D226=""),"Sem dados",IFERROR(IF(C226="M",INDEX(Config!$B$11:$B$14,MATCH(L226,Config!$A$11:$A$14,1)),IF(C226="F",INDEX(Config!$C$11:$C$14,MATCH(L226,Config!$A$11:$A$14,1)),"Sem dados")),"Verificar"))))</f>
        <v/>
      </c>
      <c r="N226" s="39">
        <f>IF(A226="","",IF(COUNTIFS('Movimentações'!$C$6:$C$1505,A226,'Movimentações'!$B$6:$B$1505,"Venda")&gt;0,"Vendido",IF(COUNTIFS('Movimentações'!$C$6:$C$1505,A226,'Movimentações'!$B$6:$B$1505,"Morte")&gt;0,"Morto","Ativo")))</f>
        <v/>
      </c>
      <c r="O226" s="40">
        <f>IF(A226="","",IF(COUNTIF('Pesagens'!$B$6:$B$2005,A226)=0,"",SUMPRODUCT(MAX(('Pesagens'!$B$6:$B$2005=A226)*'Pesagens'!$A$6:$A$2005))))</f>
        <v/>
      </c>
      <c r="P226" s="41">
        <f>IF(A226="","",IF(O226="",IF(J226="","",J226),IFERROR(AVERAGEIFS('Pesagens'!$C$6:$C$2005,'Pesagens'!$B$6:$B$2005,A226,'Pesagens'!$A$6:$A$2005,O226),"")))</f>
        <v/>
      </c>
      <c r="Q226" s="42">
        <f>IF(OR(A226="",O226="",I226="",J226=""),"",IFERROR((P226-J226)/(O226-I226),""))</f>
        <v/>
      </c>
    </row>
    <row r="227">
      <c r="A227" s="36" t="n"/>
      <c r="B227" s="32" t="n"/>
      <c r="C227" s="37" t="n"/>
      <c r="D227" s="31" t="n"/>
      <c r="E227" s="32" t="n"/>
      <c r="F227" s="32" t="n"/>
      <c r="G227" s="32" t="n"/>
      <c r="H227" s="36" t="n"/>
      <c r="I227" s="31" t="n"/>
      <c r="J227" s="38" t="n"/>
      <c r="K227" s="32" t="n"/>
      <c r="L227" s="34">
        <f>IF(OR(A227="",D227=""),"",IF(D227&gt;Config!$B$5,0,DATEDIF(D227,Config!$B$5,"m")))</f>
        <v/>
      </c>
      <c r="M227" s="39">
        <f>IF(A227="","",IF(K227&lt;&gt;"",K227,IF(OR(C227="",D227=""),"Sem dados",IFERROR(IF(C227="M",INDEX(Config!$B$11:$B$14,MATCH(L227,Config!$A$11:$A$14,1)),IF(C227="F",INDEX(Config!$C$11:$C$14,MATCH(L227,Config!$A$11:$A$14,1)),"Sem dados")),"Verificar"))))</f>
        <v/>
      </c>
      <c r="N227" s="39">
        <f>IF(A227="","",IF(COUNTIFS('Movimentações'!$C$6:$C$1505,A227,'Movimentações'!$B$6:$B$1505,"Venda")&gt;0,"Vendido",IF(COUNTIFS('Movimentações'!$C$6:$C$1505,A227,'Movimentações'!$B$6:$B$1505,"Morte")&gt;0,"Morto","Ativo")))</f>
        <v/>
      </c>
      <c r="O227" s="40">
        <f>IF(A227="","",IF(COUNTIF('Pesagens'!$B$6:$B$2005,A227)=0,"",SUMPRODUCT(MAX(('Pesagens'!$B$6:$B$2005=A227)*'Pesagens'!$A$6:$A$2005))))</f>
        <v/>
      </c>
      <c r="P227" s="41">
        <f>IF(A227="","",IF(O227="",IF(J227="","",J227),IFERROR(AVERAGEIFS('Pesagens'!$C$6:$C$2005,'Pesagens'!$B$6:$B$2005,A227,'Pesagens'!$A$6:$A$2005,O227),"")))</f>
        <v/>
      </c>
      <c r="Q227" s="42">
        <f>IF(OR(A227="",O227="",I227="",J227=""),"",IFERROR((P227-J227)/(O227-I227),""))</f>
        <v/>
      </c>
    </row>
    <row r="228">
      <c r="A228" s="36" t="n"/>
      <c r="B228" s="32" t="n"/>
      <c r="C228" s="37" t="n"/>
      <c r="D228" s="31" t="n"/>
      <c r="E228" s="32" t="n"/>
      <c r="F228" s="32" t="n"/>
      <c r="G228" s="32" t="n"/>
      <c r="H228" s="36" t="n"/>
      <c r="I228" s="31" t="n"/>
      <c r="J228" s="38" t="n"/>
      <c r="K228" s="32" t="n"/>
      <c r="L228" s="34">
        <f>IF(OR(A228="",D228=""),"",IF(D228&gt;Config!$B$5,0,DATEDIF(D228,Config!$B$5,"m")))</f>
        <v/>
      </c>
      <c r="M228" s="39">
        <f>IF(A228="","",IF(K228&lt;&gt;"",K228,IF(OR(C228="",D228=""),"Sem dados",IFERROR(IF(C228="M",INDEX(Config!$B$11:$B$14,MATCH(L228,Config!$A$11:$A$14,1)),IF(C228="F",INDEX(Config!$C$11:$C$14,MATCH(L228,Config!$A$11:$A$14,1)),"Sem dados")),"Verificar"))))</f>
        <v/>
      </c>
      <c r="N228" s="39">
        <f>IF(A228="","",IF(COUNTIFS('Movimentações'!$C$6:$C$1505,A228,'Movimentações'!$B$6:$B$1505,"Venda")&gt;0,"Vendido",IF(COUNTIFS('Movimentações'!$C$6:$C$1505,A228,'Movimentações'!$B$6:$B$1505,"Morte")&gt;0,"Morto","Ativo")))</f>
        <v/>
      </c>
      <c r="O228" s="40">
        <f>IF(A228="","",IF(COUNTIF('Pesagens'!$B$6:$B$2005,A228)=0,"",SUMPRODUCT(MAX(('Pesagens'!$B$6:$B$2005=A228)*'Pesagens'!$A$6:$A$2005))))</f>
        <v/>
      </c>
      <c r="P228" s="41">
        <f>IF(A228="","",IF(O228="",IF(J228="","",J228),IFERROR(AVERAGEIFS('Pesagens'!$C$6:$C$2005,'Pesagens'!$B$6:$B$2005,A228,'Pesagens'!$A$6:$A$2005,O228),"")))</f>
        <v/>
      </c>
      <c r="Q228" s="42">
        <f>IF(OR(A228="",O228="",I228="",J228=""),"",IFERROR((P228-J228)/(O228-I228),""))</f>
        <v/>
      </c>
    </row>
    <row r="229">
      <c r="A229" s="36" t="n"/>
      <c r="B229" s="32" t="n"/>
      <c r="C229" s="37" t="n"/>
      <c r="D229" s="31" t="n"/>
      <c r="E229" s="32" t="n"/>
      <c r="F229" s="32" t="n"/>
      <c r="G229" s="32" t="n"/>
      <c r="H229" s="36" t="n"/>
      <c r="I229" s="31" t="n"/>
      <c r="J229" s="38" t="n"/>
      <c r="K229" s="32" t="n"/>
      <c r="L229" s="34">
        <f>IF(OR(A229="",D229=""),"",IF(D229&gt;Config!$B$5,0,DATEDIF(D229,Config!$B$5,"m")))</f>
        <v/>
      </c>
      <c r="M229" s="39">
        <f>IF(A229="","",IF(K229&lt;&gt;"",K229,IF(OR(C229="",D229=""),"Sem dados",IFERROR(IF(C229="M",INDEX(Config!$B$11:$B$14,MATCH(L229,Config!$A$11:$A$14,1)),IF(C229="F",INDEX(Config!$C$11:$C$14,MATCH(L229,Config!$A$11:$A$14,1)),"Sem dados")),"Verificar"))))</f>
        <v/>
      </c>
      <c r="N229" s="39">
        <f>IF(A229="","",IF(COUNTIFS('Movimentações'!$C$6:$C$1505,A229,'Movimentações'!$B$6:$B$1505,"Venda")&gt;0,"Vendido",IF(COUNTIFS('Movimentações'!$C$6:$C$1505,A229,'Movimentações'!$B$6:$B$1505,"Morte")&gt;0,"Morto","Ativo")))</f>
        <v/>
      </c>
      <c r="O229" s="40">
        <f>IF(A229="","",IF(COUNTIF('Pesagens'!$B$6:$B$2005,A229)=0,"",SUMPRODUCT(MAX(('Pesagens'!$B$6:$B$2005=A229)*'Pesagens'!$A$6:$A$2005))))</f>
        <v/>
      </c>
      <c r="P229" s="41">
        <f>IF(A229="","",IF(O229="",IF(J229="","",J229),IFERROR(AVERAGEIFS('Pesagens'!$C$6:$C$2005,'Pesagens'!$B$6:$B$2005,A229,'Pesagens'!$A$6:$A$2005,O229),"")))</f>
        <v/>
      </c>
      <c r="Q229" s="42">
        <f>IF(OR(A229="",O229="",I229="",J229=""),"",IFERROR((P229-J229)/(O229-I229),""))</f>
        <v/>
      </c>
    </row>
    <row r="230">
      <c r="A230" s="36" t="n"/>
      <c r="B230" s="32" t="n"/>
      <c r="C230" s="37" t="n"/>
      <c r="D230" s="31" t="n"/>
      <c r="E230" s="32" t="n"/>
      <c r="F230" s="32" t="n"/>
      <c r="G230" s="32" t="n"/>
      <c r="H230" s="36" t="n"/>
      <c r="I230" s="31" t="n"/>
      <c r="J230" s="38" t="n"/>
      <c r="K230" s="32" t="n"/>
      <c r="L230" s="34">
        <f>IF(OR(A230="",D230=""),"",IF(D230&gt;Config!$B$5,0,DATEDIF(D230,Config!$B$5,"m")))</f>
        <v/>
      </c>
      <c r="M230" s="39">
        <f>IF(A230="","",IF(K230&lt;&gt;"",K230,IF(OR(C230="",D230=""),"Sem dados",IFERROR(IF(C230="M",INDEX(Config!$B$11:$B$14,MATCH(L230,Config!$A$11:$A$14,1)),IF(C230="F",INDEX(Config!$C$11:$C$14,MATCH(L230,Config!$A$11:$A$14,1)),"Sem dados")),"Verificar"))))</f>
        <v/>
      </c>
      <c r="N230" s="39">
        <f>IF(A230="","",IF(COUNTIFS('Movimentações'!$C$6:$C$1505,A230,'Movimentações'!$B$6:$B$1505,"Venda")&gt;0,"Vendido",IF(COUNTIFS('Movimentações'!$C$6:$C$1505,A230,'Movimentações'!$B$6:$B$1505,"Morte")&gt;0,"Morto","Ativo")))</f>
        <v/>
      </c>
      <c r="O230" s="40">
        <f>IF(A230="","",IF(COUNTIF('Pesagens'!$B$6:$B$2005,A230)=0,"",SUMPRODUCT(MAX(('Pesagens'!$B$6:$B$2005=A230)*'Pesagens'!$A$6:$A$2005))))</f>
        <v/>
      </c>
      <c r="P230" s="41">
        <f>IF(A230="","",IF(O230="",IF(J230="","",J230),IFERROR(AVERAGEIFS('Pesagens'!$C$6:$C$2005,'Pesagens'!$B$6:$B$2005,A230,'Pesagens'!$A$6:$A$2005,O230),"")))</f>
        <v/>
      </c>
      <c r="Q230" s="42">
        <f>IF(OR(A230="",O230="",I230="",J230=""),"",IFERROR((P230-J230)/(O230-I230),""))</f>
        <v/>
      </c>
    </row>
    <row r="231">
      <c r="A231" s="36" t="n"/>
      <c r="B231" s="32" t="n"/>
      <c r="C231" s="37" t="n"/>
      <c r="D231" s="31" t="n"/>
      <c r="E231" s="32" t="n"/>
      <c r="F231" s="32" t="n"/>
      <c r="G231" s="32" t="n"/>
      <c r="H231" s="36" t="n"/>
      <c r="I231" s="31" t="n"/>
      <c r="J231" s="38" t="n"/>
      <c r="K231" s="32" t="n"/>
      <c r="L231" s="34">
        <f>IF(OR(A231="",D231=""),"",IF(D231&gt;Config!$B$5,0,DATEDIF(D231,Config!$B$5,"m")))</f>
        <v/>
      </c>
      <c r="M231" s="39">
        <f>IF(A231="","",IF(K231&lt;&gt;"",K231,IF(OR(C231="",D231=""),"Sem dados",IFERROR(IF(C231="M",INDEX(Config!$B$11:$B$14,MATCH(L231,Config!$A$11:$A$14,1)),IF(C231="F",INDEX(Config!$C$11:$C$14,MATCH(L231,Config!$A$11:$A$14,1)),"Sem dados")),"Verificar"))))</f>
        <v/>
      </c>
      <c r="N231" s="39">
        <f>IF(A231="","",IF(COUNTIFS('Movimentações'!$C$6:$C$1505,A231,'Movimentações'!$B$6:$B$1505,"Venda")&gt;0,"Vendido",IF(COUNTIFS('Movimentações'!$C$6:$C$1505,A231,'Movimentações'!$B$6:$B$1505,"Morte")&gt;0,"Morto","Ativo")))</f>
        <v/>
      </c>
      <c r="O231" s="40">
        <f>IF(A231="","",IF(COUNTIF('Pesagens'!$B$6:$B$2005,A231)=0,"",SUMPRODUCT(MAX(('Pesagens'!$B$6:$B$2005=A231)*'Pesagens'!$A$6:$A$2005))))</f>
        <v/>
      </c>
      <c r="P231" s="41">
        <f>IF(A231="","",IF(O231="",IF(J231="","",J231),IFERROR(AVERAGEIFS('Pesagens'!$C$6:$C$2005,'Pesagens'!$B$6:$B$2005,A231,'Pesagens'!$A$6:$A$2005,O231),"")))</f>
        <v/>
      </c>
      <c r="Q231" s="42">
        <f>IF(OR(A231="",O231="",I231="",J231=""),"",IFERROR((P231-J231)/(O231-I231),""))</f>
        <v/>
      </c>
    </row>
    <row r="232">
      <c r="A232" s="36" t="n"/>
      <c r="B232" s="32" t="n"/>
      <c r="C232" s="37" t="n"/>
      <c r="D232" s="31" t="n"/>
      <c r="E232" s="32" t="n"/>
      <c r="F232" s="32" t="n"/>
      <c r="G232" s="32" t="n"/>
      <c r="H232" s="36" t="n"/>
      <c r="I232" s="31" t="n"/>
      <c r="J232" s="38" t="n"/>
      <c r="K232" s="32" t="n"/>
      <c r="L232" s="34">
        <f>IF(OR(A232="",D232=""),"",IF(D232&gt;Config!$B$5,0,DATEDIF(D232,Config!$B$5,"m")))</f>
        <v/>
      </c>
      <c r="M232" s="39">
        <f>IF(A232="","",IF(K232&lt;&gt;"",K232,IF(OR(C232="",D232=""),"Sem dados",IFERROR(IF(C232="M",INDEX(Config!$B$11:$B$14,MATCH(L232,Config!$A$11:$A$14,1)),IF(C232="F",INDEX(Config!$C$11:$C$14,MATCH(L232,Config!$A$11:$A$14,1)),"Sem dados")),"Verificar"))))</f>
        <v/>
      </c>
      <c r="N232" s="39">
        <f>IF(A232="","",IF(COUNTIFS('Movimentações'!$C$6:$C$1505,A232,'Movimentações'!$B$6:$B$1505,"Venda")&gt;0,"Vendido",IF(COUNTIFS('Movimentações'!$C$6:$C$1505,A232,'Movimentações'!$B$6:$B$1505,"Morte")&gt;0,"Morto","Ativo")))</f>
        <v/>
      </c>
      <c r="O232" s="40">
        <f>IF(A232="","",IF(COUNTIF('Pesagens'!$B$6:$B$2005,A232)=0,"",SUMPRODUCT(MAX(('Pesagens'!$B$6:$B$2005=A232)*'Pesagens'!$A$6:$A$2005))))</f>
        <v/>
      </c>
      <c r="P232" s="41">
        <f>IF(A232="","",IF(O232="",IF(J232="","",J232),IFERROR(AVERAGEIFS('Pesagens'!$C$6:$C$2005,'Pesagens'!$B$6:$B$2005,A232,'Pesagens'!$A$6:$A$2005,O232),"")))</f>
        <v/>
      </c>
      <c r="Q232" s="42">
        <f>IF(OR(A232="",O232="",I232="",J232=""),"",IFERROR((P232-J232)/(O232-I232),""))</f>
        <v/>
      </c>
    </row>
    <row r="233">
      <c r="A233" s="36" t="n"/>
      <c r="B233" s="32" t="n"/>
      <c r="C233" s="37" t="n"/>
      <c r="D233" s="31" t="n"/>
      <c r="E233" s="32" t="n"/>
      <c r="F233" s="32" t="n"/>
      <c r="G233" s="32" t="n"/>
      <c r="H233" s="36" t="n"/>
      <c r="I233" s="31" t="n"/>
      <c r="J233" s="38" t="n"/>
      <c r="K233" s="32" t="n"/>
      <c r="L233" s="34">
        <f>IF(OR(A233="",D233=""),"",IF(D233&gt;Config!$B$5,0,DATEDIF(D233,Config!$B$5,"m")))</f>
        <v/>
      </c>
      <c r="M233" s="39">
        <f>IF(A233="","",IF(K233&lt;&gt;"",K233,IF(OR(C233="",D233=""),"Sem dados",IFERROR(IF(C233="M",INDEX(Config!$B$11:$B$14,MATCH(L233,Config!$A$11:$A$14,1)),IF(C233="F",INDEX(Config!$C$11:$C$14,MATCH(L233,Config!$A$11:$A$14,1)),"Sem dados")),"Verificar"))))</f>
        <v/>
      </c>
      <c r="N233" s="39">
        <f>IF(A233="","",IF(COUNTIFS('Movimentações'!$C$6:$C$1505,A233,'Movimentações'!$B$6:$B$1505,"Venda")&gt;0,"Vendido",IF(COUNTIFS('Movimentações'!$C$6:$C$1505,A233,'Movimentações'!$B$6:$B$1505,"Morte")&gt;0,"Morto","Ativo")))</f>
        <v/>
      </c>
      <c r="O233" s="40">
        <f>IF(A233="","",IF(COUNTIF('Pesagens'!$B$6:$B$2005,A233)=0,"",SUMPRODUCT(MAX(('Pesagens'!$B$6:$B$2005=A233)*'Pesagens'!$A$6:$A$2005))))</f>
        <v/>
      </c>
      <c r="P233" s="41">
        <f>IF(A233="","",IF(O233="",IF(J233="","",J233),IFERROR(AVERAGEIFS('Pesagens'!$C$6:$C$2005,'Pesagens'!$B$6:$B$2005,A233,'Pesagens'!$A$6:$A$2005,O233),"")))</f>
        <v/>
      </c>
      <c r="Q233" s="42">
        <f>IF(OR(A233="",O233="",I233="",J233=""),"",IFERROR((P233-J233)/(O233-I233),""))</f>
        <v/>
      </c>
    </row>
    <row r="234">
      <c r="A234" s="36" t="n"/>
      <c r="B234" s="32" t="n"/>
      <c r="C234" s="37" t="n"/>
      <c r="D234" s="31" t="n"/>
      <c r="E234" s="32" t="n"/>
      <c r="F234" s="32" t="n"/>
      <c r="G234" s="32" t="n"/>
      <c r="H234" s="36" t="n"/>
      <c r="I234" s="31" t="n"/>
      <c r="J234" s="38" t="n"/>
      <c r="K234" s="32" t="n"/>
      <c r="L234" s="34">
        <f>IF(OR(A234="",D234=""),"",IF(D234&gt;Config!$B$5,0,DATEDIF(D234,Config!$B$5,"m")))</f>
        <v/>
      </c>
      <c r="M234" s="39">
        <f>IF(A234="","",IF(K234&lt;&gt;"",K234,IF(OR(C234="",D234=""),"Sem dados",IFERROR(IF(C234="M",INDEX(Config!$B$11:$B$14,MATCH(L234,Config!$A$11:$A$14,1)),IF(C234="F",INDEX(Config!$C$11:$C$14,MATCH(L234,Config!$A$11:$A$14,1)),"Sem dados")),"Verificar"))))</f>
        <v/>
      </c>
      <c r="N234" s="39">
        <f>IF(A234="","",IF(COUNTIFS('Movimentações'!$C$6:$C$1505,A234,'Movimentações'!$B$6:$B$1505,"Venda")&gt;0,"Vendido",IF(COUNTIFS('Movimentações'!$C$6:$C$1505,A234,'Movimentações'!$B$6:$B$1505,"Morte")&gt;0,"Morto","Ativo")))</f>
        <v/>
      </c>
      <c r="O234" s="40">
        <f>IF(A234="","",IF(COUNTIF('Pesagens'!$B$6:$B$2005,A234)=0,"",SUMPRODUCT(MAX(('Pesagens'!$B$6:$B$2005=A234)*'Pesagens'!$A$6:$A$2005))))</f>
        <v/>
      </c>
      <c r="P234" s="41">
        <f>IF(A234="","",IF(O234="",IF(J234="","",J234),IFERROR(AVERAGEIFS('Pesagens'!$C$6:$C$2005,'Pesagens'!$B$6:$B$2005,A234,'Pesagens'!$A$6:$A$2005,O234),"")))</f>
        <v/>
      </c>
      <c r="Q234" s="42">
        <f>IF(OR(A234="",O234="",I234="",J234=""),"",IFERROR((P234-J234)/(O234-I234),""))</f>
        <v/>
      </c>
    </row>
    <row r="235">
      <c r="A235" s="36" t="n"/>
      <c r="B235" s="32" t="n"/>
      <c r="C235" s="37" t="n"/>
      <c r="D235" s="31" t="n"/>
      <c r="E235" s="32" t="n"/>
      <c r="F235" s="32" t="n"/>
      <c r="G235" s="32" t="n"/>
      <c r="H235" s="36" t="n"/>
      <c r="I235" s="31" t="n"/>
      <c r="J235" s="38" t="n"/>
      <c r="K235" s="32" t="n"/>
      <c r="L235" s="34">
        <f>IF(OR(A235="",D235=""),"",IF(D235&gt;Config!$B$5,0,DATEDIF(D235,Config!$B$5,"m")))</f>
        <v/>
      </c>
      <c r="M235" s="39">
        <f>IF(A235="","",IF(K235&lt;&gt;"",K235,IF(OR(C235="",D235=""),"Sem dados",IFERROR(IF(C235="M",INDEX(Config!$B$11:$B$14,MATCH(L235,Config!$A$11:$A$14,1)),IF(C235="F",INDEX(Config!$C$11:$C$14,MATCH(L235,Config!$A$11:$A$14,1)),"Sem dados")),"Verificar"))))</f>
        <v/>
      </c>
      <c r="N235" s="39">
        <f>IF(A235="","",IF(COUNTIFS('Movimentações'!$C$6:$C$1505,A235,'Movimentações'!$B$6:$B$1505,"Venda")&gt;0,"Vendido",IF(COUNTIFS('Movimentações'!$C$6:$C$1505,A235,'Movimentações'!$B$6:$B$1505,"Morte")&gt;0,"Morto","Ativo")))</f>
        <v/>
      </c>
      <c r="O235" s="40">
        <f>IF(A235="","",IF(COUNTIF('Pesagens'!$B$6:$B$2005,A235)=0,"",SUMPRODUCT(MAX(('Pesagens'!$B$6:$B$2005=A235)*'Pesagens'!$A$6:$A$2005))))</f>
        <v/>
      </c>
      <c r="P235" s="41">
        <f>IF(A235="","",IF(O235="",IF(J235="","",J235),IFERROR(AVERAGEIFS('Pesagens'!$C$6:$C$2005,'Pesagens'!$B$6:$B$2005,A235,'Pesagens'!$A$6:$A$2005,O235),"")))</f>
        <v/>
      </c>
      <c r="Q235" s="42">
        <f>IF(OR(A235="",O235="",I235="",J235=""),"",IFERROR((P235-J235)/(O235-I235),""))</f>
        <v/>
      </c>
    </row>
    <row r="236">
      <c r="A236" s="36" t="n"/>
      <c r="B236" s="32" t="n"/>
      <c r="C236" s="37" t="n"/>
      <c r="D236" s="31" t="n"/>
      <c r="E236" s="32" t="n"/>
      <c r="F236" s="32" t="n"/>
      <c r="G236" s="32" t="n"/>
      <c r="H236" s="36" t="n"/>
      <c r="I236" s="31" t="n"/>
      <c r="J236" s="38" t="n"/>
      <c r="K236" s="32" t="n"/>
      <c r="L236" s="34">
        <f>IF(OR(A236="",D236=""),"",IF(D236&gt;Config!$B$5,0,DATEDIF(D236,Config!$B$5,"m")))</f>
        <v/>
      </c>
      <c r="M236" s="39">
        <f>IF(A236="","",IF(K236&lt;&gt;"",K236,IF(OR(C236="",D236=""),"Sem dados",IFERROR(IF(C236="M",INDEX(Config!$B$11:$B$14,MATCH(L236,Config!$A$11:$A$14,1)),IF(C236="F",INDEX(Config!$C$11:$C$14,MATCH(L236,Config!$A$11:$A$14,1)),"Sem dados")),"Verificar"))))</f>
        <v/>
      </c>
      <c r="N236" s="39">
        <f>IF(A236="","",IF(COUNTIFS('Movimentações'!$C$6:$C$1505,A236,'Movimentações'!$B$6:$B$1505,"Venda")&gt;0,"Vendido",IF(COUNTIFS('Movimentações'!$C$6:$C$1505,A236,'Movimentações'!$B$6:$B$1505,"Morte")&gt;0,"Morto","Ativo")))</f>
        <v/>
      </c>
      <c r="O236" s="40">
        <f>IF(A236="","",IF(COUNTIF('Pesagens'!$B$6:$B$2005,A236)=0,"",SUMPRODUCT(MAX(('Pesagens'!$B$6:$B$2005=A236)*'Pesagens'!$A$6:$A$2005))))</f>
        <v/>
      </c>
      <c r="P236" s="41">
        <f>IF(A236="","",IF(O236="",IF(J236="","",J236),IFERROR(AVERAGEIFS('Pesagens'!$C$6:$C$2005,'Pesagens'!$B$6:$B$2005,A236,'Pesagens'!$A$6:$A$2005,O236),"")))</f>
        <v/>
      </c>
      <c r="Q236" s="42">
        <f>IF(OR(A236="",O236="",I236="",J236=""),"",IFERROR((P236-J236)/(O236-I236),""))</f>
        <v/>
      </c>
    </row>
    <row r="237">
      <c r="A237" s="36" t="n"/>
      <c r="B237" s="32" t="n"/>
      <c r="C237" s="37" t="n"/>
      <c r="D237" s="31" t="n"/>
      <c r="E237" s="32" t="n"/>
      <c r="F237" s="32" t="n"/>
      <c r="G237" s="32" t="n"/>
      <c r="H237" s="36" t="n"/>
      <c r="I237" s="31" t="n"/>
      <c r="J237" s="38" t="n"/>
      <c r="K237" s="32" t="n"/>
      <c r="L237" s="34">
        <f>IF(OR(A237="",D237=""),"",IF(D237&gt;Config!$B$5,0,DATEDIF(D237,Config!$B$5,"m")))</f>
        <v/>
      </c>
      <c r="M237" s="39">
        <f>IF(A237="","",IF(K237&lt;&gt;"",K237,IF(OR(C237="",D237=""),"Sem dados",IFERROR(IF(C237="M",INDEX(Config!$B$11:$B$14,MATCH(L237,Config!$A$11:$A$14,1)),IF(C237="F",INDEX(Config!$C$11:$C$14,MATCH(L237,Config!$A$11:$A$14,1)),"Sem dados")),"Verificar"))))</f>
        <v/>
      </c>
      <c r="N237" s="39">
        <f>IF(A237="","",IF(COUNTIFS('Movimentações'!$C$6:$C$1505,A237,'Movimentações'!$B$6:$B$1505,"Venda")&gt;0,"Vendido",IF(COUNTIFS('Movimentações'!$C$6:$C$1505,A237,'Movimentações'!$B$6:$B$1505,"Morte")&gt;0,"Morto","Ativo")))</f>
        <v/>
      </c>
      <c r="O237" s="40">
        <f>IF(A237="","",IF(COUNTIF('Pesagens'!$B$6:$B$2005,A237)=0,"",SUMPRODUCT(MAX(('Pesagens'!$B$6:$B$2005=A237)*'Pesagens'!$A$6:$A$2005))))</f>
        <v/>
      </c>
      <c r="P237" s="41">
        <f>IF(A237="","",IF(O237="",IF(J237="","",J237),IFERROR(AVERAGEIFS('Pesagens'!$C$6:$C$2005,'Pesagens'!$B$6:$B$2005,A237,'Pesagens'!$A$6:$A$2005,O237),"")))</f>
        <v/>
      </c>
      <c r="Q237" s="42">
        <f>IF(OR(A237="",O237="",I237="",J237=""),"",IFERROR((P237-J237)/(O237-I237),""))</f>
        <v/>
      </c>
    </row>
    <row r="238">
      <c r="A238" s="36" t="n"/>
      <c r="B238" s="32" t="n"/>
      <c r="C238" s="37" t="n"/>
      <c r="D238" s="31" t="n"/>
      <c r="E238" s="32" t="n"/>
      <c r="F238" s="32" t="n"/>
      <c r="G238" s="32" t="n"/>
      <c r="H238" s="36" t="n"/>
      <c r="I238" s="31" t="n"/>
      <c r="J238" s="38" t="n"/>
      <c r="K238" s="32" t="n"/>
      <c r="L238" s="34">
        <f>IF(OR(A238="",D238=""),"",IF(D238&gt;Config!$B$5,0,DATEDIF(D238,Config!$B$5,"m")))</f>
        <v/>
      </c>
      <c r="M238" s="39">
        <f>IF(A238="","",IF(K238&lt;&gt;"",K238,IF(OR(C238="",D238=""),"Sem dados",IFERROR(IF(C238="M",INDEX(Config!$B$11:$B$14,MATCH(L238,Config!$A$11:$A$14,1)),IF(C238="F",INDEX(Config!$C$11:$C$14,MATCH(L238,Config!$A$11:$A$14,1)),"Sem dados")),"Verificar"))))</f>
        <v/>
      </c>
      <c r="N238" s="39">
        <f>IF(A238="","",IF(COUNTIFS('Movimentações'!$C$6:$C$1505,A238,'Movimentações'!$B$6:$B$1505,"Venda")&gt;0,"Vendido",IF(COUNTIFS('Movimentações'!$C$6:$C$1505,A238,'Movimentações'!$B$6:$B$1505,"Morte")&gt;0,"Morto","Ativo")))</f>
        <v/>
      </c>
      <c r="O238" s="40">
        <f>IF(A238="","",IF(COUNTIF('Pesagens'!$B$6:$B$2005,A238)=0,"",SUMPRODUCT(MAX(('Pesagens'!$B$6:$B$2005=A238)*'Pesagens'!$A$6:$A$2005))))</f>
        <v/>
      </c>
      <c r="P238" s="41">
        <f>IF(A238="","",IF(O238="",IF(J238="","",J238),IFERROR(AVERAGEIFS('Pesagens'!$C$6:$C$2005,'Pesagens'!$B$6:$B$2005,A238,'Pesagens'!$A$6:$A$2005,O238),"")))</f>
        <v/>
      </c>
      <c r="Q238" s="42">
        <f>IF(OR(A238="",O238="",I238="",J238=""),"",IFERROR((P238-J238)/(O238-I238),""))</f>
        <v/>
      </c>
    </row>
    <row r="239">
      <c r="A239" s="36" t="n"/>
      <c r="B239" s="32" t="n"/>
      <c r="C239" s="37" t="n"/>
      <c r="D239" s="31" t="n"/>
      <c r="E239" s="32" t="n"/>
      <c r="F239" s="32" t="n"/>
      <c r="G239" s="32" t="n"/>
      <c r="H239" s="36" t="n"/>
      <c r="I239" s="31" t="n"/>
      <c r="J239" s="38" t="n"/>
      <c r="K239" s="32" t="n"/>
      <c r="L239" s="34">
        <f>IF(OR(A239="",D239=""),"",IF(D239&gt;Config!$B$5,0,DATEDIF(D239,Config!$B$5,"m")))</f>
        <v/>
      </c>
      <c r="M239" s="39">
        <f>IF(A239="","",IF(K239&lt;&gt;"",K239,IF(OR(C239="",D239=""),"Sem dados",IFERROR(IF(C239="M",INDEX(Config!$B$11:$B$14,MATCH(L239,Config!$A$11:$A$14,1)),IF(C239="F",INDEX(Config!$C$11:$C$14,MATCH(L239,Config!$A$11:$A$14,1)),"Sem dados")),"Verificar"))))</f>
        <v/>
      </c>
      <c r="N239" s="39">
        <f>IF(A239="","",IF(COUNTIFS('Movimentações'!$C$6:$C$1505,A239,'Movimentações'!$B$6:$B$1505,"Venda")&gt;0,"Vendido",IF(COUNTIFS('Movimentações'!$C$6:$C$1505,A239,'Movimentações'!$B$6:$B$1505,"Morte")&gt;0,"Morto","Ativo")))</f>
        <v/>
      </c>
      <c r="O239" s="40">
        <f>IF(A239="","",IF(COUNTIF('Pesagens'!$B$6:$B$2005,A239)=0,"",SUMPRODUCT(MAX(('Pesagens'!$B$6:$B$2005=A239)*'Pesagens'!$A$6:$A$2005))))</f>
        <v/>
      </c>
      <c r="P239" s="41">
        <f>IF(A239="","",IF(O239="",IF(J239="","",J239),IFERROR(AVERAGEIFS('Pesagens'!$C$6:$C$2005,'Pesagens'!$B$6:$B$2005,A239,'Pesagens'!$A$6:$A$2005,O239),"")))</f>
        <v/>
      </c>
      <c r="Q239" s="42">
        <f>IF(OR(A239="",O239="",I239="",J239=""),"",IFERROR((P239-J239)/(O239-I239),""))</f>
        <v/>
      </c>
    </row>
    <row r="240">
      <c r="A240" s="36" t="n"/>
      <c r="B240" s="32" t="n"/>
      <c r="C240" s="37" t="n"/>
      <c r="D240" s="31" t="n"/>
      <c r="E240" s="32" t="n"/>
      <c r="F240" s="32" t="n"/>
      <c r="G240" s="32" t="n"/>
      <c r="H240" s="36" t="n"/>
      <c r="I240" s="31" t="n"/>
      <c r="J240" s="38" t="n"/>
      <c r="K240" s="32" t="n"/>
      <c r="L240" s="34">
        <f>IF(OR(A240="",D240=""),"",IF(D240&gt;Config!$B$5,0,DATEDIF(D240,Config!$B$5,"m")))</f>
        <v/>
      </c>
      <c r="M240" s="39">
        <f>IF(A240="","",IF(K240&lt;&gt;"",K240,IF(OR(C240="",D240=""),"Sem dados",IFERROR(IF(C240="M",INDEX(Config!$B$11:$B$14,MATCH(L240,Config!$A$11:$A$14,1)),IF(C240="F",INDEX(Config!$C$11:$C$14,MATCH(L240,Config!$A$11:$A$14,1)),"Sem dados")),"Verificar"))))</f>
        <v/>
      </c>
      <c r="N240" s="39">
        <f>IF(A240="","",IF(COUNTIFS('Movimentações'!$C$6:$C$1505,A240,'Movimentações'!$B$6:$B$1505,"Venda")&gt;0,"Vendido",IF(COUNTIFS('Movimentações'!$C$6:$C$1505,A240,'Movimentações'!$B$6:$B$1505,"Morte")&gt;0,"Morto","Ativo")))</f>
        <v/>
      </c>
      <c r="O240" s="40">
        <f>IF(A240="","",IF(COUNTIF('Pesagens'!$B$6:$B$2005,A240)=0,"",SUMPRODUCT(MAX(('Pesagens'!$B$6:$B$2005=A240)*'Pesagens'!$A$6:$A$2005))))</f>
        <v/>
      </c>
      <c r="P240" s="41">
        <f>IF(A240="","",IF(O240="",IF(J240="","",J240),IFERROR(AVERAGEIFS('Pesagens'!$C$6:$C$2005,'Pesagens'!$B$6:$B$2005,A240,'Pesagens'!$A$6:$A$2005,O240),"")))</f>
        <v/>
      </c>
      <c r="Q240" s="42">
        <f>IF(OR(A240="",O240="",I240="",J240=""),"",IFERROR((P240-J240)/(O240-I240),""))</f>
        <v/>
      </c>
    </row>
    <row r="241">
      <c r="A241" s="36" t="n"/>
      <c r="B241" s="32" t="n"/>
      <c r="C241" s="37" t="n"/>
      <c r="D241" s="31" t="n"/>
      <c r="E241" s="32" t="n"/>
      <c r="F241" s="32" t="n"/>
      <c r="G241" s="32" t="n"/>
      <c r="H241" s="36" t="n"/>
      <c r="I241" s="31" t="n"/>
      <c r="J241" s="38" t="n"/>
      <c r="K241" s="32" t="n"/>
      <c r="L241" s="34">
        <f>IF(OR(A241="",D241=""),"",IF(D241&gt;Config!$B$5,0,DATEDIF(D241,Config!$B$5,"m")))</f>
        <v/>
      </c>
      <c r="M241" s="39">
        <f>IF(A241="","",IF(K241&lt;&gt;"",K241,IF(OR(C241="",D241=""),"Sem dados",IFERROR(IF(C241="M",INDEX(Config!$B$11:$B$14,MATCH(L241,Config!$A$11:$A$14,1)),IF(C241="F",INDEX(Config!$C$11:$C$14,MATCH(L241,Config!$A$11:$A$14,1)),"Sem dados")),"Verificar"))))</f>
        <v/>
      </c>
      <c r="N241" s="39">
        <f>IF(A241="","",IF(COUNTIFS('Movimentações'!$C$6:$C$1505,A241,'Movimentações'!$B$6:$B$1505,"Venda")&gt;0,"Vendido",IF(COUNTIFS('Movimentações'!$C$6:$C$1505,A241,'Movimentações'!$B$6:$B$1505,"Morte")&gt;0,"Morto","Ativo")))</f>
        <v/>
      </c>
      <c r="O241" s="40">
        <f>IF(A241="","",IF(COUNTIF('Pesagens'!$B$6:$B$2005,A241)=0,"",SUMPRODUCT(MAX(('Pesagens'!$B$6:$B$2005=A241)*'Pesagens'!$A$6:$A$2005))))</f>
        <v/>
      </c>
      <c r="P241" s="41">
        <f>IF(A241="","",IF(O241="",IF(J241="","",J241),IFERROR(AVERAGEIFS('Pesagens'!$C$6:$C$2005,'Pesagens'!$B$6:$B$2005,A241,'Pesagens'!$A$6:$A$2005,O241),"")))</f>
        <v/>
      </c>
      <c r="Q241" s="42">
        <f>IF(OR(A241="",O241="",I241="",J241=""),"",IFERROR((P241-J241)/(O241-I241),""))</f>
        <v/>
      </c>
    </row>
    <row r="242">
      <c r="A242" s="36" t="n"/>
      <c r="B242" s="32" t="n"/>
      <c r="C242" s="37" t="n"/>
      <c r="D242" s="31" t="n"/>
      <c r="E242" s="32" t="n"/>
      <c r="F242" s="32" t="n"/>
      <c r="G242" s="32" t="n"/>
      <c r="H242" s="36" t="n"/>
      <c r="I242" s="31" t="n"/>
      <c r="J242" s="38" t="n"/>
      <c r="K242" s="32" t="n"/>
      <c r="L242" s="34">
        <f>IF(OR(A242="",D242=""),"",IF(D242&gt;Config!$B$5,0,DATEDIF(D242,Config!$B$5,"m")))</f>
        <v/>
      </c>
      <c r="M242" s="39">
        <f>IF(A242="","",IF(K242&lt;&gt;"",K242,IF(OR(C242="",D242=""),"Sem dados",IFERROR(IF(C242="M",INDEX(Config!$B$11:$B$14,MATCH(L242,Config!$A$11:$A$14,1)),IF(C242="F",INDEX(Config!$C$11:$C$14,MATCH(L242,Config!$A$11:$A$14,1)),"Sem dados")),"Verificar"))))</f>
        <v/>
      </c>
      <c r="N242" s="39">
        <f>IF(A242="","",IF(COUNTIFS('Movimentações'!$C$6:$C$1505,A242,'Movimentações'!$B$6:$B$1505,"Venda")&gt;0,"Vendido",IF(COUNTIFS('Movimentações'!$C$6:$C$1505,A242,'Movimentações'!$B$6:$B$1505,"Morte")&gt;0,"Morto","Ativo")))</f>
        <v/>
      </c>
      <c r="O242" s="40">
        <f>IF(A242="","",IF(COUNTIF('Pesagens'!$B$6:$B$2005,A242)=0,"",SUMPRODUCT(MAX(('Pesagens'!$B$6:$B$2005=A242)*'Pesagens'!$A$6:$A$2005))))</f>
        <v/>
      </c>
      <c r="P242" s="41">
        <f>IF(A242="","",IF(O242="",IF(J242="","",J242),IFERROR(AVERAGEIFS('Pesagens'!$C$6:$C$2005,'Pesagens'!$B$6:$B$2005,A242,'Pesagens'!$A$6:$A$2005,O242),"")))</f>
        <v/>
      </c>
      <c r="Q242" s="42">
        <f>IF(OR(A242="",O242="",I242="",J242=""),"",IFERROR((P242-J242)/(O242-I242),""))</f>
        <v/>
      </c>
    </row>
    <row r="243">
      <c r="A243" s="36" t="n"/>
      <c r="B243" s="32" t="n"/>
      <c r="C243" s="37" t="n"/>
      <c r="D243" s="31" t="n"/>
      <c r="E243" s="32" t="n"/>
      <c r="F243" s="32" t="n"/>
      <c r="G243" s="32" t="n"/>
      <c r="H243" s="36" t="n"/>
      <c r="I243" s="31" t="n"/>
      <c r="J243" s="38" t="n"/>
      <c r="K243" s="32" t="n"/>
      <c r="L243" s="34">
        <f>IF(OR(A243="",D243=""),"",IF(D243&gt;Config!$B$5,0,DATEDIF(D243,Config!$B$5,"m")))</f>
        <v/>
      </c>
      <c r="M243" s="39">
        <f>IF(A243="","",IF(K243&lt;&gt;"",K243,IF(OR(C243="",D243=""),"Sem dados",IFERROR(IF(C243="M",INDEX(Config!$B$11:$B$14,MATCH(L243,Config!$A$11:$A$14,1)),IF(C243="F",INDEX(Config!$C$11:$C$14,MATCH(L243,Config!$A$11:$A$14,1)),"Sem dados")),"Verificar"))))</f>
        <v/>
      </c>
      <c r="N243" s="39">
        <f>IF(A243="","",IF(COUNTIFS('Movimentações'!$C$6:$C$1505,A243,'Movimentações'!$B$6:$B$1505,"Venda")&gt;0,"Vendido",IF(COUNTIFS('Movimentações'!$C$6:$C$1505,A243,'Movimentações'!$B$6:$B$1505,"Morte")&gt;0,"Morto","Ativo")))</f>
        <v/>
      </c>
      <c r="O243" s="40">
        <f>IF(A243="","",IF(COUNTIF('Pesagens'!$B$6:$B$2005,A243)=0,"",SUMPRODUCT(MAX(('Pesagens'!$B$6:$B$2005=A243)*'Pesagens'!$A$6:$A$2005))))</f>
        <v/>
      </c>
      <c r="P243" s="41">
        <f>IF(A243="","",IF(O243="",IF(J243="","",J243),IFERROR(AVERAGEIFS('Pesagens'!$C$6:$C$2005,'Pesagens'!$B$6:$B$2005,A243,'Pesagens'!$A$6:$A$2005,O243),"")))</f>
        <v/>
      </c>
      <c r="Q243" s="42">
        <f>IF(OR(A243="",O243="",I243="",J243=""),"",IFERROR((P243-J243)/(O243-I243),""))</f>
        <v/>
      </c>
    </row>
    <row r="244">
      <c r="A244" s="36" t="n"/>
      <c r="B244" s="32" t="n"/>
      <c r="C244" s="37" t="n"/>
      <c r="D244" s="31" t="n"/>
      <c r="E244" s="32" t="n"/>
      <c r="F244" s="32" t="n"/>
      <c r="G244" s="32" t="n"/>
      <c r="H244" s="36" t="n"/>
      <c r="I244" s="31" t="n"/>
      <c r="J244" s="38" t="n"/>
      <c r="K244" s="32" t="n"/>
      <c r="L244" s="34">
        <f>IF(OR(A244="",D244=""),"",IF(D244&gt;Config!$B$5,0,DATEDIF(D244,Config!$B$5,"m")))</f>
        <v/>
      </c>
      <c r="M244" s="39">
        <f>IF(A244="","",IF(K244&lt;&gt;"",K244,IF(OR(C244="",D244=""),"Sem dados",IFERROR(IF(C244="M",INDEX(Config!$B$11:$B$14,MATCH(L244,Config!$A$11:$A$14,1)),IF(C244="F",INDEX(Config!$C$11:$C$14,MATCH(L244,Config!$A$11:$A$14,1)),"Sem dados")),"Verificar"))))</f>
        <v/>
      </c>
      <c r="N244" s="39">
        <f>IF(A244="","",IF(COUNTIFS('Movimentações'!$C$6:$C$1505,A244,'Movimentações'!$B$6:$B$1505,"Venda")&gt;0,"Vendido",IF(COUNTIFS('Movimentações'!$C$6:$C$1505,A244,'Movimentações'!$B$6:$B$1505,"Morte")&gt;0,"Morto","Ativo")))</f>
        <v/>
      </c>
      <c r="O244" s="40">
        <f>IF(A244="","",IF(COUNTIF('Pesagens'!$B$6:$B$2005,A244)=0,"",SUMPRODUCT(MAX(('Pesagens'!$B$6:$B$2005=A244)*'Pesagens'!$A$6:$A$2005))))</f>
        <v/>
      </c>
      <c r="P244" s="41">
        <f>IF(A244="","",IF(O244="",IF(J244="","",J244),IFERROR(AVERAGEIFS('Pesagens'!$C$6:$C$2005,'Pesagens'!$B$6:$B$2005,A244,'Pesagens'!$A$6:$A$2005,O244),"")))</f>
        <v/>
      </c>
      <c r="Q244" s="42">
        <f>IF(OR(A244="",O244="",I244="",J244=""),"",IFERROR((P244-J244)/(O244-I244),""))</f>
        <v/>
      </c>
    </row>
    <row r="245">
      <c r="A245" s="36" t="n"/>
      <c r="B245" s="32" t="n"/>
      <c r="C245" s="37" t="n"/>
      <c r="D245" s="31" t="n"/>
      <c r="E245" s="32" t="n"/>
      <c r="F245" s="32" t="n"/>
      <c r="G245" s="32" t="n"/>
      <c r="H245" s="36" t="n"/>
      <c r="I245" s="31" t="n"/>
      <c r="J245" s="38" t="n"/>
      <c r="K245" s="32" t="n"/>
      <c r="L245" s="34">
        <f>IF(OR(A245="",D245=""),"",IF(D245&gt;Config!$B$5,0,DATEDIF(D245,Config!$B$5,"m")))</f>
        <v/>
      </c>
      <c r="M245" s="39">
        <f>IF(A245="","",IF(K245&lt;&gt;"",K245,IF(OR(C245="",D245=""),"Sem dados",IFERROR(IF(C245="M",INDEX(Config!$B$11:$B$14,MATCH(L245,Config!$A$11:$A$14,1)),IF(C245="F",INDEX(Config!$C$11:$C$14,MATCH(L245,Config!$A$11:$A$14,1)),"Sem dados")),"Verificar"))))</f>
        <v/>
      </c>
      <c r="N245" s="39">
        <f>IF(A245="","",IF(COUNTIFS('Movimentações'!$C$6:$C$1505,A245,'Movimentações'!$B$6:$B$1505,"Venda")&gt;0,"Vendido",IF(COUNTIFS('Movimentações'!$C$6:$C$1505,A245,'Movimentações'!$B$6:$B$1505,"Morte")&gt;0,"Morto","Ativo")))</f>
        <v/>
      </c>
      <c r="O245" s="40">
        <f>IF(A245="","",IF(COUNTIF('Pesagens'!$B$6:$B$2005,A245)=0,"",SUMPRODUCT(MAX(('Pesagens'!$B$6:$B$2005=A245)*'Pesagens'!$A$6:$A$2005))))</f>
        <v/>
      </c>
      <c r="P245" s="41">
        <f>IF(A245="","",IF(O245="",IF(J245="","",J245),IFERROR(AVERAGEIFS('Pesagens'!$C$6:$C$2005,'Pesagens'!$B$6:$B$2005,A245,'Pesagens'!$A$6:$A$2005,O245),"")))</f>
        <v/>
      </c>
      <c r="Q245" s="42">
        <f>IF(OR(A245="",O245="",I245="",J245=""),"",IFERROR((P245-J245)/(O245-I245),""))</f>
        <v/>
      </c>
    </row>
    <row r="246">
      <c r="A246" s="36" t="n"/>
      <c r="B246" s="32" t="n"/>
      <c r="C246" s="37" t="n"/>
      <c r="D246" s="31" t="n"/>
      <c r="E246" s="32" t="n"/>
      <c r="F246" s="32" t="n"/>
      <c r="G246" s="32" t="n"/>
      <c r="H246" s="36" t="n"/>
      <c r="I246" s="31" t="n"/>
      <c r="J246" s="38" t="n"/>
      <c r="K246" s="32" t="n"/>
      <c r="L246" s="34">
        <f>IF(OR(A246="",D246=""),"",IF(D246&gt;Config!$B$5,0,DATEDIF(D246,Config!$B$5,"m")))</f>
        <v/>
      </c>
      <c r="M246" s="39">
        <f>IF(A246="","",IF(K246&lt;&gt;"",K246,IF(OR(C246="",D246=""),"Sem dados",IFERROR(IF(C246="M",INDEX(Config!$B$11:$B$14,MATCH(L246,Config!$A$11:$A$14,1)),IF(C246="F",INDEX(Config!$C$11:$C$14,MATCH(L246,Config!$A$11:$A$14,1)),"Sem dados")),"Verificar"))))</f>
        <v/>
      </c>
      <c r="N246" s="39">
        <f>IF(A246="","",IF(COUNTIFS('Movimentações'!$C$6:$C$1505,A246,'Movimentações'!$B$6:$B$1505,"Venda")&gt;0,"Vendido",IF(COUNTIFS('Movimentações'!$C$6:$C$1505,A246,'Movimentações'!$B$6:$B$1505,"Morte")&gt;0,"Morto","Ativo")))</f>
        <v/>
      </c>
      <c r="O246" s="40">
        <f>IF(A246="","",IF(COUNTIF('Pesagens'!$B$6:$B$2005,A246)=0,"",SUMPRODUCT(MAX(('Pesagens'!$B$6:$B$2005=A246)*'Pesagens'!$A$6:$A$2005))))</f>
        <v/>
      </c>
      <c r="P246" s="41">
        <f>IF(A246="","",IF(O246="",IF(J246="","",J246),IFERROR(AVERAGEIFS('Pesagens'!$C$6:$C$2005,'Pesagens'!$B$6:$B$2005,A246,'Pesagens'!$A$6:$A$2005,O246),"")))</f>
        <v/>
      </c>
      <c r="Q246" s="42">
        <f>IF(OR(A246="",O246="",I246="",J246=""),"",IFERROR((P246-J246)/(O246-I246),""))</f>
        <v/>
      </c>
    </row>
    <row r="247">
      <c r="A247" s="36" t="n"/>
      <c r="B247" s="32" t="n"/>
      <c r="C247" s="37" t="n"/>
      <c r="D247" s="31" t="n"/>
      <c r="E247" s="32" t="n"/>
      <c r="F247" s="32" t="n"/>
      <c r="G247" s="32" t="n"/>
      <c r="H247" s="36" t="n"/>
      <c r="I247" s="31" t="n"/>
      <c r="J247" s="38" t="n"/>
      <c r="K247" s="32" t="n"/>
      <c r="L247" s="34">
        <f>IF(OR(A247="",D247=""),"",IF(D247&gt;Config!$B$5,0,DATEDIF(D247,Config!$B$5,"m")))</f>
        <v/>
      </c>
      <c r="M247" s="39">
        <f>IF(A247="","",IF(K247&lt;&gt;"",K247,IF(OR(C247="",D247=""),"Sem dados",IFERROR(IF(C247="M",INDEX(Config!$B$11:$B$14,MATCH(L247,Config!$A$11:$A$14,1)),IF(C247="F",INDEX(Config!$C$11:$C$14,MATCH(L247,Config!$A$11:$A$14,1)),"Sem dados")),"Verificar"))))</f>
        <v/>
      </c>
      <c r="N247" s="39">
        <f>IF(A247="","",IF(COUNTIFS('Movimentações'!$C$6:$C$1505,A247,'Movimentações'!$B$6:$B$1505,"Venda")&gt;0,"Vendido",IF(COUNTIFS('Movimentações'!$C$6:$C$1505,A247,'Movimentações'!$B$6:$B$1505,"Morte")&gt;0,"Morto","Ativo")))</f>
        <v/>
      </c>
      <c r="O247" s="40">
        <f>IF(A247="","",IF(COUNTIF('Pesagens'!$B$6:$B$2005,A247)=0,"",SUMPRODUCT(MAX(('Pesagens'!$B$6:$B$2005=A247)*'Pesagens'!$A$6:$A$2005))))</f>
        <v/>
      </c>
      <c r="P247" s="41">
        <f>IF(A247="","",IF(O247="",IF(J247="","",J247),IFERROR(AVERAGEIFS('Pesagens'!$C$6:$C$2005,'Pesagens'!$B$6:$B$2005,A247,'Pesagens'!$A$6:$A$2005,O247),"")))</f>
        <v/>
      </c>
      <c r="Q247" s="42">
        <f>IF(OR(A247="",O247="",I247="",J247=""),"",IFERROR((P247-J247)/(O247-I247),""))</f>
        <v/>
      </c>
    </row>
    <row r="248">
      <c r="A248" s="36" t="n"/>
      <c r="B248" s="32" t="n"/>
      <c r="C248" s="37" t="n"/>
      <c r="D248" s="31" t="n"/>
      <c r="E248" s="32" t="n"/>
      <c r="F248" s="32" t="n"/>
      <c r="G248" s="32" t="n"/>
      <c r="H248" s="36" t="n"/>
      <c r="I248" s="31" t="n"/>
      <c r="J248" s="38" t="n"/>
      <c r="K248" s="32" t="n"/>
      <c r="L248" s="34">
        <f>IF(OR(A248="",D248=""),"",IF(D248&gt;Config!$B$5,0,DATEDIF(D248,Config!$B$5,"m")))</f>
        <v/>
      </c>
      <c r="M248" s="39">
        <f>IF(A248="","",IF(K248&lt;&gt;"",K248,IF(OR(C248="",D248=""),"Sem dados",IFERROR(IF(C248="M",INDEX(Config!$B$11:$B$14,MATCH(L248,Config!$A$11:$A$14,1)),IF(C248="F",INDEX(Config!$C$11:$C$14,MATCH(L248,Config!$A$11:$A$14,1)),"Sem dados")),"Verificar"))))</f>
        <v/>
      </c>
      <c r="N248" s="39">
        <f>IF(A248="","",IF(COUNTIFS('Movimentações'!$C$6:$C$1505,A248,'Movimentações'!$B$6:$B$1505,"Venda")&gt;0,"Vendido",IF(COUNTIFS('Movimentações'!$C$6:$C$1505,A248,'Movimentações'!$B$6:$B$1505,"Morte")&gt;0,"Morto","Ativo")))</f>
        <v/>
      </c>
      <c r="O248" s="40">
        <f>IF(A248="","",IF(COUNTIF('Pesagens'!$B$6:$B$2005,A248)=0,"",SUMPRODUCT(MAX(('Pesagens'!$B$6:$B$2005=A248)*'Pesagens'!$A$6:$A$2005))))</f>
        <v/>
      </c>
      <c r="P248" s="41">
        <f>IF(A248="","",IF(O248="",IF(J248="","",J248),IFERROR(AVERAGEIFS('Pesagens'!$C$6:$C$2005,'Pesagens'!$B$6:$B$2005,A248,'Pesagens'!$A$6:$A$2005,O248),"")))</f>
        <v/>
      </c>
      <c r="Q248" s="42">
        <f>IF(OR(A248="",O248="",I248="",J248=""),"",IFERROR((P248-J248)/(O248-I248),""))</f>
        <v/>
      </c>
    </row>
    <row r="249">
      <c r="A249" s="36" t="n"/>
      <c r="B249" s="32" t="n"/>
      <c r="C249" s="37" t="n"/>
      <c r="D249" s="31" t="n"/>
      <c r="E249" s="32" t="n"/>
      <c r="F249" s="32" t="n"/>
      <c r="G249" s="32" t="n"/>
      <c r="H249" s="36" t="n"/>
      <c r="I249" s="31" t="n"/>
      <c r="J249" s="38" t="n"/>
      <c r="K249" s="32" t="n"/>
      <c r="L249" s="34">
        <f>IF(OR(A249="",D249=""),"",IF(D249&gt;Config!$B$5,0,DATEDIF(D249,Config!$B$5,"m")))</f>
        <v/>
      </c>
      <c r="M249" s="39">
        <f>IF(A249="","",IF(K249&lt;&gt;"",K249,IF(OR(C249="",D249=""),"Sem dados",IFERROR(IF(C249="M",INDEX(Config!$B$11:$B$14,MATCH(L249,Config!$A$11:$A$14,1)),IF(C249="F",INDEX(Config!$C$11:$C$14,MATCH(L249,Config!$A$11:$A$14,1)),"Sem dados")),"Verificar"))))</f>
        <v/>
      </c>
      <c r="N249" s="39">
        <f>IF(A249="","",IF(COUNTIFS('Movimentações'!$C$6:$C$1505,A249,'Movimentações'!$B$6:$B$1505,"Venda")&gt;0,"Vendido",IF(COUNTIFS('Movimentações'!$C$6:$C$1505,A249,'Movimentações'!$B$6:$B$1505,"Morte")&gt;0,"Morto","Ativo")))</f>
        <v/>
      </c>
      <c r="O249" s="40">
        <f>IF(A249="","",IF(COUNTIF('Pesagens'!$B$6:$B$2005,A249)=0,"",SUMPRODUCT(MAX(('Pesagens'!$B$6:$B$2005=A249)*'Pesagens'!$A$6:$A$2005))))</f>
        <v/>
      </c>
      <c r="P249" s="41">
        <f>IF(A249="","",IF(O249="",IF(J249="","",J249),IFERROR(AVERAGEIFS('Pesagens'!$C$6:$C$2005,'Pesagens'!$B$6:$B$2005,A249,'Pesagens'!$A$6:$A$2005,O249),"")))</f>
        <v/>
      </c>
      <c r="Q249" s="42">
        <f>IF(OR(A249="",O249="",I249="",J249=""),"",IFERROR((P249-J249)/(O249-I249),""))</f>
        <v/>
      </c>
    </row>
    <row r="250">
      <c r="A250" s="36" t="n"/>
      <c r="B250" s="32" t="n"/>
      <c r="C250" s="37" t="n"/>
      <c r="D250" s="31" t="n"/>
      <c r="E250" s="32" t="n"/>
      <c r="F250" s="32" t="n"/>
      <c r="G250" s="32" t="n"/>
      <c r="H250" s="36" t="n"/>
      <c r="I250" s="31" t="n"/>
      <c r="J250" s="38" t="n"/>
      <c r="K250" s="32" t="n"/>
      <c r="L250" s="34">
        <f>IF(OR(A250="",D250=""),"",IF(D250&gt;Config!$B$5,0,DATEDIF(D250,Config!$B$5,"m")))</f>
        <v/>
      </c>
      <c r="M250" s="39">
        <f>IF(A250="","",IF(K250&lt;&gt;"",K250,IF(OR(C250="",D250=""),"Sem dados",IFERROR(IF(C250="M",INDEX(Config!$B$11:$B$14,MATCH(L250,Config!$A$11:$A$14,1)),IF(C250="F",INDEX(Config!$C$11:$C$14,MATCH(L250,Config!$A$11:$A$14,1)),"Sem dados")),"Verificar"))))</f>
        <v/>
      </c>
      <c r="N250" s="39">
        <f>IF(A250="","",IF(COUNTIFS('Movimentações'!$C$6:$C$1505,A250,'Movimentações'!$B$6:$B$1505,"Venda")&gt;0,"Vendido",IF(COUNTIFS('Movimentações'!$C$6:$C$1505,A250,'Movimentações'!$B$6:$B$1505,"Morte")&gt;0,"Morto","Ativo")))</f>
        <v/>
      </c>
      <c r="O250" s="40">
        <f>IF(A250="","",IF(COUNTIF('Pesagens'!$B$6:$B$2005,A250)=0,"",SUMPRODUCT(MAX(('Pesagens'!$B$6:$B$2005=A250)*'Pesagens'!$A$6:$A$2005))))</f>
        <v/>
      </c>
      <c r="P250" s="41">
        <f>IF(A250="","",IF(O250="",IF(J250="","",J250),IFERROR(AVERAGEIFS('Pesagens'!$C$6:$C$2005,'Pesagens'!$B$6:$B$2005,A250,'Pesagens'!$A$6:$A$2005,O250),"")))</f>
        <v/>
      </c>
      <c r="Q250" s="42">
        <f>IF(OR(A250="",O250="",I250="",J250=""),"",IFERROR((P250-J250)/(O250-I250),""))</f>
        <v/>
      </c>
    </row>
    <row r="251">
      <c r="A251" s="36" t="n"/>
      <c r="B251" s="32" t="n"/>
      <c r="C251" s="37" t="n"/>
      <c r="D251" s="31" t="n"/>
      <c r="E251" s="32" t="n"/>
      <c r="F251" s="32" t="n"/>
      <c r="G251" s="32" t="n"/>
      <c r="H251" s="36" t="n"/>
      <c r="I251" s="31" t="n"/>
      <c r="J251" s="38" t="n"/>
      <c r="K251" s="32" t="n"/>
      <c r="L251" s="34">
        <f>IF(OR(A251="",D251=""),"",IF(D251&gt;Config!$B$5,0,DATEDIF(D251,Config!$B$5,"m")))</f>
        <v/>
      </c>
      <c r="M251" s="39">
        <f>IF(A251="","",IF(K251&lt;&gt;"",K251,IF(OR(C251="",D251=""),"Sem dados",IFERROR(IF(C251="M",INDEX(Config!$B$11:$B$14,MATCH(L251,Config!$A$11:$A$14,1)),IF(C251="F",INDEX(Config!$C$11:$C$14,MATCH(L251,Config!$A$11:$A$14,1)),"Sem dados")),"Verificar"))))</f>
        <v/>
      </c>
      <c r="N251" s="39">
        <f>IF(A251="","",IF(COUNTIFS('Movimentações'!$C$6:$C$1505,A251,'Movimentações'!$B$6:$B$1505,"Venda")&gt;0,"Vendido",IF(COUNTIFS('Movimentações'!$C$6:$C$1505,A251,'Movimentações'!$B$6:$B$1505,"Morte")&gt;0,"Morto","Ativo")))</f>
        <v/>
      </c>
      <c r="O251" s="40">
        <f>IF(A251="","",IF(COUNTIF('Pesagens'!$B$6:$B$2005,A251)=0,"",SUMPRODUCT(MAX(('Pesagens'!$B$6:$B$2005=A251)*'Pesagens'!$A$6:$A$2005))))</f>
        <v/>
      </c>
      <c r="P251" s="41">
        <f>IF(A251="","",IF(O251="",IF(J251="","",J251),IFERROR(AVERAGEIFS('Pesagens'!$C$6:$C$2005,'Pesagens'!$B$6:$B$2005,A251,'Pesagens'!$A$6:$A$2005,O251),"")))</f>
        <v/>
      </c>
      <c r="Q251" s="42">
        <f>IF(OR(A251="",O251="",I251="",J251=""),"",IFERROR((P251-J251)/(O251-I251),""))</f>
        <v/>
      </c>
    </row>
    <row r="252">
      <c r="A252" s="36" t="n"/>
      <c r="B252" s="32" t="n"/>
      <c r="C252" s="37" t="n"/>
      <c r="D252" s="31" t="n"/>
      <c r="E252" s="32" t="n"/>
      <c r="F252" s="32" t="n"/>
      <c r="G252" s="32" t="n"/>
      <c r="H252" s="36" t="n"/>
      <c r="I252" s="31" t="n"/>
      <c r="J252" s="38" t="n"/>
      <c r="K252" s="32" t="n"/>
      <c r="L252" s="34">
        <f>IF(OR(A252="",D252=""),"",IF(D252&gt;Config!$B$5,0,DATEDIF(D252,Config!$B$5,"m")))</f>
        <v/>
      </c>
      <c r="M252" s="39">
        <f>IF(A252="","",IF(K252&lt;&gt;"",K252,IF(OR(C252="",D252=""),"Sem dados",IFERROR(IF(C252="M",INDEX(Config!$B$11:$B$14,MATCH(L252,Config!$A$11:$A$14,1)),IF(C252="F",INDEX(Config!$C$11:$C$14,MATCH(L252,Config!$A$11:$A$14,1)),"Sem dados")),"Verificar"))))</f>
        <v/>
      </c>
      <c r="N252" s="39">
        <f>IF(A252="","",IF(COUNTIFS('Movimentações'!$C$6:$C$1505,A252,'Movimentações'!$B$6:$B$1505,"Venda")&gt;0,"Vendido",IF(COUNTIFS('Movimentações'!$C$6:$C$1505,A252,'Movimentações'!$B$6:$B$1505,"Morte")&gt;0,"Morto","Ativo")))</f>
        <v/>
      </c>
      <c r="O252" s="40">
        <f>IF(A252="","",IF(COUNTIF('Pesagens'!$B$6:$B$2005,A252)=0,"",SUMPRODUCT(MAX(('Pesagens'!$B$6:$B$2005=A252)*'Pesagens'!$A$6:$A$2005))))</f>
        <v/>
      </c>
      <c r="P252" s="41">
        <f>IF(A252="","",IF(O252="",IF(J252="","",J252),IFERROR(AVERAGEIFS('Pesagens'!$C$6:$C$2005,'Pesagens'!$B$6:$B$2005,A252,'Pesagens'!$A$6:$A$2005,O252),"")))</f>
        <v/>
      </c>
      <c r="Q252" s="42">
        <f>IF(OR(A252="",O252="",I252="",J252=""),"",IFERROR((P252-J252)/(O252-I252),""))</f>
        <v/>
      </c>
    </row>
    <row r="253">
      <c r="A253" s="36" t="n"/>
      <c r="B253" s="32" t="n"/>
      <c r="C253" s="37" t="n"/>
      <c r="D253" s="31" t="n"/>
      <c r="E253" s="32" t="n"/>
      <c r="F253" s="32" t="n"/>
      <c r="G253" s="32" t="n"/>
      <c r="H253" s="36" t="n"/>
      <c r="I253" s="31" t="n"/>
      <c r="J253" s="38" t="n"/>
      <c r="K253" s="32" t="n"/>
      <c r="L253" s="34">
        <f>IF(OR(A253="",D253=""),"",IF(D253&gt;Config!$B$5,0,DATEDIF(D253,Config!$B$5,"m")))</f>
        <v/>
      </c>
      <c r="M253" s="39">
        <f>IF(A253="","",IF(K253&lt;&gt;"",K253,IF(OR(C253="",D253=""),"Sem dados",IFERROR(IF(C253="M",INDEX(Config!$B$11:$B$14,MATCH(L253,Config!$A$11:$A$14,1)),IF(C253="F",INDEX(Config!$C$11:$C$14,MATCH(L253,Config!$A$11:$A$14,1)),"Sem dados")),"Verificar"))))</f>
        <v/>
      </c>
      <c r="N253" s="39">
        <f>IF(A253="","",IF(COUNTIFS('Movimentações'!$C$6:$C$1505,A253,'Movimentações'!$B$6:$B$1505,"Venda")&gt;0,"Vendido",IF(COUNTIFS('Movimentações'!$C$6:$C$1505,A253,'Movimentações'!$B$6:$B$1505,"Morte")&gt;0,"Morto","Ativo")))</f>
        <v/>
      </c>
      <c r="O253" s="40">
        <f>IF(A253="","",IF(COUNTIF('Pesagens'!$B$6:$B$2005,A253)=0,"",SUMPRODUCT(MAX(('Pesagens'!$B$6:$B$2005=A253)*'Pesagens'!$A$6:$A$2005))))</f>
        <v/>
      </c>
      <c r="P253" s="41">
        <f>IF(A253="","",IF(O253="",IF(J253="","",J253),IFERROR(AVERAGEIFS('Pesagens'!$C$6:$C$2005,'Pesagens'!$B$6:$B$2005,A253,'Pesagens'!$A$6:$A$2005,O253),"")))</f>
        <v/>
      </c>
      <c r="Q253" s="42">
        <f>IF(OR(A253="",O253="",I253="",J253=""),"",IFERROR((P253-J253)/(O253-I253),""))</f>
        <v/>
      </c>
    </row>
    <row r="254">
      <c r="A254" s="36" t="n"/>
      <c r="B254" s="32" t="n"/>
      <c r="C254" s="37" t="n"/>
      <c r="D254" s="31" t="n"/>
      <c r="E254" s="32" t="n"/>
      <c r="F254" s="32" t="n"/>
      <c r="G254" s="32" t="n"/>
      <c r="H254" s="36" t="n"/>
      <c r="I254" s="31" t="n"/>
      <c r="J254" s="38" t="n"/>
      <c r="K254" s="32" t="n"/>
      <c r="L254" s="34">
        <f>IF(OR(A254="",D254=""),"",IF(D254&gt;Config!$B$5,0,DATEDIF(D254,Config!$B$5,"m")))</f>
        <v/>
      </c>
      <c r="M254" s="39">
        <f>IF(A254="","",IF(K254&lt;&gt;"",K254,IF(OR(C254="",D254=""),"Sem dados",IFERROR(IF(C254="M",INDEX(Config!$B$11:$B$14,MATCH(L254,Config!$A$11:$A$14,1)),IF(C254="F",INDEX(Config!$C$11:$C$14,MATCH(L254,Config!$A$11:$A$14,1)),"Sem dados")),"Verificar"))))</f>
        <v/>
      </c>
      <c r="N254" s="39">
        <f>IF(A254="","",IF(COUNTIFS('Movimentações'!$C$6:$C$1505,A254,'Movimentações'!$B$6:$B$1505,"Venda")&gt;0,"Vendido",IF(COUNTIFS('Movimentações'!$C$6:$C$1505,A254,'Movimentações'!$B$6:$B$1505,"Morte")&gt;0,"Morto","Ativo")))</f>
        <v/>
      </c>
      <c r="O254" s="40">
        <f>IF(A254="","",IF(COUNTIF('Pesagens'!$B$6:$B$2005,A254)=0,"",SUMPRODUCT(MAX(('Pesagens'!$B$6:$B$2005=A254)*'Pesagens'!$A$6:$A$2005))))</f>
        <v/>
      </c>
      <c r="P254" s="41">
        <f>IF(A254="","",IF(O254="",IF(J254="","",J254),IFERROR(AVERAGEIFS('Pesagens'!$C$6:$C$2005,'Pesagens'!$B$6:$B$2005,A254,'Pesagens'!$A$6:$A$2005,O254),"")))</f>
        <v/>
      </c>
      <c r="Q254" s="42">
        <f>IF(OR(A254="",O254="",I254="",J254=""),"",IFERROR((P254-J254)/(O254-I254),""))</f>
        <v/>
      </c>
    </row>
    <row r="255">
      <c r="A255" s="36" t="n"/>
      <c r="B255" s="32" t="n"/>
      <c r="C255" s="37" t="n"/>
      <c r="D255" s="31" t="n"/>
      <c r="E255" s="32" t="n"/>
      <c r="F255" s="32" t="n"/>
      <c r="G255" s="32" t="n"/>
      <c r="H255" s="36" t="n"/>
      <c r="I255" s="31" t="n"/>
      <c r="J255" s="38" t="n"/>
      <c r="K255" s="32" t="n"/>
      <c r="L255" s="34">
        <f>IF(OR(A255="",D255=""),"",IF(D255&gt;Config!$B$5,0,DATEDIF(D255,Config!$B$5,"m")))</f>
        <v/>
      </c>
      <c r="M255" s="39">
        <f>IF(A255="","",IF(K255&lt;&gt;"",K255,IF(OR(C255="",D255=""),"Sem dados",IFERROR(IF(C255="M",INDEX(Config!$B$11:$B$14,MATCH(L255,Config!$A$11:$A$14,1)),IF(C255="F",INDEX(Config!$C$11:$C$14,MATCH(L255,Config!$A$11:$A$14,1)),"Sem dados")),"Verificar"))))</f>
        <v/>
      </c>
      <c r="N255" s="39">
        <f>IF(A255="","",IF(COUNTIFS('Movimentações'!$C$6:$C$1505,A255,'Movimentações'!$B$6:$B$1505,"Venda")&gt;0,"Vendido",IF(COUNTIFS('Movimentações'!$C$6:$C$1505,A255,'Movimentações'!$B$6:$B$1505,"Morte")&gt;0,"Morto","Ativo")))</f>
        <v/>
      </c>
      <c r="O255" s="40">
        <f>IF(A255="","",IF(COUNTIF('Pesagens'!$B$6:$B$2005,A255)=0,"",SUMPRODUCT(MAX(('Pesagens'!$B$6:$B$2005=A255)*'Pesagens'!$A$6:$A$2005))))</f>
        <v/>
      </c>
      <c r="P255" s="41">
        <f>IF(A255="","",IF(O255="",IF(J255="","",J255),IFERROR(AVERAGEIFS('Pesagens'!$C$6:$C$2005,'Pesagens'!$B$6:$B$2005,A255,'Pesagens'!$A$6:$A$2005,O255),"")))</f>
        <v/>
      </c>
      <c r="Q255" s="42">
        <f>IF(OR(A255="",O255="",I255="",J255=""),"",IFERROR((P255-J255)/(O255-I255),""))</f>
        <v/>
      </c>
    </row>
    <row r="256">
      <c r="A256" s="36" t="n"/>
      <c r="B256" s="32" t="n"/>
      <c r="C256" s="37" t="n"/>
      <c r="D256" s="31" t="n"/>
      <c r="E256" s="32" t="n"/>
      <c r="F256" s="32" t="n"/>
      <c r="G256" s="32" t="n"/>
      <c r="H256" s="36" t="n"/>
      <c r="I256" s="31" t="n"/>
      <c r="J256" s="38" t="n"/>
      <c r="K256" s="32" t="n"/>
      <c r="L256" s="34">
        <f>IF(OR(A256="",D256=""),"",IF(D256&gt;Config!$B$5,0,DATEDIF(D256,Config!$B$5,"m")))</f>
        <v/>
      </c>
      <c r="M256" s="39">
        <f>IF(A256="","",IF(K256&lt;&gt;"",K256,IF(OR(C256="",D256=""),"Sem dados",IFERROR(IF(C256="M",INDEX(Config!$B$11:$B$14,MATCH(L256,Config!$A$11:$A$14,1)),IF(C256="F",INDEX(Config!$C$11:$C$14,MATCH(L256,Config!$A$11:$A$14,1)),"Sem dados")),"Verificar"))))</f>
        <v/>
      </c>
      <c r="N256" s="39">
        <f>IF(A256="","",IF(COUNTIFS('Movimentações'!$C$6:$C$1505,A256,'Movimentações'!$B$6:$B$1505,"Venda")&gt;0,"Vendido",IF(COUNTIFS('Movimentações'!$C$6:$C$1505,A256,'Movimentações'!$B$6:$B$1505,"Morte")&gt;0,"Morto","Ativo")))</f>
        <v/>
      </c>
      <c r="O256" s="40">
        <f>IF(A256="","",IF(COUNTIF('Pesagens'!$B$6:$B$2005,A256)=0,"",SUMPRODUCT(MAX(('Pesagens'!$B$6:$B$2005=A256)*'Pesagens'!$A$6:$A$2005))))</f>
        <v/>
      </c>
      <c r="P256" s="41">
        <f>IF(A256="","",IF(O256="",IF(J256="","",J256),IFERROR(AVERAGEIFS('Pesagens'!$C$6:$C$2005,'Pesagens'!$B$6:$B$2005,A256,'Pesagens'!$A$6:$A$2005,O256),"")))</f>
        <v/>
      </c>
      <c r="Q256" s="42">
        <f>IF(OR(A256="",O256="",I256="",J256=""),"",IFERROR((P256-J256)/(O256-I256),""))</f>
        <v/>
      </c>
    </row>
    <row r="257">
      <c r="A257" s="36" t="n"/>
      <c r="B257" s="32" t="n"/>
      <c r="C257" s="37" t="n"/>
      <c r="D257" s="31" t="n"/>
      <c r="E257" s="32" t="n"/>
      <c r="F257" s="32" t="n"/>
      <c r="G257" s="32" t="n"/>
      <c r="H257" s="36" t="n"/>
      <c r="I257" s="31" t="n"/>
      <c r="J257" s="38" t="n"/>
      <c r="K257" s="32" t="n"/>
      <c r="L257" s="34">
        <f>IF(OR(A257="",D257=""),"",IF(D257&gt;Config!$B$5,0,DATEDIF(D257,Config!$B$5,"m")))</f>
        <v/>
      </c>
      <c r="M257" s="39">
        <f>IF(A257="","",IF(K257&lt;&gt;"",K257,IF(OR(C257="",D257=""),"Sem dados",IFERROR(IF(C257="M",INDEX(Config!$B$11:$B$14,MATCH(L257,Config!$A$11:$A$14,1)),IF(C257="F",INDEX(Config!$C$11:$C$14,MATCH(L257,Config!$A$11:$A$14,1)),"Sem dados")),"Verificar"))))</f>
        <v/>
      </c>
      <c r="N257" s="39">
        <f>IF(A257="","",IF(COUNTIFS('Movimentações'!$C$6:$C$1505,A257,'Movimentações'!$B$6:$B$1505,"Venda")&gt;0,"Vendido",IF(COUNTIFS('Movimentações'!$C$6:$C$1505,A257,'Movimentações'!$B$6:$B$1505,"Morte")&gt;0,"Morto","Ativo")))</f>
        <v/>
      </c>
      <c r="O257" s="40">
        <f>IF(A257="","",IF(COUNTIF('Pesagens'!$B$6:$B$2005,A257)=0,"",SUMPRODUCT(MAX(('Pesagens'!$B$6:$B$2005=A257)*'Pesagens'!$A$6:$A$2005))))</f>
        <v/>
      </c>
      <c r="P257" s="41">
        <f>IF(A257="","",IF(O257="",IF(J257="","",J257),IFERROR(AVERAGEIFS('Pesagens'!$C$6:$C$2005,'Pesagens'!$B$6:$B$2005,A257,'Pesagens'!$A$6:$A$2005,O257),"")))</f>
        <v/>
      </c>
      <c r="Q257" s="42">
        <f>IF(OR(A257="",O257="",I257="",J257=""),"",IFERROR((P257-J257)/(O257-I257),""))</f>
        <v/>
      </c>
    </row>
    <row r="258">
      <c r="A258" s="36" t="n"/>
      <c r="B258" s="32" t="n"/>
      <c r="C258" s="37" t="n"/>
      <c r="D258" s="31" t="n"/>
      <c r="E258" s="32" t="n"/>
      <c r="F258" s="32" t="n"/>
      <c r="G258" s="32" t="n"/>
      <c r="H258" s="36" t="n"/>
      <c r="I258" s="31" t="n"/>
      <c r="J258" s="38" t="n"/>
      <c r="K258" s="32" t="n"/>
      <c r="L258" s="34">
        <f>IF(OR(A258="",D258=""),"",IF(D258&gt;Config!$B$5,0,DATEDIF(D258,Config!$B$5,"m")))</f>
        <v/>
      </c>
      <c r="M258" s="39">
        <f>IF(A258="","",IF(K258&lt;&gt;"",K258,IF(OR(C258="",D258=""),"Sem dados",IFERROR(IF(C258="M",INDEX(Config!$B$11:$B$14,MATCH(L258,Config!$A$11:$A$14,1)),IF(C258="F",INDEX(Config!$C$11:$C$14,MATCH(L258,Config!$A$11:$A$14,1)),"Sem dados")),"Verificar"))))</f>
        <v/>
      </c>
      <c r="N258" s="39">
        <f>IF(A258="","",IF(COUNTIFS('Movimentações'!$C$6:$C$1505,A258,'Movimentações'!$B$6:$B$1505,"Venda")&gt;0,"Vendido",IF(COUNTIFS('Movimentações'!$C$6:$C$1505,A258,'Movimentações'!$B$6:$B$1505,"Morte")&gt;0,"Morto","Ativo")))</f>
        <v/>
      </c>
      <c r="O258" s="40">
        <f>IF(A258="","",IF(COUNTIF('Pesagens'!$B$6:$B$2005,A258)=0,"",SUMPRODUCT(MAX(('Pesagens'!$B$6:$B$2005=A258)*'Pesagens'!$A$6:$A$2005))))</f>
        <v/>
      </c>
      <c r="P258" s="41">
        <f>IF(A258="","",IF(O258="",IF(J258="","",J258),IFERROR(AVERAGEIFS('Pesagens'!$C$6:$C$2005,'Pesagens'!$B$6:$B$2005,A258,'Pesagens'!$A$6:$A$2005,O258),"")))</f>
        <v/>
      </c>
      <c r="Q258" s="42">
        <f>IF(OR(A258="",O258="",I258="",J258=""),"",IFERROR((P258-J258)/(O258-I258),""))</f>
        <v/>
      </c>
    </row>
    <row r="259">
      <c r="A259" s="36" t="n"/>
      <c r="B259" s="32" t="n"/>
      <c r="C259" s="37" t="n"/>
      <c r="D259" s="31" t="n"/>
      <c r="E259" s="32" t="n"/>
      <c r="F259" s="32" t="n"/>
      <c r="G259" s="32" t="n"/>
      <c r="H259" s="36" t="n"/>
      <c r="I259" s="31" t="n"/>
      <c r="J259" s="38" t="n"/>
      <c r="K259" s="32" t="n"/>
      <c r="L259" s="34">
        <f>IF(OR(A259="",D259=""),"",IF(D259&gt;Config!$B$5,0,DATEDIF(D259,Config!$B$5,"m")))</f>
        <v/>
      </c>
      <c r="M259" s="39">
        <f>IF(A259="","",IF(K259&lt;&gt;"",K259,IF(OR(C259="",D259=""),"Sem dados",IFERROR(IF(C259="M",INDEX(Config!$B$11:$B$14,MATCH(L259,Config!$A$11:$A$14,1)),IF(C259="F",INDEX(Config!$C$11:$C$14,MATCH(L259,Config!$A$11:$A$14,1)),"Sem dados")),"Verificar"))))</f>
        <v/>
      </c>
      <c r="N259" s="39">
        <f>IF(A259="","",IF(COUNTIFS('Movimentações'!$C$6:$C$1505,A259,'Movimentações'!$B$6:$B$1505,"Venda")&gt;0,"Vendido",IF(COUNTIFS('Movimentações'!$C$6:$C$1505,A259,'Movimentações'!$B$6:$B$1505,"Morte")&gt;0,"Morto","Ativo")))</f>
        <v/>
      </c>
      <c r="O259" s="40">
        <f>IF(A259="","",IF(COUNTIF('Pesagens'!$B$6:$B$2005,A259)=0,"",SUMPRODUCT(MAX(('Pesagens'!$B$6:$B$2005=A259)*'Pesagens'!$A$6:$A$2005))))</f>
        <v/>
      </c>
      <c r="P259" s="41">
        <f>IF(A259="","",IF(O259="",IF(J259="","",J259),IFERROR(AVERAGEIFS('Pesagens'!$C$6:$C$2005,'Pesagens'!$B$6:$B$2005,A259,'Pesagens'!$A$6:$A$2005,O259),"")))</f>
        <v/>
      </c>
      <c r="Q259" s="42">
        <f>IF(OR(A259="",O259="",I259="",J259=""),"",IFERROR((P259-J259)/(O259-I259),""))</f>
        <v/>
      </c>
    </row>
    <row r="260">
      <c r="A260" s="36" t="n"/>
      <c r="B260" s="32" t="n"/>
      <c r="C260" s="37" t="n"/>
      <c r="D260" s="31" t="n"/>
      <c r="E260" s="32" t="n"/>
      <c r="F260" s="32" t="n"/>
      <c r="G260" s="32" t="n"/>
      <c r="H260" s="36" t="n"/>
      <c r="I260" s="31" t="n"/>
      <c r="J260" s="38" t="n"/>
      <c r="K260" s="32" t="n"/>
      <c r="L260" s="34">
        <f>IF(OR(A260="",D260=""),"",IF(D260&gt;Config!$B$5,0,DATEDIF(D260,Config!$B$5,"m")))</f>
        <v/>
      </c>
      <c r="M260" s="39">
        <f>IF(A260="","",IF(K260&lt;&gt;"",K260,IF(OR(C260="",D260=""),"Sem dados",IFERROR(IF(C260="M",INDEX(Config!$B$11:$B$14,MATCH(L260,Config!$A$11:$A$14,1)),IF(C260="F",INDEX(Config!$C$11:$C$14,MATCH(L260,Config!$A$11:$A$14,1)),"Sem dados")),"Verificar"))))</f>
        <v/>
      </c>
      <c r="N260" s="39">
        <f>IF(A260="","",IF(COUNTIFS('Movimentações'!$C$6:$C$1505,A260,'Movimentações'!$B$6:$B$1505,"Venda")&gt;0,"Vendido",IF(COUNTIFS('Movimentações'!$C$6:$C$1505,A260,'Movimentações'!$B$6:$B$1505,"Morte")&gt;0,"Morto","Ativo")))</f>
        <v/>
      </c>
      <c r="O260" s="40">
        <f>IF(A260="","",IF(COUNTIF('Pesagens'!$B$6:$B$2005,A260)=0,"",SUMPRODUCT(MAX(('Pesagens'!$B$6:$B$2005=A260)*'Pesagens'!$A$6:$A$2005))))</f>
        <v/>
      </c>
      <c r="P260" s="41">
        <f>IF(A260="","",IF(O260="",IF(J260="","",J260),IFERROR(AVERAGEIFS('Pesagens'!$C$6:$C$2005,'Pesagens'!$B$6:$B$2005,A260,'Pesagens'!$A$6:$A$2005,O260),"")))</f>
        <v/>
      </c>
      <c r="Q260" s="42">
        <f>IF(OR(A260="",O260="",I260="",J260=""),"",IFERROR((P260-J260)/(O260-I260),""))</f>
        <v/>
      </c>
    </row>
    <row r="261">
      <c r="A261" s="36" t="n"/>
      <c r="B261" s="32" t="n"/>
      <c r="C261" s="37" t="n"/>
      <c r="D261" s="31" t="n"/>
      <c r="E261" s="32" t="n"/>
      <c r="F261" s="32" t="n"/>
      <c r="G261" s="32" t="n"/>
      <c r="H261" s="36" t="n"/>
      <c r="I261" s="31" t="n"/>
      <c r="J261" s="38" t="n"/>
      <c r="K261" s="32" t="n"/>
      <c r="L261" s="34">
        <f>IF(OR(A261="",D261=""),"",IF(D261&gt;Config!$B$5,0,DATEDIF(D261,Config!$B$5,"m")))</f>
        <v/>
      </c>
      <c r="M261" s="39">
        <f>IF(A261="","",IF(K261&lt;&gt;"",K261,IF(OR(C261="",D261=""),"Sem dados",IFERROR(IF(C261="M",INDEX(Config!$B$11:$B$14,MATCH(L261,Config!$A$11:$A$14,1)),IF(C261="F",INDEX(Config!$C$11:$C$14,MATCH(L261,Config!$A$11:$A$14,1)),"Sem dados")),"Verificar"))))</f>
        <v/>
      </c>
      <c r="N261" s="39">
        <f>IF(A261="","",IF(COUNTIFS('Movimentações'!$C$6:$C$1505,A261,'Movimentações'!$B$6:$B$1505,"Venda")&gt;0,"Vendido",IF(COUNTIFS('Movimentações'!$C$6:$C$1505,A261,'Movimentações'!$B$6:$B$1505,"Morte")&gt;0,"Morto","Ativo")))</f>
        <v/>
      </c>
      <c r="O261" s="40">
        <f>IF(A261="","",IF(COUNTIF('Pesagens'!$B$6:$B$2005,A261)=0,"",SUMPRODUCT(MAX(('Pesagens'!$B$6:$B$2005=A261)*'Pesagens'!$A$6:$A$2005))))</f>
        <v/>
      </c>
      <c r="P261" s="41">
        <f>IF(A261="","",IF(O261="",IF(J261="","",J261),IFERROR(AVERAGEIFS('Pesagens'!$C$6:$C$2005,'Pesagens'!$B$6:$B$2005,A261,'Pesagens'!$A$6:$A$2005,O261),"")))</f>
        <v/>
      </c>
      <c r="Q261" s="42">
        <f>IF(OR(A261="",O261="",I261="",J261=""),"",IFERROR((P261-J261)/(O261-I261),""))</f>
        <v/>
      </c>
    </row>
    <row r="262">
      <c r="A262" s="36" t="n"/>
      <c r="B262" s="32" t="n"/>
      <c r="C262" s="37" t="n"/>
      <c r="D262" s="31" t="n"/>
      <c r="E262" s="32" t="n"/>
      <c r="F262" s="32" t="n"/>
      <c r="G262" s="32" t="n"/>
      <c r="H262" s="36" t="n"/>
      <c r="I262" s="31" t="n"/>
      <c r="J262" s="38" t="n"/>
      <c r="K262" s="32" t="n"/>
      <c r="L262" s="34">
        <f>IF(OR(A262="",D262=""),"",IF(D262&gt;Config!$B$5,0,DATEDIF(D262,Config!$B$5,"m")))</f>
        <v/>
      </c>
      <c r="M262" s="39">
        <f>IF(A262="","",IF(K262&lt;&gt;"",K262,IF(OR(C262="",D262=""),"Sem dados",IFERROR(IF(C262="M",INDEX(Config!$B$11:$B$14,MATCH(L262,Config!$A$11:$A$14,1)),IF(C262="F",INDEX(Config!$C$11:$C$14,MATCH(L262,Config!$A$11:$A$14,1)),"Sem dados")),"Verificar"))))</f>
        <v/>
      </c>
      <c r="N262" s="39">
        <f>IF(A262="","",IF(COUNTIFS('Movimentações'!$C$6:$C$1505,A262,'Movimentações'!$B$6:$B$1505,"Venda")&gt;0,"Vendido",IF(COUNTIFS('Movimentações'!$C$6:$C$1505,A262,'Movimentações'!$B$6:$B$1505,"Morte")&gt;0,"Morto","Ativo")))</f>
        <v/>
      </c>
      <c r="O262" s="40">
        <f>IF(A262="","",IF(COUNTIF('Pesagens'!$B$6:$B$2005,A262)=0,"",SUMPRODUCT(MAX(('Pesagens'!$B$6:$B$2005=A262)*'Pesagens'!$A$6:$A$2005))))</f>
        <v/>
      </c>
      <c r="P262" s="41">
        <f>IF(A262="","",IF(O262="",IF(J262="","",J262),IFERROR(AVERAGEIFS('Pesagens'!$C$6:$C$2005,'Pesagens'!$B$6:$B$2005,A262,'Pesagens'!$A$6:$A$2005,O262),"")))</f>
        <v/>
      </c>
      <c r="Q262" s="42">
        <f>IF(OR(A262="",O262="",I262="",J262=""),"",IFERROR((P262-J262)/(O262-I262),""))</f>
        <v/>
      </c>
    </row>
    <row r="263">
      <c r="A263" s="36" t="n"/>
      <c r="B263" s="32" t="n"/>
      <c r="C263" s="37" t="n"/>
      <c r="D263" s="31" t="n"/>
      <c r="E263" s="32" t="n"/>
      <c r="F263" s="32" t="n"/>
      <c r="G263" s="32" t="n"/>
      <c r="H263" s="36" t="n"/>
      <c r="I263" s="31" t="n"/>
      <c r="J263" s="38" t="n"/>
      <c r="K263" s="32" t="n"/>
      <c r="L263" s="34">
        <f>IF(OR(A263="",D263=""),"",IF(D263&gt;Config!$B$5,0,DATEDIF(D263,Config!$B$5,"m")))</f>
        <v/>
      </c>
      <c r="M263" s="39">
        <f>IF(A263="","",IF(K263&lt;&gt;"",K263,IF(OR(C263="",D263=""),"Sem dados",IFERROR(IF(C263="M",INDEX(Config!$B$11:$B$14,MATCH(L263,Config!$A$11:$A$14,1)),IF(C263="F",INDEX(Config!$C$11:$C$14,MATCH(L263,Config!$A$11:$A$14,1)),"Sem dados")),"Verificar"))))</f>
        <v/>
      </c>
      <c r="N263" s="39">
        <f>IF(A263="","",IF(COUNTIFS('Movimentações'!$C$6:$C$1505,A263,'Movimentações'!$B$6:$B$1505,"Venda")&gt;0,"Vendido",IF(COUNTIFS('Movimentações'!$C$6:$C$1505,A263,'Movimentações'!$B$6:$B$1505,"Morte")&gt;0,"Morto","Ativo")))</f>
        <v/>
      </c>
      <c r="O263" s="40">
        <f>IF(A263="","",IF(COUNTIF('Pesagens'!$B$6:$B$2005,A263)=0,"",SUMPRODUCT(MAX(('Pesagens'!$B$6:$B$2005=A263)*'Pesagens'!$A$6:$A$2005))))</f>
        <v/>
      </c>
      <c r="P263" s="41">
        <f>IF(A263="","",IF(O263="",IF(J263="","",J263),IFERROR(AVERAGEIFS('Pesagens'!$C$6:$C$2005,'Pesagens'!$B$6:$B$2005,A263,'Pesagens'!$A$6:$A$2005,O263),"")))</f>
        <v/>
      </c>
      <c r="Q263" s="42">
        <f>IF(OR(A263="",O263="",I263="",J263=""),"",IFERROR((P263-J263)/(O263-I263),""))</f>
        <v/>
      </c>
    </row>
    <row r="264">
      <c r="A264" s="36" t="n"/>
      <c r="B264" s="32" t="n"/>
      <c r="C264" s="37" t="n"/>
      <c r="D264" s="31" t="n"/>
      <c r="E264" s="32" t="n"/>
      <c r="F264" s="32" t="n"/>
      <c r="G264" s="32" t="n"/>
      <c r="H264" s="36" t="n"/>
      <c r="I264" s="31" t="n"/>
      <c r="J264" s="38" t="n"/>
      <c r="K264" s="32" t="n"/>
      <c r="L264" s="34">
        <f>IF(OR(A264="",D264=""),"",IF(D264&gt;Config!$B$5,0,DATEDIF(D264,Config!$B$5,"m")))</f>
        <v/>
      </c>
      <c r="M264" s="39">
        <f>IF(A264="","",IF(K264&lt;&gt;"",K264,IF(OR(C264="",D264=""),"Sem dados",IFERROR(IF(C264="M",INDEX(Config!$B$11:$B$14,MATCH(L264,Config!$A$11:$A$14,1)),IF(C264="F",INDEX(Config!$C$11:$C$14,MATCH(L264,Config!$A$11:$A$14,1)),"Sem dados")),"Verificar"))))</f>
        <v/>
      </c>
      <c r="N264" s="39">
        <f>IF(A264="","",IF(COUNTIFS('Movimentações'!$C$6:$C$1505,A264,'Movimentações'!$B$6:$B$1505,"Venda")&gt;0,"Vendido",IF(COUNTIFS('Movimentações'!$C$6:$C$1505,A264,'Movimentações'!$B$6:$B$1505,"Morte")&gt;0,"Morto","Ativo")))</f>
        <v/>
      </c>
      <c r="O264" s="40">
        <f>IF(A264="","",IF(COUNTIF('Pesagens'!$B$6:$B$2005,A264)=0,"",SUMPRODUCT(MAX(('Pesagens'!$B$6:$B$2005=A264)*'Pesagens'!$A$6:$A$2005))))</f>
        <v/>
      </c>
      <c r="P264" s="41">
        <f>IF(A264="","",IF(O264="",IF(J264="","",J264),IFERROR(AVERAGEIFS('Pesagens'!$C$6:$C$2005,'Pesagens'!$B$6:$B$2005,A264,'Pesagens'!$A$6:$A$2005,O264),"")))</f>
        <v/>
      </c>
      <c r="Q264" s="42">
        <f>IF(OR(A264="",O264="",I264="",J264=""),"",IFERROR((P264-J264)/(O264-I264),""))</f>
        <v/>
      </c>
    </row>
    <row r="265">
      <c r="A265" s="36" t="n"/>
      <c r="B265" s="32" t="n"/>
      <c r="C265" s="37" t="n"/>
      <c r="D265" s="31" t="n"/>
      <c r="E265" s="32" t="n"/>
      <c r="F265" s="32" t="n"/>
      <c r="G265" s="32" t="n"/>
      <c r="H265" s="36" t="n"/>
      <c r="I265" s="31" t="n"/>
      <c r="J265" s="38" t="n"/>
      <c r="K265" s="32" t="n"/>
      <c r="L265" s="34">
        <f>IF(OR(A265="",D265=""),"",IF(D265&gt;Config!$B$5,0,DATEDIF(D265,Config!$B$5,"m")))</f>
        <v/>
      </c>
      <c r="M265" s="39">
        <f>IF(A265="","",IF(K265&lt;&gt;"",K265,IF(OR(C265="",D265=""),"Sem dados",IFERROR(IF(C265="M",INDEX(Config!$B$11:$B$14,MATCH(L265,Config!$A$11:$A$14,1)),IF(C265="F",INDEX(Config!$C$11:$C$14,MATCH(L265,Config!$A$11:$A$14,1)),"Sem dados")),"Verificar"))))</f>
        <v/>
      </c>
      <c r="N265" s="39">
        <f>IF(A265="","",IF(COUNTIFS('Movimentações'!$C$6:$C$1505,A265,'Movimentações'!$B$6:$B$1505,"Venda")&gt;0,"Vendido",IF(COUNTIFS('Movimentações'!$C$6:$C$1505,A265,'Movimentações'!$B$6:$B$1505,"Morte")&gt;0,"Morto","Ativo")))</f>
        <v/>
      </c>
      <c r="O265" s="40">
        <f>IF(A265="","",IF(COUNTIF('Pesagens'!$B$6:$B$2005,A265)=0,"",SUMPRODUCT(MAX(('Pesagens'!$B$6:$B$2005=A265)*'Pesagens'!$A$6:$A$2005))))</f>
        <v/>
      </c>
      <c r="P265" s="41">
        <f>IF(A265="","",IF(O265="",IF(J265="","",J265),IFERROR(AVERAGEIFS('Pesagens'!$C$6:$C$2005,'Pesagens'!$B$6:$B$2005,A265,'Pesagens'!$A$6:$A$2005,O265),"")))</f>
        <v/>
      </c>
      <c r="Q265" s="42">
        <f>IF(OR(A265="",O265="",I265="",J265=""),"",IFERROR((P265-J265)/(O265-I265),""))</f>
        <v/>
      </c>
    </row>
    <row r="266">
      <c r="A266" s="36" t="n"/>
      <c r="B266" s="32" t="n"/>
      <c r="C266" s="37" t="n"/>
      <c r="D266" s="31" t="n"/>
      <c r="E266" s="32" t="n"/>
      <c r="F266" s="32" t="n"/>
      <c r="G266" s="32" t="n"/>
      <c r="H266" s="36" t="n"/>
      <c r="I266" s="31" t="n"/>
      <c r="J266" s="38" t="n"/>
      <c r="K266" s="32" t="n"/>
      <c r="L266" s="34">
        <f>IF(OR(A266="",D266=""),"",IF(D266&gt;Config!$B$5,0,DATEDIF(D266,Config!$B$5,"m")))</f>
        <v/>
      </c>
      <c r="M266" s="39">
        <f>IF(A266="","",IF(K266&lt;&gt;"",K266,IF(OR(C266="",D266=""),"Sem dados",IFERROR(IF(C266="M",INDEX(Config!$B$11:$B$14,MATCH(L266,Config!$A$11:$A$14,1)),IF(C266="F",INDEX(Config!$C$11:$C$14,MATCH(L266,Config!$A$11:$A$14,1)),"Sem dados")),"Verificar"))))</f>
        <v/>
      </c>
      <c r="N266" s="39">
        <f>IF(A266="","",IF(COUNTIFS('Movimentações'!$C$6:$C$1505,A266,'Movimentações'!$B$6:$B$1505,"Venda")&gt;0,"Vendido",IF(COUNTIFS('Movimentações'!$C$6:$C$1505,A266,'Movimentações'!$B$6:$B$1505,"Morte")&gt;0,"Morto","Ativo")))</f>
        <v/>
      </c>
      <c r="O266" s="40">
        <f>IF(A266="","",IF(COUNTIF('Pesagens'!$B$6:$B$2005,A266)=0,"",SUMPRODUCT(MAX(('Pesagens'!$B$6:$B$2005=A266)*'Pesagens'!$A$6:$A$2005))))</f>
        <v/>
      </c>
      <c r="P266" s="41">
        <f>IF(A266="","",IF(O266="",IF(J266="","",J266),IFERROR(AVERAGEIFS('Pesagens'!$C$6:$C$2005,'Pesagens'!$B$6:$B$2005,A266,'Pesagens'!$A$6:$A$2005,O266),"")))</f>
        <v/>
      </c>
      <c r="Q266" s="42">
        <f>IF(OR(A266="",O266="",I266="",J266=""),"",IFERROR((P266-J266)/(O266-I266),""))</f>
        <v/>
      </c>
    </row>
    <row r="267">
      <c r="A267" s="36" t="n"/>
      <c r="B267" s="32" t="n"/>
      <c r="C267" s="37" t="n"/>
      <c r="D267" s="31" t="n"/>
      <c r="E267" s="32" t="n"/>
      <c r="F267" s="32" t="n"/>
      <c r="G267" s="32" t="n"/>
      <c r="H267" s="36" t="n"/>
      <c r="I267" s="31" t="n"/>
      <c r="J267" s="38" t="n"/>
      <c r="K267" s="32" t="n"/>
      <c r="L267" s="34">
        <f>IF(OR(A267="",D267=""),"",IF(D267&gt;Config!$B$5,0,DATEDIF(D267,Config!$B$5,"m")))</f>
        <v/>
      </c>
      <c r="M267" s="39">
        <f>IF(A267="","",IF(K267&lt;&gt;"",K267,IF(OR(C267="",D267=""),"Sem dados",IFERROR(IF(C267="M",INDEX(Config!$B$11:$B$14,MATCH(L267,Config!$A$11:$A$14,1)),IF(C267="F",INDEX(Config!$C$11:$C$14,MATCH(L267,Config!$A$11:$A$14,1)),"Sem dados")),"Verificar"))))</f>
        <v/>
      </c>
      <c r="N267" s="39">
        <f>IF(A267="","",IF(COUNTIFS('Movimentações'!$C$6:$C$1505,A267,'Movimentações'!$B$6:$B$1505,"Venda")&gt;0,"Vendido",IF(COUNTIFS('Movimentações'!$C$6:$C$1505,A267,'Movimentações'!$B$6:$B$1505,"Morte")&gt;0,"Morto","Ativo")))</f>
        <v/>
      </c>
      <c r="O267" s="40">
        <f>IF(A267="","",IF(COUNTIF('Pesagens'!$B$6:$B$2005,A267)=0,"",SUMPRODUCT(MAX(('Pesagens'!$B$6:$B$2005=A267)*'Pesagens'!$A$6:$A$2005))))</f>
        <v/>
      </c>
      <c r="P267" s="41">
        <f>IF(A267="","",IF(O267="",IF(J267="","",J267),IFERROR(AVERAGEIFS('Pesagens'!$C$6:$C$2005,'Pesagens'!$B$6:$B$2005,A267,'Pesagens'!$A$6:$A$2005,O267),"")))</f>
        <v/>
      </c>
      <c r="Q267" s="42">
        <f>IF(OR(A267="",O267="",I267="",J267=""),"",IFERROR((P267-J267)/(O267-I267),""))</f>
        <v/>
      </c>
    </row>
    <row r="268">
      <c r="A268" s="36" t="n"/>
      <c r="B268" s="32" t="n"/>
      <c r="C268" s="37" t="n"/>
      <c r="D268" s="31" t="n"/>
      <c r="E268" s="32" t="n"/>
      <c r="F268" s="32" t="n"/>
      <c r="G268" s="32" t="n"/>
      <c r="H268" s="36" t="n"/>
      <c r="I268" s="31" t="n"/>
      <c r="J268" s="38" t="n"/>
      <c r="K268" s="32" t="n"/>
      <c r="L268" s="34">
        <f>IF(OR(A268="",D268=""),"",IF(D268&gt;Config!$B$5,0,DATEDIF(D268,Config!$B$5,"m")))</f>
        <v/>
      </c>
      <c r="M268" s="39">
        <f>IF(A268="","",IF(K268&lt;&gt;"",K268,IF(OR(C268="",D268=""),"Sem dados",IFERROR(IF(C268="M",INDEX(Config!$B$11:$B$14,MATCH(L268,Config!$A$11:$A$14,1)),IF(C268="F",INDEX(Config!$C$11:$C$14,MATCH(L268,Config!$A$11:$A$14,1)),"Sem dados")),"Verificar"))))</f>
        <v/>
      </c>
      <c r="N268" s="39">
        <f>IF(A268="","",IF(COUNTIFS('Movimentações'!$C$6:$C$1505,A268,'Movimentações'!$B$6:$B$1505,"Venda")&gt;0,"Vendido",IF(COUNTIFS('Movimentações'!$C$6:$C$1505,A268,'Movimentações'!$B$6:$B$1505,"Morte")&gt;0,"Morto","Ativo")))</f>
        <v/>
      </c>
      <c r="O268" s="40">
        <f>IF(A268="","",IF(COUNTIF('Pesagens'!$B$6:$B$2005,A268)=0,"",SUMPRODUCT(MAX(('Pesagens'!$B$6:$B$2005=A268)*'Pesagens'!$A$6:$A$2005))))</f>
        <v/>
      </c>
      <c r="P268" s="41">
        <f>IF(A268="","",IF(O268="",IF(J268="","",J268),IFERROR(AVERAGEIFS('Pesagens'!$C$6:$C$2005,'Pesagens'!$B$6:$B$2005,A268,'Pesagens'!$A$6:$A$2005,O268),"")))</f>
        <v/>
      </c>
      <c r="Q268" s="42">
        <f>IF(OR(A268="",O268="",I268="",J268=""),"",IFERROR((P268-J268)/(O268-I268),""))</f>
        <v/>
      </c>
    </row>
    <row r="269">
      <c r="A269" s="36" t="n"/>
      <c r="B269" s="32" t="n"/>
      <c r="C269" s="37" t="n"/>
      <c r="D269" s="31" t="n"/>
      <c r="E269" s="32" t="n"/>
      <c r="F269" s="32" t="n"/>
      <c r="G269" s="32" t="n"/>
      <c r="H269" s="36" t="n"/>
      <c r="I269" s="31" t="n"/>
      <c r="J269" s="38" t="n"/>
      <c r="K269" s="32" t="n"/>
      <c r="L269" s="34">
        <f>IF(OR(A269="",D269=""),"",IF(D269&gt;Config!$B$5,0,DATEDIF(D269,Config!$B$5,"m")))</f>
        <v/>
      </c>
      <c r="M269" s="39">
        <f>IF(A269="","",IF(K269&lt;&gt;"",K269,IF(OR(C269="",D269=""),"Sem dados",IFERROR(IF(C269="M",INDEX(Config!$B$11:$B$14,MATCH(L269,Config!$A$11:$A$14,1)),IF(C269="F",INDEX(Config!$C$11:$C$14,MATCH(L269,Config!$A$11:$A$14,1)),"Sem dados")),"Verificar"))))</f>
        <v/>
      </c>
      <c r="N269" s="39">
        <f>IF(A269="","",IF(COUNTIFS('Movimentações'!$C$6:$C$1505,A269,'Movimentações'!$B$6:$B$1505,"Venda")&gt;0,"Vendido",IF(COUNTIFS('Movimentações'!$C$6:$C$1505,A269,'Movimentações'!$B$6:$B$1505,"Morte")&gt;0,"Morto","Ativo")))</f>
        <v/>
      </c>
      <c r="O269" s="40">
        <f>IF(A269="","",IF(COUNTIF('Pesagens'!$B$6:$B$2005,A269)=0,"",SUMPRODUCT(MAX(('Pesagens'!$B$6:$B$2005=A269)*'Pesagens'!$A$6:$A$2005))))</f>
        <v/>
      </c>
      <c r="P269" s="41">
        <f>IF(A269="","",IF(O269="",IF(J269="","",J269),IFERROR(AVERAGEIFS('Pesagens'!$C$6:$C$2005,'Pesagens'!$B$6:$B$2005,A269,'Pesagens'!$A$6:$A$2005,O269),"")))</f>
        <v/>
      </c>
      <c r="Q269" s="42">
        <f>IF(OR(A269="",O269="",I269="",J269=""),"",IFERROR((P269-J269)/(O269-I269),""))</f>
        <v/>
      </c>
    </row>
    <row r="270">
      <c r="A270" s="36" t="n"/>
      <c r="B270" s="32" t="n"/>
      <c r="C270" s="37" t="n"/>
      <c r="D270" s="31" t="n"/>
      <c r="E270" s="32" t="n"/>
      <c r="F270" s="32" t="n"/>
      <c r="G270" s="32" t="n"/>
      <c r="H270" s="36" t="n"/>
      <c r="I270" s="31" t="n"/>
      <c r="J270" s="38" t="n"/>
      <c r="K270" s="32" t="n"/>
      <c r="L270" s="34">
        <f>IF(OR(A270="",D270=""),"",IF(D270&gt;Config!$B$5,0,DATEDIF(D270,Config!$B$5,"m")))</f>
        <v/>
      </c>
      <c r="M270" s="39">
        <f>IF(A270="","",IF(K270&lt;&gt;"",K270,IF(OR(C270="",D270=""),"Sem dados",IFERROR(IF(C270="M",INDEX(Config!$B$11:$B$14,MATCH(L270,Config!$A$11:$A$14,1)),IF(C270="F",INDEX(Config!$C$11:$C$14,MATCH(L270,Config!$A$11:$A$14,1)),"Sem dados")),"Verificar"))))</f>
        <v/>
      </c>
      <c r="N270" s="39">
        <f>IF(A270="","",IF(COUNTIFS('Movimentações'!$C$6:$C$1505,A270,'Movimentações'!$B$6:$B$1505,"Venda")&gt;0,"Vendido",IF(COUNTIFS('Movimentações'!$C$6:$C$1505,A270,'Movimentações'!$B$6:$B$1505,"Morte")&gt;0,"Morto","Ativo")))</f>
        <v/>
      </c>
      <c r="O270" s="40">
        <f>IF(A270="","",IF(COUNTIF('Pesagens'!$B$6:$B$2005,A270)=0,"",SUMPRODUCT(MAX(('Pesagens'!$B$6:$B$2005=A270)*'Pesagens'!$A$6:$A$2005))))</f>
        <v/>
      </c>
      <c r="P270" s="41">
        <f>IF(A270="","",IF(O270="",IF(J270="","",J270),IFERROR(AVERAGEIFS('Pesagens'!$C$6:$C$2005,'Pesagens'!$B$6:$B$2005,A270,'Pesagens'!$A$6:$A$2005,O270),"")))</f>
        <v/>
      </c>
      <c r="Q270" s="42">
        <f>IF(OR(A270="",O270="",I270="",J270=""),"",IFERROR((P270-J270)/(O270-I270),""))</f>
        <v/>
      </c>
    </row>
    <row r="271">
      <c r="A271" s="36" t="n"/>
      <c r="B271" s="32" t="n"/>
      <c r="C271" s="37" t="n"/>
      <c r="D271" s="31" t="n"/>
      <c r="E271" s="32" t="n"/>
      <c r="F271" s="32" t="n"/>
      <c r="G271" s="32" t="n"/>
      <c r="H271" s="36" t="n"/>
      <c r="I271" s="31" t="n"/>
      <c r="J271" s="38" t="n"/>
      <c r="K271" s="32" t="n"/>
      <c r="L271" s="34">
        <f>IF(OR(A271="",D271=""),"",IF(D271&gt;Config!$B$5,0,DATEDIF(D271,Config!$B$5,"m")))</f>
        <v/>
      </c>
      <c r="M271" s="39">
        <f>IF(A271="","",IF(K271&lt;&gt;"",K271,IF(OR(C271="",D271=""),"Sem dados",IFERROR(IF(C271="M",INDEX(Config!$B$11:$B$14,MATCH(L271,Config!$A$11:$A$14,1)),IF(C271="F",INDEX(Config!$C$11:$C$14,MATCH(L271,Config!$A$11:$A$14,1)),"Sem dados")),"Verificar"))))</f>
        <v/>
      </c>
      <c r="N271" s="39">
        <f>IF(A271="","",IF(COUNTIFS('Movimentações'!$C$6:$C$1505,A271,'Movimentações'!$B$6:$B$1505,"Venda")&gt;0,"Vendido",IF(COUNTIFS('Movimentações'!$C$6:$C$1505,A271,'Movimentações'!$B$6:$B$1505,"Morte")&gt;0,"Morto","Ativo")))</f>
        <v/>
      </c>
      <c r="O271" s="40">
        <f>IF(A271="","",IF(COUNTIF('Pesagens'!$B$6:$B$2005,A271)=0,"",SUMPRODUCT(MAX(('Pesagens'!$B$6:$B$2005=A271)*'Pesagens'!$A$6:$A$2005))))</f>
        <v/>
      </c>
      <c r="P271" s="41">
        <f>IF(A271="","",IF(O271="",IF(J271="","",J271),IFERROR(AVERAGEIFS('Pesagens'!$C$6:$C$2005,'Pesagens'!$B$6:$B$2005,A271,'Pesagens'!$A$6:$A$2005,O271),"")))</f>
        <v/>
      </c>
      <c r="Q271" s="42">
        <f>IF(OR(A271="",O271="",I271="",J271=""),"",IFERROR((P271-J271)/(O271-I271),""))</f>
        <v/>
      </c>
    </row>
    <row r="272">
      <c r="A272" s="36" t="n"/>
      <c r="B272" s="32" t="n"/>
      <c r="C272" s="37" t="n"/>
      <c r="D272" s="31" t="n"/>
      <c r="E272" s="32" t="n"/>
      <c r="F272" s="32" t="n"/>
      <c r="G272" s="32" t="n"/>
      <c r="H272" s="36" t="n"/>
      <c r="I272" s="31" t="n"/>
      <c r="J272" s="38" t="n"/>
      <c r="K272" s="32" t="n"/>
      <c r="L272" s="34">
        <f>IF(OR(A272="",D272=""),"",IF(D272&gt;Config!$B$5,0,DATEDIF(D272,Config!$B$5,"m")))</f>
        <v/>
      </c>
      <c r="M272" s="39">
        <f>IF(A272="","",IF(K272&lt;&gt;"",K272,IF(OR(C272="",D272=""),"Sem dados",IFERROR(IF(C272="M",INDEX(Config!$B$11:$B$14,MATCH(L272,Config!$A$11:$A$14,1)),IF(C272="F",INDEX(Config!$C$11:$C$14,MATCH(L272,Config!$A$11:$A$14,1)),"Sem dados")),"Verificar"))))</f>
        <v/>
      </c>
      <c r="N272" s="39">
        <f>IF(A272="","",IF(COUNTIFS('Movimentações'!$C$6:$C$1505,A272,'Movimentações'!$B$6:$B$1505,"Venda")&gt;0,"Vendido",IF(COUNTIFS('Movimentações'!$C$6:$C$1505,A272,'Movimentações'!$B$6:$B$1505,"Morte")&gt;0,"Morto","Ativo")))</f>
        <v/>
      </c>
      <c r="O272" s="40">
        <f>IF(A272="","",IF(COUNTIF('Pesagens'!$B$6:$B$2005,A272)=0,"",SUMPRODUCT(MAX(('Pesagens'!$B$6:$B$2005=A272)*'Pesagens'!$A$6:$A$2005))))</f>
        <v/>
      </c>
      <c r="P272" s="41">
        <f>IF(A272="","",IF(O272="",IF(J272="","",J272),IFERROR(AVERAGEIFS('Pesagens'!$C$6:$C$2005,'Pesagens'!$B$6:$B$2005,A272,'Pesagens'!$A$6:$A$2005,O272),"")))</f>
        <v/>
      </c>
      <c r="Q272" s="42">
        <f>IF(OR(A272="",O272="",I272="",J272=""),"",IFERROR((P272-J272)/(O272-I272),""))</f>
        <v/>
      </c>
    </row>
    <row r="273">
      <c r="A273" s="36" t="n"/>
      <c r="B273" s="32" t="n"/>
      <c r="C273" s="37" t="n"/>
      <c r="D273" s="31" t="n"/>
      <c r="E273" s="32" t="n"/>
      <c r="F273" s="32" t="n"/>
      <c r="G273" s="32" t="n"/>
      <c r="H273" s="36" t="n"/>
      <c r="I273" s="31" t="n"/>
      <c r="J273" s="38" t="n"/>
      <c r="K273" s="32" t="n"/>
      <c r="L273" s="34">
        <f>IF(OR(A273="",D273=""),"",IF(D273&gt;Config!$B$5,0,DATEDIF(D273,Config!$B$5,"m")))</f>
        <v/>
      </c>
      <c r="M273" s="39">
        <f>IF(A273="","",IF(K273&lt;&gt;"",K273,IF(OR(C273="",D273=""),"Sem dados",IFERROR(IF(C273="M",INDEX(Config!$B$11:$B$14,MATCH(L273,Config!$A$11:$A$14,1)),IF(C273="F",INDEX(Config!$C$11:$C$14,MATCH(L273,Config!$A$11:$A$14,1)),"Sem dados")),"Verificar"))))</f>
        <v/>
      </c>
      <c r="N273" s="39">
        <f>IF(A273="","",IF(COUNTIFS('Movimentações'!$C$6:$C$1505,A273,'Movimentações'!$B$6:$B$1505,"Venda")&gt;0,"Vendido",IF(COUNTIFS('Movimentações'!$C$6:$C$1505,A273,'Movimentações'!$B$6:$B$1505,"Morte")&gt;0,"Morto","Ativo")))</f>
        <v/>
      </c>
      <c r="O273" s="40">
        <f>IF(A273="","",IF(COUNTIF('Pesagens'!$B$6:$B$2005,A273)=0,"",SUMPRODUCT(MAX(('Pesagens'!$B$6:$B$2005=A273)*'Pesagens'!$A$6:$A$2005))))</f>
        <v/>
      </c>
      <c r="P273" s="41">
        <f>IF(A273="","",IF(O273="",IF(J273="","",J273),IFERROR(AVERAGEIFS('Pesagens'!$C$6:$C$2005,'Pesagens'!$B$6:$B$2005,A273,'Pesagens'!$A$6:$A$2005,O273),"")))</f>
        <v/>
      </c>
      <c r="Q273" s="42">
        <f>IF(OR(A273="",O273="",I273="",J273=""),"",IFERROR((P273-J273)/(O273-I273),""))</f>
        <v/>
      </c>
    </row>
    <row r="274">
      <c r="A274" s="36" t="n"/>
      <c r="B274" s="32" t="n"/>
      <c r="C274" s="37" t="n"/>
      <c r="D274" s="31" t="n"/>
      <c r="E274" s="32" t="n"/>
      <c r="F274" s="32" t="n"/>
      <c r="G274" s="32" t="n"/>
      <c r="H274" s="36" t="n"/>
      <c r="I274" s="31" t="n"/>
      <c r="J274" s="38" t="n"/>
      <c r="K274" s="32" t="n"/>
      <c r="L274" s="34">
        <f>IF(OR(A274="",D274=""),"",IF(D274&gt;Config!$B$5,0,DATEDIF(D274,Config!$B$5,"m")))</f>
        <v/>
      </c>
      <c r="M274" s="39">
        <f>IF(A274="","",IF(K274&lt;&gt;"",K274,IF(OR(C274="",D274=""),"Sem dados",IFERROR(IF(C274="M",INDEX(Config!$B$11:$B$14,MATCH(L274,Config!$A$11:$A$14,1)),IF(C274="F",INDEX(Config!$C$11:$C$14,MATCH(L274,Config!$A$11:$A$14,1)),"Sem dados")),"Verificar"))))</f>
        <v/>
      </c>
      <c r="N274" s="39">
        <f>IF(A274="","",IF(COUNTIFS('Movimentações'!$C$6:$C$1505,A274,'Movimentações'!$B$6:$B$1505,"Venda")&gt;0,"Vendido",IF(COUNTIFS('Movimentações'!$C$6:$C$1505,A274,'Movimentações'!$B$6:$B$1505,"Morte")&gt;0,"Morto","Ativo")))</f>
        <v/>
      </c>
      <c r="O274" s="40">
        <f>IF(A274="","",IF(COUNTIF('Pesagens'!$B$6:$B$2005,A274)=0,"",SUMPRODUCT(MAX(('Pesagens'!$B$6:$B$2005=A274)*'Pesagens'!$A$6:$A$2005))))</f>
        <v/>
      </c>
      <c r="P274" s="41">
        <f>IF(A274="","",IF(O274="",IF(J274="","",J274),IFERROR(AVERAGEIFS('Pesagens'!$C$6:$C$2005,'Pesagens'!$B$6:$B$2005,A274,'Pesagens'!$A$6:$A$2005,O274),"")))</f>
        <v/>
      </c>
      <c r="Q274" s="42">
        <f>IF(OR(A274="",O274="",I274="",J274=""),"",IFERROR((P274-J274)/(O274-I274),""))</f>
        <v/>
      </c>
    </row>
    <row r="275">
      <c r="A275" s="36" t="n"/>
      <c r="B275" s="32" t="n"/>
      <c r="C275" s="37" t="n"/>
      <c r="D275" s="31" t="n"/>
      <c r="E275" s="32" t="n"/>
      <c r="F275" s="32" t="n"/>
      <c r="G275" s="32" t="n"/>
      <c r="H275" s="36" t="n"/>
      <c r="I275" s="31" t="n"/>
      <c r="J275" s="38" t="n"/>
      <c r="K275" s="32" t="n"/>
      <c r="L275" s="34">
        <f>IF(OR(A275="",D275=""),"",IF(D275&gt;Config!$B$5,0,DATEDIF(D275,Config!$B$5,"m")))</f>
        <v/>
      </c>
      <c r="M275" s="39">
        <f>IF(A275="","",IF(K275&lt;&gt;"",K275,IF(OR(C275="",D275=""),"Sem dados",IFERROR(IF(C275="M",INDEX(Config!$B$11:$B$14,MATCH(L275,Config!$A$11:$A$14,1)),IF(C275="F",INDEX(Config!$C$11:$C$14,MATCH(L275,Config!$A$11:$A$14,1)),"Sem dados")),"Verificar"))))</f>
        <v/>
      </c>
      <c r="N275" s="39">
        <f>IF(A275="","",IF(COUNTIFS('Movimentações'!$C$6:$C$1505,A275,'Movimentações'!$B$6:$B$1505,"Venda")&gt;0,"Vendido",IF(COUNTIFS('Movimentações'!$C$6:$C$1505,A275,'Movimentações'!$B$6:$B$1505,"Morte")&gt;0,"Morto","Ativo")))</f>
        <v/>
      </c>
      <c r="O275" s="40">
        <f>IF(A275="","",IF(COUNTIF('Pesagens'!$B$6:$B$2005,A275)=0,"",SUMPRODUCT(MAX(('Pesagens'!$B$6:$B$2005=A275)*'Pesagens'!$A$6:$A$2005))))</f>
        <v/>
      </c>
      <c r="P275" s="41">
        <f>IF(A275="","",IF(O275="",IF(J275="","",J275),IFERROR(AVERAGEIFS('Pesagens'!$C$6:$C$2005,'Pesagens'!$B$6:$B$2005,A275,'Pesagens'!$A$6:$A$2005,O275),"")))</f>
        <v/>
      </c>
      <c r="Q275" s="42">
        <f>IF(OR(A275="",O275="",I275="",J275=""),"",IFERROR((P275-J275)/(O275-I275),""))</f>
        <v/>
      </c>
    </row>
    <row r="276">
      <c r="A276" s="36" t="n"/>
      <c r="B276" s="32" t="n"/>
      <c r="C276" s="37" t="n"/>
      <c r="D276" s="31" t="n"/>
      <c r="E276" s="32" t="n"/>
      <c r="F276" s="32" t="n"/>
      <c r="G276" s="32" t="n"/>
      <c r="H276" s="36" t="n"/>
      <c r="I276" s="31" t="n"/>
      <c r="J276" s="38" t="n"/>
      <c r="K276" s="32" t="n"/>
      <c r="L276" s="34">
        <f>IF(OR(A276="",D276=""),"",IF(D276&gt;Config!$B$5,0,DATEDIF(D276,Config!$B$5,"m")))</f>
        <v/>
      </c>
      <c r="M276" s="39">
        <f>IF(A276="","",IF(K276&lt;&gt;"",K276,IF(OR(C276="",D276=""),"Sem dados",IFERROR(IF(C276="M",INDEX(Config!$B$11:$B$14,MATCH(L276,Config!$A$11:$A$14,1)),IF(C276="F",INDEX(Config!$C$11:$C$14,MATCH(L276,Config!$A$11:$A$14,1)),"Sem dados")),"Verificar"))))</f>
        <v/>
      </c>
      <c r="N276" s="39">
        <f>IF(A276="","",IF(COUNTIFS('Movimentações'!$C$6:$C$1505,A276,'Movimentações'!$B$6:$B$1505,"Venda")&gt;0,"Vendido",IF(COUNTIFS('Movimentações'!$C$6:$C$1505,A276,'Movimentações'!$B$6:$B$1505,"Morte")&gt;0,"Morto","Ativo")))</f>
        <v/>
      </c>
      <c r="O276" s="40">
        <f>IF(A276="","",IF(COUNTIF('Pesagens'!$B$6:$B$2005,A276)=0,"",SUMPRODUCT(MAX(('Pesagens'!$B$6:$B$2005=A276)*'Pesagens'!$A$6:$A$2005))))</f>
        <v/>
      </c>
      <c r="P276" s="41">
        <f>IF(A276="","",IF(O276="",IF(J276="","",J276),IFERROR(AVERAGEIFS('Pesagens'!$C$6:$C$2005,'Pesagens'!$B$6:$B$2005,A276,'Pesagens'!$A$6:$A$2005,O276),"")))</f>
        <v/>
      </c>
      <c r="Q276" s="42">
        <f>IF(OR(A276="",O276="",I276="",J276=""),"",IFERROR((P276-J276)/(O276-I276),""))</f>
        <v/>
      </c>
    </row>
    <row r="277">
      <c r="A277" s="36" t="n"/>
      <c r="B277" s="32" t="n"/>
      <c r="C277" s="37" t="n"/>
      <c r="D277" s="31" t="n"/>
      <c r="E277" s="32" t="n"/>
      <c r="F277" s="32" t="n"/>
      <c r="G277" s="32" t="n"/>
      <c r="H277" s="36" t="n"/>
      <c r="I277" s="31" t="n"/>
      <c r="J277" s="38" t="n"/>
      <c r="K277" s="32" t="n"/>
      <c r="L277" s="34">
        <f>IF(OR(A277="",D277=""),"",IF(D277&gt;Config!$B$5,0,DATEDIF(D277,Config!$B$5,"m")))</f>
        <v/>
      </c>
      <c r="M277" s="39">
        <f>IF(A277="","",IF(K277&lt;&gt;"",K277,IF(OR(C277="",D277=""),"Sem dados",IFERROR(IF(C277="M",INDEX(Config!$B$11:$B$14,MATCH(L277,Config!$A$11:$A$14,1)),IF(C277="F",INDEX(Config!$C$11:$C$14,MATCH(L277,Config!$A$11:$A$14,1)),"Sem dados")),"Verificar"))))</f>
        <v/>
      </c>
      <c r="N277" s="39">
        <f>IF(A277="","",IF(COUNTIFS('Movimentações'!$C$6:$C$1505,A277,'Movimentações'!$B$6:$B$1505,"Venda")&gt;0,"Vendido",IF(COUNTIFS('Movimentações'!$C$6:$C$1505,A277,'Movimentações'!$B$6:$B$1505,"Morte")&gt;0,"Morto","Ativo")))</f>
        <v/>
      </c>
      <c r="O277" s="40">
        <f>IF(A277="","",IF(COUNTIF('Pesagens'!$B$6:$B$2005,A277)=0,"",SUMPRODUCT(MAX(('Pesagens'!$B$6:$B$2005=A277)*'Pesagens'!$A$6:$A$2005))))</f>
        <v/>
      </c>
      <c r="P277" s="41">
        <f>IF(A277="","",IF(O277="",IF(J277="","",J277),IFERROR(AVERAGEIFS('Pesagens'!$C$6:$C$2005,'Pesagens'!$B$6:$B$2005,A277,'Pesagens'!$A$6:$A$2005,O277),"")))</f>
        <v/>
      </c>
      <c r="Q277" s="42">
        <f>IF(OR(A277="",O277="",I277="",J277=""),"",IFERROR((P277-J277)/(O277-I277),""))</f>
        <v/>
      </c>
    </row>
    <row r="278">
      <c r="A278" s="36" t="n"/>
      <c r="B278" s="32" t="n"/>
      <c r="C278" s="37" t="n"/>
      <c r="D278" s="31" t="n"/>
      <c r="E278" s="32" t="n"/>
      <c r="F278" s="32" t="n"/>
      <c r="G278" s="32" t="n"/>
      <c r="H278" s="36" t="n"/>
      <c r="I278" s="31" t="n"/>
      <c r="J278" s="38" t="n"/>
      <c r="K278" s="32" t="n"/>
      <c r="L278" s="34">
        <f>IF(OR(A278="",D278=""),"",IF(D278&gt;Config!$B$5,0,DATEDIF(D278,Config!$B$5,"m")))</f>
        <v/>
      </c>
      <c r="M278" s="39">
        <f>IF(A278="","",IF(K278&lt;&gt;"",K278,IF(OR(C278="",D278=""),"Sem dados",IFERROR(IF(C278="M",INDEX(Config!$B$11:$B$14,MATCH(L278,Config!$A$11:$A$14,1)),IF(C278="F",INDEX(Config!$C$11:$C$14,MATCH(L278,Config!$A$11:$A$14,1)),"Sem dados")),"Verificar"))))</f>
        <v/>
      </c>
      <c r="N278" s="39">
        <f>IF(A278="","",IF(COUNTIFS('Movimentações'!$C$6:$C$1505,A278,'Movimentações'!$B$6:$B$1505,"Venda")&gt;0,"Vendido",IF(COUNTIFS('Movimentações'!$C$6:$C$1505,A278,'Movimentações'!$B$6:$B$1505,"Morte")&gt;0,"Morto","Ativo")))</f>
        <v/>
      </c>
      <c r="O278" s="40">
        <f>IF(A278="","",IF(COUNTIF('Pesagens'!$B$6:$B$2005,A278)=0,"",SUMPRODUCT(MAX(('Pesagens'!$B$6:$B$2005=A278)*'Pesagens'!$A$6:$A$2005))))</f>
        <v/>
      </c>
      <c r="P278" s="41">
        <f>IF(A278="","",IF(O278="",IF(J278="","",J278),IFERROR(AVERAGEIFS('Pesagens'!$C$6:$C$2005,'Pesagens'!$B$6:$B$2005,A278,'Pesagens'!$A$6:$A$2005,O278),"")))</f>
        <v/>
      </c>
      <c r="Q278" s="42">
        <f>IF(OR(A278="",O278="",I278="",J278=""),"",IFERROR((P278-J278)/(O278-I278),""))</f>
        <v/>
      </c>
    </row>
    <row r="279">
      <c r="A279" s="36" t="n"/>
      <c r="B279" s="32" t="n"/>
      <c r="C279" s="37" t="n"/>
      <c r="D279" s="31" t="n"/>
      <c r="E279" s="32" t="n"/>
      <c r="F279" s="32" t="n"/>
      <c r="G279" s="32" t="n"/>
      <c r="H279" s="36" t="n"/>
      <c r="I279" s="31" t="n"/>
      <c r="J279" s="38" t="n"/>
      <c r="K279" s="32" t="n"/>
      <c r="L279" s="34">
        <f>IF(OR(A279="",D279=""),"",IF(D279&gt;Config!$B$5,0,DATEDIF(D279,Config!$B$5,"m")))</f>
        <v/>
      </c>
      <c r="M279" s="39">
        <f>IF(A279="","",IF(K279&lt;&gt;"",K279,IF(OR(C279="",D279=""),"Sem dados",IFERROR(IF(C279="M",INDEX(Config!$B$11:$B$14,MATCH(L279,Config!$A$11:$A$14,1)),IF(C279="F",INDEX(Config!$C$11:$C$14,MATCH(L279,Config!$A$11:$A$14,1)),"Sem dados")),"Verificar"))))</f>
        <v/>
      </c>
      <c r="N279" s="39">
        <f>IF(A279="","",IF(COUNTIFS('Movimentações'!$C$6:$C$1505,A279,'Movimentações'!$B$6:$B$1505,"Venda")&gt;0,"Vendido",IF(COUNTIFS('Movimentações'!$C$6:$C$1505,A279,'Movimentações'!$B$6:$B$1505,"Morte")&gt;0,"Morto","Ativo")))</f>
        <v/>
      </c>
      <c r="O279" s="40">
        <f>IF(A279="","",IF(COUNTIF('Pesagens'!$B$6:$B$2005,A279)=0,"",SUMPRODUCT(MAX(('Pesagens'!$B$6:$B$2005=A279)*'Pesagens'!$A$6:$A$2005))))</f>
        <v/>
      </c>
      <c r="P279" s="41">
        <f>IF(A279="","",IF(O279="",IF(J279="","",J279),IFERROR(AVERAGEIFS('Pesagens'!$C$6:$C$2005,'Pesagens'!$B$6:$B$2005,A279,'Pesagens'!$A$6:$A$2005,O279),"")))</f>
        <v/>
      </c>
      <c r="Q279" s="42">
        <f>IF(OR(A279="",O279="",I279="",J279=""),"",IFERROR((P279-J279)/(O279-I279),""))</f>
        <v/>
      </c>
    </row>
    <row r="280">
      <c r="A280" s="36" t="n"/>
      <c r="B280" s="32" t="n"/>
      <c r="C280" s="37" t="n"/>
      <c r="D280" s="31" t="n"/>
      <c r="E280" s="32" t="n"/>
      <c r="F280" s="32" t="n"/>
      <c r="G280" s="32" t="n"/>
      <c r="H280" s="36" t="n"/>
      <c r="I280" s="31" t="n"/>
      <c r="J280" s="38" t="n"/>
      <c r="K280" s="32" t="n"/>
      <c r="L280" s="34">
        <f>IF(OR(A280="",D280=""),"",IF(D280&gt;Config!$B$5,0,DATEDIF(D280,Config!$B$5,"m")))</f>
        <v/>
      </c>
      <c r="M280" s="39">
        <f>IF(A280="","",IF(K280&lt;&gt;"",K280,IF(OR(C280="",D280=""),"Sem dados",IFERROR(IF(C280="M",INDEX(Config!$B$11:$B$14,MATCH(L280,Config!$A$11:$A$14,1)),IF(C280="F",INDEX(Config!$C$11:$C$14,MATCH(L280,Config!$A$11:$A$14,1)),"Sem dados")),"Verificar"))))</f>
        <v/>
      </c>
      <c r="N280" s="39">
        <f>IF(A280="","",IF(COUNTIFS('Movimentações'!$C$6:$C$1505,A280,'Movimentações'!$B$6:$B$1505,"Venda")&gt;0,"Vendido",IF(COUNTIFS('Movimentações'!$C$6:$C$1505,A280,'Movimentações'!$B$6:$B$1505,"Morte")&gt;0,"Morto","Ativo")))</f>
        <v/>
      </c>
      <c r="O280" s="40">
        <f>IF(A280="","",IF(COUNTIF('Pesagens'!$B$6:$B$2005,A280)=0,"",SUMPRODUCT(MAX(('Pesagens'!$B$6:$B$2005=A280)*'Pesagens'!$A$6:$A$2005))))</f>
        <v/>
      </c>
      <c r="P280" s="41">
        <f>IF(A280="","",IF(O280="",IF(J280="","",J280),IFERROR(AVERAGEIFS('Pesagens'!$C$6:$C$2005,'Pesagens'!$B$6:$B$2005,A280,'Pesagens'!$A$6:$A$2005,O280),"")))</f>
        <v/>
      </c>
      <c r="Q280" s="42">
        <f>IF(OR(A280="",O280="",I280="",J280=""),"",IFERROR((P280-J280)/(O280-I280),""))</f>
        <v/>
      </c>
    </row>
    <row r="281">
      <c r="A281" s="36" t="n"/>
      <c r="B281" s="32" t="n"/>
      <c r="C281" s="37" t="n"/>
      <c r="D281" s="31" t="n"/>
      <c r="E281" s="32" t="n"/>
      <c r="F281" s="32" t="n"/>
      <c r="G281" s="32" t="n"/>
      <c r="H281" s="36" t="n"/>
      <c r="I281" s="31" t="n"/>
      <c r="J281" s="38" t="n"/>
      <c r="K281" s="32" t="n"/>
      <c r="L281" s="34">
        <f>IF(OR(A281="",D281=""),"",IF(D281&gt;Config!$B$5,0,DATEDIF(D281,Config!$B$5,"m")))</f>
        <v/>
      </c>
      <c r="M281" s="39">
        <f>IF(A281="","",IF(K281&lt;&gt;"",K281,IF(OR(C281="",D281=""),"Sem dados",IFERROR(IF(C281="M",INDEX(Config!$B$11:$B$14,MATCH(L281,Config!$A$11:$A$14,1)),IF(C281="F",INDEX(Config!$C$11:$C$14,MATCH(L281,Config!$A$11:$A$14,1)),"Sem dados")),"Verificar"))))</f>
        <v/>
      </c>
      <c r="N281" s="39">
        <f>IF(A281="","",IF(COUNTIFS('Movimentações'!$C$6:$C$1505,A281,'Movimentações'!$B$6:$B$1505,"Venda")&gt;0,"Vendido",IF(COUNTIFS('Movimentações'!$C$6:$C$1505,A281,'Movimentações'!$B$6:$B$1505,"Morte")&gt;0,"Morto","Ativo")))</f>
        <v/>
      </c>
      <c r="O281" s="40">
        <f>IF(A281="","",IF(COUNTIF('Pesagens'!$B$6:$B$2005,A281)=0,"",SUMPRODUCT(MAX(('Pesagens'!$B$6:$B$2005=A281)*'Pesagens'!$A$6:$A$2005))))</f>
        <v/>
      </c>
      <c r="P281" s="41">
        <f>IF(A281="","",IF(O281="",IF(J281="","",J281),IFERROR(AVERAGEIFS('Pesagens'!$C$6:$C$2005,'Pesagens'!$B$6:$B$2005,A281,'Pesagens'!$A$6:$A$2005,O281),"")))</f>
        <v/>
      </c>
      <c r="Q281" s="42">
        <f>IF(OR(A281="",O281="",I281="",J281=""),"",IFERROR((P281-J281)/(O281-I281),""))</f>
        <v/>
      </c>
    </row>
    <row r="282">
      <c r="A282" s="36" t="n"/>
      <c r="B282" s="32" t="n"/>
      <c r="C282" s="37" t="n"/>
      <c r="D282" s="31" t="n"/>
      <c r="E282" s="32" t="n"/>
      <c r="F282" s="32" t="n"/>
      <c r="G282" s="32" t="n"/>
      <c r="H282" s="36" t="n"/>
      <c r="I282" s="31" t="n"/>
      <c r="J282" s="38" t="n"/>
      <c r="K282" s="32" t="n"/>
      <c r="L282" s="34">
        <f>IF(OR(A282="",D282=""),"",IF(D282&gt;Config!$B$5,0,DATEDIF(D282,Config!$B$5,"m")))</f>
        <v/>
      </c>
      <c r="M282" s="39">
        <f>IF(A282="","",IF(K282&lt;&gt;"",K282,IF(OR(C282="",D282=""),"Sem dados",IFERROR(IF(C282="M",INDEX(Config!$B$11:$B$14,MATCH(L282,Config!$A$11:$A$14,1)),IF(C282="F",INDEX(Config!$C$11:$C$14,MATCH(L282,Config!$A$11:$A$14,1)),"Sem dados")),"Verificar"))))</f>
        <v/>
      </c>
      <c r="N282" s="39">
        <f>IF(A282="","",IF(COUNTIFS('Movimentações'!$C$6:$C$1505,A282,'Movimentações'!$B$6:$B$1505,"Venda")&gt;0,"Vendido",IF(COUNTIFS('Movimentações'!$C$6:$C$1505,A282,'Movimentações'!$B$6:$B$1505,"Morte")&gt;0,"Morto","Ativo")))</f>
        <v/>
      </c>
      <c r="O282" s="40">
        <f>IF(A282="","",IF(COUNTIF('Pesagens'!$B$6:$B$2005,A282)=0,"",SUMPRODUCT(MAX(('Pesagens'!$B$6:$B$2005=A282)*'Pesagens'!$A$6:$A$2005))))</f>
        <v/>
      </c>
      <c r="P282" s="41">
        <f>IF(A282="","",IF(O282="",IF(J282="","",J282),IFERROR(AVERAGEIFS('Pesagens'!$C$6:$C$2005,'Pesagens'!$B$6:$B$2005,A282,'Pesagens'!$A$6:$A$2005,O282),"")))</f>
        <v/>
      </c>
      <c r="Q282" s="42">
        <f>IF(OR(A282="",O282="",I282="",J282=""),"",IFERROR((P282-J282)/(O282-I282),""))</f>
        <v/>
      </c>
    </row>
    <row r="283">
      <c r="A283" s="36" t="n"/>
      <c r="B283" s="32" t="n"/>
      <c r="C283" s="37" t="n"/>
      <c r="D283" s="31" t="n"/>
      <c r="E283" s="32" t="n"/>
      <c r="F283" s="32" t="n"/>
      <c r="G283" s="32" t="n"/>
      <c r="H283" s="36" t="n"/>
      <c r="I283" s="31" t="n"/>
      <c r="J283" s="38" t="n"/>
      <c r="K283" s="32" t="n"/>
      <c r="L283" s="34">
        <f>IF(OR(A283="",D283=""),"",IF(D283&gt;Config!$B$5,0,DATEDIF(D283,Config!$B$5,"m")))</f>
        <v/>
      </c>
      <c r="M283" s="39">
        <f>IF(A283="","",IF(K283&lt;&gt;"",K283,IF(OR(C283="",D283=""),"Sem dados",IFERROR(IF(C283="M",INDEX(Config!$B$11:$B$14,MATCH(L283,Config!$A$11:$A$14,1)),IF(C283="F",INDEX(Config!$C$11:$C$14,MATCH(L283,Config!$A$11:$A$14,1)),"Sem dados")),"Verificar"))))</f>
        <v/>
      </c>
      <c r="N283" s="39">
        <f>IF(A283="","",IF(COUNTIFS('Movimentações'!$C$6:$C$1505,A283,'Movimentações'!$B$6:$B$1505,"Venda")&gt;0,"Vendido",IF(COUNTIFS('Movimentações'!$C$6:$C$1505,A283,'Movimentações'!$B$6:$B$1505,"Morte")&gt;0,"Morto","Ativo")))</f>
        <v/>
      </c>
      <c r="O283" s="40">
        <f>IF(A283="","",IF(COUNTIF('Pesagens'!$B$6:$B$2005,A283)=0,"",SUMPRODUCT(MAX(('Pesagens'!$B$6:$B$2005=A283)*'Pesagens'!$A$6:$A$2005))))</f>
        <v/>
      </c>
      <c r="P283" s="41">
        <f>IF(A283="","",IF(O283="",IF(J283="","",J283),IFERROR(AVERAGEIFS('Pesagens'!$C$6:$C$2005,'Pesagens'!$B$6:$B$2005,A283,'Pesagens'!$A$6:$A$2005,O283),"")))</f>
        <v/>
      </c>
      <c r="Q283" s="42">
        <f>IF(OR(A283="",O283="",I283="",J283=""),"",IFERROR((P283-J283)/(O283-I283),""))</f>
        <v/>
      </c>
    </row>
    <row r="284">
      <c r="A284" s="36" t="n"/>
      <c r="B284" s="32" t="n"/>
      <c r="C284" s="37" t="n"/>
      <c r="D284" s="31" t="n"/>
      <c r="E284" s="32" t="n"/>
      <c r="F284" s="32" t="n"/>
      <c r="G284" s="32" t="n"/>
      <c r="H284" s="36" t="n"/>
      <c r="I284" s="31" t="n"/>
      <c r="J284" s="38" t="n"/>
      <c r="K284" s="32" t="n"/>
      <c r="L284" s="34">
        <f>IF(OR(A284="",D284=""),"",IF(D284&gt;Config!$B$5,0,DATEDIF(D284,Config!$B$5,"m")))</f>
        <v/>
      </c>
      <c r="M284" s="39">
        <f>IF(A284="","",IF(K284&lt;&gt;"",K284,IF(OR(C284="",D284=""),"Sem dados",IFERROR(IF(C284="M",INDEX(Config!$B$11:$B$14,MATCH(L284,Config!$A$11:$A$14,1)),IF(C284="F",INDEX(Config!$C$11:$C$14,MATCH(L284,Config!$A$11:$A$14,1)),"Sem dados")),"Verificar"))))</f>
        <v/>
      </c>
      <c r="N284" s="39">
        <f>IF(A284="","",IF(COUNTIFS('Movimentações'!$C$6:$C$1505,A284,'Movimentações'!$B$6:$B$1505,"Venda")&gt;0,"Vendido",IF(COUNTIFS('Movimentações'!$C$6:$C$1505,A284,'Movimentações'!$B$6:$B$1505,"Morte")&gt;0,"Morto","Ativo")))</f>
        <v/>
      </c>
      <c r="O284" s="40">
        <f>IF(A284="","",IF(COUNTIF('Pesagens'!$B$6:$B$2005,A284)=0,"",SUMPRODUCT(MAX(('Pesagens'!$B$6:$B$2005=A284)*'Pesagens'!$A$6:$A$2005))))</f>
        <v/>
      </c>
      <c r="P284" s="41">
        <f>IF(A284="","",IF(O284="",IF(J284="","",J284),IFERROR(AVERAGEIFS('Pesagens'!$C$6:$C$2005,'Pesagens'!$B$6:$B$2005,A284,'Pesagens'!$A$6:$A$2005,O284),"")))</f>
        <v/>
      </c>
      <c r="Q284" s="42">
        <f>IF(OR(A284="",O284="",I284="",J284=""),"",IFERROR((P284-J284)/(O284-I284),""))</f>
        <v/>
      </c>
    </row>
    <row r="285">
      <c r="A285" s="36" t="n"/>
      <c r="B285" s="32" t="n"/>
      <c r="C285" s="37" t="n"/>
      <c r="D285" s="31" t="n"/>
      <c r="E285" s="32" t="n"/>
      <c r="F285" s="32" t="n"/>
      <c r="G285" s="32" t="n"/>
      <c r="H285" s="36" t="n"/>
      <c r="I285" s="31" t="n"/>
      <c r="J285" s="38" t="n"/>
      <c r="K285" s="32" t="n"/>
      <c r="L285" s="34">
        <f>IF(OR(A285="",D285=""),"",IF(D285&gt;Config!$B$5,0,DATEDIF(D285,Config!$B$5,"m")))</f>
        <v/>
      </c>
      <c r="M285" s="39">
        <f>IF(A285="","",IF(K285&lt;&gt;"",K285,IF(OR(C285="",D285=""),"Sem dados",IFERROR(IF(C285="M",INDEX(Config!$B$11:$B$14,MATCH(L285,Config!$A$11:$A$14,1)),IF(C285="F",INDEX(Config!$C$11:$C$14,MATCH(L285,Config!$A$11:$A$14,1)),"Sem dados")),"Verificar"))))</f>
        <v/>
      </c>
      <c r="N285" s="39">
        <f>IF(A285="","",IF(COUNTIFS('Movimentações'!$C$6:$C$1505,A285,'Movimentações'!$B$6:$B$1505,"Venda")&gt;0,"Vendido",IF(COUNTIFS('Movimentações'!$C$6:$C$1505,A285,'Movimentações'!$B$6:$B$1505,"Morte")&gt;0,"Morto","Ativo")))</f>
        <v/>
      </c>
      <c r="O285" s="40">
        <f>IF(A285="","",IF(COUNTIF('Pesagens'!$B$6:$B$2005,A285)=0,"",SUMPRODUCT(MAX(('Pesagens'!$B$6:$B$2005=A285)*'Pesagens'!$A$6:$A$2005))))</f>
        <v/>
      </c>
      <c r="P285" s="41">
        <f>IF(A285="","",IF(O285="",IF(J285="","",J285),IFERROR(AVERAGEIFS('Pesagens'!$C$6:$C$2005,'Pesagens'!$B$6:$B$2005,A285,'Pesagens'!$A$6:$A$2005,O285),"")))</f>
        <v/>
      </c>
      <c r="Q285" s="42">
        <f>IF(OR(A285="",O285="",I285="",J285=""),"",IFERROR((P285-J285)/(O285-I285),""))</f>
        <v/>
      </c>
    </row>
    <row r="286">
      <c r="A286" s="36" t="n"/>
      <c r="B286" s="32" t="n"/>
      <c r="C286" s="37" t="n"/>
      <c r="D286" s="31" t="n"/>
      <c r="E286" s="32" t="n"/>
      <c r="F286" s="32" t="n"/>
      <c r="G286" s="32" t="n"/>
      <c r="H286" s="36" t="n"/>
      <c r="I286" s="31" t="n"/>
      <c r="J286" s="38" t="n"/>
      <c r="K286" s="32" t="n"/>
      <c r="L286" s="34">
        <f>IF(OR(A286="",D286=""),"",IF(D286&gt;Config!$B$5,0,DATEDIF(D286,Config!$B$5,"m")))</f>
        <v/>
      </c>
      <c r="M286" s="39">
        <f>IF(A286="","",IF(K286&lt;&gt;"",K286,IF(OR(C286="",D286=""),"Sem dados",IFERROR(IF(C286="M",INDEX(Config!$B$11:$B$14,MATCH(L286,Config!$A$11:$A$14,1)),IF(C286="F",INDEX(Config!$C$11:$C$14,MATCH(L286,Config!$A$11:$A$14,1)),"Sem dados")),"Verificar"))))</f>
        <v/>
      </c>
      <c r="N286" s="39">
        <f>IF(A286="","",IF(COUNTIFS('Movimentações'!$C$6:$C$1505,A286,'Movimentações'!$B$6:$B$1505,"Venda")&gt;0,"Vendido",IF(COUNTIFS('Movimentações'!$C$6:$C$1505,A286,'Movimentações'!$B$6:$B$1505,"Morte")&gt;0,"Morto","Ativo")))</f>
        <v/>
      </c>
      <c r="O286" s="40">
        <f>IF(A286="","",IF(COUNTIF('Pesagens'!$B$6:$B$2005,A286)=0,"",SUMPRODUCT(MAX(('Pesagens'!$B$6:$B$2005=A286)*'Pesagens'!$A$6:$A$2005))))</f>
        <v/>
      </c>
      <c r="P286" s="41">
        <f>IF(A286="","",IF(O286="",IF(J286="","",J286),IFERROR(AVERAGEIFS('Pesagens'!$C$6:$C$2005,'Pesagens'!$B$6:$B$2005,A286,'Pesagens'!$A$6:$A$2005,O286),"")))</f>
        <v/>
      </c>
      <c r="Q286" s="42">
        <f>IF(OR(A286="",O286="",I286="",J286=""),"",IFERROR((P286-J286)/(O286-I286),""))</f>
        <v/>
      </c>
    </row>
    <row r="287">
      <c r="A287" s="36" t="n"/>
      <c r="B287" s="32" t="n"/>
      <c r="C287" s="37" t="n"/>
      <c r="D287" s="31" t="n"/>
      <c r="E287" s="32" t="n"/>
      <c r="F287" s="32" t="n"/>
      <c r="G287" s="32" t="n"/>
      <c r="H287" s="36" t="n"/>
      <c r="I287" s="31" t="n"/>
      <c r="J287" s="38" t="n"/>
      <c r="K287" s="32" t="n"/>
      <c r="L287" s="34">
        <f>IF(OR(A287="",D287=""),"",IF(D287&gt;Config!$B$5,0,DATEDIF(D287,Config!$B$5,"m")))</f>
        <v/>
      </c>
      <c r="M287" s="39">
        <f>IF(A287="","",IF(K287&lt;&gt;"",K287,IF(OR(C287="",D287=""),"Sem dados",IFERROR(IF(C287="M",INDEX(Config!$B$11:$B$14,MATCH(L287,Config!$A$11:$A$14,1)),IF(C287="F",INDEX(Config!$C$11:$C$14,MATCH(L287,Config!$A$11:$A$14,1)),"Sem dados")),"Verificar"))))</f>
        <v/>
      </c>
      <c r="N287" s="39">
        <f>IF(A287="","",IF(COUNTIFS('Movimentações'!$C$6:$C$1505,A287,'Movimentações'!$B$6:$B$1505,"Venda")&gt;0,"Vendido",IF(COUNTIFS('Movimentações'!$C$6:$C$1505,A287,'Movimentações'!$B$6:$B$1505,"Morte")&gt;0,"Morto","Ativo")))</f>
        <v/>
      </c>
      <c r="O287" s="40">
        <f>IF(A287="","",IF(COUNTIF('Pesagens'!$B$6:$B$2005,A287)=0,"",SUMPRODUCT(MAX(('Pesagens'!$B$6:$B$2005=A287)*'Pesagens'!$A$6:$A$2005))))</f>
        <v/>
      </c>
      <c r="P287" s="41">
        <f>IF(A287="","",IF(O287="",IF(J287="","",J287),IFERROR(AVERAGEIFS('Pesagens'!$C$6:$C$2005,'Pesagens'!$B$6:$B$2005,A287,'Pesagens'!$A$6:$A$2005,O287),"")))</f>
        <v/>
      </c>
      <c r="Q287" s="42">
        <f>IF(OR(A287="",O287="",I287="",J287=""),"",IFERROR((P287-J287)/(O287-I287),""))</f>
        <v/>
      </c>
    </row>
    <row r="288">
      <c r="A288" s="36" t="n"/>
      <c r="B288" s="32" t="n"/>
      <c r="C288" s="37" t="n"/>
      <c r="D288" s="31" t="n"/>
      <c r="E288" s="32" t="n"/>
      <c r="F288" s="32" t="n"/>
      <c r="G288" s="32" t="n"/>
      <c r="H288" s="36" t="n"/>
      <c r="I288" s="31" t="n"/>
      <c r="J288" s="38" t="n"/>
      <c r="K288" s="32" t="n"/>
      <c r="L288" s="34">
        <f>IF(OR(A288="",D288=""),"",IF(D288&gt;Config!$B$5,0,DATEDIF(D288,Config!$B$5,"m")))</f>
        <v/>
      </c>
      <c r="M288" s="39">
        <f>IF(A288="","",IF(K288&lt;&gt;"",K288,IF(OR(C288="",D288=""),"Sem dados",IFERROR(IF(C288="M",INDEX(Config!$B$11:$B$14,MATCH(L288,Config!$A$11:$A$14,1)),IF(C288="F",INDEX(Config!$C$11:$C$14,MATCH(L288,Config!$A$11:$A$14,1)),"Sem dados")),"Verificar"))))</f>
        <v/>
      </c>
      <c r="N288" s="39">
        <f>IF(A288="","",IF(COUNTIFS('Movimentações'!$C$6:$C$1505,A288,'Movimentações'!$B$6:$B$1505,"Venda")&gt;0,"Vendido",IF(COUNTIFS('Movimentações'!$C$6:$C$1505,A288,'Movimentações'!$B$6:$B$1505,"Morte")&gt;0,"Morto","Ativo")))</f>
        <v/>
      </c>
      <c r="O288" s="40">
        <f>IF(A288="","",IF(COUNTIF('Pesagens'!$B$6:$B$2005,A288)=0,"",SUMPRODUCT(MAX(('Pesagens'!$B$6:$B$2005=A288)*'Pesagens'!$A$6:$A$2005))))</f>
        <v/>
      </c>
      <c r="P288" s="41">
        <f>IF(A288="","",IF(O288="",IF(J288="","",J288),IFERROR(AVERAGEIFS('Pesagens'!$C$6:$C$2005,'Pesagens'!$B$6:$B$2005,A288,'Pesagens'!$A$6:$A$2005,O288),"")))</f>
        <v/>
      </c>
      <c r="Q288" s="42">
        <f>IF(OR(A288="",O288="",I288="",J288=""),"",IFERROR((P288-J288)/(O288-I288),""))</f>
        <v/>
      </c>
    </row>
    <row r="289">
      <c r="A289" s="36" t="n"/>
      <c r="B289" s="32" t="n"/>
      <c r="C289" s="37" t="n"/>
      <c r="D289" s="31" t="n"/>
      <c r="E289" s="32" t="n"/>
      <c r="F289" s="32" t="n"/>
      <c r="G289" s="32" t="n"/>
      <c r="H289" s="36" t="n"/>
      <c r="I289" s="31" t="n"/>
      <c r="J289" s="38" t="n"/>
      <c r="K289" s="32" t="n"/>
      <c r="L289" s="34">
        <f>IF(OR(A289="",D289=""),"",IF(D289&gt;Config!$B$5,0,DATEDIF(D289,Config!$B$5,"m")))</f>
        <v/>
      </c>
      <c r="M289" s="39">
        <f>IF(A289="","",IF(K289&lt;&gt;"",K289,IF(OR(C289="",D289=""),"Sem dados",IFERROR(IF(C289="M",INDEX(Config!$B$11:$B$14,MATCH(L289,Config!$A$11:$A$14,1)),IF(C289="F",INDEX(Config!$C$11:$C$14,MATCH(L289,Config!$A$11:$A$14,1)),"Sem dados")),"Verificar"))))</f>
        <v/>
      </c>
      <c r="N289" s="39">
        <f>IF(A289="","",IF(COUNTIFS('Movimentações'!$C$6:$C$1505,A289,'Movimentações'!$B$6:$B$1505,"Venda")&gt;0,"Vendido",IF(COUNTIFS('Movimentações'!$C$6:$C$1505,A289,'Movimentações'!$B$6:$B$1505,"Morte")&gt;0,"Morto","Ativo")))</f>
        <v/>
      </c>
      <c r="O289" s="40">
        <f>IF(A289="","",IF(COUNTIF('Pesagens'!$B$6:$B$2005,A289)=0,"",SUMPRODUCT(MAX(('Pesagens'!$B$6:$B$2005=A289)*'Pesagens'!$A$6:$A$2005))))</f>
        <v/>
      </c>
      <c r="P289" s="41">
        <f>IF(A289="","",IF(O289="",IF(J289="","",J289),IFERROR(AVERAGEIFS('Pesagens'!$C$6:$C$2005,'Pesagens'!$B$6:$B$2005,A289,'Pesagens'!$A$6:$A$2005,O289),"")))</f>
        <v/>
      </c>
      <c r="Q289" s="42">
        <f>IF(OR(A289="",O289="",I289="",J289=""),"",IFERROR((P289-J289)/(O289-I289),""))</f>
        <v/>
      </c>
    </row>
    <row r="290">
      <c r="A290" s="36" t="n"/>
      <c r="B290" s="32" t="n"/>
      <c r="C290" s="37" t="n"/>
      <c r="D290" s="31" t="n"/>
      <c r="E290" s="32" t="n"/>
      <c r="F290" s="32" t="n"/>
      <c r="G290" s="32" t="n"/>
      <c r="H290" s="36" t="n"/>
      <c r="I290" s="31" t="n"/>
      <c r="J290" s="38" t="n"/>
      <c r="K290" s="32" t="n"/>
      <c r="L290" s="34">
        <f>IF(OR(A290="",D290=""),"",IF(D290&gt;Config!$B$5,0,DATEDIF(D290,Config!$B$5,"m")))</f>
        <v/>
      </c>
      <c r="M290" s="39">
        <f>IF(A290="","",IF(K290&lt;&gt;"",K290,IF(OR(C290="",D290=""),"Sem dados",IFERROR(IF(C290="M",INDEX(Config!$B$11:$B$14,MATCH(L290,Config!$A$11:$A$14,1)),IF(C290="F",INDEX(Config!$C$11:$C$14,MATCH(L290,Config!$A$11:$A$14,1)),"Sem dados")),"Verificar"))))</f>
        <v/>
      </c>
      <c r="N290" s="39">
        <f>IF(A290="","",IF(COUNTIFS('Movimentações'!$C$6:$C$1505,A290,'Movimentações'!$B$6:$B$1505,"Venda")&gt;0,"Vendido",IF(COUNTIFS('Movimentações'!$C$6:$C$1505,A290,'Movimentações'!$B$6:$B$1505,"Morte")&gt;0,"Morto","Ativo")))</f>
        <v/>
      </c>
      <c r="O290" s="40">
        <f>IF(A290="","",IF(COUNTIF('Pesagens'!$B$6:$B$2005,A290)=0,"",SUMPRODUCT(MAX(('Pesagens'!$B$6:$B$2005=A290)*'Pesagens'!$A$6:$A$2005))))</f>
        <v/>
      </c>
      <c r="P290" s="41">
        <f>IF(A290="","",IF(O290="",IF(J290="","",J290),IFERROR(AVERAGEIFS('Pesagens'!$C$6:$C$2005,'Pesagens'!$B$6:$B$2005,A290,'Pesagens'!$A$6:$A$2005,O290),"")))</f>
        <v/>
      </c>
      <c r="Q290" s="42">
        <f>IF(OR(A290="",O290="",I290="",J290=""),"",IFERROR((P290-J290)/(O290-I290),""))</f>
        <v/>
      </c>
    </row>
    <row r="291">
      <c r="A291" s="36" t="n"/>
      <c r="B291" s="32" t="n"/>
      <c r="C291" s="37" t="n"/>
      <c r="D291" s="31" t="n"/>
      <c r="E291" s="32" t="n"/>
      <c r="F291" s="32" t="n"/>
      <c r="G291" s="32" t="n"/>
      <c r="H291" s="36" t="n"/>
      <c r="I291" s="31" t="n"/>
      <c r="J291" s="38" t="n"/>
      <c r="K291" s="32" t="n"/>
      <c r="L291" s="34">
        <f>IF(OR(A291="",D291=""),"",IF(D291&gt;Config!$B$5,0,DATEDIF(D291,Config!$B$5,"m")))</f>
        <v/>
      </c>
      <c r="M291" s="39">
        <f>IF(A291="","",IF(K291&lt;&gt;"",K291,IF(OR(C291="",D291=""),"Sem dados",IFERROR(IF(C291="M",INDEX(Config!$B$11:$B$14,MATCH(L291,Config!$A$11:$A$14,1)),IF(C291="F",INDEX(Config!$C$11:$C$14,MATCH(L291,Config!$A$11:$A$14,1)),"Sem dados")),"Verificar"))))</f>
        <v/>
      </c>
      <c r="N291" s="39">
        <f>IF(A291="","",IF(COUNTIFS('Movimentações'!$C$6:$C$1505,A291,'Movimentações'!$B$6:$B$1505,"Venda")&gt;0,"Vendido",IF(COUNTIFS('Movimentações'!$C$6:$C$1505,A291,'Movimentações'!$B$6:$B$1505,"Morte")&gt;0,"Morto","Ativo")))</f>
        <v/>
      </c>
      <c r="O291" s="40">
        <f>IF(A291="","",IF(COUNTIF('Pesagens'!$B$6:$B$2005,A291)=0,"",SUMPRODUCT(MAX(('Pesagens'!$B$6:$B$2005=A291)*'Pesagens'!$A$6:$A$2005))))</f>
        <v/>
      </c>
      <c r="P291" s="41">
        <f>IF(A291="","",IF(O291="",IF(J291="","",J291),IFERROR(AVERAGEIFS('Pesagens'!$C$6:$C$2005,'Pesagens'!$B$6:$B$2005,A291,'Pesagens'!$A$6:$A$2005,O291),"")))</f>
        <v/>
      </c>
      <c r="Q291" s="42">
        <f>IF(OR(A291="",O291="",I291="",J291=""),"",IFERROR((P291-J291)/(O291-I291),""))</f>
        <v/>
      </c>
    </row>
    <row r="292">
      <c r="A292" s="36" t="n"/>
      <c r="B292" s="32" t="n"/>
      <c r="C292" s="37" t="n"/>
      <c r="D292" s="31" t="n"/>
      <c r="E292" s="32" t="n"/>
      <c r="F292" s="32" t="n"/>
      <c r="G292" s="32" t="n"/>
      <c r="H292" s="36" t="n"/>
      <c r="I292" s="31" t="n"/>
      <c r="J292" s="38" t="n"/>
      <c r="K292" s="32" t="n"/>
      <c r="L292" s="34">
        <f>IF(OR(A292="",D292=""),"",IF(D292&gt;Config!$B$5,0,DATEDIF(D292,Config!$B$5,"m")))</f>
        <v/>
      </c>
      <c r="M292" s="39">
        <f>IF(A292="","",IF(K292&lt;&gt;"",K292,IF(OR(C292="",D292=""),"Sem dados",IFERROR(IF(C292="M",INDEX(Config!$B$11:$B$14,MATCH(L292,Config!$A$11:$A$14,1)),IF(C292="F",INDEX(Config!$C$11:$C$14,MATCH(L292,Config!$A$11:$A$14,1)),"Sem dados")),"Verificar"))))</f>
        <v/>
      </c>
      <c r="N292" s="39">
        <f>IF(A292="","",IF(COUNTIFS('Movimentações'!$C$6:$C$1505,A292,'Movimentações'!$B$6:$B$1505,"Venda")&gt;0,"Vendido",IF(COUNTIFS('Movimentações'!$C$6:$C$1505,A292,'Movimentações'!$B$6:$B$1505,"Morte")&gt;0,"Morto","Ativo")))</f>
        <v/>
      </c>
      <c r="O292" s="40">
        <f>IF(A292="","",IF(COUNTIF('Pesagens'!$B$6:$B$2005,A292)=0,"",SUMPRODUCT(MAX(('Pesagens'!$B$6:$B$2005=A292)*'Pesagens'!$A$6:$A$2005))))</f>
        <v/>
      </c>
      <c r="P292" s="41">
        <f>IF(A292="","",IF(O292="",IF(J292="","",J292),IFERROR(AVERAGEIFS('Pesagens'!$C$6:$C$2005,'Pesagens'!$B$6:$B$2005,A292,'Pesagens'!$A$6:$A$2005,O292),"")))</f>
        <v/>
      </c>
      <c r="Q292" s="42">
        <f>IF(OR(A292="",O292="",I292="",J292=""),"",IFERROR((P292-J292)/(O292-I292),""))</f>
        <v/>
      </c>
    </row>
    <row r="293">
      <c r="A293" s="36" t="n"/>
      <c r="B293" s="32" t="n"/>
      <c r="C293" s="37" t="n"/>
      <c r="D293" s="31" t="n"/>
      <c r="E293" s="32" t="n"/>
      <c r="F293" s="32" t="n"/>
      <c r="G293" s="32" t="n"/>
      <c r="H293" s="36" t="n"/>
      <c r="I293" s="31" t="n"/>
      <c r="J293" s="38" t="n"/>
      <c r="K293" s="32" t="n"/>
      <c r="L293" s="34">
        <f>IF(OR(A293="",D293=""),"",IF(D293&gt;Config!$B$5,0,DATEDIF(D293,Config!$B$5,"m")))</f>
        <v/>
      </c>
      <c r="M293" s="39">
        <f>IF(A293="","",IF(K293&lt;&gt;"",K293,IF(OR(C293="",D293=""),"Sem dados",IFERROR(IF(C293="M",INDEX(Config!$B$11:$B$14,MATCH(L293,Config!$A$11:$A$14,1)),IF(C293="F",INDEX(Config!$C$11:$C$14,MATCH(L293,Config!$A$11:$A$14,1)),"Sem dados")),"Verificar"))))</f>
        <v/>
      </c>
      <c r="N293" s="39">
        <f>IF(A293="","",IF(COUNTIFS('Movimentações'!$C$6:$C$1505,A293,'Movimentações'!$B$6:$B$1505,"Venda")&gt;0,"Vendido",IF(COUNTIFS('Movimentações'!$C$6:$C$1505,A293,'Movimentações'!$B$6:$B$1505,"Morte")&gt;0,"Morto","Ativo")))</f>
        <v/>
      </c>
      <c r="O293" s="40">
        <f>IF(A293="","",IF(COUNTIF('Pesagens'!$B$6:$B$2005,A293)=0,"",SUMPRODUCT(MAX(('Pesagens'!$B$6:$B$2005=A293)*'Pesagens'!$A$6:$A$2005))))</f>
        <v/>
      </c>
      <c r="P293" s="41">
        <f>IF(A293="","",IF(O293="",IF(J293="","",J293),IFERROR(AVERAGEIFS('Pesagens'!$C$6:$C$2005,'Pesagens'!$B$6:$B$2005,A293,'Pesagens'!$A$6:$A$2005,O293),"")))</f>
        <v/>
      </c>
      <c r="Q293" s="42">
        <f>IF(OR(A293="",O293="",I293="",J293=""),"",IFERROR((P293-J293)/(O293-I293),""))</f>
        <v/>
      </c>
    </row>
    <row r="294">
      <c r="A294" s="36" t="n"/>
      <c r="B294" s="32" t="n"/>
      <c r="C294" s="37" t="n"/>
      <c r="D294" s="31" t="n"/>
      <c r="E294" s="32" t="n"/>
      <c r="F294" s="32" t="n"/>
      <c r="G294" s="32" t="n"/>
      <c r="H294" s="36" t="n"/>
      <c r="I294" s="31" t="n"/>
      <c r="J294" s="38" t="n"/>
      <c r="K294" s="32" t="n"/>
      <c r="L294" s="34">
        <f>IF(OR(A294="",D294=""),"",IF(D294&gt;Config!$B$5,0,DATEDIF(D294,Config!$B$5,"m")))</f>
        <v/>
      </c>
      <c r="M294" s="39">
        <f>IF(A294="","",IF(K294&lt;&gt;"",K294,IF(OR(C294="",D294=""),"Sem dados",IFERROR(IF(C294="M",INDEX(Config!$B$11:$B$14,MATCH(L294,Config!$A$11:$A$14,1)),IF(C294="F",INDEX(Config!$C$11:$C$14,MATCH(L294,Config!$A$11:$A$14,1)),"Sem dados")),"Verificar"))))</f>
        <v/>
      </c>
      <c r="N294" s="39">
        <f>IF(A294="","",IF(COUNTIFS('Movimentações'!$C$6:$C$1505,A294,'Movimentações'!$B$6:$B$1505,"Venda")&gt;0,"Vendido",IF(COUNTIFS('Movimentações'!$C$6:$C$1505,A294,'Movimentações'!$B$6:$B$1505,"Morte")&gt;0,"Morto","Ativo")))</f>
        <v/>
      </c>
      <c r="O294" s="40">
        <f>IF(A294="","",IF(COUNTIF('Pesagens'!$B$6:$B$2005,A294)=0,"",SUMPRODUCT(MAX(('Pesagens'!$B$6:$B$2005=A294)*'Pesagens'!$A$6:$A$2005))))</f>
        <v/>
      </c>
      <c r="P294" s="41">
        <f>IF(A294="","",IF(O294="",IF(J294="","",J294),IFERROR(AVERAGEIFS('Pesagens'!$C$6:$C$2005,'Pesagens'!$B$6:$B$2005,A294,'Pesagens'!$A$6:$A$2005,O294),"")))</f>
        <v/>
      </c>
      <c r="Q294" s="42">
        <f>IF(OR(A294="",O294="",I294="",J294=""),"",IFERROR((P294-J294)/(O294-I294),""))</f>
        <v/>
      </c>
    </row>
    <row r="295">
      <c r="A295" s="36" t="n"/>
      <c r="B295" s="32" t="n"/>
      <c r="C295" s="37" t="n"/>
      <c r="D295" s="31" t="n"/>
      <c r="E295" s="32" t="n"/>
      <c r="F295" s="32" t="n"/>
      <c r="G295" s="32" t="n"/>
      <c r="H295" s="36" t="n"/>
      <c r="I295" s="31" t="n"/>
      <c r="J295" s="38" t="n"/>
      <c r="K295" s="32" t="n"/>
      <c r="L295" s="34">
        <f>IF(OR(A295="",D295=""),"",IF(D295&gt;Config!$B$5,0,DATEDIF(D295,Config!$B$5,"m")))</f>
        <v/>
      </c>
      <c r="M295" s="39">
        <f>IF(A295="","",IF(K295&lt;&gt;"",K295,IF(OR(C295="",D295=""),"Sem dados",IFERROR(IF(C295="M",INDEX(Config!$B$11:$B$14,MATCH(L295,Config!$A$11:$A$14,1)),IF(C295="F",INDEX(Config!$C$11:$C$14,MATCH(L295,Config!$A$11:$A$14,1)),"Sem dados")),"Verificar"))))</f>
        <v/>
      </c>
      <c r="N295" s="39">
        <f>IF(A295="","",IF(COUNTIFS('Movimentações'!$C$6:$C$1505,A295,'Movimentações'!$B$6:$B$1505,"Venda")&gt;0,"Vendido",IF(COUNTIFS('Movimentações'!$C$6:$C$1505,A295,'Movimentações'!$B$6:$B$1505,"Morte")&gt;0,"Morto","Ativo")))</f>
        <v/>
      </c>
      <c r="O295" s="40">
        <f>IF(A295="","",IF(COUNTIF('Pesagens'!$B$6:$B$2005,A295)=0,"",SUMPRODUCT(MAX(('Pesagens'!$B$6:$B$2005=A295)*'Pesagens'!$A$6:$A$2005))))</f>
        <v/>
      </c>
      <c r="P295" s="41">
        <f>IF(A295="","",IF(O295="",IF(J295="","",J295),IFERROR(AVERAGEIFS('Pesagens'!$C$6:$C$2005,'Pesagens'!$B$6:$B$2005,A295,'Pesagens'!$A$6:$A$2005,O295),"")))</f>
        <v/>
      </c>
      <c r="Q295" s="42">
        <f>IF(OR(A295="",O295="",I295="",J295=""),"",IFERROR((P295-J295)/(O295-I295),""))</f>
        <v/>
      </c>
    </row>
    <row r="296">
      <c r="A296" s="36" t="n"/>
      <c r="B296" s="32" t="n"/>
      <c r="C296" s="37" t="n"/>
      <c r="D296" s="31" t="n"/>
      <c r="E296" s="32" t="n"/>
      <c r="F296" s="32" t="n"/>
      <c r="G296" s="32" t="n"/>
      <c r="H296" s="36" t="n"/>
      <c r="I296" s="31" t="n"/>
      <c r="J296" s="38" t="n"/>
      <c r="K296" s="32" t="n"/>
      <c r="L296" s="34">
        <f>IF(OR(A296="",D296=""),"",IF(D296&gt;Config!$B$5,0,DATEDIF(D296,Config!$B$5,"m")))</f>
        <v/>
      </c>
      <c r="M296" s="39">
        <f>IF(A296="","",IF(K296&lt;&gt;"",K296,IF(OR(C296="",D296=""),"Sem dados",IFERROR(IF(C296="M",INDEX(Config!$B$11:$B$14,MATCH(L296,Config!$A$11:$A$14,1)),IF(C296="F",INDEX(Config!$C$11:$C$14,MATCH(L296,Config!$A$11:$A$14,1)),"Sem dados")),"Verificar"))))</f>
        <v/>
      </c>
      <c r="N296" s="39">
        <f>IF(A296="","",IF(COUNTIFS('Movimentações'!$C$6:$C$1505,A296,'Movimentações'!$B$6:$B$1505,"Venda")&gt;0,"Vendido",IF(COUNTIFS('Movimentações'!$C$6:$C$1505,A296,'Movimentações'!$B$6:$B$1505,"Morte")&gt;0,"Morto","Ativo")))</f>
        <v/>
      </c>
      <c r="O296" s="40">
        <f>IF(A296="","",IF(COUNTIF('Pesagens'!$B$6:$B$2005,A296)=0,"",SUMPRODUCT(MAX(('Pesagens'!$B$6:$B$2005=A296)*'Pesagens'!$A$6:$A$2005))))</f>
        <v/>
      </c>
      <c r="P296" s="41">
        <f>IF(A296="","",IF(O296="",IF(J296="","",J296),IFERROR(AVERAGEIFS('Pesagens'!$C$6:$C$2005,'Pesagens'!$B$6:$B$2005,A296,'Pesagens'!$A$6:$A$2005,O296),"")))</f>
        <v/>
      </c>
      <c r="Q296" s="42">
        <f>IF(OR(A296="",O296="",I296="",J296=""),"",IFERROR((P296-J296)/(O296-I296),""))</f>
        <v/>
      </c>
    </row>
    <row r="297">
      <c r="A297" s="36" t="n"/>
      <c r="B297" s="32" t="n"/>
      <c r="C297" s="37" t="n"/>
      <c r="D297" s="31" t="n"/>
      <c r="E297" s="32" t="n"/>
      <c r="F297" s="32" t="n"/>
      <c r="G297" s="32" t="n"/>
      <c r="H297" s="36" t="n"/>
      <c r="I297" s="31" t="n"/>
      <c r="J297" s="38" t="n"/>
      <c r="K297" s="32" t="n"/>
      <c r="L297" s="34">
        <f>IF(OR(A297="",D297=""),"",IF(D297&gt;Config!$B$5,0,DATEDIF(D297,Config!$B$5,"m")))</f>
        <v/>
      </c>
      <c r="M297" s="39">
        <f>IF(A297="","",IF(K297&lt;&gt;"",K297,IF(OR(C297="",D297=""),"Sem dados",IFERROR(IF(C297="M",INDEX(Config!$B$11:$B$14,MATCH(L297,Config!$A$11:$A$14,1)),IF(C297="F",INDEX(Config!$C$11:$C$14,MATCH(L297,Config!$A$11:$A$14,1)),"Sem dados")),"Verificar"))))</f>
        <v/>
      </c>
      <c r="N297" s="39">
        <f>IF(A297="","",IF(COUNTIFS('Movimentações'!$C$6:$C$1505,A297,'Movimentações'!$B$6:$B$1505,"Venda")&gt;0,"Vendido",IF(COUNTIFS('Movimentações'!$C$6:$C$1505,A297,'Movimentações'!$B$6:$B$1505,"Morte")&gt;0,"Morto","Ativo")))</f>
        <v/>
      </c>
      <c r="O297" s="40">
        <f>IF(A297="","",IF(COUNTIF('Pesagens'!$B$6:$B$2005,A297)=0,"",SUMPRODUCT(MAX(('Pesagens'!$B$6:$B$2005=A297)*'Pesagens'!$A$6:$A$2005))))</f>
        <v/>
      </c>
      <c r="P297" s="41">
        <f>IF(A297="","",IF(O297="",IF(J297="","",J297),IFERROR(AVERAGEIFS('Pesagens'!$C$6:$C$2005,'Pesagens'!$B$6:$B$2005,A297,'Pesagens'!$A$6:$A$2005,O297),"")))</f>
        <v/>
      </c>
      <c r="Q297" s="42">
        <f>IF(OR(A297="",O297="",I297="",J297=""),"",IFERROR((P297-J297)/(O297-I297),""))</f>
        <v/>
      </c>
    </row>
    <row r="298">
      <c r="A298" s="36" t="n"/>
      <c r="B298" s="32" t="n"/>
      <c r="C298" s="37" t="n"/>
      <c r="D298" s="31" t="n"/>
      <c r="E298" s="32" t="n"/>
      <c r="F298" s="32" t="n"/>
      <c r="G298" s="32" t="n"/>
      <c r="H298" s="36" t="n"/>
      <c r="I298" s="31" t="n"/>
      <c r="J298" s="38" t="n"/>
      <c r="K298" s="32" t="n"/>
      <c r="L298" s="34">
        <f>IF(OR(A298="",D298=""),"",IF(D298&gt;Config!$B$5,0,DATEDIF(D298,Config!$B$5,"m")))</f>
        <v/>
      </c>
      <c r="M298" s="39">
        <f>IF(A298="","",IF(K298&lt;&gt;"",K298,IF(OR(C298="",D298=""),"Sem dados",IFERROR(IF(C298="M",INDEX(Config!$B$11:$B$14,MATCH(L298,Config!$A$11:$A$14,1)),IF(C298="F",INDEX(Config!$C$11:$C$14,MATCH(L298,Config!$A$11:$A$14,1)),"Sem dados")),"Verificar"))))</f>
        <v/>
      </c>
      <c r="N298" s="39">
        <f>IF(A298="","",IF(COUNTIFS('Movimentações'!$C$6:$C$1505,A298,'Movimentações'!$B$6:$B$1505,"Venda")&gt;0,"Vendido",IF(COUNTIFS('Movimentações'!$C$6:$C$1505,A298,'Movimentações'!$B$6:$B$1505,"Morte")&gt;0,"Morto","Ativo")))</f>
        <v/>
      </c>
      <c r="O298" s="40">
        <f>IF(A298="","",IF(COUNTIF('Pesagens'!$B$6:$B$2005,A298)=0,"",SUMPRODUCT(MAX(('Pesagens'!$B$6:$B$2005=A298)*'Pesagens'!$A$6:$A$2005))))</f>
        <v/>
      </c>
      <c r="P298" s="41">
        <f>IF(A298="","",IF(O298="",IF(J298="","",J298),IFERROR(AVERAGEIFS('Pesagens'!$C$6:$C$2005,'Pesagens'!$B$6:$B$2005,A298,'Pesagens'!$A$6:$A$2005,O298),"")))</f>
        <v/>
      </c>
      <c r="Q298" s="42">
        <f>IF(OR(A298="",O298="",I298="",J298=""),"",IFERROR((P298-J298)/(O298-I298),""))</f>
        <v/>
      </c>
    </row>
    <row r="299">
      <c r="A299" s="36" t="n"/>
      <c r="B299" s="32" t="n"/>
      <c r="C299" s="37" t="n"/>
      <c r="D299" s="31" t="n"/>
      <c r="E299" s="32" t="n"/>
      <c r="F299" s="32" t="n"/>
      <c r="G299" s="32" t="n"/>
      <c r="H299" s="36" t="n"/>
      <c r="I299" s="31" t="n"/>
      <c r="J299" s="38" t="n"/>
      <c r="K299" s="32" t="n"/>
      <c r="L299" s="34">
        <f>IF(OR(A299="",D299=""),"",IF(D299&gt;Config!$B$5,0,DATEDIF(D299,Config!$B$5,"m")))</f>
        <v/>
      </c>
      <c r="M299" s="39">
        <f>IF(A299="","",IF(K299&lt;&gt;"",K299,IF(OR(C299="",D299=""),"Sem dados",IFERROR(IF(C299="M",INDEX(Config!$B$11:$B$14,MATCH(L299,Config!$A$11:$A$14,1)),IF(C299="F",INDEX(Config!$C$11:$C$14,MATCH(L299,Config!$A$11:$A$14,1)),"Sem dados")),"Verificar"))))</f>
        <v/>
      </c>
      <c r="N299" s="39">
        <f>IF(A299="","",IF(COUNTIFS('Movimentações'!$C$6:$C$1505,A299,'Movimentações'!$B$6:$B$1505,"Venda")&gt;0,"Vendido",IF(COUNTIFS('Movimentações'!$C$6:$C$1505,A299,'Movimentações'!$B$6:$B$1505,"Morte")&gt;0,"Morto","Ativo")))</f>
        <v/>
      </c>
      <c r="O299" s="40">
        <f>IF(A299="","",IF(COUNTIF('Pesagens'!$B$6:$B$2005,A299)=0,"",SUMPRODUCT(MAX(('Pesagens'!$B$6:$B$2005=A299)*'Pesagens'!$A$6:$A$2005))))</f>
        <v/>
      </c>
      <c r="P299" s="41">
        <f>IF(A299="","",IF(O299="",IF(J299="","",J299),IFERROR(AVERAGEIFS('Pesagens'!$C$6:$C$2005,'Pesagens'!$B$6:$B$2005,A299,'Pesagens'!$A$6:$A$2005,O299),"")))</f>
        <v/>
      </c>
      <c r="Q299" s="42">
        <f>IF(OR(A299="",O299="",I299="",J299=""),"",IFERROR((P299-J299)/(O299-I299),""))</f>
        <v/>
      </c>
    </row>
    <row r="300">
      <c r="A300" s="36" t="n"/>
      <c r="B300" s="32" t="n"/>
      <c r="C300" s="37" t="n"/>
      <c r="D300" s="31" t="n"/>
      <c r="E300" s="32" t="n"/>
      <c r="F300" s="32" t="n"/>
      <c r="G300" s="32" t="n"/>
      <c r="H300" s="36" t="n"/>
      <c r="I300" s="31" t="n"/>
      <c r="J300" s="38" t="n"/>
      <c r="K300" s="32" t="n"/>
      <c r="L300" s="34">
        <f>IF(OR(A300="",D300=""),"",IF(D300&gt;Config!$B$5,0,DATEDIF(D300,Config!$B$5,"m")))</f>
        <v/>
      </c>
      <c r="M300" s="39">
        <f>IF(A300="","",IF(K300&lt;&gt;"",K300,IF(OR(C300="",D300=""),"Sem dados",IFERROR(IF(C300="M",INDEX(Config!$B$11:$B$14,MATCH(L300,Config!$A$11:$A$14,1)),IF(C300="F",INDEX(Config!$C$11:$C$14,MATCH(L300,Config!$A$11:$A$14,1)),"Sem dados")),"Verificar"))))</f>
        <v/>
      </c>
      <c r="N300" s="39">
        <f>IF(A300="","",IF(COUNTIFS('Movimentações'!$C$6:$C$1505,A300,'Movimentações'!$B$6:$B$1505,"Venda")&gt;0,"Vendido",IF(COUNTIFS('Movimentações'!$C$6:$C$1505,A300,'Movimentações'!$B$6:$B$1505,"Morte")&gt;0,"Morto","Ativo")))</f>
        <v/>
      </c>
      <c r="O300" s="40">
        <f>IF(A300="","",IF(COUNTIF('Pesagens'!$B$6:$B$2005,A300)=0,"",SUMPRODUCT(MAX(('Pesagens'!$B$6:$B$2005=A300)*'Pesagens'!$A$6:$A$2005))))</f>
        <v/>
      </c>
      <c r="P300" s="41">
        <f>IF(A300="","",IF(O300="",IF(J300="","",J300),IFERROR(AVERAGEIFS('Pesagens'!$C$6:$C$2005,'Pesagens'!$B$6:$B$2005,A300,'Pesagens'!$A$6:$A$2005,O300),"")))</f>
        <v/>
      </c>
      <c r="Q300" s="42">
        <f>IF(OR(A300="",O300="",I300="",J300=""),"",IFERROR((P300-J300)/(O300-I300),""))</f>
        <v/>
      </c>
    </row>
    <row r="301">
      <c r="A301" s="36" t="n"/>
      <c r="B301" s="32" t="n"/>
      <c r="C301" s="37" t="n"/>
      <c r="D301" s="31" t="n"/>
      <c r="E301" s="32" t="n"/>
      <c r="F301" s="32" t="n"/>
      <c r="G301" s="32" t="n"/>
      <c r="H301" s="36" t="n"/>
      <c r="I301" s="31" t="n"/>
      <c r="J301" s="38" t="n"/>
      <c r="K301" s="32" t="n"/>
      <c r="L301" s="34">
        <f>IF(OR(A301="",D301=""),"",IF(D301&gt;Config!$B$5,0,DATEDIF(D301,Config!$B$5,"m")))</f>
        <v/>
      </c>
      <c r="M301" s="39">
        <f>IF(A301="","",IF(K301&lt;&gt;"",K301,IF(OR(C301="",D301=""),"Sem dados",IFERROR(IF(C301="M",INDEX(Config!$B$11:$B$14,MATCH(L301,Config!$A$11:$A$14,1)),IF(C301="F",INDEX(Config!$C$11:$C$14,MATCH(L301,Config!$A$11:$A$14,1)),"Sem dados")),"Verificar"))))</f>
        <v/>
      </c>
      <c r="N301" s="39">
        <f>IF(A301="","",IF(COUNTIFS('Movimentações'!$C$6:$C$1505,A301,'Movimentações'!$B$6:$B$1505,"Venda")&gt;0,"Vendido",IF(COUNTIFS('Movimentações'!$C$6:$C$1505,A301,'Movimentações'!$B$6:$B$1505,"Morte")&gt;0,"Morto","Ativo")))</f>
        <v/>
      </c>
      <c r="O301" s="40">
        <f>IF(A301="","",IF(COUNTIF('Pesagens'!$B$6:$B$2005,A301)=0,"",SUMPRODUCT(MAX(('Pesagens'!$B$6:$B$2005=A301)*'Pesagens'!$A$6:$A$2005))))</f>
        <v/>
      </c>
      <c r="P301" s="41">
        <f>IF(A301="","",IF(O301="",IF(J301="","",J301),IFERROR(AVERAGEIFS('Pesagens'!$C$6:$C$2005,'Pesagens'!$B$6:$B$2005,A301,'Pesagens'!$A$6:$A$2005,O301),"")))</f>
        <v/>
      </c>
      <c r="Q301" s="42">
        <f>IF(OR(A301="",O301="",I301="",J301=""),"",IFERROR((P301-J301)/(O301-I301),""))</f>
        <v/>
      </c>
    </row>
    <row r="302">
      <c r="A302" s="36" t="n"/>
      <c r="B302" s="32" t="n"/>
      <c r="C302" s="37" t="n"/>
      <c r="D302" s="31" t="n"/>
      <c r="E302" s="32" t="n"/>
      <c r="F302" s="32" t="n"/>
      <c r="G302" s="32" t="n"/>
      <c r="H302" s="36" t="n"/>
      <c r="I302" s="31" t="n"/>
      <c r="J302" s="38" t="n"/>
      <c r="K302" s="32" t="n"/>
      <c r="L302" s="34">
        <f>IF(OR(A302="",D302=""),"",IF(D302&gt;Config!$B$5,0,DATEDIF(D302,Config!$B$5,"m")))</f>
        <v/>
      </c>
      <c r="M302" s="39">
        <f>IF(A302="","",IF(K302&lt;&gt;"",K302,IF(OR(C302="",D302=""),"Sem dados",IFERROR(IF(C302="M",INDEX(Config!$B$11:$B$14,MATCH(L302,Config!$A$11:$A$14,1)),IF(C302="F",INDEX(Config!$C$11:$C$14,MATCH(L302,Config!$A$11:$A$14,1)),"Sem dados")),"Verificar"))))</f>
        <v/>
      </c>
      <c r="N302" s="39">
        <f>IF(A302="","",IF(COUNTIFS('Movimentações'!$C$6:$C$1505,A302,'Movimentações'!$B$6:$B$1505,"Venda")&gt;0,"Vendido",IF(COUNTIFS('Movimentações'!$C$6:$C$1505,A302,'Movimentações'!$B$6:$B$1505,"Morte")&gt;0,"Morto","Ativo")))</f>
        <v/>
      </c>
      <c r="O302" s="40">
        <f>IF(A302="","",IF(COUNTIF('Pesagens'!$B$6:$B$2005,A302)=0,"",SUMPRODUCT(MAX(('Pesagens'!$B$6:$B$2005=A302)*'Pesagens'!$A$6:$A$2005))))</f>
        <v/>
      </c>
      <c r="P302" s="41">
        <f>IF(A302="","",IF(O302="",IF(J302="","",J302),IFERROR(AVERAGEIFS('Pesagens'!$C$6:$C$2005,'Pesagens'!$B$6:$B$2005,A302,'Pesagens'!$A$6:$A$2005,O302),"")))</f>
        <v/>
      </c>
      <c r="Q302" s="42">
        <f>IF(OR(A302="",O302="",I302="",J302=""),"",IFERROR((P302-J302)/(O302-I302),""))</f>
        <v/>
      </c>
    </row>
    <row r="303">
      <c r="A303" s="36" t="n"/>
      <c r="B303" s="32" t="n"/>
      <c r="C303" s="37" t="n"/>
      <c r="D303" s="31" t="n"/>
      <c r="E303" s="32" t="n"/>
      <c r="F303" s="32" t="n"/>
      <c r="G303" s="32" t="n"/>
      <c r="H303" s="36" t="n"/>
      <c r="I303" s="31" t="n"/>
      <c r="J303" s="38" t="n"/>
      <c r="K303" s="32" t="n"/>
      <c r="L303" s="34">
        <f>IF(OR(A303="",D303=""),"",IF(D303&gt;Config!$B$5,0,DATEDIF(D303,Config!$B$5,"m")))</f>
        <v/>
      </c>
      <c r="M303" s="39">
        <f>IF(A303="","",IF(K303&lt;&gt;"",K303,IF(OR(C303="",D303=""),"Sem dados",IFERROR(IF(C303="M",INDEX(Config!$B$11:$B$14,MATCH(L303,Config!$A$11:$A$14,1)),IF(C303="F",INDEX(Config!$C$11:$C$14,MATCH(L303,Config!$A$11:$A$14,1)),"Sem dados")),"Verificar"))))</f>
        <v/>
      </c>
      <c r="N303" s="39">
        <f>IF(A303="","",IF(COUNTIFS('Movimentações'!$C$6:$C$1505,A303,'Movimentações'!$B$6:$B$1505,"Venda")&gt;0,"Vendido",IF(COUNTIFS('Movimentações'!$C$6:$C$1505,A303,'Movimentações'!$B$6:$B$1505,"Morte")&gt;0,"Morto","Ativo")))</f>
        <v/>
      </c>
      <c r="O303" s="40">
        <f>IF(A303="","",IF(COUNTIF('Pesagens'!$B$6:$B$2005,A303)=0,"",SUMPRODUCT(MAX(('Pesagens'!$B$6:$B$2005=A303)*'Pesagens'!$A$6:$A$2005))))</f>
        <v/>
      </c>
      <c r="P303" s="41">
        <f>IF(A303="","",IF(O303="",IF(J303="","",J303),IFERROR(AVERAGEIFS('Pesagens'!$C$6:$C$2005,'Pesagens'!$B$6:$B$2005,A303,'Pesagens'!$A$6:$A$2005,O303),"")))</f>
        <v/>
      </c>
      <c r="Q303" s="42">
        <f>IF(OR(A303="",O303="",I303="",J303=""),"",IFERROR((P303-J303)/(O303-I303),""))</f>
        <v/>
      </c>
    </row>
    <row r="304">
      <c r="A304" s="36" t="n"/>
      <c r="B304" s="32" t="n"/>
      <c r="C304" s="37" t="n"/>
      <c r="D304" s="31" t="n"/>
      <c r="E304" s="32" t="n"/>
      <c r="F304" s="32" t="n"/>
      <c r="G304" s="32" t="n"/>
      <c r="H304" s="36" t="n"/>
      <c r="I304" s="31" t="n"/>
      <c r="J304" s="38" t="n"/>
      <c r="K304" s="32" t="n"/>
      <c r="L304" s="34">
        <f>IF(OR(A304="",D304=""),"",IF(D304&gt;Config!$B$5,0,DATEDIF(D304,Config!$B$5,"m")))</f>
        <v/>
      </c>
      <c r="M304" s="39">
        <f>IF(A304="","",IF(K304&lt;&gt;"",K304,IF(OR(C304="",D304=""),"Sem dados",IFERROR(IF(C304="M",INDEX(Config!$B$11:$B$14,MATCH(L304,Config!$A$11:$A$14,1)),IF(C304="F",INDEX(Config!$C$11:$C$14,MATCH(L304,Config!$A$11:$A$14,1)),"Sem dados")),"Verificar"))))</f>
        <v/>
      </c>
      <c r="N304" s="39">
        <f>IF(A304="","",IF(COUNTIFS('Movimentações'!$C$6:$C$1505,A304,'Movimentações'!$B$6:$B$1505,"Venda")&gt;0,"Vendido",IF(COUNTIFS('Movimentações'!$C$6:$C$1505,A304,'Movimentações'!$B$6:$B$1505,"Morte")&gt;0,"Morto","Ativo")))</f>
        <v/>
      </c>
      <c r="O304" s="40">
        <f>IF(A304="","",IF(COUNTIF('Pesagens'!$B$6:$B$2005,A304)=0,"",SUMPRODUCT(MAX(('Pesagens'!$B$6:$B$2005=A304)*'Pesagens'!$A$6:$A$2005))))</f>
        <v/>
      </c>
      <c r="P304" s="41">
        <f>IF(A304="","",IF(O304="",IF(J304="","",J304),IFERROR(AVERAGEIFS('Pesagens'!$C$6:$C$2005,'Pesagens'!$B$6:$B$2005,A304,'Pesagens'!$A$6:$A$2005,O304),"")))</f>
        <v/>
      </c>
      <c r="Q304" s="42">
        <f>IF(OR(A304="",O304="",I304="",J304=""),"",IFERROR((P304-J304)/(O304-I304),""))</f>
        <v/>
      </c>
    </row>
    <row r="305">
      <c r="A305" s="36" t="n"/>
      <c r="B305" s="32" t="n"/>
      <c r="C305" s="37" t="n"/>
      <c r="D305" s="31" t="n"/>
      <c r="E305" s="32" t="n"/>
      <c r="F305" s="32" t="n"/>
      <c r="G305" s="32" t="n"/>
      <c r="H305" s="36" t="n"/>
      <c r="I305" s="31" t="n"/>
      <c r="J305" s="38" t="n"/>
      <c r="K305" s="32" t="n"/>
      <c r="L305" s="34">
        <f>IF(OR(A305="",D305=""),"",IF(D305&gt;Config!$B$5,0,DATEDIF(D305,Config!$B$5,"m")))</f>
        <v/>
      </c>
      <c r="M305" s="39">
        <f>IF(A305="","",IF(K305&lt;&gt;"",K305,IF(OR(C305="",D305=""),"Sem dados",IFERROR(IF(C305="M",INDEX(Config!$B$11:$B$14,MATCH(L305,Config!$A$11:$A$14,1)),IF(C305="F",INDEX(Config!$C$11:$C$14,MATCH(L305,Config!$A$11:$A$14,1)),"Sem dados")),"Verificar"))))</f>
        <v/>
      </c>
      <c r="N305" s="39">
        <f>IF(A305="","",IF(COUNTIFS('Movimentações'!$C$6:$C$1505,A305,'Movimentações'!$B$6:$B$1505,"Venda")&gt;0,"Vendido",IF(COUNTIFS('Movimentações'!$C$6:$C$1505,A305,'Movimentações'!$B$6:$B$1505,"Morte")&gt;0,"Morto","Ativo")))</f>
        <v/>
      </c>
      <c r="O305" s="40">
        <f>IF(A305="","",IF(COUNTIF('Pesagens'!$B$6:$B$2005,A305)=0,"",SUMPRODUCT(MAX(('Pesagens'!$B$6:$B$2005=A305)*'Pesagens'!$A$6:$A$2005))))</f>
        <v/>
      </c>
      <c r="P305" s="41">
        <f>IF(A305="","",IF(O305="",IF(J305="","",J305),IFERROR(AVERAGEIFS('Pesagens'!$C$6:$C$2005,'Pesagens'!$B$6:$B$2005,A305,'Pesagens'!$A$6:$A$2005,O305),"")))</f>
        <v/>
      </c>
      <c r="Q305" s="42">
        <f>IF(OR(A305="",O305="",I305="",J305=""),"",IFERROR((P305-J305)/(O305-I305),""))</f>
        <v/>
      </c>
    </row>
    <row r="306">
      <c r="A306" s="36" t="n"/>
      <c r="B306" s="32" t="n"/>
      <c r="C306" s="37" t="n"/>
      <c r="D306" s="31" t="n"/>
      <c r="E306" s="32" t="n"/>
      <c r="F306" s="32" t="n"/>
      <c r="G306" s="32" t="n"/>
      <c r="H306" s="36" t="n"/>
      <c r="I306" s="31" t="n"/>
      <c r="J306" s="38" t="n"/>
      <c r="K306" s="32" t="n"/>
      <c r="L306" s="34">
        <f>IF(OR(A306="",D306=""),"",IF(D306&gt;Config!$B$5,0,DATEDIF(D306,Config!$B$5,"m")))</f>
        <v/>
      </c>
      <c r="M306" s="39">
        <f>IF(A306="","",IF(K306&lt;&gt;"",K306,IF(OR(C306="",D306=""),"Sem dados",IFERROR(IF(C306="M",INDEX(Config!$B$11:$B$14,MATCH(L306,Config!$A$11:$A$14,1)),IF(C306="F",INDEX(Config!$C$11:$C$14,MATCH(L306,Config!$A$11:$A$14,1)),"Sem dados")),"Verificar"))))</f>
        <v/>
      </c>
      <c r="N306" s="39">
        <f>IF(A306="","",IF(COUNTIFS('Movimentações'!$C$6:$C$1505,A306,'Movimentações'!$B$6:$B$1505,"Venda")&gt;0,"Vendido",IF(COUNTIFS('Movimentações'!$C$6:$C$1505,A306,'Movimentações'!$B$6:$B$1505,"Morte")&gt;0,"Morto","Ativo")))</f>
        <v/>
      </c>
      <c r="O306" s="40">
        <f>IF(A306="","",IF(COUNTIF('Pesagens'!$B$6:$B$2005,A306)=0,"",SUMPRODUCT(MAX(('Pesagens'!$B$6:$B$2005=A306)*'Pesagens'!$A$6:$A$2005))))</f>
        <v/>
      </c>
      <c r="P306" s="41">
        <f>IF(A306="","",IF(O306="",IF(J306="","",J306),IFERROR(AVERAGEIFS('Pesagens'!$C$6:$C$2005,'Pesagens'!$B$6:$B$2005,A306,'Pesagens'!$A$6:$A$2005,O306),"")))</f>
        <v/>
      </c>
      <c r="Q306" s="42">
        <f>IF(OR(A306="",O306="",I306="",J306=""),"",IFERROR((P306-J306)/(O306-I306),""))</f>
        <v/>
      </c>
    </row>
    <row r="307">
      <c r="A307" s="36" t="n"/>
      <c r="B307" s="32" t="n"/>
      <c r="C307" s="37" t="n"/>
      <c r="D307" s="31" t="n"/>
      <c r="E307" s="32" t="n"/>
      <c r="F307" s="32" t="n"/>
      <c r="G307" s="32" t="n"/>
      <c r="H307" s="36" t="n"/>
      <c r="I307" s="31" t="n"/>
      <c r="J307" s="38" t="n"/>
      <c r="K307" s="32" t="n"/>
      <c r="L307" s="34">
        <f>IF(OR(A307="",D307=""),"",IF(D307&gt;Config!$B$5,0,DATEDIF(D307,Config!$B$5,"m")))</f>
        <v/>
      </c>
      <c r="M307" s="39">
        <f>IF(A307="","",IF(K307&lt;&gt;"",K307,IF(OR(C307="",D307=""),"Sem dados",IFERROR(IF(C307="M",INDEX(Config!$B$11:$B$14,MATCH(L307,Config!$A$11:$A$14,1)),IF(C307="F",INDEX(Config!$C$11:$C$14,MATCH(L307,Config!$A$11:$A$14,1)),"Sem dados")),"Verificar"))))</f>
        <v/>
      </c>
      <c r="N307" s="39">
        <f>IF(A307="","",IF(COUNTIFS('Movimentações'!$C$6:$C$1505,A307,'Movimentações'!$B$6:$B$1505,"Venda")&gt;0,"Vendido",IF(COUNTIFS('Movimentações'!$C$6:$C$1505,A307,'Movimentações'!$B$6:$B$1505,"Morte")&gt;0,"Morto","Ativo")))</f>
        <v/>
      </c>
      <c r="O307" s="40">
        <f>IF(A307="","",IF(COUNTIF('Pesagens'!$B$6:$B$2005,A307)=0,"",SUMPRODUCT(MAX(('Pesagens'!$B$6:$B$2005=A307)*'Pesagens'!$A$6:$A$2005))))</f>
        <v/>
      </c>
      <c r="P307" s="41">
        <f>IF(A307="","",IF(O307="",IF(J307="","",J307),IFERROR(AVERAGEIFS('Pesagens'!$C$6:$C$2005,'Pesagens'!$B$6:$B$2005,A307,'Pesagens'!$A$6:$A$2005,O307),"")))</f>
        <v/>
      </c>
      <c r="Q307" s="42">
        <f>IF(OR(A307="",O307="",I307="",J307=""),"",IFERROR((P307-J307)/(O307-I307),""))</f>
        <v/>
      </c>
    </row>
    <row r="308">
      <c r="A308" s="36" t="n"/>
      <c r="B308" s="32" t="n"/>
      <c r="C308" s="37" t="n"/>
      <c r="D308" s="31" t="n"/>
      <c r="E308" s="32" t="n"/>
      <c r="F308" s="32" t="n"/>
      <c r="G308" s="32" t="n"/>
      <c r="H308" s="36" t="n"/>
      <c r="I308" s="31" t="n"/>
      <c r="J308" s="38" t="n"/>
      <c r="K308" s="32" t="n"/>
      <c r="L308" s="34">
        <f>IF(OR(A308="",D308=""),"",IF(D308&gt;Config!$B$5,0,DATEDIF(D308,Config!$B$5,"m")))</f>
        <v/>
      </c>
      <c r="M308" s="39">
        <f>IF(A308="","",IF(K308&lt;&gt;"",K308,IF(OR(C308="",D308=""),"Sem dados",IFERROR(IF(C308="M",INDEX(Config!$B$11:$B$14,MATCH(L308,Config!$A$11:$A$14,1)),IF(C308="F",INDEX(Config!$C$11:$C$14,MATCH(L308,Config!$A$11:$A$14,1)),"Sem dados")),"Verificar"))))</f>
        <v/>
      </c>
      <c r="N308" s="39">
        <f>IF(A308="","",IF(COUNTIFS('Movimentações'!$C$6:$C$1505,A308,'Movimentações'!$B$6:$B$1505,"Venda")&gt;0,"Vendido",IF(COUNTIFS('Movimentações'!$C$6:$C$1505,A308,'Movimentações'!$B$6:$B$1505,"Morte")&gt;0,"Morto","Ativo")))</f>
        <v/>
      </c>
      <c r="O308" s="40">
        <f>IF(A308="","",IF(COUNTIF('Pesagens'!$B$6:$B$2005,A308)=0,"",SUMPRODUCT(MAX(('Pesagens'!$B$6:$B$2005=A308)*'Pesagens'!$A$6:$A$2005))))</f>
        <v/>
      </c>
      <c r="P308" s="41">
        <f>IF(A308="","",IF(O308="",IF(J308="","",J308),IFERROR(AVERAGEIFS('Pesagens'!$C$6:$C$2005,'Pesagens'!$B$6:$B$2005,A308,'Pesagens'!$A$6:$A$2005,O308),"")))</f>
        <v/>
      </c>
      <c r="Q308" s="42">
        <f>IF(OR(A308="",O308="",I308="",J308=""),"",IFERROR((P308-J308)/(O308-I308),""))</f>
        <v/>
      </c>
    </row>
    <row r="309">
      <c r="A309" s="36" t="n"/>
      <c r="B309" s="32" t="n"/>
      <c r="C309" s="37" t="n"/>
      <c r="D309" s="31" t="n"/>
      <c r="E309" s="32" t="n"/>
      <c r="F309" s="32" t="n"/>
      <c r="G309" s="32" t="n"/>
      <c r="H309" s="36" t="n"/>
      <c r="I309" s="31" t="n"/>
      <c r="J309" s="38" t="n"/>
      <c r="K309" s="32" t="n"/>
      <c r="L309" s="34">
        <f>IF(OR(A309="",D309=""),"",IF(D309&gt;Config!$B$5,0,DATEDIF(D309,Config!$B$5,"m")))</f>
        <v/>
      </c>
      <c r="M309" s="39">
        <f>IF(A309="","",IF(K309&lt;&gt;"",K309,IF(OR(C309="",D309=""),"Sem dados",IFERROR(IF(C309="M",INDEX(Config!$B$11:$B$14,MATCH(L309,Config!$A$11:$A$14,1)),IF(C309="F",INDEX(Config!$C$11:$C$14,MATCH(L309,Config!$A$11:$A$14,1)),"Sem dados")),"Verificar"))))</f>
        <v/>
      </c>
      <c r="N309" s="39">
        <f>IF(A309="","",IF(COUNTIFS('Movimentações'!$C$6:$C$1505,A309,'Movimentações'!$B$6:$B$1505,"Venda")&gt;0,"Vendido",IF(COUNTIFS('Movimentações'!$C$6:$C$1505,A309,'Movimentações'!$B$6:$B$1505,"Morte")&gt;0,"Morto","Ativo")))</f>
        <v/>
      </c>
      <c r="O309" s="40">
        <f>IF(A309="","",IF(COUNTIF('Pesagens'!$B$6:$B$2005,A309)=0,"",SUMPRODUCT(MAX(('Pesagens'!$B$6:$B$2005=A309)*'Pesagens'!$A$6:$A$2005))))</f>
        <v/>
      </c>
      <c r="P309" s="41">
        <f>IF(A309="","",IF(O309="",IF(J309="","",J309),IFERROR(AVERAGEIFS('Pesagens'!$C$6:$C$2005,'Pesagens'!$B$6:$B$2005,A309,'Pesagens'!$A$6:$A$2005,O309),"")))</f>
        <v/>
      </c>
      <c r="Q309" s="42">
        <f>IF(OR(A309="",O309="",I309="",J309=""),"",IFERROR((P309-J309)/(O309-I309),""))</f>
        <v/>
      </c>
    </row>
    <row r="310">
      <c r="A310" s="36" t="n"/>
      <c r="B310" s="32" t="n"/>
      <c r="C310" s="37" t="n"/>
      <c r="D310" s="31" t="n"/>
      <c r="E310" s="32" t="n"/>
      <c r="F310" s="32" t="n"/>
      <c r="G310" s="32" t="n"/>
      <c r="H310" s="36" t="n"/>
      <c r="I310" s="31" t="n"/>
      <c r="J310" s="38" t="n"/>
      <c r="K310" s="32" t="n"/>
      <c r="L310" s="34">
        <f>IF(OR(A310="",D310=""),"",IF(D310&gt;Config!$B$5,0,DATEDIF(D310,Config!$B$5,"m")))</f>
        <v/>
      </c>
      <c r="M310" s="39">
        <f>IF(A310="","",IF(K310&lt;&gt;"",K310,IF(OR(C310="",D310=""),"Sem dados",IFERROR(IF(C310="M",INDEX(Config!$B$11:$B$14,MATCH(L310,Config!$A$11:$A$14,1)),IF(C310="F",INDEX(Config!$C$11:$C$14,MATCH(L310,Config!$A$11:$A$14,1)),"Sem dados")),"Verificar"))))</f>
        <v/>
      </c>
      <c r="N310" s="39">
        <f>IF(A310="","",IF(COUNTIFS('Movimentações'!$C$6:$C$1505,A310,'Movimentações'!$B$6:$B$1505,"Venda")&gt;0,"Vendido",IF(COUNTIFS('Movimentações'!$C$6:$C$1505,A310,'Movimentações'!$B$6:$B$1505,"Morte")&gt;0,"Morto","Ativo")))</f>
        <v/>
      </c>
      <c r="O310" s="40">
        <f>IF(A310="","",IF(COUNTIF('Pesagens'!$B$6:$B$2005,A310)=0,"",SUMPRODUCT(MAX(('Pesagens'!$B$6:$B$2005=A310)*'Pesagens'!$A$6:$A$2005))))</f>
        <v/>
      </c>
      <c r="P310" s="41">
        <f>IF(A310="","",IF(O310="",IF(J310="","",J310),IFERROR(AVERAGEIFS('Pesagens'!$C$6:$C$2005,'Pesagens'!$B$6:$B$2005,A310,'Pesagens'!$A$6:$A$2005,O310),"")))</f>
        <v/>
      </c>
      <c r="Q310" s="42">
        <f>IF(OR(A310="",O310="",I310="",J310=""),"",IFERROR((P310-J310)/(O310-I310),""))</f>
        <v/>
      </c>
    </row>
    <row r="311">
      <c r="A311" s="36" t="n"/>
      <c r="B311" s="32" t="n"/>
      <c r="C311" s="37" t="n"/>
      <c r="D311" s="31" t="n"/>
      <c r="E311" s="32" t="n"/>
      <c r="F311" s="32" t="n"/>
      <c r="G311" s="32" t="n"/>
      <c r="H311" s="36" t="n"/>
      <c r="I311" s="31" t="n"/>
      <c r="J311" s="38" t="n"/>
      <c r="K311" s="32" t="n"/>
      <c r="L311" s="34">
        <f>IF(OR(A311="",D311=""),"",IF(D311&gt;Config!$B$5,0,DATEDIF(D311,Config!$B$5,"m")))</f>
        <v/>
      </c>
      <c r="M311" s="39">
        <f>IF(A311="","",IF(K311&lt;&gt;"",K311,IF(OR(C311="",D311=""),"Sem dados",IFERROR(IF(C311="M",INDEX(Config!$B$11:$B$14,MATCH(L311,Config!$A$11:$A$14,1)),IF(C311="F",INDEX(Config!$C$11:$C$14,MATCH(L311,Config!$A$11:$A$14,1)),"Sem dados")),"Verificar"))))</f>
        <v/>
      </c>
      <c r="N311" s="39">
        <f>IF(A311="","",IF(COUNTIFS('Movimentações'!$C$6:$C$1505,A311,'Movimentações'!$B$6:$B$1505,"Venda")&gt;0,"Vendido",IF(COUNTIFS('Movimentações'!$C$6:$C$1505,A311,'Movimentações'!$B$6:$B$1505,"Morte")&gt;0,"Morto","Ativo")))</f>
        <v/>
      </c>
      <c r="O311" s="40">
        <f>IF(A311="","",IF(COUNTIF('Pesagens'!$B$6:$B$2005,A311)=0,"",SUMPRODUCT(MAX(('Pesagens'!$B$6:$B$2005=A311)*'Pesagens'!$A$6:$A$2005))))</f>
        <v/>
      </c>
      <c r="P311" s="41">
        <f>IF(A311="","",IF(O311="",IF(J311="","",J311),IFERROR(AVERAGEIFS('Pesagens'!$C$6:$C$2005,'Pesagens'!$B$6:$B$2005,A311,'Pesagens'!$A$6:$A$2005,O311),"")))</f>
        <v/>
      </c>
      <c r="Q311" s="42">
        <f>IF(OR(A311="",O311="",I311="",J311=""),"",IFERROR((P311-J311)/(O311-I311),""))</f>
        <v/>
      </c>
    </row>
    <row r="312">
      <c r="A312" s="36" t="n"/>
      <c r="B312" s="32" t="n"/>
      <c r="C312" s="37" t="n"/>
      <c r="D312" s="31" t="n"/>
      <c r="E312" s="32" t="n"/>
      <c r="F312" s="32" t="n"/>
      <c r="G312" s="32" t="n"/>
      <c r="H312" s="36" t="n"/>
      <c r="I312" s="31" t="n"/>
      <c r="J312" s="38" t="n"/>
      <c r="K312" s="32" t="n"/>
      <c r="L312" s="34">
        <f>IF(OR(A312="",D312=""),"",IF(D312&gt;Config!$B$5,0,DATEDIF(D312,Config!$B$5,"m")))</f>
        <v/>
      </c>
      <c r="M312" s="39">
        <f>IF(A312="","",IF(K312&lt;&gt;"",K312,IF(OR(C312="",D312=""),"Sem dados",IFERROR(IF(C312="M",INDEX(Config!$B$11:$B$14,MATCH(L312,Config!$A$11:$A$14,1)),IF(C312="F",INDEX(Config!$C$11:$C$14,MATCH(L312,Config!$A$11:$A$14,1)),"Sem dados")),"Verificar"))))</f>
        <v/>
      </c>
      <c r="N312" s="39">
        <f>IF(A312="","",IF(COUNTIFS('Movimentações'!$C$6:$C$1505,A312,'Movimentações'!$B$6:$B$1505,"Venda")&gt;0,"Vendido",IF(COUNTIFS('Movimentações'!$C$6:$C$1505,A312,'Movimentações'!$B$6:$B$1505,"Morte")&gt;0,"Morto","Ativo")))</f>
        <v/>
      </c>
      <c r="O312" s="40">
        <f>IF(A312="","",IF(COUNTIF('Pesagens'!$B$6:$B$2005,A312)=0,"",SUMPRODUCT(MAX(('Pesagens'!$B$6:$B$2005=A312)*'Pesagens'!$A$6:$A$2005))))</f>
        <v/>
      </c>
      <c r="P312" s="41">
        <f>IF(A312="","",IF(O312="",IF(J312="","",J312),IFERROR(AVERAGEIFS('Pesagens'!$C$6:$C$2005,'Pesagens'!$B$6:$B$2005,A312,'Pesagens'!$A$6:$A$2005,O312),"")))</f>
        <v/>
      </c>
      <c r="Q312" s="42">
        <f>IF(OR(A312="",O312="",I312="",J312=""),"",IFERROR((P312-J312)/(O312-I312),""))</f>
        <v/>
      </c>
    </row>
    <row r="313">
      <c r="A313" s="36" t="n"/>
      <c r="B313" s="32" t="n"/>
      <c r="C313" s="37" t="n"/>
      <c r="D313" s="31" t="n"/>
      <c r="E313" s="32" t="n"/>
      <c r="F313" s="32" t="n"/>
      <c r="G313" s="32" t="n"/>
      <c r="H313" s="36" t="n"/>
      <c r="I313" s="31" t="n"/>
      <c r="J313" s="38" t="n"/>
      <c r="K313" s="32" t="n"/>
      <c r="L313" s="34">
        <f>IF(OR(A313="",D313=""),"",IF(D313&gt;Config!$B$5,0,DATEDIF(D313,Config!$B$5,"m")))</f>
        <v/>
      </c>
      <c r="M313" s="39">
        <f>IF(A313="","",IF(K313&lt;&gt;"",K313,IF(OR(C313="",D313=""),"Sem dados",IFERROR(IF(C313="M",INDEX(Config!$B$11:$B$14,MATCH(L313,Config!$A$11:$A$14,1)),IF(C313="F",INDEX(Config!$C$11:$C$14,MATCH(L313,Config!$A$11:$A$14,1)),"Sem dados")),"Verificar"))))</f>
        <v/>
      </c>
      <c r="N313" s="39">
        <f>IF(A313="","",IF(COUNTIFS('Movimentações'!$C$6:$C$1505,A313,'Movimentações'!$B$6:$B$1505,"Venda")&gt;0,"Vendido",IF(COUNTIFS('Movimentações'!$C$6:$C$1505,A313,'Movimentações'!$B$6:$B$1505,"Morte")&gt;0,"Morto","Ativo")))</f>
        <v/>
      </c>
      <c r="O313" s="40">
        <f>IF(A313="","",IF(COUNTIF('Pesagens'!$B$6:$B$2005,A313)=0,"",SUMPRODUCT(MAX(('Pesagens'!$B$6:$B$2005=A313)*'Pesagens'!$A$6:$A$2005))))</f>
        <v/>
      </c>
      <c r="P313" s="41">
        <f>IF(A313="","",IF(O313="",IF(J313="","",J313),IFERROR(AVERAGEIFS('Pesagens'!$C$6:$C$2005,'Pesagens'!$B$6:$B$2005,A313,'Pesagens'!$A$6:$A$2005,O313),"")))</f>
        <v/>
      </c>
      <c r="Q313" s="42">
        <f>IF(OR(A313="",O313="",I313="",J313=""),"",IFERROR((P313-J313)/(O313-I313),""))</f>
        <v/>
      </c>
    </row>
    <row r="314">
      <c r="A314" s="36" t="n"/>
      <c r="B314" s="32" t="n"/>
      <c r="C314" s="37" t="n"/>
      <c r="D314" s="31" t="n"/>
      <c r="E314" s="32" t="n"/>
      <c r="F314" s="32" t="n"/>
      <c r="G314" s="32" t="n"/>
      <c r="H314" s="36" t="n"/>
      <c r="I314" s="31" t="n"/>
      <c r="J314" s="38" t="n"/>
      <c r="K314" s="32" t="n"/>
      <c r="L314" s="34">
        <f>IF(OR(A314="",D314=""),"",IF(D314&gt;Config!$B$5,0,DATEDIF(D314,Config!$B$5,"m")))</f>
        <v/>
      </c>
      <c r="M314" s="39">
        <f>IF(A314="","",IF(K314&lt;&gt;"",K314,IF(OR(C314="",D314=""),"Sem dados",IFERROR(IF(C314="M",INDEX(Config!$B$11:$B$14,MATCH(L314,Config!$A$11:$A$14,1)),IF(C314="F",INDEX(Config!$C$11:$C$14,MATCH(L314,Config!$A$11:$A$14,1)),"Sem dados")),"Verificar"))))</f>
        <v/>
      </c>
      <c r="N314" s="39">
        <f>IF(A314="","",IF(COUNTIFS('Movimentações'!$C$6:$C$1505,A314,'Movimentações'!$B$6:$B$1505,"Venda")&gt;0,"Vendido",IF(COUNTIFS('Movimentações'!$C$6:$C$1505,A314,'Movimentações'!$B$6:$B$1505,"Morte")&gt;0,"Morto","Ativo")))</f>
        <v/>
      </c>
      <c r="O314" s="40">
        <f>IF(A314="","",IF(COUNTIF('Pesagens'!$B$6:$B$2005,A314)=0,"",SUMPRODUCT(MAX(('Pesagens'!$B$6:$B$2005=A314)*'Pesagens'!$A$6:$A$2005))))</f>
        <v/>
      </c>
      <c r="P314" s="41">
        <f>IF(A314="","",IF(O314="",IF(J314="","",J314),IFERROR(AVERAGEIFS('Pesagens'!$C$6:$C$2005,'Pesagens'!$B$6:$B$2005,A314,'Pesagens'!$A$6:$A$2005,O314),"")))</f>
        <v/>
      </c>
      <c r="Q314" s="42">
        <f>IF(OR(A314="",O314="",I314="",J314=""),"",IFERROR((P314-J314)/(O314-I314),""))</f>
        <v/>
      </c>
    </row>
    <row r="315">
      <c r="A315" s="36" t="n"/>
      <c r="B315" s="32" t="n"/>
      <c r="C315" s="37" t="n"/>
      <c r="D315" s="31" t="n"/>
      <c r="E315" s="32" t="n"/>
      <c r="F315" s="32" t="n"/>
      <c r="G315" s="32" t="n"/>
      <c r="H315" s="36" t="n"/>
      <c r="I315" s="31" t="n"/>
      <c r="J315" s="38" t="n"/>
      <c r="K315" s="32" t="n"/>
      <c r="L315" s="34">
        <f>IF(OR(A315="",D315=""),"",IF(D315&gt;Config!$B$5,0,DATEDIF(D315,Config!$B$5,"m")))</f>
        <v/>
      </c>
      <c r="M315" s="39">
        <f>IF(A315="","",IF(K315&lt;&gt;"",K315,IF(OR(C315="",D315=""),"Sem dados",IFERROR(IF(C315="M",INDEX(Config!$B$11:$B$14,MATCH(L315,Config!$A$11:$A$14,1)),IF(C315="F",INDEX(Config!$C$11:$C$14,MATCH(L315,Config!$A$11:$A$14,1)),"Sem dados")),"Verificar"))))</f>
        <v/>
      </c>
      <c r="N315" s="39">
        <f>IF(A315="","",IF(COUNTIFS('Movimentações'!$C$6:$C$1505,A315,'Movimentações'!$B$6:$B$1505,"Venda")&gt;0,"Vendido",IF(COUNTIFS('Movimentações'!$C$6:$C$1505,A315,'Movimentações'!$B$6:$B$1505,"Morte")&gt;0,"Morto","Ativo")))</f>
        <v/>
      </c>
      <c r="O315" s="40">
        <f>IF(A315="","",IF(COUNTIF('Pesagens'!$B$6:$B$2005,A315)=0,"",SUMPRODUCT(MAX(('Pesagens'!$B$6:$B$2005=A315)*'Pesagens'!$A$6:$A$2005))))</f>
        <v/>
      </c>
      <c r="P315" s="41">
        <f>IF(A315="","",IF(O315="",IF(J315="","",J315),IFERROR(AVERAGEIFS('Pesagens'!$C$6:$C$2005,'Pesagens'!$B$6:$B$2005,A315,'Pesagens'!$A$6:$A$2005,O315),"")))</f>
        <v/>
      </c>
      <c r="Q315" s="42">
        <f>IF(OR(A315="",O315="",I315="",J315=""),"",IFERROR((P315-J315)/(O315-I315),""))</f>
        <v/>
      </c>
    </row>
    <row r="316">
      <c r="A316" s="36" t="n"/>
      <c r="B316" s="32" t="n"/>
      <c r="C316" s="37" t="n"/>
      <c r="D316" s="31" t="n"/>
      <c r="E316" s="32" t="n"/>
      <c r="F316" s="32" t="n"/>
      <c r="G316" s="32" t="n"/>
      <c r="H316" s="36" t="n"/>
      <c r="I316" s="31" t="n"/>
      <c r="J316" s="38" t="n"/>
      <c r="K316" s="32" t="n"/>
      <c r="L316" s="34">
        <f>IF(OR(A316="",D316=""),"",IF(D316&gt;Config!$B$5,0,DATEDIF(D316,Config!$B$5,"m")))</f>
        <v/>
      </c>
      <c r="M316" s="39">
        <f>IF(A316="","",IF(K316&lt;&gt;"",K316,IF(OR(C316="",D316=""),"Sem dados",IFERROR(IF(C316="M",INDEX(Config!$B$11:$B$14,MATCH(L316,Config!$A$11:$A$14,1)),IF(C316="F",INDEX(Config!$C$11:$C$14,MATCH(L316,Config!$A$11:$A$14,1)),"Sem dados")),"Verificar"))))</f>
        <v/>
      </c>
      <c r="N316" s="39">
        <f>IF(A316="","",IF(COUNTIFS('Movimentações'!$C$6:$C$1505,A316,'Movimentações'!$B$6:$B$1505,"Venda")&gt;0,"Vendido",IF(COUNTIFS('Movimentações'!$C$6:$C$1505,A316,'Movimentações'!$B$6:$B$1505,"Morte")&gt;0,"Morto","Ativo")))</f>
        <v/>
      </c>
      <c r="O316" s="40">
        <f>IF(A316="","",IF(COUNTIF('Pesagens'!$B$6:$B$2005,A316)=0,"",SUMPRODUCT(MAX(('Pesagens'!$B$6:$B$2005=A316)*'Pesagens'!$A$6:$A$2005))))</f>
        <v/>
      </c>
      <c r="P316" s="41">
        <f>IF(A316="","",IF(O316="",IF(J316="","",J316),IFERROR(AVERAGEIFS('Pesagens'!$C$6:$C$2005,'Pesagens'!$B$6:$B$2005,A316,'Pesagens'!$A$6:$A$2005,O316),"")))</f>
        <v/>
      </c>
      <c r="Q316" s="42">
        <f>IF(OR(A316="",O316="",I316="",J316=""),"",IFERROR((P316-J316)/(O316-I316),""))</f>
        <v/>
      </c>
    </row>
    <row r="317">
      <c r="A317" s="36" t="n"/>
      <c r="B317" s="32" t="n"/>
      <c r="C317" s="37" t="n"/>
      <c r="D317" s="31" t="n"/>
      <c r="E317" s="32" t="n"/>
      <c r="F317" s="32" t="n"/>
      <c r="G317" s="32" t="n"/>
      <c r="H317" s="36" t="n"/>
      <c r="I317" s="31" t="n"/>
      <c r="J317" s="38" t="n"/>
      <c r="K317" s="32" t="n"/>
      <c r="L317" s="34">
        <f>IF(OR(A317="",D317=""),"",IF(D317&gt;Config!$B$5,0,DATEDIF(D317,Config!$B$5,"m")))</f>
        <v/>
      </c>
      <c r="M317" s="39">
        <f>IF(A317="","",IF(K317&lt;&gt;"",K317,IF(OR(C317="",D317=""),"Sem dados",IFERROR(IF(C317="M",INDEX(Config!$B$11:$B$14,MATCH(L317,Config!$A$11:$A$14,1)),IF(C317="F",INDEX(Config!$C$11:$C$14,MATCH(L317,Config!$A$11:$A$14,1)),"Sem dados")),"Verificar"))))</f>
        <v/>
      </c>
      <c r="N317" s="39">
        <f>IF(A317="","",IF(COUNTIFS('Movimentações'!$C$6:$C$1505,A317,'Movimentações'!$B$6:$B$1505,"Venda")&gt;0,"Vendido",IF(COUNTIFS('Movimentações'!$C$6:$C$1505,A317,'Movimentações'!$B$6:$B$1505,"Morte")&gt;0,"Morto","Ativo")))</f>
        <v/>
      </c>
      <c r="O317" s="40">
        <f>IF(A317="","",IF(COUNTIF('Pesagens'!$B$6:$B$2005,A317)=0,"",SUMPRODUCT(MAX(('Pesagens'!$B$6:$B$2005=A317)*'Pesagens'!$A$6:$A$2005))))</f>
        <v/>
      </c>
      <c r="P317" s="41">
        <f>IF(A317="","",IF(O317="",IF(J317="","",J317),IFERROR(AVERAGEIFS('Pesagens'!$C$6:$C$2005,'Pesagens'!$B$6:$B$2005,A317,'Pesagens'!$A$6:$A$2005,O317),"")))</f>
        <v/>
      </c>
      <c r="Q317" s="42">
        <f>IF(OR(A317="",O317="",I317="",J317=""),"",IFERROR((P317-J317)/(O317-I317),""))</f>
        <v/>
      </c>
    </row>
    <row r="318">
      <c r="A318" s="36" t="n"/>
      <c r="B318" s="32" t="n"/>
      <c r="C318" s="37" t="n"/>
      <c r="D318" s="31" t="n"/>
      <c r="E318" s="32" t="n"/>
      <c r="F318" s="32" t="n"/>
      <c r="G318" s="32" t="n"/>
      <c r="H318" s="36" t="n"/>
      <c r="I318" s="31" t="n"/>
      <c r="J318" s="38" t="n"/>
      <c r="K318" s="32" t="n"/>
      <c r="L318" s="34">
        <f>IF(OR(A318="",D318=""),"",IF(D318&gt;Config!$B$5,0,DATEDIF(D318,Config!$B$5,"m")))</f>
        <v/>
      </c>
      <c r="M318" s="39">
        <f>IF(A318="","",IF(K318&lt;&gt;"",K318,IF(OR(C318="",D318=""),"Sem dados",IFERROR(IF(C318="M",INDEX(Config!$B$11:$B$14,MATCH(L318,Config!$A$11:$A$14,1)),IF(C318="F",INDEX(Config!$C$11:$C$14,MATCH(L318,Config!$A$11:$A$14,1)),"Sem dados")),"Verificar"))))</f>
        <v/>
      </c>
      <c r="N318" s="39">
        <f>IF(A318="","",IF(COUNTIFS('Movimentações'!$C$6:$C$1505,A318,'Movimentações'!$B$6:$B$1505,"Venda")&gt;0,"Vendido",IF(COUNTIFS('Movimentações'!$C$6:$C$1505,A318,'Movimentações'!$B$6:$B$1505,"Morte")&gt;0,"Morto","Ativo")))</f>
        <v/>
      </c>
      <c r="O318" s="40">
        <f>IF(A318="","",IF(COUNTIF('Pesagens'!$B$6:$B$2005,A318)=0,"",SUMPRODUCT(MAX(('Pesagens'!$B$6:$B$2005=A318)*'Pesagens'!$A$6:$A$2005))))</f>
        <v/>
      </c>
      <c r="P318" s="41">
        <f>IF(A318="","",IF(O318="",IF(J318="","",J318),IFERROR(AVERAGEIFS('Pesagens'!$C$6:$C$2005,'Pesagens'!$B$6:$B$2005,A318,'Pesagens'!$A$6:$A$2005,O318),"")))</f>
        <v/>
      </c>
      <c r="Q318" s="42">
        <f>IF(OR(A318="",O318="",I318="",J318=""),"",IFERROR((P318-J318)/(O318-I318),""))</f>
        <v/>
      </c>
    </row>
    <row r="319">
      <c r="A319" s="36" t="n"/>
      <c r="B319" s="32" t="n"/>
      <c r="C319" s="37" t="n"/>
      <c r="D319" s="31" t="n"/>
      <c r="E319" s="32" t="n"/>
      <c r="F319" s="32" t="n"/>
      <c r="G319" s="32" t="n"/>
      <c r="H319" s="36" t="n"/>
      <c r="I319" s="31" t="n"/>
      <c r="J319" s="38" t="n"/>
      <c r="K319" s="32" t="n"/>
      <c r="L319" s="34">
        <f>IF(OR(A319="",D319=""),"",IF(D319&gt;Config!$B$5,0,DATEDIF(D319,Config!$B$5,"m")))</f>
        <v/>
      </c>
      <c r="M319" s="39">
        <f>IF(A319="","",IF(K319&lt;&gt;"",K319,IF(OR(C319="",D319=""),"Sem dados",IFERROR(IF(C319="M",INDEX(Config!$B$11:$B$14,MATCH(L319,Config!$A$11:$A$14,1)),IF(C319="F",INDEX(Config!$C$11:$C$14,MATCH(L319,Config!$A$11:$A$14,1)),"Sem dados")),"Verificar"))))</f>
        <v/>
      </c>
      <c r="N319" s="39">
        <f>IF(A319="","",IF(COUNTIFS('Movimentações'!$C$6:$C$1505,A319,'Movimentações'!$B$6:$B$1505,"Venda")&gt;0,"Vendido",IF(COUNTIFS('Movimentações'!$C$6:$C$1505,A319,'Movimentações'!$B$6:$B$1505,"Morte")&gt;0,"Morto","Ativo")))</f>
        <v/>
      </c>
      <c r="O319" s="40">
        <f>IF(A319="","",IF(COUNTIF('Pesagens'!$B$6:$B$2005,A319)=0,"",SUMPRODUCT(MAX(('Pesagens'!$B$6:$B$2005=A319)*'Pesagens'!$A$6:$A$2005))))</f>
        <v/>
      </c>
      <c r="P319" s="41">
        <f>IF(A319="","",IF(O319="",IF(J319="","",J319),IFERROR(AVERAGEIFS('Pesagens'!$C$6:$C$2005,'Pesagens'!$B$6:$B$2005,A319,'Pesagens'!$A$6:$A$2005,O319),"")))</f>
        <v/>
      </c>
      <c r="Q319" s="42">
        <f>IF(OR(A319="",O319="",I319="",J319=""),"",IFERROR((P319-J319)/(O319-I319),""))</f>
        <v/>
      </c>
    </row>
    <row r="320">
      <c r="A320" s="36" t="n"/>
      <c r="B320" s="32" t="n"/>
      <c r="C320" s="37" t="n"/>
      <c r="D320" s="31" t="n"/>
      <c r="E320" s="32" t="n"/>
      <c r="F320" s="32" t="n"/>
      <c r="G320" s="32" t="n"/>
      <c r="H320" s="36" t="n"/>
      <c r="I320" s="31" t="n"/>
      <c r="J320" s="38" t="n"/>
      <c r="K320" s="32" t="n"/>
      <c r="L320" s="34">
        <f>IF(OR(A320="",D320=""),"",IF(D320&gt;Config!$B$5,0,DATEDIF(D320,Config!$B$5,"m")))</f>
        <v/>
      </c>
      <c r="M320" s="39">
        <f>IF(A320="","",IF(K320&lt;&gt;"",K320,IF(OR(C320="",D320=""),"Sem dados",IFERROR(IF(C320="M",INDEX(Config!$B$11:$B$14,MATCH(L320,Config!$A$11:$A$14,1)),IF(C320="F",INDEX(Config!$C$11:$C$14,MATCH(L320,Config!$A$11:$A$14,1)),"Sem dados")),"Verificar"))))</f>
        <v/>
      </c>
      <c r="N320" s="39">
        <f>IF(A320="","",IF(COUNTIFS('Movimentações'!$C$6:$C$1505,A320,'Movimentações'!$B$6:$B$1505,"Venda")&gt;0,"Vendido",IF(COUNTIFS('Movimentações'!$C$6:$C$1505,A320,'Movimentações'!$B$6:$B$1505,"Morte")&gt;0,"Morto","Ativo")))</f>
        <v/>
      </c>
      <c r="O320" s="40">
        <f>IF(A320="","",IF(COUNTIF('Pesagens'!$B$6:$B$2005,A320)=0,"",SUMPRODUCT(MAX(('Pesagens'!$B$6:$B$2005=A320)*'Pesagens'!$A$6:$A$2005))))</f>
        <v/>
      </c>
      <c r="P320" s="41">
        <f>IF(A320="","",IF(O320="",IF(J320="","",J320),IFERROR(AVERAGEIFS('Pesagens'!$C$6:$C$2005,'Pesagens'!$B$6:$B$2005,A320,'Pesagens'!$A$6:$A$2005,O320),"")))</f>
        <v/>
      </c>
      <c r="Q320" s="42">
        <f>IF(OR(A320="",O320="",I320="",J320=""),"",IFERROR((P320-J320)/(O320-I320),""))</f>
        <v/>
      </c>
    </row>
    <row r="321">
      <c r="A321" s="36" t="n"/>
      <c r="B321" s="32" t="n"/>
      <c r="C321" s="37" t="n"/>
      <c r="D321" s="31" t="n"/>
      <c r="E321" s="32" t="n"/>
      <c r="F321" s="32" t="n"/>
      <c r="G321" s="32" t="n"/>
      <c r="H321" s="36" t="n"/>
      <c r="I321" s="31" t="n"/>
      <c r="J321" s="38" t="n"/>
      <c r="K321" s="32" t="n"/>
      <c r="L321" s="34">
        <f>IF(OR(A321="",D321=""),"",IF(D321&gt;Config!$B$5,0,DATEDIF(D321,Config!$B$5,"m")))</f>
        <v/>
      </c>
      <c r="M321" s="39">
        <f>IF(A321="","",IF(K321&lt;&gt;"",K321,IF(OR(C321="",D321=""),"Sem dados",IFERROR(IF(C321="M",INDEX(Config!$B$11:$B$14,MATCH(L321,Config!$A$11:$A$14,1)),IF(C321="F",INDEX(Config!$C$11:$C$14,MATCH(L321,Config!$A$11:$A$14,1)),"Sem dados")),"Verificar"))))</f>
        <v/>
      </c>
      <c r="N321" s="39">
        <f>IF(A321="","",IF(COUNTIFS('Movimentações'!$C$6:$C$1505,A321,'Movimentações'!$B$6:$B$1505,"Venda")&gt;0,"Vendido",IF(COUNTIFS('Movimentações'!$C$6:$C$1505,A321,'Movimentações'!$B$6:$B$1505,"Morte")&gt;0,"Morto","Ativo")))</f>
        <v/>
      </c>
      <c r="O321" s="40">
        <f>IF(A321="","",IF(COUNTIF('Pesagens'!$B$6:$B$2005,A321)=0,"",SUMPRODUCT(MAX(('Pesagens'!$B$6:$B$2005=A321)*'Pesagens'!$A$6:$A$2005))))</f>
        <v/>
      </c>
      <c r="P321" s="41">
        <f>IF(A321="","",IF(O321="",IF(J321="","",J321),IFERROR(AVERAGEIFS('Pesagens'!$C$6:$C$2005,'Pesagens'!$B$6:$B$2005,A321,'Pesagens'!$A$6:$A$2005,O321),"")))</f>
        <v/>
      </c>
      <c r="Q321" s="42">
        <f>IF(OR(A321="",O321="",I321="",J321=""),"",IFERROR((P321-J321)/(O321-I321),""))</f>
        <v/>
      </c>
    </row>
    <row r="322">
      <c r="A322" s="36" t="n"/>
      <c r="B322" s="32" t="n"/>
      <c r="C322" s="37" t="n"/>
      <c r="D322" s="31" t="n"/>
      <c r="E322" s="32" t="n"/>
      <c r="F322" s="32" t="n"/>
      <c r="G322" s="32" t="n"/>
      <c r="H322" s="36" t="n"/>
      <c r="I322" s="31" t="n"/>
      <c r="J322" s="38" t="n"/>
      <c r="K322" s="32" t="n"/>
      <c r="L322" s="34">
        <f>IF(OR(A322="",D322=""),"",IF(D322&gt;Config!$B$5,0,DATEDIF(D322,Config!$B$5,"m")))</f>
        <v/>
      </c>
      <c r="M322" s="39">
        <f>IF(A322="","",IF(K322&lt;&gt;"",K322,IF(OR(C322="",D322=""),"Sem dados",IFERROR(IF(C322="M",INDEX(Config!$B$11:$B$14,MATCH(L322,Config!$A$11:$A$14,1)),IF(C322="F",INDEX(Config!$C$11:$C$14,MATCH(L322,Config!$A$11:$A$14,1)),"Sem dados")),"Verificar"))))</f>
        <v/>
      </c>
      <c r="N322" s="39">
        <f>IF(A322="","",IF(COUNTIFS('Movimentações'!$C$6:$C$1505,A322,'Movimentações'!$B$6:$B$1505,"Venda")&gt;0,"Vendido",IF(COUNTIFS('Movimentações'!$C$6:$C$1505,A322,'Movimentações'!$B$6:$B$1505,"Morte")&gt;0,"Morto","Ativo")))</f>
        <v/>
      </c>
      <c r="O322" s="40">
        <f>IF(A322="","",IF(COUNTIF('Pesagens'!$B$6:$B$2005,A322)=0,"",SUMPRODUCT(MAX(('Pesagens'!$B$6:$B$2005=A322)*'Pesagens'!$A$6:$A$2005))))</f>
        <v/>
      </c>
      <c r="P322" s="41">
        <f>IF(A322="","",IF(O322="",IF(J322="","",J322),IFERROR(AVERAGEIFS('Pesagens'!$C$6:$C$2005,'Pesagens'!$B$6:$B$2005,A322,'Pesagens'!$A$6:$A$2005,O322),"")))</f>
        <v/>
      </c>
      <c r="Q322" s="42">
        <f>IF(OR(A322="",O322="",I322="",J322=""),"",IFERROR((P322-J322)/(O322-I322),""))</f>
        <v/>
      </c>
    </row>
    <row r="323">
      <c r="A323" s="36" t="n"/>
      <c r="B323" s="32" t="n"/>
      <c r="C323" s="37" t="n"/>
      <c r="D323" s="31" t="n"/>
      <c r="E323" s="32" t="n"/>
      <c r="F323" s="32" t="n"/>
      <c r="G323" s="32" t="n"/>
      <c r="H323" s="36" t="n"/>
      <c r="I323" s="31" t="n"/>
      <c r="J323" s="38" t="n"/>
      <c r="K323" s="32" t="n"/>
      <c r="L323" s="34">
        <f>IF(OR(A323="",D323=""),"",IF(D323&gt;Config!$B$5,0,DATEDIF(D323,Config!$B$5,"m")))</f>
        <v/>
      </c>
      <c r="M323" s="39">
        <f>IF(A323="","",IF(K323&lt;&gt;"",K323,IF(OR(C323="",D323=""),"Sem dados",IFERROR(IF(C323="M",INDEX(Config!$B$11:$B$14,MATCH(L323,Config!$A$11:$A$14,1)),IF(C323="F",INDEX(Config!$C$11:$C$14,MATCH(L323,Config!$A$11:$A$14,1)),"Sem dados")),"Verificar"))))</f>
        <v/>
      </c>
      <c r="N323" s="39">
        <f>IF(A323="","",IF(COUNTIFS('Movimentações'!$C$6:$C$1505,A323,'Movimentações'!$B$6:$B$1505,"Venda")&gt;0,"Vendido",IF(COUNTIFS('Movimentações'!$C$6:$C$1505,A323,'Movimentações'!$B$6:$B$1505,"Morte")&gt;0,"Morto","Ativo")))</f>
        <v/>
      </c>
      <c r="O323" s="40">
        <f>IF(A323="","",IF(COUNTIF('Pesagens'!$B$6:$B$2005,A323)=0,"",SUMPRODUCT(MAX(('Pesagens'!$B$6:$B$2005=A323)*'Pesagens'!$A$6:$A$2005))))</f>
        <v/>
      </c>
      <c r="P323" s="41">
        <f>IF(A323="","",IF(O323="",IF(J323="","",J323),IFERROR(AVERAGEIFS('Pesagens'!$C$6:$C$2005,'Pesagens'!$B$6:$B$2005,A323,'Pesagens'!$A$6:$A$2005,O323),"")))</f>
        <v/>
      </c>
      <c r="Q323" s="42">
        <f>IF(OR(A323="",O323="",I323="",J323=""),"",IFERROR((P323-J323)/(O323-I323),""))</f>
        <v/>
      </c>
    </row>
    <row r="324">
      <c r="A324" s="36" t="n"/>
      <c r="B324" s="32" t="n"/>
      <c r="C324" s="37" t="n"/>
      <c r="D324" s="31" t="n"/>
      <c r="E324" s="32" t="n"/>
      <c r="F324" s="32" t="n"/>
      <c r="G324" s="32" t="n"/>
      <c r="H324" s="36" t="n"/>
      <c r="I324" s="31" t="n"/>
      <c r="J324" s="38" t="n"/>
      <c r="K324" s="32" t="n"/>
      <c r="L324" s="34">
        <f>IF(OR(A324="",D324=""),"",IF(D324&gt;Config!$B$5,0,DATEDIF(D324,Config!$B$5,"m")))</f>
        <v/>
      </c>
      <c r="M324" s="39">
        <f>IF(A324="","",IF(K324&lt;&gt;"",K324,IF(OR(C324="",D324=""),"Sem dados",IFERROR(IF(C324="M",INDEX(Config!$B$11:$B$14,MATCH(L324,Config!$A$11:$A$14,1)),IF(C324="F",INDEX(Config!$C$11:$C$14,MATCH(L324,Config!$A$11:$A$14,1)),"Sem dados")),"Verificar"))))</f>
        <v/>
      </c>
      <c r="N324" s="39">
        <f>IF(A324="","",IF(COUNTIFS('Movimentações'!$C$6:$C$1505,A324,'Movimentações'!$B$6:$B$1505,"Venda")&gt;0,"Vendido",IF(COUNTIFS('Movimentações'!$C$6:$C$1505,A324,'Movimentações'!$B$6:$B$1505,"Morte")&gt;0,"Morto","Ativo")))</f>
        <v/>
      </c>
      <c r="O324" s="40">
        <f>IF(A324="","",IF(COUNTIF('Pesagens'!$B$6:$B$2005,A324)=0,"",SUMPRODUCT(MAX(('Pesagens'!$B$6:$B$2005=A324)*'Pesagens'!$A$6:$A$2005))))</f>
        <v/>
      </c>
      <c r="P324" s="41">
        <f>IF(A324="","",IF(O324="",IF(J324="","",J324),IFERROR(AVERAGEIFS('Pesagens'!$C$6:$C$2005,'Pesagens'!$B$6:$B$2005,A324,'Pesagens'!$A$6:$A$2005,O324),"")))</f>
        <v/>
      </c>
      <c r="Q324" s="42">
        <f>IF(OR(A324="",O324="",I324="",J324=""),"",IFERROR((P324-J324)/(O324-I324),""))</f>
        <v/>
      </c>
    </row>
    <row r="325">
      <c r="A325" s="36" t="n"/>
      <c r="B325" s="32" t="n"/>
      <c r="C325" s="37" t="n"/>
      <c r="D325" s="31" t="n"/>
      <c r="E325" s="32" t="n"/>
      <c r="F325" s="32" t="n"/>
      <c r="G325" s="32" t="n"/>
      <c r="H325" s="36" t="n"/>
      <c r="I325" s="31" t="n"/>
      <c r="J325" s="38" t="n"/>
      <c r="K325" s="32" t="n"/>
      <c r="L325" s="34">
        <f>IF(OR(A325="",D325=""),"",IF(D325&gt;Config!$B$5,0,DATEDIF(D325,Config!$B$5,"m")))</f>
        <v/>
      </c>
      <c r="M325" s="39">
        <f>IF(A325="","",IF(K325&lt;&gt;"",K325,IF(OR(C325="",D325=""),"Sem dados",IFERROR(IF(C325="M",INDEX(Config!$B$11:$B$14,MATCH(L325,Config!$A$11:$A$14,1)),IF(C325="F",INDEX(Config!$C$11:$C$14,MATCH(L325,Config!$A$11:$A$14,1)),"Sem dados")),"Verificar"))))</f>
        <v/>
      </c>
      <c r="N325" s="39">
        <f>IF(A325="","",IF(COUNTIFS('Movimentações'!$C$6:$C$1505,A325,'Movimentações'!$B$6:$B$1505,"Venda")&gt;0,"Vendido",IF(COUNTIFS('Movimentações'!$C$6:$C$1505,A325,'Movimentações'!$B$6:$B$1505,"Morte")&gt;0,"Morto","Ativo")))</f>
        <v/>
      </c>
      <c r="O325" s="40">
        <f>IF(A325="","",IF(COUNTIF('Pesagens'!$B$6:$B$2005,A325)=0,"",SUMPRODUCT(MAX(('Pesagens'!$B$6:$B$2005=A325)*'Pesagens'!$A$6:$A$2005))))</f>
        <v/>
      </c>
      <c r="P325" s="41">
        <f>IF(A325="","",IF(O325="",IF(J325="","",J325),IFERROR(AVERAGEIFS('Pesagens'!$C$6:$C$2005,'Pesagens'!$B$6:$B$2005,A325,'Pesagens'!$A$6:$A$2005,O325),"")))</f>
        <v/>
      </c>
      <c r="Q325" s="42">
        <f>IF(OR(A325="",O325="",I325="",J325=""),"",IFERROR((P325-J325)/(O325-I325),""))</f>
        <v/>
      </c>
    </row>
    <row r="326">
      <c r="A326" s="36" t="n"/>
      <c r="B326" s="32" t="n"/>
      <c r="C326" s="37" t="n"/>
      <c r="D326" s="31" t="n"/>
      <c r="E326" s="32" t="n"/>
      <c r="F326" s="32" t="n"/>
      <c r="G326" s="32" t="n"/>
      <c r="H326" s="36" t="n"/>
      <c r="I326" s="31" t="n"/>
      <c r="J326" s="38" t="n"/>
      <c r="K326" s="32" t="n"/>
      <c r="L326" s="34">
        <f>IF(OR(A326="",D326=""),"",IF(D326&gt;Config!$B$5,0,DATEDIF(D326,Config!$B$5,"m")))</f>
        <v/>
      </c>
      <c r="M326" s="39">
        <f>IF(A326="","",IF(K326&lt;&gt;"",K326,IF(OR(C326="",D326=""),"Sem dados",IFERROR(IF(C326="M",INDEX(Config!$B$11:$B$14,MATCH(L326,Config!$A$11:$A$14,1)),IF(C326="F",INDEX(Config!$C$11:$C$14,MATCH(L326,Config!$A$11:$A$14,1)),"Sem dados")),"Verificar"))))</f>
        <v/>
      </c>
      <c r="N326" s="39">
        <f>IF(A326="","",IF(COUNTIFS('Movimentações'!$C$6:$C$1505,A326,'Movimentações'!$B$6:$B$1505,"Venda")&gt;0,"Vendido",IF(COUNTIFS('Movimentações'!$C$6:$C$1505,A326,'Movimentações'!$B$6:$B$1505,"Morte")&gt;0,"Morto","Ativo")))</f>
        <v/>
      </c>
      <c r="O326" s="40">
        <f>IF(A326="","",IF(COUNTIF('Pesagens'!$B$6:$B$2005,A326)=0,"",SUMPRODUCT(MAX(('Pesagens'!$B$6:$B$2005=A326)*'Pesagens'!$A$6:$A$2005))))</f>
        <v/>
      </c>
      <c r="P326" s="41">
        <f>IF(A326="","",IF(O326="",IF(J326="","",J326),IFERROR(AVERAGEIFS('Pesagens'!$C$6:$C$2005,'Pesagens'!$B$6:$B$2005,A326,'Pesagens'!$A$6:$A$2005,O326),"")))</f>
        <v/>
      </c>
      <c r="Q326" s="42">
        <f>IF(OR(A326="",O326="",I326="",J326=""),"",IFERROR((P326-J326)/(O326-I326),""))</f>
        <v/>
      </c>
    </row>
    <row r="327">
      <c r="A327" s="36" t="n"/>
      <c r="B327" s="32" t="n"/>
      <c r="C327" s="37" t="n"/>
      <c r="D327" s="31" t="n"/>
      <c r="E327" s="32" t="n"/>
      <c r="F327" s="32" t="n"/>
      <c r="G327" s="32" t="n"/>
      <c r="H327" s="36" t="n"/>
      <c r="I327" s="31" t="n"/>
      <c r="J327" s="38" t="n"/>
      <c r="K327" s="32" t="n"/>
      <c r="L327" s="34">
        <f>IF(OR(A327="",D327=""),"",IF(D327&gt;Config!$B$5,0,DATEDIF(D327,Config!$B$5,"m")))</f>
        <v/>
      </c>
      <c r="M327" s="39">
        <f>IF(A327="","",IF(K327&lt;&gt;"",K327,IF(OR(C327="",D327=""),"Sem dados",IFERROR(IF(C327="M",INDEX(Config!$B$11:$B$14,MATCH(L327,Config!$A$11:$A$14,1)),IF(C327="F",INDEX(Config!$C$11:$C$14,MATCH(L327,Config!$A$11:$A$14,1)),"Sem dados")),"Verificar"))))</f>
        <v/>
      </c>
      <c r="N327" s="39">
        <f>IF(A327="","",IF(COUNTIFS('Movimentações'!$C$6:$C$1505,A327,'Movimentações'!$B$6:$B$1505,"Venda")&gt;0,"Vendido",IF(COUNTIFS('Movimentações'!$C$6:$C$1505,A327,'Movimentações'!$B$6:$B$1505,"Morte")&gt;0,"Morto","Ativo")))</f>
        <v/>
      </c>
      <c r="O327" s="40">
        <f>IF(A327="","",IF(COUNTIF('Pesagens'!$B$6:$B$2005,A327)=0,"",SUMPRODUCT(MAX(('Pesagens'!$B$6:$B$2005=A327)*'Pesagens'!$A$6:$A$2005))))</f>
        <v/>
      </c>
      <c r="P327" s="41">
        <f>IF(A327="","",IF(O327="",IF(J327="","",J327),IFERROR(AVERAGEIFS('Pesagens'!$C$6:$C$2005,'Pesagens'!$B$6:$B$2005,A327,'Pesagens'!$A$6:$A$2005,O327),"")))</f>
        <v/>
      </c>
      <c r="Q327" s="42">
        <f>IF(OR(A327="",O327="",I327="",J327=""),"",IFERROR((P327-J327)/(O327-I327),""))</f>
        <v/>
      </c>
    </row>
    <row r="328">
      <c r="A328" s="36" t="n"/>
      <c r="B328" s="32" t="n"/>
      <c r="C328" s="37" t="n"/>
      <c r="D328" s="31" t="n"/>
      <c r="E328" s="32" t="n"/>
      <c r="F328" s="32" t="n"/>
      <c r="G328" s="32" t="n"/>
      <c r="H328" s="36" t="n"/>
      <c r="I328" s="31" t="n"/>
      <c r="J328" s="38" t="n"/>
      <c r="K328" s="32" t="n"/>
      <c r="L328" s="34">
        <f>IF(OR(A328="",D328=""),"",IF(D328&gt;Config!$B$5,0,DATEDIF(D328,Config!$B$5,"m")))</f>
        <v/>
      </c>
      <c r="M328" s="39">
        <f>IF(A328="","",IF(K328&lt;&gt;"",K328,IF(OR(C328="",D328=""),"Sem dados",IFERROR(IF(C328="M",INDEX(Config!$B$11:$B$14,MATCH(L328,Config!$A$11:$A$14,1)),IF(C328="F",INDEX(Config!$C$11:$C$14,MATCH(L328,Config!$A$11:$A$14,1)),"Sem dados")),"Verificar"))))</f>
        <v/>
      </c>
      <c r="N328" s="39">
        <f>IF(A328="","",IF(COUNTIFS('Movimentações'!$C$6:$C$1505,A328,'Movimentações'!$B$6:$B$1505,"Venda")&gt;0,"Vendido",IF(COUNTIFS('Movimentações'!$C$6:$C$1505,A328,'Movimentações'!$B$6:$B$1505,"Morte")&gt;0,"Morto","Ativo")))</f>
        <v/>
      </c>
      <c r="O328" s="40">
        <f>IF(A328="","",IF(COUNTIF('Pesagens'!$B$6:$B$2005,A328)=0,"",SUMPRODUCT(MAX(('Pesagens'!$B$6:$B$2005=A328)*'Pesagens'!$A$6:$A$2005))))</f>
        <v/>
      </c>
      <c r="P328" s="41">
        <f>IF(A328="","",IF(O328="",IF(J328="","",J328),IFERROR(AVERAGEIFS('Pesagens'!$C$6:$C$2005,'Pesagens'!$B$6:$B$2005,A328,'Pesagens'!$A$6:$A$2005,O328),"")))</f>
        <v/>
      </c>
      <c r="Q328" s="42">
        <f>IF(OR(A328="",O328="",I328="",J328=""),"",IFERROR((P328-J328)/(O328-I328),""))</f>
        <v/>
      </c>
    </row>
    <row r="329">
      <c r="A329" s="36" t="n"/>
      <c r="B329" s="32" t="n"/>
      <c r="C329" s="37" t="n"/>
      <c r="D329" s="31" t="n"/>
      <c r="E329" s="32" t="n"/>
      <c r="F329" s="32" t="n"/>
      <c r="G329" s="32" t="n"/>
      <c r="H329" s="36" t="n"/>
      <c r="I329" s="31" t="n"/>
      <c r="J329" s="38" t="n"/>
      <c r="K329" s="32" t="n"/>
      <c r="L329" s="34">
        <f>IF(OR(A329="",D329=""),"",IF(D329&gt;Config!$B$5,0,DATEDIF(D329,Config!$B$5,"m")))</f>
        <v/>
      </c>
      <c r="M329" s="39">
        <f>IF(A329="","",IF(K329&lt;&gt;"",K329,IF(OR(C329="",D329=""),"Sem dados",IFERROR(IF(C329="M",INDEX(Config!$B$11:$B$14,MATCH(L329,Config!$A$11:$A$14,1)),IF(C329="F",INDEX(Config!$C$11:$C$14,MATCH(L329,Config!$A$11:$A$14,1)),"Sem dados")),"Verificar"))))</f>
        <v/>
      </c>
      <c r="N329" s="39">
        <f>IF(A329="","",IF(COUNTIFS('Movimentações'!$C$6:$C$1505,A329,'Movimentações'!$B$6:$B$1505,"Venda")&gt;0,"Vendido",IF(COUNTIFS('Movimentações'!$C$6:$C$1505,A329,'Movimentações'!$B$6:$B$1505,"Morte")&gt;0,"Morto","Ativo")))</f>
        <v/>
      </c>
      <c r="O329" s="40">
        <f>IF(A329="","",IF(COUNTIF('Pesagens'!$B$6:$B$2005,A329)=0,"",SUMPRODUCT(MAX(('Pesagens'!$B$6:$B$2005=A329)*'Pesagens'!$A$6:$A$2005))))</f>
        <v/>
      </c>
      <c r="P329" s="41">
        <f>IF(A329="","",IF(O329="",IF(J329="","",J329),IFERROR(AVERAGEIFS('Pesagens'!$C$6:$C$2005,'Pesagens'!$B$6:$B$2005,A329,'Pesagens'!$A$6:$A$2005,O329),"")))</f>
        <v/>
      </c>
      <c r="Q329" s="42">
        <f>IF(OR(A329="",O329="",I329="",J329=""),"",IFERROR((P329-J329)/(O329-I329),""))</f>
        <v/>
      </c>
    </row>
    <row r="330">
      <c r="A330" s="36" t="n"/>
      <c r="B330" s="32" t="n"/>
      <c r="C330" s="37" t="n"/>
      <c r="D330" s="31" t="n"/>
      <c r="E330" s="32" t="n"/>
      <c r="F330" s="32" t="n"/>
      <c r="G330" s="32" t="n"/>
      <c r="H330" s="36" t="n"/>
      <c r="I330" s="31" t="n"/>
      <c r="J330" s="38" t="n"/>
      <c r="K330" s="32" t="n"/>
      <c r="L330" s="34">
        <f>IF(OR(A330="",D330=""),"",IF(D330&gt;Config!$B$5,0,DATEDIF(D330,Config!$B$5,"m")))</f>
        <v/>
      </c>
      <c r="M330" s="39">
        <f>IF(A330="","",IF(K330&lt;&gt;"",K330,IF(OR(C330="",D330=""),"Sem dados",IFERROR(IF(C330="M",INDEX(Config!$B$11:$B$14,MATCH(L330,Config!$A$11:$A$14,1)),IF(C330="F",INDEX(Config!$C$11:$C$14,MATCH(L330,Config!$A$11:$A$14,1)),"Sem dados")),"Verificar"))))</f>
        <v/>
      </c>
      <c r="N330" s="39">
        <f>IF(A330="","",IF(COUNTIFS('Movimentações'!$C$6:$C$1505,A330,'Movimentações'!$B$6:$B$1505,"Venda")&gt;0,"Vendido",IF(COUNTIFS('Movimentações'!$C$6:$C$1505,A330,'Movimentações'!$B$6:$B$1505,"Morte")&gt;0,"Morto","Ativo")))</f>
        <v/>
      </c>
      <c r="O330" s="40">
        <f>IF(A330="","",IF(COUNTIF('Pesagens'!$B$6:$B$2005,A330)=0,"",SUMPRODUCT(MAX(('Pesagens'!$B$6:$B$2005=A330)*'Pesagens'!$A$6:$A$2005))))</f>
        <v/>
      </c>
      <c r="P330" s="41">
        <f>IF(A330="","",IF(O330="",IF(J330="","",J330),IFERROR(AVERAGEIFS('Pesagens'!$C$6:$C$2005,'Pesagens'!$B$6:$B$2005,A330,'Pesagens'!$A$6:$A$2005,O330),"")))</f>
        <v/>
      </c>
      <c r="Q330" s="42">
        <f>IF(OR(A330="",O330="",I330="",J330=""),"",IFERROR((P330-J330)/(O330-I330),""))</f>
        <v/>
      </c>
    </row>
    <row r="331">
      <c r="A331" s="36" t="n"/>
      <c r="B331" s="32" t="n"/>
      <c r="C331" s="37" t="n"/>
      <c r="D331" s="31" t="n"/>
      <c r="E331" s="32" t="n"/>
      <c r="F331" s="32" t="n"/>
      <c r="G331" s="32" t="n"/>
      <c r="H331" s="36" t="n"/>
      <c r="I331" s="31" t="n"/>
      <c r="J331" s="38" t="n"/>
      <c r="K331" s="32" t="n"/>
      <c r="L331" s="34">
        <f>IF(OR(A331="",D331=""),"",IF(D331&gt;Config!$B$5,0,DATEDIF(D331,Config!$B$5,"m")))</f>
        <v/>
      </c>
      <c r="M331" s="39">
        <f>IF(A331="","",IF(K331&lt;&gt;"",K331,IF(OR(C331="",D331=""),"Sem dados",IFERROR(IF(C331="M",INDEX(Config!$B$11:$B$14,MATCH(L331,Config!$A$11:$A$14,1)),IF(C331="F",INDEX(Config!$C$11:$C$14,MATCH(L331,Config!$A$11:$A$14,1)),"Sem dados")),"Verificar"))))</f>
        <v/>
      </c>
      <c r="N331" s="39">
        <f>IF(A331="","",IF(COUNTIFS('Movimentações'!$C$6:$C$1505,A331,'Movimentações'!$B$6:$B$1505,"Venda")&gt;0,"Vendido",IF(COUNTIFS('Movimentações'!$C$6:$C$1505,A331,'Movimentações'!$B$6:$B$1505,"Morte")&gt;0,"Morto","Ativo")))</f>
        <v/>
      </c>
      <c r="O331" s="40">
        <f>IF(A331="","",IF(COUNTIF('Pesagens'!$B$6:$B$2005,A331)=0,"",SUMPRODUCT(MAX(('Pesagens'!$B$6:$B$2005=A331)*'Pesagens'!$A$6:$A$2005))))</f>
        <v/>
      </c>
      <c r="P331" s="41">
        <f>IF(A331="","",IF(O331="",IF(J331="","",J331),IFERROR(AVERAGEIFS('Pesagens'!$C$6:$C$2005,'Pesagens'!$B$6:$B$2005,A331,'Pesagens'!$A$6:$A$2005,O331),"")))</f>
        <v/>
      </c>
      <c r="Q331" s="42">
        <f>IF(OR(A331="",O331="",I331="",J331=""),"",IFERROR((P331-J331)/(O331-I331),""))</f>
        <v/>
      </c>
    </row>
    <row r="332">
      <c r="A332" s="36" t="n"/>
      <c r="B332" s="32" t="n"/>
      <c r="C332" s="37" t="n"/>
      <c r="D332" s="31" t="n"/>
      <c r="E332" s="32" t="n"/>
      <c r="F332" s="32" t="n"/>
      <c r="G332" s="32" t="n"/>
      <c r="H332" s="36" t="n"/>
      <c r="I332" s="31" t="n"/>
      <c r="J332" s="38" t="n"/>
      <c r="K332" s="32" t="n"/>
      <c r="L332" s="34">
        <f>IF(OR(A332="",D332=""),"",IF(D332&gt;Config!$B$5,0,DATEDIF(D332,Config!$B$5,"m")))</f>
        <v/>
      </c>
      <c r="M332" s="39">
        <f>IF(A332="","",IF(K332&lt;&gt;"",K332,IF(OR(C332="",D332=""),"Sem dados",IFERROR(IF(C332="M",INDEX(Config!$B$11:$B$14,MATCH(L332,Config!$A$11:$A$14,1)),IF(C332="F",INDEX(Config!$C$11:$C$14,MATCH(L332,Config!$A$11:$A$14,1)),"Sem dados")),"Verificar"))))</f>
        <v/>
      </c>
      <c r="N332" s="39">
        <f>IF(A332="","",IF(COUNTIFS('Movimentações'!$C$6:$C$1505,A332,'Movimentações'!$B$6:$B$1505,"Venda")&gt;0,"Vendido",IF(COUNTIFS('Movimentações'!$C$6:$C$1505,A332,'Movimentações'!$B$6:$B$1505,"Morte")&gt;0,"Morto","Ativo")))</f>
        <v/>
      </c>
      <c r="O332" s="40">
        <f>IF(A332="","",IF(COUNTIF('Pesagens'!$B$6:$B$2005,A332)=0,"",SUMPRODUCT(MAX(('Pesagens'!$B$6:$B$2005=A332)*'Pesagens'!$A$6:$A$2005))))</f>
        <v/>
      </c>
      <c r="P332" s="41">
        <f>IF(A332="","",IF(O332="",IF(J332="","",J332),IFERROR(AVERAGEIFS('Pesagens'!$C$6:$C$2005,'Pesagens'!$B$6:$B$2005,A332,'Pesagens'!$A$6:$A$2005,O332),"")))</f>
        <v/>
      </c>
      <c r="Q332" s="42">
        <f>IF(OR(A332="",O332="",I332="",J332=""),"",IFERROR((P332-J332)/(O332-I332),""))</f>
        <v/>
      </c>
    </row>
    <row r="333">
      <c r="A333" s="36" t="n"/>
      <c r="B333" s="32" t="n"/>
      <c r="C333" s="37" t="n"/>
      <c r="D333" s="31" t="n"/>
      <c r="E333" s="32" t="n"/>
      <c r="F333" s="32" t="n"/>
      <c r="G333" s="32" t="n"/>
      <c r="H333" s="36" t="n"/>
      <c r="I333" s="31" t="n"/>
      <c r="J333" s="38" t="n"/>
      <c r="K333" s="32" t="n"/>
      <c r="L333" s="34">
        <f>IF(OR(A333="",D333=""),"",IF(D333&gt;Config!$B$5,0,DATEDIF(D333,Config!$B$5,"m")))</f>
        <v/>
      </c>
      <c r="M333" s="39">
        <f>IF(A333="","",IF(K333&lt;&gt;"",K333,IF(OR(C333="",D333=""),"Sem dados",IFERROR(IF(C333="M",INDEX(Config!$B$11:$B$14,MATCH(L333,Config!$A$11:$A$14,1)),IF(C333="F",INDEX(Config!$C$11:$C$14,MATCH(L333,Config!$A$11:$A$14,1)),"Sem dados")),"Verificar"))))</f>
        <v/>
      </c>
      <c r="N333" s="39">
        <f>IF(A333="","",IF(COUNTIFS('Movimentações'!$C$6:$C$1505,A333,'Movimentações'!$B$6:$B$1505,"Venda")&gt;0,"Vendido",IF(COUNTIFS('Movimentações'!$C$6:$C$1505,A333,'Movimentações'!$B$6:$B$1505,"Morte")&gt;0,"Morto","Ativo")))</f>
        <v/>
      </c>
      <c r="O333" s="40">
        <f>IF(A333="","",IF(COUNTIF('Pesagens'!$B$6:$B$2005,A333)=0,"",SUMPRODUCT(MAX(('Pesagens'!$B$6:$B$2005=A333)*'Pesagens'!$A$6:$A$2005))))</f>
        <v/>
      </c>
      <c r="P333" s="41">
        <f>IF(A333="","",IF(O333="",IF(J333="","",J333),IFERROR(AVERAGEIFS('Pesagens'!$C$6:$C$2005,'Pesagens'!$B$6:$B$2005,A333,'Pesagens'!$A$6:$A$2005,O333),"")))</f>
        <v/>
      </c>
      <c r="Q333" s="42">
        <f>IF(OR(A333="",O333="",I333="",J333=""),"",IFERROR((P333-J333)/(O333-I333),""))</f>
        <v/>
      </c>
    </row>
    <row r="334">
      <c r="A334" s="36" t="n"/>
      <c r="B334" s="32" t="n"/>
      <c r="C334" s="37" t="n"/>
      <c r="D334" s="31" t="n"/>
      <c r="E334" s="32" t="n"/>
      <c r="F334" s="32" t="n"/>
      <c r="G334" s="32" t="n"/>
      <c r="H334" s="36" t="n"/>
      <c r="I334" s="31" t="n"/>
      <c r="J334" s="38" t="n"/>
      <c r="K334" s="32" t="n"/>
      <c r="L334" s="34">
        <f>IF(OR(A334="",D334=""),"",IF(D334&gt;Config!$B$5,0,DATEDIF(D334,Config!$B$5,"m")))</f>
        <v/>
      </c>
      <c r="M334" s="39">
        <f>IF(A334="","",IF(K334&lt;&gt;"",K334,IF(OR(C334="",D334=""),"Sem dados",IFERROR(IF(C334="M",INDEX(Config!$B$11:$B$14,MATCH(L334,Config!$A$11:$A$14,1)),IF(C334="F",INDEX(Config!$C$11:$C$14,MATCH(L334,Config!$A$11:$A$14,1)),"Sem dados")),"Verificar"))))</f>
        <v/>
      </c>
      <c r="N334" s="39">
        <f>IF(A334="","",IF(COUNTIFS('Movimentações'!$C$6:$C$1505,A334,'Movimentações'!$B$6:$B$1505,"Venda")&gt;0,"Vendido",IF(COUNTIFS('Movimentações'!$C$6:$C$1505,A334,'Movimentações'!$B$6:$B$1505,"Morte")&gt;0,"Morto","Ativo")))</f>
        <v/>
      </c>
      <c r="O334" s="40">
        <f>IF(A334="","",IF(COUNTIF('Pesagens'!$B$6:$B$2005,A334)=0,"",SUMPRODUCT(MAX(('Pesagens'!$B$6:$B$2005=A334)*'Pesagens'!$A$6:$A$2005))))</f>
        <v/>
      </c>
      <c r="P334" s="41">
        <f>IF(A334="","",IF(O334="",IF(J334="","",J334),IFERROR(AVERAGEIFS('Pesagens'!$C$6:$C$2005,'Pesagens'!$B$6:$B$2005,A334,'Pesagens'!$A$6:$A$2005,O334),"")))</f>
        <v/>
      </c>
      <c r="Q334" s="42">
        <f>IF(OR(A334="",O334="",I334="",J334=""),"",IFERROR((P334-J334)/(O334-I334),""))</f>
        <v/>
      </c>
    </row>
    <row r="335">
      <c r="A335" s="36" t="n"/>
      <c r="B335" s="32" t="n"/>
      <c r="C335" s="37" t="n"/>
      <c r="D335" s="31" t="n"/>
      <c r="E335" s="32" t="n"/>
      <c r="F335" s="32" t="n"/>
      <c r="G335" s="32" t="n"/>
      <c r="H335" s="36" t="n"/>
      <c r="I335" s="31" t="n"/>
      <c r="J335" s="38" t="n"/>
      <c r="K335" s="32" t="n"/>
      <c r="L335" s="34">
        <f>IF(OR(A335="",D335=""),"",IF(D335&gt;Config!$B$5,0,DATEDIF(D335,Config!$B$5,"m")))</f>
        <v/>
      </c>
      <c r="M335" s="39">
        <f>IF(A335="","",IF(K335&lt;&gt;"",K335,IF(OR(C335="",D335=""),"Sem dados",IFERROR(IF(C335="M",INDEX(Config!$B$11:$B$14,MATCH(L335,Config!$A$11:$A$14,1)),IF(C335="F",INDEX(Config!$C$11:$C$14,MATCH(L335,Config!$A$11:$A$14,1)),"Sem dados")),"Verificar"))))</f>
        <v/>
      </c>
      <c r="N335" s="39">
        <f>IF(A335="","",IF(COUNTIFS('Movimentações'!$C$6:$C$1505,A335,'Movimentações'!$B$6:$B$1505,"Venda")&gt;0,"Vendido",IF(COUNTIFS('Movimentações'!$C$6:$C$1505,A335,'Movimentações'!$B$6:$B$1505,"Morte")&gt;0,"Morto","Ativo")))</f>
        <v/>
      </c>
      <c r="O335" s="40">
        <f>IF(A335="","",IF(COUNTIF('Pesagens'!$B$6:$B$2005,A335)=0,"",SUMPRODUCT(MAX(('Pesagens'!$B$6:$B$2005=A335)*'Pesagens'!$A$6:$A$2005))))</f>
        <v/>
      </c>
      <c r="P335" s="41">
        <f>IF(A335="","",IF(O335="",IF(J335="","",J335),IFERROR(AVERAGEIFS('Pesagens'!$C$6:$C$2005,'Pesagens'!$B$6:$B$2005,A335,'Pesagens'!$A$6:$A$2005,O335),"")))</f>
        <v/>
      </c>
      <c r="Q335" s="42">
        <f>IF(OR(A335="",O335="",I335="",J335=""),"",IFERROR((P335-J335)/(O335-I335),""))</f>
        <v/>
      </c>
    </row>
    <row r="336">
      <c r="A336" s="36" t="n"/>
      <c r="B336" s="32" t="n"/>
      <c r="C336" s="37" t="n"/>
      <c r="D336" s="31" t="n"/>
      <c r="E336" s="32" t="n"/>
      <c r="F336" s="32" t="n"/>
      <c r="G336" s="32" t="n"/>
      <c r="H336" s="36" t="n"/>
      <c r="I336" s="31" t="n"/>
      <c r="J336" s="38" t="n"/>
      <c r="K336" s="32" t="n"/>
      <c r="L336" s="34">
        <f>IF(OR(A336="",D336=""),"",IF(D336&gt;Config!$B$5,0,DATEDIF(D336,Config!$B$5,"m")))</f>
        <v/>
      </c>
      <c r="M336" s="39">
        <f>IF(A336="","",IF(K336&lt;&gt;"",K336,IF(OR(C336="",D336=""),"Sem dados",IFERROR(IF(C336="M",INDEX(Config!$B$11:$B$14,MATCH(L336,Config!$A$11:$A$14,1)),IF(C336="F",INDEX(Config!$C$11:$C$14,MATCH(L336,Config!$A$11:$A$14,1)),"Sem dados")),"Verificar"))))</f>
        <v/>
      </c>
      <c r="N336" s="39">
        <f>IF(A336="","",IF(COUNTIFS('Movimentações'!$C$6:$C$1505,A336,'Movimentações'!$B$6:$B$1505,"Venda")&gt;0,"Vendido",IF(COUNTIFS('Movimentações'!$C$6:$C$1505,A336,'Movimentações'!$B$6:$B$1505,"Morte")&gt;0,"Morto","Ativo")))</f>
        <v/>
      </c>
      <c r="O336" s="40">
        <f>IF(A336="","",IF(COUNTIF('Pesagens'!$B$6:$B$2005,A336)=0,"",SUMPRODUCT(MAX(('Pesagens'!$B$6:$B$2005=A336)*'Pesagens'!$A$6:$A$2005))))</f>
        <v/>
      </c>
      <c r="P336" s="41">
        <f>IF(A336="","",IF(O336="",IF(J336="","",J336),IFERROR(AVERAGEIFS('Pesagens'!$C$6:$C$2005,'Pesagens'!$B$6:$B$2005,A336,'Pesagens'!$A$6:$A$2005,O336),"")))</f>
        <v/>
      </c>
      <c r="Q336" s="42">
        <f>IF(OR(A336="",O336="",I336="",J336=""),"",IFERROR((P336-J336)/(O336-I336),""))</f>
        <v/>
      </c>
    </row>
    <row r="337">
      <c r="A337" s="36" t="n"/>
      <c r="B337" s="32" t="n"/>
      <c r="C337" s="37" t="n"/>
      <c r="D337" s="31" t="n"/>
      <c r="E337" s="32" t="n"/>
      <c r="F337" s="32" t="n"/>
      <c r="G337" s="32" t="n"/>
      <c r="H337" s="36" t="n"/>
      <c r="I337" s="31" t="n"/>
      <c r="J337" s="38" t="n"/>
      <c r="K337" s="32" t="n"/>
      <c r="L337" s="34">
        <f>IF(OR(A337="",D337=""),"",IF(D337&gt;Config!$B$5,0,DATEDIF(D337,Config!$B$5,"m")))</f>
        <v/>
      </c>
      <c r="M337" s="39">
        <f>IF(A337="","",IF(K337&lt;&gt;"",K337,IF(OR(C337="",D337=""),"Sem dados",IFERROR(IF(C337="M",INDEX(Config!$B$11:$B$14,MATCH(L337,Config!$A$11:$A$14,1)),IF(C337="F",INDEX(Config!$C$11:$C$14,MATCH(L337,Config!$A$11:$A$14,1)),"Sem dados")),"Verificar"))))</f>
        <v/>
      </c>
      <c r="N337" s="39">
        <f>IF(A337="","",IF(COUNTIFS('Movimentações'!$C$6:$C$1505,A337,'Movimentações'!$B$6:$B$1505,"Venda")&gt;0,"Vendido",IF(COUNTIFS('Movimentações'!$C$6:$C$1505,A337,'Movimentações'!$B$6:$B$1505,"Morte")&gt;0,"Morto","Ativo")))</f>
        <v/>
      </c>
      <c r="O337" s="40">
        <f>IF(A337="","",IF(COUNTIF('Pesagens'!$B$6:$B$2005,A337)=0,"",SUMPRODUCT(MAX(('Pesagens'!$B$6:$B$2005=A337)*'Pesagens'!$A$6:$A$2005))))</f>
        <v/>
      </c>
      <c r="P337" s="41">
        <f>IF(A337="","",IF(O337="",IF(J337="","",J337),IFERROR(AVERAGEIFS('Pesagens'!$C$6:$C$2005,'Pesagens'!$B$6:$B$2005,A337,'Pesagens'!$A$6:$A$2005,O337),"")))</f>
        <v/>
      </c>
      <c r="Q337" s="42">
        <f>IF(OR(A337="",O337="",I337="",J337=""),"",IFERROR((P337-J337)/(O337-I337),""))</f>
        <v/>
      </c>
    </row>
    <row r="338">
      <c r="A338" s="36" t="n"/>
      <c r="B338" s="32" t="n"/>
      <c r="C338" s="37" t="n"/>
      <c r="D338" s="31" t="n"/>
      <c r="E338" s="32" t="n"/>
      <c r="F338" s="32" t="n"/>
      <c r="G338" s="32" t="n"/>
      <c r="H338" s="36" t="n"/>
      <c r="I338" s="31" t="n"/>
      <c r="J338" s="38" t="n"/>
      <c r="K338" s="32" t="n"/>
      <c r="L338" s="34">
        <f>IF(OR(A338="",D338=""),"",IF(D338&gt;Config!$B$5,0,DATEDIF(D338,Config!$B$5,"m")))</f>
        <v/>
      </c>
      <c r="M338" s="39">
        <f>IF(A338="","",IF(K338&lt;&gt;"",K338,IF(OR(C338="",D338=""),"Sem dados",IFERROR(IF(C338="M",INDEX(Config!$B$11:$B$14,MATCH(L338,Config!$A$11:$A$14,1)),IF(C338="F",INDEX(Config!$C$11:$C$14,MATCH(L338,Config!$A$11:$A$14,1)),"Sem dados")),"Verificar"))))</f>
        <v/>
      </c>
      <c r="N338" s="39">
        <f>IF(A338="","",IF(COUNTIFS('Movimentações'!$C$6:$C$1505,A338,'Movimentações'!$B$6:$B$1505,"Venda")&gt;0,"Vendido",IF(COUNTIFS('Movimentações'!$C$6:$C$1505,A338,'Movimentações'!$B$6:$B$1505,"Morte")&gt;0,"Morto","Ativo")))</f>
        <v/>
      </c>
      <c r="O338" s="40">
        <f>IF(A338="","",IF(COUNTIF('Pesagens'!$B$6:$B$2005,A338)=0,"",SUMPRODUCT(MAX(('Pesagens'!$B$6:$B$2005=A338)*'Pesagens'!$A$6:$A$2005))))</f>
        <v/>
      </c>
      <c r="P338" s="41">
        <f>IF(A338="","",IF(O338="",IF(J338="","",J338),IFERROR(AVERAGEIFS('Pesagens'!$C$6:$C$2005,'Pesagens'!$B$6:$B$2005,A338,'Pesagens'!$A$6:$A$2005,O338),"")))</f>
        <v/>
      </c>
      <c r="Q338" s="42">
        <f>IF(OR(A338="",O338="",I338="",J338=""),"",IFERROR((P338-J338)/(O338-I338),""))</f>
        <v/>
      </c>
    </row>
    <row r="339">
      <c r="A339" s="36" t="n"/>
      <c r="B339" s="32" t="n"/>
      <c r="C339" s="37" t="n"/>
      <c r="D339" s="31" t="n"/>
      <c r="E339" s="32" t="n"/>
      <c r="F339" s="32" t="n"/>
      <c r="G339" s="32" t="n"/>
      <c r="H339" s="36" t="n"/>
      <c r="I339" s="31" t="n"/>
      <c r="J339" s="38" t="n"/>
      <c r="K339" s="32" t="n"/>
      <c r="L339" s="34">
        <f>IF(OR(A339="",D339=""),"",IF(D339&gt;Config!$B$5,0,DATEDIF(D339,Config!$B$5,"m")))</f>
        <v/>
      </c>
      <c r="M339" s="39">
        <f>IF(A339="","",IF(K339&lt;&gt;"",K339,IF(OR(C339="",D339=""),"Sem dados",IFERROR(IF(C339="M",INDEX(Config!$B$11:$B$14,MATCH(L339,Config!$A$11:$A$14,1)),IF(C339="F",INDEX(Config!$C$11:$C$14,MATCH(L339,Config!$A$11:$A$14,1)),"Sem dados")),"Verificar"))))</f>
        <v/>
      </c>
      <c r="N339" s="39">
        <f>IF(A339="","",IF(COUNTIFS('Movimentações'!$C$6:$C$1505,A339,'Movimentações'!$B$6:$B$1505,"Venda")&gt;0,"Vendido",IF(COUNTIFS('Movimentações'!$C$6:$C$1505,A339,'Movimentações'!$B$6:$B$1505,"Morte")&gt;0,"Morto","Ativo")))</f>
        <v/>
      </c>
      <c r="O339" s="40">
        <f>IF(A339="","",IF(COUNTIF('Pesagens'!$B$6:$B$2005,A339)=0,"",SUMPRODUCT(MAX(('Pesagens'!$B$6:$B$2005=A339)*'Pesagens'!$A$6:$A$2005))))</f>
        <v/>
      </c>
      <c r="P339" s="41">
        <f>IF(A339="","",IF(O339="",IF(J339="","",J339),IFERROR(AVERAGEIFS('Pesagens'!$C$6:$C$2005,'Pesagens'!$B$6:$B$2005,A339,'Pesagens'!$A$6:$A$2005,O339),"")))</f>
        <v/>
      </c>
      <c r="Q339" s="42">
        <f>IF(OR(A339="",O339="",I339="",J339=""),"",IFERROR((P339-J339)/(O339-I339),""))</f>
        <v/>
      </c>
    </row>
    <row r="340">
      <c r="A340" s="36" t="n"/>
      <c r="B340" s="32" t="n"/>
      <c r="C340" s="37" t="n"/>
      <c r="D340" s="31" t="n"/>
      <c r="E340" s="32" t="n"/>
      <c r="F340" s="32" t="n"/>
      <c r="G340" s="32" t="n"/>
      <c r="H340" s="36" t="n"/>
      <c r="I340" s="31" t="n"/>
      <c r="J340" s="38" t="n"/>
      <c r="K340" s="32" t="n"/>
      <c r="L340" s="34">
        <f>IF(OR(A340="",D340=""),"",IF(D340&gt;Config!$B$5,0,DATEDIF(D340,Config!$B$5,"m")))</f>
        <v/>
      </c>
      <c r="M340" s="39">
        <f>IF(A340="","",IF(K340&lt;&gt;"",K340,IF(OR(C340="",D340=""),"Sem dados",IFERROR(IF(C340="M",INDEX(Config!$B$11:$B$14,MATCH(L340,Config!$A$11:$A$14,1)),IF(C340="F",INDEX(Config!$C$11:$C$14,MATCH(L340,Config!$A$11:$A$14,1)),"Sem dados")),"Verificar"))))</f>
        <v/>
      </c>
      <c r="N340" s="39">
        <f>IF(A340="","",IF(COUNTIFS('Movimentações'!$C$6:$C$1505,A340,'Movimentações'!$B$6:$B$1505,"Venda")&gt;0,"Vendido",IF(COUNTIFS('Movimentações'!$C$6:$C$1505,A340,'Movimentações'!$B$6:$B$1505,"Morte")&gt;0,"Morto","Ativo")))</f>
        <v/>
      </c>
      <c r="O340" s="40">
        <f>IF(A340="","",IF(COUNTIF('Pesagens'!$B$6:$B$2005,A340)=0,"",SUMPRODUCT(MAX(('Pesagens'!$B$6:$B$2005=A340)*'Pesagens'!$A$6:$A$2005))))</f>
        <v/>
      </c>
      <c r="P340" s="41">
        <f>IF(A340="","",IF(O340="",IF(J340="","",J340),IFERROR(AVERAGEIFS('Pesagens'!$C$6:$C$2005,'Pesagens'!$B$6:$B$2005,A340,'Pesagens'!$A$6:$A$2005,O340),"")))</f>
        <v/>
      </c>
      <c r="Q340" s="42">
        <f>IF(OR(A340="",O340="",I340="",J340=""),"",IFERROR((P340-J340)/(O340-I340),""))</f>
        <v/>
      </c>
    </row>
    <row r="341">
      <c r="A341" s="36" t="n"/>
      <c r="B341" s="32" t="n"/>
      <c r="C341" s="37" t="n"/>
      <c r="D341" s="31" t="n"/>
      <c r="E341" s="32" t="n"/>
      <c r="F341" s="32" t="n"/>
      <c r="G341" s="32" t="n"/>
      <c r="H341" s="36" t="n"/>
      <c r="I341" s="31" t="n"/>
      <c r="J341" s="38" t="n"/>
      <c r="K341" s="32" t="n"/>
      <c r="L341" s="34">
        <f>IF(OR(A341="",D341=""),"",IF(D341&gt;Config!$B$5,0,DATEDIF(D341,Config!$B$5,"m")))</f>
        <v/>
      </c>
      <c r="M341" s="39">
        <f>IF(A341="","",IF(K341&lt;&gt;"",K341,IF(OR(C341="",D341=""),"Sem dados",IFERROR(IF(C341="M",INDEX(Config!$B$11:$B$14,MATCH(L341,Config!$A$11:$A$14,1)),IF(C341="F",INDEX(Config!$C$11:$C$14,MATCH(L341,Config!$A$11:$A$14,1)),"Sem dados")),"Verificar"))))</f>
        <v/>
      </c>
      <c r="N341" s="39">
        <f>IF(A341="","",IF(COUNTIFS('Movimentações'!$C$6:$C$1505,A341,'Movimentações'!$B$6:$B$1505,"Venda")&gt;0,"Vendido",IF(COUNTIFS('Movimentações'!$C$6:$C$1505,A341,'Movimentações'!$B$6:$B$1505,"Morte")&gt;0,"Morto","Ativo")))</f>
        <v/>
      </c>
      <c r="O341" s="40">
        <f>IF(A341="","",IF(COUNTIF('Pesagens'!$B$6:$B$2005,A341)=0,"",SUMPRODUCT(MAX(('Pesagens'!$B$6:$B$2005=A341)*'Pesagens'!$A$6:$A$2005))))</f>
        <v/>
      </c>
      <c r="P341" s="41">
        <f>IF(A341="","",IF(O341="",IF(J341="","",J341),IFERROR(AVERAGEIFS('Pesagens'!$C$6:$C$2005,'Pesagens'!$B$6:$B$2005,A341,'Pesagens'!$A$6:$A$2005,O341),"")))</f>
        <v/>
      </c>
      <c r="Q341" s="42">
        <f>IF(OR(A341="",O341="",I341="",J341=""),"",IFERROR((P341-J341)/(O341-I341),""))</f>
        <v/>
      </c>
    </row>
    <row r="342">
      <c r="A342" s="36" t="n"/>
      <c r="B342" s="32" t="n"/>
      <c r="C342" s="37" t="n"/>
      <c r="D342" s="31" t="n"/>
      <c r="E342" s="32" t="n"/>
      <c r="F342" s="32" t="n"/>
      <c r="G342" s="32" t="n"/>
      <c r="H342" s="36" t="n"/>
      <c r="I342" s="31" t="n"/>
      <c r="J342" s="38" t="n"/>
      <c r="K342" s="32" t="n"/>
      <c r="L342" s="34">
        <f>IF(OR(A342="",D342=""),"",IF(D342&gt;Config!$B$5,0,DATEDIF(D342,Config!$B$5,"m")))</f>
        <v/>
      </c>
      <c r="M342" s="39">
        <f>IF(A342="","",IF(K342&lt;&gt;"",K342,IF(OR(C342="",D342=""),"Sem dados",IFERROR(IF(C342="M",INDEX(Config!$B$11:$B$14,MATCH(L342,Config!$A$11:$A$14,1)),IF(C342="F",INDEX(Config!$C$11:$C$14,MATCH(L342,Config!$A$11:$A$14,1)),"Sem dados")),"Verificar"))))</f>
        <v/>
      </c>
      <c r="N342" s="39">
        <f>IF(A342="","",IF(COUNTIFS('Movimentações'!$C$6:$C$1505,A342,'Movimentações'!$B$6:$B$1505,"Venda")&gt;0,"Vendido",IF(COUNTIFS('Movimentações'!$C$6:$C$1505,A342,'Movimentações'!$B$6:$B$1505,"Morte")&gt;0,"Morto","Ativo")))</f>
        <v/>
      </c>
      <c r="O342" s="40">
        <f>IF(A342="","",IF(COUNTIF('Pesagens'!$B$6:$B$2005,A342)=0,"",SUMPRODUCT(MAX(('Pesagens'!$B$6:$B$2005=A342)*'Pesagens'!$A$6:$A$2005))))</f>
        <v/>
      </c>
      <c r="P342" s="41">
        <f>IF(A342="","",IF(O342="",IF(J342="","",J342),IFERROR(AVERAGEIFS('Pesagens'!$C$6:$C$2005,'Pesagens'!$B$6:$B$2005,A342,'Pesagens'!$A$6:$A$2005,O342),"")))</f>
        <v/>
      </c>
      <c r="Q342" s="42">
        <f>IF(OR(A342="",O342="",I342="",J342=""),"",IFERROR((P342-J342)/(O342-I342),""))</f>
        <v/>
      </c>
    </row>
    <row r="343">
      <c r="A343" s="36" t="n"/>
      <c r="B343" s="32" t="n"/>
      <c r="C343" s="37" t="n"/>
      <c r="D343" s="31" t="n"/>
      <c r="E343" s="32" t="n"/>
      <c r="F343" s="32" t="n"/>
      <c r="G343" s="32" t="n"/>
      <c r="H343" s="36" t="n"/>
      <c r="I343" s="31" t="n"/>
      <c r="J343" s="38" t="n"/>
      <c r="K343" s="32" t="n"/>
      <c r="L343" s="34">
        <f>IF(OR(A343="",D343=""),"",IF(D343&gt;Config!$B$5,0,DATEDIF(D343,Config!$B$5,"m")))</f>
        <v/>
      </c>
      <c r="M343" s="39">
        <f>IF(A343="","",IF(K343&lt;&gt;"",K343,IF(OR(C343="",D343=""),"Sem dados",IFERROR(IF(C343="M",INDEX(Config!$B$11:$B$14,MATCH(L343,Config!$A$11:$A$14,1)),IF(C343="F",INDEX(Config!$C$11:$C$14,MATCH(L343,Config!$A$11:$A$14,1)),"Sem dados")),"Verificar"))))</f>
        <v/>
      </c>
      <c r="N343" s="39">
        <f>IF(A343="","",IF(COUNTIFS('Movimentações'!$C$6:$C$1505,A343,'Movimentações'!$B$6:$B$1505,"Venda")&gt;0,"Vendido",IF(COUNTIFS('Movimentações'!$C$6:$C$1505,A343,'Movimentações'!$B$6:$B$1505,"Morte")&gt;0,"Morto","Ativo")))</f>
        <v/>
      </c>
      <c r="O343" s="40">
        <f>IF(A343="","",IF(COUNTIF('Pesagens'!$B$6:$B$2005,A343)=0,"",SUMPRODUCT(MAX(('Pesagens'!$B$6:$B$2005=A343)*'Pesagens'!$A$6:$A$2005))))</f>
        <v/>
      </c>
      <c r="P343" s="41">
        <f>IF(A343="","",IF(O343="",IF(J343="","",J343),IFERROR(AVERAGEIFS('Pesagens'!$C$6:$C$2005,'Pesagens'!$B$6:$B$2005,A343,'Pesagens'!$A$6:$A$2005,O343),"")))</f>
        <v/>
      </c>
      <c r="Q343" s="42">
        <f>IF(OR(A343="",O343="",I343="",J343=""),"",IFERROR((P343-J343)/(O343-I343),""))</f>
        <v/>
      </c>
    </row>
    <row r="344">
      <c r="A344" s="36" t="n"/>
      <c r="B344" s="32" t="n"/>
      <c r="C344" s="37" t="n"/>
      <c r="D344" s="31" t="n"/>
      <c r="E344" s="32" t="n"/>
      <c r="F344" s="32" t="n"/>
      <c r="G344" s="32" t="n"/>
      <c r="H344" s="36" t="n"/>
      <c r="I344" s="31" t="n"/>
      <c r="J344" s="38" t="n"/>
      <c r="K344" s="32" t="n"/>
      <c r="L344" s="34">
        <f>IF(OR(A344="",D344=""),"",IF(D344&gt;Config!$B$5,0,DATEDIF(D344,Config!$B$5,"m")))</f>
        <v/>
      </c>
      <c r="M344" s="39">
        <f>IF(A344="","",IF(K344&lt;&gt;"",K344,IF(OR(C344="",D344=""),"Sem dados",IFERROR(IF(C344="M",INDEX(Config!$B$11:$B$14,MATCH(L344,Config!$A$11:$A$14,1)),IF(C344="F",INDEX(Config!$C$11:$C$14,MATCH(L344,Config!$A$11:$A$14,1)),"Sem dados")),"Verificar"))))</f>
        <v/>
      </c>
      <c r="N344" s="39">
        <f>IF(A344="","",IF(COUNTIFS('Movimentações'!$C$6:$C$1505,A344,'Movimentações'!$B$6:$B$1505,"Venda")&gt;0,"Vendido",IF(COUNTIFS('Movimentações'!$C$6:$C$1505,A344,'Movimentações'!$B$6:$B$1505,"Morte")&gt;0,"Morto","Ativo")))</f>
        <v/>
      </c>
      <c r="O344" s="40">
        <f>IF(A344="","",IF(COUNTIF('Pesagens'!$B$6:$B$2005,A344)=0,"",SUMPRODUCT(MAX(('Pesagens'!$B$6:$B$2005=A344)*'Pesagens'!$A$6:$A$2005))))</f>
        <v/>
      </c>
      <c r="P344" s="41">
        <f>IF(A344="","",IF(O344="",IF(J344="","",J344),IFERROR(AVERAGEIFS('Pesagens'!$C$6:$C$2005,'Pesagens'!$B$6:$B$2005,A344,'Pesagens'!$A$6:$A$2005,O344),"")))</f>
        <v/>
      </c>
      <c r="Q344" s="42">
        <f>IF(OR(A344="",O344="",I344="",J344=""),"",IFERROR((P344-J344)/(O344-I344),""))</f>
        <v/>
      </c>
    </row>
    <row r="345">
      <c r="A345" s="36" t="n"/>
      <c r="B345" s="32" t="n"/>
      <c r="C345" s="37" t="n"/>
      <c r="D345" s="31" t="n"/>
      <c r="E345" s="32" t="n"/>
      <c r="F345" s="32" t="n"/>
      <c r="G345" s="32" t="n"/>
      <c r="H345" s="36" t="n"/>
      <c r="I345" s="31" t="n"/>
      <c r="J345" s="38" t="n"/>
      <c r="K345" s="32" t="n"/>
      <c r="L345" s="34">
        <f>IF(OR(A345="",D345=""),"",IF(D345&gt;Config!$B$5,0,DATEDIF(D345,Config!$B$5,"m")))</f>
        <v/>
      </c>
      <c r="M345" s="39">
        <f>IF(A345="","",IF(K345&lt;&gt;"",K345,IF(OR(C345="",D345=""),"Sem dados",IFERROR(IF(C345="M",INDEX(Config!$B$11:$B$14,MATCH(L345,Config!$A$11:$A$14,1)),IF(C345="F",INDEX(Config!$C$11:$C$14,MATCH(L345,Config!$A$11:$A$14,1)),"Sem dados")),"Verificar"))))</f>
        <v/>
      </c>
      <c r="N345" s="39">
        <f>IF(A345="","",IF(COUNTIFS('Movimentações'!$C$6:$C$1505,A345,'Movimentações'!$B$6:$B$1505,"Venda")&gt;0,"Vendido",IF(COUNTIFS('Movimentações'!$C$6:$C$1505,A345,'Movimentações'!$B$6:$B$1505,"Morte")&gt;0,"Morto","Ativo")))</f>
        <v/>
      </c>
      <c r="O345" s="40">
        <f>IF(A345="","",IF(COUNTIF('Pesagens'!$B$6:$B$2005,A345)=0,"",SUMPRODUCT(MAX(('Pesagens'!$B$6:$B$2005=A345)*'Pesagens'!$A$6:$A$2005))))</f>
        <v/>
      </c>
      <c r="P345" s="41">
        <f>IF(A345="","",IF(O345="",IF(J345="","",J345),IFERROR(AVERAGEIFS('Pesagens'!$C$6:$C$2005,'Pesagens'!$B$6:$B$2005,A345,'Pesagens'!$A$6:$A$2005,O345),"")))</f>
        <v/>
      </c>
      <c r="Q345" s="42">
        <f>IF(OR(A345="",O345="",I345="",J345=""),"",IFERROR((P345-J345)/(O345-I345),""))</f>
        <v/>
      </c>
    </row>
    <row r="346">
      <c r="A346" s="36" t="n"/>
      <c r="B346" s="32" t="n"/>
      <c r="C346" s="37" t="n"/>
      <c r="D346" s="31" t="n"/>
      <c r="E346" s="32" t="n"/>
      <c r="F346" s="32" t="n"/>
      <c r="G346" s="32" t="n"/>
      <c r="H346" s="36" t="n"/>
      <c r="I346" s="31" t="n"/>
      <c r="J346" s="38" t="n"/>
      <c r="K346" s="32" t="n"/>
      <c r="L346" s="34">
        <f>IF(OR(A346="",D346=""),"",IF(D346&gt;Config!$B$5,0,DATEDIF(D346,Config!$B$5,"m")))</f>
        <v/>
      </c>
      <c r="M346" s="39">
        <f>IF(A346="","",IF(K346&lt;&gt;"",K346,IF(OR(C346="",D346=""),"Sem dados",IFERROR(IF(C346="M",INDEX(Config!$B$11:$B$14,MATCH(L346,Config!$A$11:$A$14,1)),IF(C346="F",INDEX(Config!$C$11:$C$14,MATCH(L346,Config!$A$11:$A$14,1)),"Sem dados")),"Verificar"))))</f>
        <v/>
      </c>
      <c r="N346" s="39">
        <f>IF(A346="","",IF(COUNTIFS('Movimentações'!$C$6:$C$1505,A346,'Movimentações'!$B$6:$B$1505,"Venda")&gt;0,"Vendido",IF(COUNTIFS('Movimentações'!$C$6:$C$1505,A346,'Movimentações'!$B$6:$B$1505,"Morte")&gt;0,"Morto","Ativo")))</f>
        <v/>
      </c>
      <c r="O346" s="40">
        <f>IF(A346="","",IF(COUNTIF('Pesagens'!$B$6:$B$2005,A346)=0,"",SUMPRODUCT(MAX(('Pesagens'!$B$6:$B$2005=A346)*'Pesagens'!$A$6:$A$2005))))</f>
        <v/>
      </c>
      <c r="P346" s="41">
        <f>IF(A346="","",IF(O346="",IF(J346="","",J346),IFERROR(AVERAGEIFS('Pesagens'!$C$6:$C$2005,'Pesagens'!$B$6:$B$2005,A346,'Pesagens'!$A$6:$A$2005,O346),"")))</f>
        <v/>
      </c>
      <c r="Q346" s="42">
        <f>IF(OR(A346="",O346="",I346="",J346=""),"",IFERROR((P346-J346)/(O346-I346),""))</f>
        <v/>
      </c>
    </row>
    <row r="347">
      <c r="A347" s="36" t="n"/>
      <c r="B347" s="32" t="n"/>
      <c r="C347" s="37" t="n"/>
      <c r="D347" s="31" t="n"/>
      <c r="E347" s="32" t="n"/>
      <c r="F347" s="32" t="n"/>
      <c r="G347" s="32" t="n"/>
      <c r="H347" s="36" t="n"/>
      <c r="I347" s="31" t="n"/>
      <c r="J347" s="38" t="n"/>
      <c r="K347" s="32" t="n"/>
      <c r="L347" s="34">
        <f>IF(OR(A347="",D347=""),"",IF(D347&gt;Config!$B$5,0,DATEDIF(D347,Config!$B$5,"m")))</f>
        <v/>
      </c>
      <c r="M347" s="39">
        <f>IF(A347="","",IF(K347&lt;&gt;"",K347,IF(OR(C347="",D347=""),"Sem dados",IFERROR(IF(C347="M",INDEX(Config!$B$11:$B$14,MATCH(L347,Config!$A$11:$A$14,1)),IF(C347="F",INDEX(Config!$C$11:$C$14,MATCH(L347,Config!$A$11:$A$14,1)),"Sem dados")),"Verificar"))))</f>
        <v/>
      </c>
      <c r="N347" s="39">
        <f>IF(A347="","",IF(COUNTIFS('Movimentações'!$C$6:$C$1505,A347,'Movimentações'!$B$6:$B$1505,"Venda")&gt;0,"Vendido",IF(COUNTIFS('Movimentações'!$C$6:$C$1505,A347,'Movimentações'!$B$6:$B$1505,"Morte")&gt;0,"Morto","Ativo")))</f>
        <v/>
      </c>
      <c r="O347" s="40">
        <f>IF(A347="","",IF(COUNTIF('Pesagens'!$B$6:$B$2005,A347)=0,"",SUMPRODUCT(MAX(('Pesagens'!$B$6:$B$2005=A347)*'Pesagens'!$A$6:$A$2005))))</f>
        <v/>
      </c>
      <c r="P347" s="41">
        <f>IF(A347="","",IF(O347="",IF(J347="","",J347),IFERROR(AVERAGEIFS('Pesagens'!$C$6:$C$2005,'Pesagens'!$B$6:$B$2005,A347,'Pesagens'!$A$6:$A$2005,O347),"")))</f>
        <v/>
      </c>
      <c r="Q347" s="42">
        <f>IF(OR(A347="",O347="",I347="",J347=""),"",IFERROR((P347-J347)/(O347-I347),""))</f>
        <v/>
      </c>
    </row>
    <row r="348">
      <c r="A348" s="36" t="n"/>
      <c r="B348" s="32" t="n"/>
      <c r="C348" s="37" t="n"/>
      <c r="D348" s="31" t="n"/>
      <c r="E348" s="32" t="n"/>
      <c r="F348" s="32" t="n"/>
      <c r="G348" s="32" t="n"/>
      <c r="H348" s="36" t="n"/>
      <c r="I348" s="31" t="n"/>
      <c r="J348" s="38" t="n"/>
      <c r="K348" s="32" t="n"/>
      <c r="L348" s="34">
        <f>IF(OR(A348="",D348=""),"",IF(D348&gt;Config!$B$5,0,DATEDIF(D348,Config!$B$5,"m")))</f>
        <v/>
      </c>
      <c r="M348" s="39">
        <f>IF(A348="","",IF(K348&lt;&gt;"",K348,IF(OR(C348="",D348=""),"Sem dados",IFERROR(IF(C348="M",INDEX(Config!$B$11:$B$14,MATCH(L348,Config!$A$11:$A$14,1)),IF(C348="F",INDEX(Config!$C$11:$C$14,MATCH(L348,Config!$A$11:$A$14,1)),"Sem dados")),"Verificar"))))</f>
        <v/>
      </c>
      <c r="N348" s="39">
        <f>IF(A348="","",IF(COUNTIFS('Movimentações'!$C$6:$C$1505,A348,'Movimentações'!$B$6:$B$1505,"Venda")&gt;0,"Vendido",IF(COUNTIFS('Movimentações'!$C$6:$C$1505,A348,'Movimentações'!$B$6:$B$1505,"Morte")&gt;0,"Morto","Ativo")))</f>
        <v/>
      </c>
      <c r="O348" s="40">
        <f>IF(A348="","",IF(COUNTIF('Pesagens'!$B$6:$B$2005,A348)=0,"",SUMPRODUCT(MAX(('Pesagens'!$B$6:$B$2005=A348)*'Pesagens'!$A$6:$A$2005))))</f>
        <v/>
      </c>
      <c r="P348" s="41">
        <f>IF(A348="","",IF(O348="",IF(J348="","",J348),IFERROR(AVERAGEIFS('Pesagens'!$C$6:$C$2005,'Pesagens'!$B$6:$B$2005,A348,'Pesagens'!$A$6:$A$2005,O348),"")))</f>
        <v/>
      </c>
      <c r="Q348" s="42">
        <f>IF(OR(A348="",O348="",I348="",J348=""),"",IFERROR((P348-J348)/(O348-I348),""))</f>
        <v/>
      </c>
    </row>
    <row r="349">
      <c r="A349" s="36" t="n"/>
      <c r="B349" s="32" t="n"/>
      <c r="C349" s="37" t="n"/>
      <c r="D349" s="31" t="n"/>
      <c r="E349" s="32" t="n"/>
      <c r="F349" s="32" t="n"/>
      <c r="G349" s="32" t="n"/>
      <c r="H349" s="36" t="n"/>
      <c r="I349" s="31" t="n"/>
      <c r="J349" s="38" t="n"/>
      <c r="K349" s="32" t="n"/>
      <c r="L349" s="34">
        <f>IF(OR(A349="",D349=""),"",IF(D349&gt;Config!$B$5,0,DATEDIF(D349,Config!$B$5,"m")))</f>
        <v/>
      </c>
      <c r="M349" s="39">
        <f>IF(A349="","",IF(K349&lt;&gt;"",K349,IF(OR(C349="",D349=""),"Sem dados",IFERROR(IF(C349="M",INDEX(Config!$B$11:$B$14,MATCH(L349,Config!$A$11:$A$14,1)),IF(C349="F",INDEX(Config!$C$11:$C$14,MATCH(L349,Config!$A$11:$A$14,1)),"Sem dados")),"Verificar"))))</f>
        <v/>
      </c>
      <c r="N349" s="39">
        <f>IF(A349="","",IF(COUNTIFS('Movimentações'!$C$6:$C$1505,A349,'Movimentações'!$B$6:$B$1505,"Venda")&gt;0,"Vendido",IF(COUNTIFS('Movimentações'!$C$6:$C$1505,A349,'Movimentações'!$B$6:$B$1505,"Morte")&gt;0,"Morto","Ativo")))</f>
        <v/>
      </c>
      <c r="O349" s="40">
        <f>IF(A349="","",IF(COUNTIF('Pesagens'!$B$6:$B$2005,A349)=0,"",SUMPRODUCT(MAX(('Pesagens'!$B$6:$B$2005=A349)*'Pesagens'!$A$6:$A$2005))))</f>
        <v/>
      </c>
      <c r="P349" s="41">
        <f>IF(A349="","",IF(O349="",IF(J349="","",J349),IFERROR(AVERAGEIFS('Pesagens'!$C$6:$C$2005,'Pesagens'!$B$6:$B$2005,A349,'Pesagens'!$A$6:$A$2005,O349),"")))</f>
        <v/>
      </c>
      <c r="Q349" s="42">
        <f>IF(OR(A349="",O349="",I349="",J349=""),"",IFERROR((P349-J349)/(O349-I349),""))</f>
        <v/>
      </c>
    </row>
    <row r="350">
      <c r="A350" s="36" t="n"/>
      <c r="B350" s="32" t="n"/>
      <c r="C350" s="37" t="n"/>
      <c r="D350" s="31" t="n"/>
      <c r="E350" s="32" t="n"/>
      <c r="F350" s="32" t="n"/>
      <c r="G350" s="32" t="n"/>
      <c r="H350" s="36" t="n"/>
      <c r="I350" s="31" t="n"/>
      <c r="J350" s="38" t="n"/>
      <c r="K350" s="32" t="n"/>
      <c r="L350" s="34">
        <f>IF(OR(A350="",D350=""),"",IF(D350&gt;Config!$B$5,0,DATEDIF(D350,Config!$B$5,"m")))</f>
        <v/>
      </c>
      <c r="M350" s="39">
        <f>IF(A350="","",IF(K350&lt;&gt;"",K350,IF(OR(C350="",D350=""),"Sem dados",IFERROR(IF(C350="M",INDEX(Config!$B$11:$B$14,MATCH(L350,Config!$A$11:$A$14,1)),IF(C350="F",INDEX(Config!$C$11:$C$14,MATCH(L350,Config!$A$11:$A$14,1)),"Sem dados")),"Verificar"))))</f>
        <v/>
      </c>
      <c r="N350" s="39">
        <f>IF(A350="","",IF(COUNTIFS('Movimentações'!$C$6:$C$1505,A350,'Movimentações'!$B$6:$B$1505,"Venda")&gt;0,"Vendido",IF(COUNTIFS('Movimentações'!$C$6:$C$1505,A350,'Movimentações'!$B$6:$B$1505,"Morte")&gt;0,"Morto","Ativo")))</f>
        <v/>
      </c>
      <c r="O350" s="40">
        <f>IF(A350="","",IF(COUNTIF('Pesagens'!$B$6:$B$2005,A350)=0,"",SUMPRODUCT(MAX(('Pesagens'!$B$6:$B$2005=A350)*'Pesagens'!$A$6:$A$2005))))</f>
        <v/>
      </c>
      <c r="P350" s="41">
        <f>IF(A350="","",IF(O350="",IF(J350="","",J350),IFERROR(AVERAGEIFS('Pesagens'!$C$6:$C$2005,'Pesagens'!$B$6:$B$2005,A350,'Pesagens'!$A$6:$A$2005,O350),"")))</f>
        <v/>
      </c>
      <c r="Q350" s="42">
        <f>IF(OR(A350="",O350="",I350="",J350=""),"",IFERROR((P350-J350)/(O350-I350),""))</f>
        <v/>
      </c>
    </row>
    <row r="351">
      <c r="A351" s="36" t="n"/>
      <c r="B351" s="32" t="n"/>
      <c r="C351" s="37" t="n"/>
      <c r="D351" s="31" t="n"/>
      <c r="E351" s="32" t="n"/>
      <c r="F351" s="32" t="n"/>
      <c r="G351" s="32" t="n"/>
      <c r="H351" s="36" t="n"/>
      <c r="I351" s="31" t="n"/>
      <c r="J351" s="38" t="n"/>
      <c r="K351" s="32" t="n"/>
      <c r="L351" s="34">
        <f>IF(OR(A351="",D351=""),"",IF(D351&gt;Config!$B$5,0,DATEDIF(D351,Config!$B$5,"m")))</f>
        <v/>
      </c>
      <c r="M351" s="39">
        <f>IF(A351="","",IF(K351&lt;&gt;"",K351,IF(OR(C351="",D351=""),"Sem dados",IFERROR(IF(C351="M",INDEX(Config!$B$11:$B$14,MATCH(L351,Config!$A$11:$A$14,1)),IF(C351="F",INDEX(Config!$C$11:$C$14,MATCH(L351,Config!$A$11:$A$14,1)),"Sem dados")),"Verificar"))))</f>
        <v/>
      </c>
      <c r="N351" s="39">
        <f>IF(A351="","",IF(COUNTIFS('Movimentações'!$C$6:$C$1505,A351,'Movimentações'!$B$6:$B$1505,"Venda")&gt;0,"Vendido",IF(COUNTIFS('Movimentações'!$C$6:$C$1505,A351,'Movimentações'!$B$6:$B$1505,"Morte")&gt;0,"Morto","Ativo")))</f>
        <v/>
      </c>
      <c r="O351" s="40">
        <f>IF(A351="","",IF(COUNTIF('Pesagens'!$B$6:$B$2005,A351)=0,"",SUMPRODUCT(MAX(('Pesagens'!$B$6:$B$2005=A351)*'Pesagens'!$A$6:$A$2005))))</f>
        <v/>
      </c>
      <c r="P351" s="41">
        <f>IF(A351="","",IF(O351="",IF(J351="","",J351),IFERROR(AVERAGEIFS('Pesagens'!$C$6:$C$2005,'Pesagens'!$B$6:$B$2005,A351,'Pesagens'!$A$6:$A$2005,O351),"")))</f>
        <v/>
      </c>
      <c r="Q351" s="42">
        <f>IF(OR(A351="",O351="",I351="",J351=""),"",IFERROR((P351-J351)/(O351-I351),""))</f>
        <v/>
      </c>
    </row>
    <row r="352">
      <c r="A352" s="36" t="n"/>
      <c r="B352" s="32" t="n"/>
      <c r="C352" s="37" t="n"/>
      <c r="D352" s="31" t="n"/>
      <c r="E352" s="32" t="n"/>
      <c r="F352" s="32" t="n"/>
      <c r="G352" s="32" t="n"/>
      <c r="H352" s="36" t="n"/>
      <c r="I352" s="31" t="n"/>
      <c r="J352" s="38" t="n"/>
      <c r="K352" s="32" t="n"/>
      <c r="L352" s="34">
        <f>IF(OR(A352="",D352=""),"",IF(D352&gt;Config!$B$5,0,DATEDIF(D352,Config!$B$5,"m")))</f>
        <v/>
      </c>
      <c r="M352" s="39">
        <f>IF(A352="","",IF(K352&lt;&gt;"",K352,IF(OR(C352="",D352=""),"Sem dados",IFERROR(IF(C352="M",INDEX(Config!$B$11:$B$14,MATCH(L352,Config!$A$11:$A$14,1)),IF(C352="F",INDEX(Config!$C$11:$C$14,MATCH(L352,Config!$A$11:$A$14,1)),"Sem dados")),"Verificar"))))</f>
        <v/>
      </c>
      <c r="N352" s="39">
        <f>IF(A352="","",IF(COUNTIFS('Movimentações'!$C$6:$C$1505,A352,'Movimentações'!$B$6:$B$1505,"Venda")&gt;0,"Vendido",IF(COUNTIFS('Movimentações'!$C$6:$C$1505,A352,'Movimentações'!$B$6:$B$1505,"Morte")&gt;0,"Morto","Ativo")))</f>
        <v/>
      </c>
      <c r="O352" s="40">
        <f>IF(A352="","",IF(COUNTIF('Pesagens'!$B$6:$B$2005,A352)=0,"",SUMPRODUCT(MAX(('Pesagens'!$B$6:$B$2005=A352)*'Pesagens'!$A$6:$A$2005))))</f>
        <v/>
      </c>
      <c r="P352" s="41">
        <f>IF(A352="","",IF(O352="",IF(J352="","",J352),IFERROR(AVERAGEIFS('Pesagens'!$C$6:$C$2005,'Pesagens'!$B$6:$B$2005,A352,'Pesagens'!$A$6:$A$2005,O352),"")))</f>
        <v/>
      </c>
      <c r="Q352" s="42">
        <f>IF(OR(A352="",O352="",I352="",J352=""),"",IFERROR((P352-J352)/(O352-I352),""))</f>
        <v/>
      </c>
    </row>
    <row r="353">
      <c r="A353" s="36" t="n"/>
      <c r="B353" s="32" t="n"/>
      <c r="C353" s="37" t="n"/>
      <c r="D353" s="31" t="n"/>
      <c r="E353" s="32" t="n"/>
      <c r="F353" s="32" t="n"/>
      <c r="G353" s="32" t="n"/>
      <c r="H353" s="36" t="n"/>
      <c r="I353" s="31" t="n"/>
      <c r="J353" s="38" t="n"/>
      <c r="K353" s="32" t="n"/>
      <c r="L353" s="34">
        <f>IF(OR(A353="",D353=""),"",IF(D353&gt;Config!$B$5,0,DATEDIF(D353,Config!$B$5,"m")))</f>
        <v/>
      </c>
      <c r="M353" s="39">
        <f>IF(A353="","",IF(K353&lt;&gt;"",K353,IF(OR(C353="",D353=""),"Sem dados",IFERROR(IF(C353="M",INDEX(Config!$B$11:$B$14,MATCH(L353,Config!$A$11:$A$14,1)),IF(C353="F",INDEX(Config!$C$11:$C$14,MATCH(L353,Config!$A$11:$A$14,1)),"Sem dados")),"Verificar"))))</f>
        <v/>
      </c>
      <c r="N353" s="39">
        <f>IF(A353="","",IF(COUNTIFS('Movimentações'!$C$6:$C$1505,A353,'Movimentações'!$B$6:$B$1505,"Venda")&gt;0,"Vendido",IF(COUNTIFS('Movimentações'!$C$6:$C$1505,A353,'Movimentações'!$B$6:$B$1505,"Morte")&gt;0,"Morto","Ativo")))</f>
        <v/>
      </c>
      <c r="O353" s="40">
        <f>IF(A353="","",IF(COUNTIF('Pesagens'!$B$6:$B$2005,A353)=0,"",SUMPRODUCT(MAX(('Pesagens'!$B$6:$B$2005=A353)*'Pesagens'!$A$6:$A$2005))))</f>
        <v/>
      </c>
      <c r="P353" s="41">
        <f>IF(A353="","",IF(O353="",IF(J353="","",J353),IFERROR(AVERAGEIFS('Pesagens'!$C$6:$C$2005,'Pesagens'!$B$6:$B$2005,A353,'Pesagens'!$A$6:$A$2005,O353),"")))</f>
        <v/>
      </c>
      <c r="Q353" s="42">
        <f>IF(OR(A353="",O353="",I353="",J353=""),"",IFERROR((P353-J353)/(O353-I353),""))</f>
        <v/>
      </c>
    </row>
    <row r="354">
      <c r="A354" s="36" t="n"/>
      <c r="B354" s="32" t="n"/>
      <c r="C354" s="37" t="n"/>
      <c r="D354" s="31" t="n"/>
      <c r="E354" s="32" t="n"/>
      <c r="F354" s="32" t="n"/>
      <c r="G354" s="32" t="n"/>
      <c r="H354" s="36" t="n"/>
      <c r="I354" s="31" t="n"/>
      <c r="J354" s="38" t="n"/>
      <c r="K354" s="32" t="n"/>
      <c r="L354" s="34">
        <f>IF(OR(A354="",D354=""),"",IF(D354&gt;Config!$B$5,0,DATEDIF(D354,Config!$B$5,"m")))</f>
        <v/>
      </c>
      <c r="M354" s="39">
        <f>IF(A354="","",IF(K354&lt;&gt;"",K354,IF(OR(C354="",D354=""),"Sem dados",IFERROR(IF(C354="M",INDEX(Config!$B$11:$B$14,MATCH(L354,Config!$A$11:$A$14,1)),IF(C354="F",INDEX(Config!$C$11:$C$14,MATCH(L354,Config!$A$11:$A$14,1)),"Sem dados")),"Verificar"))))</f>
        <v/>
      </c>
      <c r="N354" s="39">
        <f>IF(A354="","",IF(COUNTIFS('Movimentações'!$C$6:$C$1505,A354,'Movimentações'!$B$6:$B$1505,"Venda")&gt;0,"Vendido",IF(COUNTIFS('Movimentações'!$C$6:$C$1505,A354,'Movimentações'!$B$6:$B$1505,"Morte")&gt;0,"Morto","Ativo")))</f>
        <v/>
      </c>
      <c r="O354" s="40">
        <f>IF(A354="","",IF(COUNTIF('Pesagens'!$B$6:$B$2005,A354)=0,"",SUMPRODUCT(MAX(('Pesagens'!$B$6:$B$2005=A354)*'Pesagens'!$A$6:$A$2005))))</f>
        <v/>
      </c>
      <c r="P354" s="41">
        <f>IF(A354="","",IF(O354="",IF(J354="","",J354),IFERROR(AVERAGEIFS('Pesagens'!$C$6:$C$2005,'Pesagens'!$B$6:$B$2005,A354,'Pesagens'!$A$6:$A$2005,O354),"")))</f>
        <v/>
      </c>
      <c r="Q354" s="42">
        <f>IF(OR(A354="",O354="",I354="",J354=""),"",IFERROR((P354-J354)/(O354-I354),""))</f>
        <v/>
      </c>
    </row>
    <row r="355">
      <c r="A355" s="36" t="n"/>
      <c r="B355" s="32" t="n"/>
      <c r="C355" s="37" t="n"/>
      <c r="D355" s="31" t="n"/>
      <c r="E355" s="32" t="n"/>
      <c r="F355" s="32" t="n"/>
      <c r="G355" s="32" t="n"/>
      <c r="H355" s="36" t="n"/>
      <c r="I355" s="31" t="n"/>
      <c r="J355" s="38" t="n"/>
      <c r="K355" s="32" t="n"/>
      <c r="L355" s="34">
        <f>IF(OR(A355="",D355=""),"",IF(D355&gt;Config!$B$5,0,DATEDIF(D355,Config!$B$5,"m")))</f>
        <v/>
      </c>
      <c r="M355" s="39">
        <f>IF(A355="","",IF(K355&lt;&gt;"",K355,IF(OR(C355="",D355=""),"Sem dados",IFERROR(IF(C355="M",INDEX(Config!$B$11:$B$14,MATCH(L355,Config!$A$11:$A$14,1)),IF(C355="F",INDEX(Config!$C$11:$C$14,MATCH(L355,Config!$A$11:$A$14,1)),"Sem dados")),"Verificar"))))</f>
        <v/>
      </c>
      <c r="N355" s="39">
        <f>IF(A355="","",IF(COUNTIFS('Movimentações'!$C$6:$C$1505,A355,'Movimentações'!$B$6:$B$1505,"Venda")&gt;0,"Vendido",IF(COUNTIFS('Movimentações'!$C$6:$C$1505,A355,'Movimentações'!$B$6:$B$1505,"Morte")&gt;0,"Morto","Ativo")))</f>
        <v/>
      </c>
      <c r="O355" s="40">
        <f>IF(A355="","",IF(COUNTIF('Pesagens'!$B$6:$B$2005,A355)=0,"",SUMPRODUCT(MAX(('Pesagens'!$B$6:$B$2005=A355)*'Pesagens'!$A$6:$A$2005))))</f>
        <v/>
      </c>
      <c r="P355" s="41">
        <f>IF(A355="","",IF(O355="",IF(J355="","",J355),IFERROR(AVERAGEIFS('Pesagens'!$C$6:$C$2005,'Pesagens'!$B$6:$B$2005,A355,'Pesagens'!$A$6:$A$2005,O355),"")))</f>
        <v/>
      </c>
      <c r="Q355" s="42">
        <f>IF(OR(A355="",O355="",I355="",J355=""),"",IFERROR((P355-J355)/(O355-I355),""))</f>
        <v/>
      </c>
    </row>
    <row r="356">
      <c r="A356" s="36" t="n"/>
      <c r="B356" s="32" t="n"/>
      <c r="C356" s="37" t="n"/>
      <c r="D356" s="31" t="n"/>
      <c r="E356" s="32" t="n"/>
      <c r="F356" s="32" t="n"/>
      <c r="G356" s="32" t="n"/>
      <c r="H356" s="36" t="n"/>
      <c r="I356" s="31" t="n"/>
      <c r="J356" s="38" t="n"/>
      <c r="K356" s="32" t="n"/>
      <c r="L356" s="34">
        <f>IF(OR(A356="",D356=""),"",IF(D356&gt;Config!$B$5,0,DATEDIF(D356,Config!$B$5,"m")))</f>
        <v/>
      </c>
      <c r="M356" s="39">
        <f>IF(A356="","",IF(K356&lt;&gt;"",K356,IF(OR(C356="",D356=""),"Sem dados",IFERROR(IF(C356="M",INDEX(Config!$B$11:$B$14,MATCH(L356,Config!$A$11:$A$14,1)),IF(C356="F",INDEX(Config!$C$11:$C$14,MATCH(L356,Config!$A$11:$A$14,1)),"Sem dados")),"Verificar"))))</f>
        <v/>
      </c>
      <c r="N356" s="39">
        <f>IF(A356="","",IF(COUNTIFS('Movimentações'!$C$6:$C$1505,A356,'Movimentações'!$B$6:$B$1505,"Venda")&gt;0,"Vendido",IF(COUNTIFS('Movimentações'!$C$6:$C$1505,A356,'Movimentações'!$B$6:$B$1505,"Morte")&gt;0,"Morto","Ativo")))</f>
        <v/>
      </c>
      <c r="O356" s="40">
        <f>IF(A356="","",IF(COUNTIF('Pesagens'!$B$6:$B$2005,A356)=0,"",SUMPRODUCT(MAX(('Pesagens'!$B$6:$B$2005=A356)*'Pesagens'!$A$6:$A$2005))))</f>
        <v/>
      </c>
      <c r="P356" s="41">
        <f>IF(A356="","",IF(O356="",IF(J356="","",J356),IFERROR(AVERAGEIFS('Pesagens'!$C$6:$C$2005,'Pesagens'!$B$6:$B$2005,A356,'Pesagens'!$A$6:$A$2005,O356),"")))</f>
        <v/>
      </c>
      <c r="Q356" s="42">
        <f>IF(OR(A356="",O356="",I356="",J356=""),"",IFERROR((P356-J356)/(O356-I356),""))</f>
        <v/>
      </c>
    </row>
    <row r="357">
      <c r="A357" s="36" t="n"/>
      <c r="B357" s="32" t="n"/>
      <c r="C357" s="37" t="n"/>
      <c r="D357" s="31" t="n"/>
      <c r="E357" s="32" t="n"/>
      <c r="F357" s="32" t="n"/>
      <c r="G357" s="32" t="n"/>
      <c r="H357" s="36" t="n"/>
      <c r="I357" s="31" t="n"/>
      <c r="J357" s="38" t="n"/>
      <c r="K357" s="32" t="n"/>
      <c r="L357" s="34">
        <f>IF(OR(A357="",D357=""),"",IF(D357&gt;Config!$B$5,0,DATEDIF(D357,Config!$B$5,"m")))</f>
        <v/>
      </c>
      <c r="M357" s="39">
        <f>IF(A357="","",IF(K357&lt;&gt;"",K357,IF(OR(C357="",D357=""),"Sem dados",IFERROR(IF(C357="M",INDEX(Config!$B$11:$B$14,MATCH(L357,Config!$A$11:$A$14,1)),IF(C357="F",INDEX(Config!$C$11:$C$14,MATCH(L357,Config!$A$11:$A$14,1)),"Sem dados")),"Verificar"))))</f>
        <v/>
      </c>
      <c r="N357" s="39">
        <f>IF(A357="","",IF(COUNTIFS('Movimentações'!$C$6:$C$1505,A357,'Movimentações'!$B$6:$B$1505,"Venda")&gt;0,"Vendido",IF(COUNTIFS('Movimentações'!$C$6:$C$1505,A357,'Movimentações'!$B$6:$B$1505,"Morte")&gt;0,"Morto","Ativo")))</f>
        <v/>
      </c>
      <c r="O357" s="40">
        <f>IF(A357="","",IF(COUNTIF('Pesagens'!$B$6:$B$2005,A357)=0,"",SUMPRODUCT(MAX(('Pesagens'!$B$6:$B$2005=A357)*'Pesagens'!$A$6:$A$2005))))</f>
        <v/>
      </c>
      <c r="P357" s="41">
        <f>IF(A357="","",IF(O357="",IF(J357="","",J357),IFERROR(AVERAGEIFS('Pesagens'!$C$6:$C$2005,'Pesagens'!$B$6:$B$2005,A357,'Pesagens'!$A$6:$A$2005,O357),"")))</f>
        <v/>
      </c>
      <c r="Q357" s="42">
        <f>IF(OR(A357="",O357="",I357="",J357=""),"",IFERROR((P357-J357)/(O357-I357),""))</f>
        <v/>
      </c>
    </row>
    <row r="358">
      <c r="A358" s="36" t="n"/>
      <c r="B358" s="32" t="n"/>
      <c r="C358" s="37" t="n"/>
      <c r="D358" s="31" t="n"/>
      <c r="E358" s="32" t="n"/>
      <c r="F358" s="32" t="n"/>
      <c r="G358" s="32" t="n"/>
      <c r="H358" s="36" t="n"/>
      <c r="I358" s="31" t="n"/>
      <c r="J358" s="38" t="n"/>
      <c r="K358" s="32" t="n"/>
      <c r="L358" s="34">
        <f>IF(OR(A358="",D358=""),"",IF(D358&gt;Config!$B$5,0,DATEDIF(D358,Config!$B$5,"m")))</f>
        <v/>
      </c>
      <c r="M358" s="39">
        <f>IF(A358="","",IF(K358&lt;&gt;"",K358,IF(OR(C358="",D358=""),"Sem dados",IFERROR(IF(C358="M",INDEX(Config!$B$11:$B$14,MATCH(L358,Config!$A$11:$A$14,1)),IF(C358="F",INDEX(Config!$C$11:$C$14,MATCH(L358,Config!$A$11:$A$14,1)),"Sem dados")),"Verificar"))))</f>
        <v/>
      </c>
      <c r="N358" s="39">
        <f>IF(A358="","",IF(COUNTIFS('Movimentações'!$C$6:$C$1505,A358,'Movimentações'!$B$6:$B$1505,"Venda")&gt;0,"Vendido",IF(COUNTIFS('Movimentações'!$C$6:$C$1505,A358,'Movimentações'!$B$6:$B$1505,"Morte")&gt;0,"Morto","Ativo")))</f>
        <v/>
      </c>
      <c r="O358" s="40">
        <f>IF(A358="","",IF(COUNTIF('Pesagens'!$B$6:$B$2005,A358)=0,"",SUMPRODUCT(MAX(('Pesagens'!$B$6:$B$2005=A358)*'Pesagens'!$A$6:$A$2005))))</f>
        <v/>
      </c>
      <c r="P358" s="41">
        <f>IF(A358="","",IF(O358="",IF(J358="","",J358),IFERROR(AVERAGEIFS('Pesagens'!$C$6:$C$2005,'Pesagens'!$B$6:$B$2005,A358,'Pesagens'!$A$6:$A$2005,O358),"")))</f>
        <v/>
      </c>
      <c r="Q358" s="42">
        <f>IF(OR(A358="",O358="",I358="",J358=""),"",IFERROR((P358-J358)/(O358-I358),""))</f>
        <v/>
      </c>
    </row>
    <row r="359">
      <c r="A359" s="36" t="n"/>
      <c r="B359" s="32" t="n"/>
      <c r="C359" s="37" t="n"/>
      <c r="D359" s="31" t="n"/>
      <c r="E359" s="32" t="n"/>
      <c r="F359" s="32" t="n"/>
      <c r="G359" s="32" t="n"/>
      <c r="H359" s="36" t="n"/>
      <c r="I359" s="31" t="n"/>
      <c r="J359" s="38" t="n"/>
      <c r="K359" s="32" t="n"/>
      <c r="L359" s="34">
        <f>IF(OR(A359="",D359=""),"",IF(D359&gt;Config!$B$5,0,DATEDIF(D359,Config!$B$5,"m")))</f>
        <v/>
      </c>
      <c r="M359" s="39">
        <f>IF(A359="","",IF(K359&lt;&gt;"",K359,IF(OR(C359="",D359=""),"Sem dados",IFERROR(IF(C359="M",INDEX(Config!$B$11:$B$14,MATCH(L359,Config!$A$11:$A$14,1)),IF(C359="F",INDEX(Config!$C$11:$C$14,MATCH(L359,Config!$A$11:$A$14,1)),"Sem dados")),"Verificar"))))</f>
        <v/>
      </c>
      <c r="N359" s="39">
        <f>IF(A359="","",IF(COUNTIFS('Movimentações'!$C$6:$C$1505,A359,'Movimentações'!$B$6:$B$1505,"Venda")&gt;0,"Vendido",IF(COUNTIFS('Movimentações'!$C$6:$C$1505,A359,'Movimentações'!$B$6:$B$1505,"Morte")&gt;0,"Morto","Ativo")))</f>
        <v/>
      </c>
      <c r="O359" s="40">
        <f>IF(A359="","",IF(COUNTIF('Pesagens'!$B$6:$B$2005,A359)=0,"",SUMPRODUCT(MAX(('Pesagens'!$B$6:$B$2005=A359)*'Pesagens'!$A$6:$A$2005))))</f>
        <v/>
      </c>
      <c r="P359" s="41">
        <f>IF(A359="","",IF(O359="",IF(J359="","",J359),IFERROR(AVERAGEIFS('Pesagens'!$C$6:$C$2005,'Pesagens'!$B$6:$B$2005,A359,'Pesagens'!$A$6:$A$2005,O359),"")))</f>
        <v/>
      </c>
      <c r="Q359" s="42">
        <f>IF(OR(A359="",O359="",I359="",J359=""),"",IFERROR((P359-J359)/(O359-I359),""))</f>
        <v/>
      </c>
    </row>
    <row r="360">
      <c r="A360" s="36" t="n"/>
      <c r="B360" s="32" t="n"/>
      <c r="C360" s="37" t="n"/>
      <c r="D360" s="31" t="n"/>
      <c r="E360" s="32" t="n"/>
      <c r="F360" s="32" t="n"/>
      <c r="G360" s="32" t="n"/>
      <c r="H360" s="36" t="n"/>
      <c r="I360" s="31" t="n"/>
      <c r="J360" s="38" t="n"/>
      <c r="K360" s="32" t="n"/>
      <c r="L360" s="34">
        <f>IF(OR(A360="",D360=""),"",IF(D360&gt;Config!$B$5,0,DATEDIF(D360,Config!$B$5,"m")))</f>
        <v/>
      </c>
      <c r="M360" s="39">
        <f>IF(A360="","",IF(K360&lt;&gt;"",K360,IF(OR(C360="",D360=""),"Sem dados",IFERROR(IF(C360="M",INDEX(Config!$B$11:$B$14,MATCH(L360,Config!$A$11:$A$14,1)),IF(C360="F",INDEX(Config!$C$11:$C$14,MATCH(L360,Config!$A$11:$A$14,1)),"Sem dados")),"Verificar"))))</f>
        <v/>
      </c>
      <c r="N360" s="39">
        <f>IF(A360="","",IF(COUNTIFS('Movimentações'!$C$6:$C$1505,A360,'Movimentações'!$B$6:$B$1505,"Venda")&gt;0,"Vendido",IF(COUNTIFS('Movimentações'!$C$6:$C$1505,A360,'Movimentações'!$B$6:$B$1505,"Morte")&gt;0,"Morto","Ativo")))</f>
        <v/>
      </c>
      <c r="O360" s="40">
        <f>IF(A360="","",IF(COUNTIF('Pesagens'!$B$6:$B$2005,A360)=0,"",SUMPRODUCT(MAX(('Pesagens'!$B$6:$B$2005=A360)*'Pesagens'!$A$6:$A$2005))))</f>
        <v/>
      </c>
      <c r="P360" s="41">
        <f>IF(A360="","",IF(O360="",IF(J360="","",J360),IFERROR(AVERAGEIFS('Pesagens'!$C$6:$C$2005,'Pesagens'!$B$6:$B$2005,A360,'Pesagens'!$A$6:$A$2005,O360),"")))</f>
        <v/>
      </c>
      <c r="Q360" s="42">
        <f>IF(OR(A360="",O360="",I360="",J360=""),"",IFERROR((P360-J360)/(O360-I360),""))</f>
        <v/>
      </c>
    </row>
    <row r="361">
      <c r="A361" s="36" t="n"/>
      <c r="B361" s="32" t="n"/>
      <c r="C361" s="37" t="n"/>
      <c r="D361" s="31" t="n"/>
      <c r="E361" s="32" t="n"/>
      <c r="F361" s="32" t="n"/>
      <c r="G361" s="32" t="n"/>
      <c r="H361" s="36" t="n"/>
      <c r="I361" s="31" t="n"/>
      <c r="J361" s="38" t="n"/>
      <c r="K361" s="32" t="n"/>
      <c r="L361" s="34">
        <f>IF(OR(A361="",D361=""),"",IF(D361&gt;Config!$B$5,0,DATEDIF(D361,Config!$B$5,"m")))</f>
        <v/>
      </c>
      <c r="M361" s="39">
        <f>IF(A361="","",IF(K361&lt;&gt;"",K361,IF(OR(C361="",D361=""),"Sem dados",IFERROR(IF(C361="M",INDEX(Config!$B$11:$B$14,MATCH(L361,Config!$A$11:$A$14,1)),IF(C361="F",INDEX(Config!$C$11:$C$14,MATCH(L361,Config!$A$11:$A$14,1)),"Sem dados")),"Verificar"))))</f>
        <v/>
      </c>
      <c r="N361" s="39">
        <f>IF(A361="","",IF(COUNTIFS('Movimentações'!$C$6:$C$1505,A361,'Movimentações'!$B$6:$B$1505,"Venda")&gt;0,"Vendido",IF(COUNTIFS('Movimentações'!$C$6:$C$1505,A361,'Movimentações'!$B$6:$B$1505,"Morte")&gt;0,"Morto","Ativo")))</f>
        <v/>
      </c>
      <c r="O361" s="40">
        <f>IF(A361="","",IF(COUNTIF('Pesagens'!$B$6:$B$2005,A361)=0,"",SUMPRODUCT(MAX(('Pesagens'!$B$6:$B$2005=A361)*'Pesagens'!$A$6:$A$2005))))</f>
        <v/>
      </c>
      <c r="P361" s="41">
        <f>IF(A361="","",IF(O361="",IF(J361="","",J361),IFERROR(AVERAGEIFS('Pesagens'!$C$6:$C$2005,'Pesagens'!$B$6:$B$2005,A361,'Pesagens'!$A$6:$A$2005,O361),"")))</f>
        <v/>
      </c>
      <c r="Q361" s="42">
        <f>IF(OR(A361="",O361="",I361="",J361=""),"",IFERROR((P361-J361)/(O361-I361),""))</f>
        <v/>
      </c>
    </row>
    <row r="362">
      <c r="A362" s="36" t="n"/>
      <c r="B362" s="32" t="n"/>
      <c r="C362" s="37" t="n"/>
      <c r="D362" s="31" t="n"/>
      <c r="E362" s="32" t="n"/>
      <c r="F362" s="32" t="n"/>
      <c r="G362" s="32" t="n"/>
      <c r="H362" s="36" t="n"/>
      <c r="I362" s="31" t="n"/>
      <c r="J362" s="38" t="n"/>
      <c r="K362" s="32" t="n"/>
      <c r="L362" s="34">
        <f>IF(OR(A362="",D362=""),"",IF(D362&gt;Config!$B$5,0,DATEDIF(D362,Config!$B$5,"m")))</f>
        <v/>
      </c>
      <c r="M362" s="39">
        <f>IF(A362="","",IF(K362&lt;&gt;"",K362,IF(OR(C362="",D362=""),"Sem dados",IFERROR(IF(C362="M",INDEX(Config!$B$11:$B$14,MATCH(L362,Config!$A$11:$A$14,1)),IF(C362="F",INDEX(Config!$C$11:$C$14,MATCH(L362,Config!$A$11:$A$14,1)),"Sem dados")),"Verificar"))))</f>
        <v/>
      </c>
      <c r="N362" s="39">
        <f>IF(A362="","",IF(COUNTIFS('Movimentações'!$C$6:$C$1505,A362,'Movimentações'!$B$6:$B$1505,"Venda")&gt;0,"Vendido",IF(COUNTIFS('Movimentações'!$C$6:$C$1505,A362,'Movimentações'!$B$6:$B$1505,"Morte")&gt;0,"Morto","Ativo")))</f>
        <v/>
      </c>
      <c r="O362" s="40">
        <f>IF(A362="","",IF(COUNTIF('Pesagens'!$B$6:$B$2005,A362)=0,"",SUMPRODUCT(MAX(('Pesagens'!$B$6:$B$2005=A362)*'Pesagens'!$A$6:$A$2005))))</f>
        <v/>
      </c>
      <c r="P362" s="41">
        <f>IF(A362="","",IF(O362="",IF(J362="","",J362),IFERROR(AVERAGEIFS('Pesagens'!$C$6:$C$2005,'Pesagens'!$B$6:$B$2005,A362,'Pesagens'!$A$6:$A$2005,O362),"")))</f>
        <v/>
      </c>
      <c r="Q362" s="42">
        <f>IF(OR(A362="",O362="",I362="",J362=""),"",IFERROR((P362-J362)/(O362-I362),""))</f>
        <v/>
      </c>
    </row>
    <row r="363">
      <c r="A363" s="36" t="n"/>
      <c r="B363" s="32" t="n"/>
      <c r="C363" s="37" t="n"/>
      <c r="D363" s="31" t="n"/>
      <c r="E363" s="32" t="n"/>
      <c r="F363" s="32" t="n"/>
      <c r="G363" s="32" t="n"/>
      <c r="H363" s="36" t="n"/>
      <c r="I363" s="31" t="n"/>
      <c r="J363" s="38" t="n"/>
      <c r="K363" s="32" t="n"/>
      <c r="L363" s="34">
        <f>IF(OR(A363="",D363=""),"",IF(D363&gt;Config!$B$5,0,DATEDIF(D363,Config!$B$5,"m")))</f>
        <v/>
      </c>
      <c r="M363" s="39">
        <f>IF(A363="","",IF(K363&lt;&gt;"",K363,IF(OR(C363="",D363=""),"Sem dados",IFERROR(IF(C363="M",INDEX(Config!$B$11:$B$14,MATCH(L363,Config!$A$11:$A$14,1)),IF(C363="F",INDEX(Config!$C$11:$C$14,MATCH(L363,Config!$A$11:$A$14,1)),"Sem dados")),"Verificar"))))</f>
        <v/>
      </c>
      <c r="N363" s="39">
        <f>IF(A363="","",IF(COUNTIFS('Movimentações'!$C$6:$C$1505,A363,'Movimentações'!$B$6:$B$1505,"Venda")&gt;0,"Vendido",IF(COUNTIFS('Movimentações'!$C$6:$C$1505,A363,'Movimentações'!$B$6:$B$1505,"Morte")&gt;0,"Morto","Ativo")))</f>
        <v/>
      </c>
      <c r="O363" s="40">
        <f>IF(A363="","",IF(COUNTIF('Pesagens'!$B$6:$B$2005,A363)=0,"",SUMPRODUCT(MAX(('Pesagens'!$B$6:$B$2005=A363)*'Pesagens'!$A$6:$A$2005))))</f>
        <v/>
      </c>
      <c r="P363" s="41">
        <f>IF(A363="","",IF(O363="",IF(J363="","",J363),IFERROR(AVERAGEIFS('Pesagens'!$C$6:$C$2005,'Pesagens'!$B$6:$B$2005,A363,'Pesagens'!$A$6:$A$2005,O363),"")))</f>
        <v/>
      </c>
      <c r="Q363" s="42">
        <f>IF(OR(A363="",O363="",I363="",J363=""),"",IFERROR((P363-J363)/(O363-I363),""))</f>
        <v/>
      </c>
    </row>
    <row r="364">
      <c r="A364" s="36" t="n"/>
      <c r="B364" s="32" t="n"/>
      <c r="C364" s="37" t="n"/>
      <c r="D364" s="31" t="n"/>
      <c r="E364" s="32" t="n"/>
      <c r="F364" s="32" t="n"/>
      <c r="G364" s="32" t="n"/>
      <c r="H364" s="36" t="n"/>
      <c r="I364" s="31" t="n"/>
      <c r="J364" s="38" t="n"/>
      <c r="K364" s="32" t="n"/>
      <c r="L364" s="34">
        <f>IF(OR(A364="",D364=""),"",IF(D364&gt;Config!$B$5,0,DATEDIF(D364,Config!$B$5,"m")))</f>
        <v/>
      </c>
      <c r="M364" s="39">
        <f>IF(A364="","",IF(K364&lt;&gt;"",K364,IF(OR(C364="",D364=""),"Sem dados",IFERROR(IF(C364="M",INDEX(Config!$B$11:$B$14,MATCH(L364,Config!$A$11:$A$14,1)),IF(C364="F",INDEX(Config!$C$11:$C$14,MATCH(L364,Config!$A$11:$A$14,1)),"Sem dados")),"Verificar"))))</f>
        <v/>
      </c>
      <c r="N364" s="39">
        <f>IF(A364="","",IF(COUNTIFS('Movimentações'!$C$6:$C$1505,A364,'Movimentações'!$B$6:$B$1505,"Venda")&gt;0,"Vendido",IF(COUNTIFS('Movimentações'!$C$6:$C$1505,A364,'Movimentações'!$B$6:$B$1505,"Morte")&gt;0,"Morto","Ativo")))</f>
        <v/>
      </c>
      <c r="O364" s="40">
        <f>IF(A364="","",IF(COUNTIF('Pesagens'!$B$6:$B$2005,A364)=0,"",SUMPRODUCT(MAX(('Pesagens'!$B$6:$B$2005=A364)*'Pesagens'!$A$6:$A$2005))))</f>
        <v/>
      </c>
      <c r="P364" s="41">
        <f>IF(A364="","",IF(O364="",IF(J364="","",J364),IFERROR(AVERAGEIFS('Pesagens'!$C$6:$C$2005,'Pesagens'!$B$6:$B$2005,A364,'Pesagens'!$A$6:$A$2005,O364),"")))</f>
        <v/>
      </c>
      <c r="Q364" s="42">
        <f>IF(OR(A364="",O364="",I364="",J364=""),"",IFERROR((P364-J364)/(O364-I364),""))</f>
        <v/>
      </c>
    </row>
    <row r="365">
      <c r="A365" s="36" t="n"/>
      <c r="B365" s="32" t="n"/>
      <c r="C365" s="37" t="n"/>
      <c r="D365" s="31" t="n"/>
      <c r="E365" s="32" t="n"/>
      <c r="F365" s="32" t="n"/>
      <c r="G365" s="32" t="n"/>
      <c r="H365" s="36" t="n"/>
      <c r="I365" s="31" t="n"/>
      <c r="J365" s="38" t="n"/>
      <c r="K365" s="32" t="n"/>
      <c r="L365" s="34">
        <f>IF(OR(A365="",D365=""),"",IF(D365&gt;Config!$B$5,0,DATEDIF(D365,Config!$B$5,"m")))</f>
        <v/>
      </c>
      <c r="M365" s="39">
        <f>IF(A365="","",IF(K365&lt;&gt;"",K365,IF(OR(C365="",D365=""),"Sem dados",IFERROR(IF(C365="M",INDEX(Config!$B$11:$B$14,MATCH(L365,Config!$A$11:$A$14,1)),IF(C365="F",INDEX(Config!$C$11:$C$14,MATCH(L365,Config!$A$11:$A$14,1)),"Sem dados")),"Verificar"))))</f>
        <v/>
      </c>
      <c r="N365" s="39">
        <f>IF(A365="","",IF(COUNTIFS('Movimentações'!$C$6:$C$1505,A365,'Movimentações'!$B$6:$B$1505,"Venda")&gt;0,"Vendido",IF(COUNTIFS('Movimentações'!$C$6:$C$1505,A365,'Movimentações'!$B$6:$B$1505,"Morte")&gt;0,"Morto","Ativo")))</f>
        <v/>
      </c>
      <c r="O365" s="40">
        <f>IF(A365="","",IF(COUNTIF('Pesagens'!$B$6:$B$2005,A365)=0,"",SUMPRODUCT(MAX(('Pesagens'!$B$6:$B$2005=A365)*'Pesagens'!$A$6:$A$2005))))</f>
        <v/>
      </c>
      <c r="P365" s="41">
        <f>IF(A365="","",IF(O365="",IF(J365="","",J365),IFERROR(AVERAGEIFS('Pesagens'!$C$6:$C$2005,'Pesagens'!$B$6:$B$2005,A365,'Pesagens'!$A$6:$A$2005,O365),"")))</f>
        <v/>
      </c>
      <c r="Q365" s="42">
        <f>IF(OR(A365="",O365="",I365="",J365=""),"",IFERROR((P365-J365)/(O365-I365),""))</f>
        <v/>
      </c>
    </row>
    <row r="366">
      <c r="A366" s="36" t="n"/>
      <c r="B366" s="32" t="n"/>
      <c r="C366" s="37" t="n"/>
      <c r="D366" s="31" t="n"/>
      <c r="E366" s="32" t="n"/>
      <c r="F366" s="32" t="n"/>
      <c r="G366" s="32" t="n"/>
      <c r="H366" s="36" t="n"/>
      <c r="I366" s="31" t="n"/>
      <c r="J366" s="38" t="n"/>
      <c r="K366" s="32" t="n"/>
      <c r="L366" s="34">
        <f>IF(OR(A366="",D366=""),"",IF(D366&gt;Config!$B$5,0,DATEDIF(D366,Config!$B$5,"m")))</f>
        <v/>
      </c>
      <c r="M366" s="39">
        <f>IF(A366="","",IF(K366&lt;&gt;"",K366,IF(OR(C366="",D366=""),"Sem dados",IFERROR(IF(C366="M",INDEX(Config!$B$11:$B$14,MATCH(L366,Config!$A$11:$A$14,1)),IF(C366="F",INDEX(Config!$C$11:$C$14,MATCH(L366,Config!$A$11:$A$14,1)),"Sem dados")),"Verificar"))))</f>
        <v/>
      </c>
      <c r="N366" s="39">
        <f>IF(A366="","",IF(COUNTIFS('Movimentações'!$C$6:$C$1505,A366,'Movimentações'!$B$6:$B$1505,"Venda")&gt;0,"Vendido",IF(COUNTIFS('Movimentações'!$C$6:$C$1505,A366,'Movimentações'!$B$6:$B$1505,"Morte")&gt;0,"Morto","Ativo")))</f>
        <v/>
      </c>
      <c r="O366" s="40">
        <f>IF(A366="","",IF(COUNTIF('Pesagens'!$B$6:$B$2005,A366)=0,"",SUMPRODUCT(MAX(('Pesagens'!$B$6:$B$2005=A366)*'Pesagens'!$A$6:$A$2005))))</f>
        <v/>
      </c>
      <c r="P366" s="41">
        <f>IF(A366="","",IF(O366="",IF(J366="","",J366),IFERROR(AVERAGEIFS('Pesagens'!$C$6:$C$2005,'Pesagens'!$B$6:$B$2005,A366,'Pesagens'!$A$6:$A$2005,O366),"")))</f>
        <v/>
      </c>
      <c r="Q366" s="42">
        <f>IF(OR(A366="",O366="",I366="",J366=""),"",IFERROR((P366-J366)/(O366-I366),""))</f>
        <v/>
      </c>
    </row>
    <row r="367">
      <c r="A367" s="36" t="n"/>
      <c r="B367" s="32" t="n"/>
      <c r="C367" s="37" t="n"/>
      <c r="D367" s="31" t="n"/>
      <c r="E367" s="32" t="n"/>
      <c r="F367" s="32" t="n"/>
      <c r="G367" s="32" t="n"/>
      <c r="H367" s="36" t="n"/>
      <c r="I367" s="31" t="n"/>
      <c r="J367" s="38" t="n"/>
      <c r="K367" s="32" t="n"/>
      <c r="L367" s="34">
        <f>IF(OR(A367="",D367=""),"",IF(D367&gt;Config!$B$5,0,DATEDIF(D367,Config!$B$5,"m")))</f>
        <v/>
      </c>
      <c r="M367" s="39">
        <f>IF(A367="","",IF(K367&lt;&gt;"",K367,IF(OR(C367="",D367=""),"Sem dados",IFERROR(IF(C367="M",INDEX(Config!$B$11:$B$14,MATCH(L367,Config!$A$11:$A$14,1)),IF(C367="F",INDEX(Config!$C$11:$C$14,MATCH(L367,Config!$A$11:$A$14,1)),"Sem dados")),"Verificar"))))</f>
        <v/>
      </c>
      <c r="N367" s="39">
        <f>IF(A367="","",IF(COUNTIFS('Movimentações'!$C$6:$C$1505,A367,'Movimentações'!$B$6:$B$1505,"Venda")&gt;0,"Vendido",IF(COUNTIFS('Movimentações'!$C$6:$C$1505,A367,'Movimentações'!$B$6:$B$1505,"Morte")&gt;0,"Morto","Ativo")))</f>
        <v/>
      </c>
      <c r="O367" s="40">
        <f>IF(A367="","",IF(COUNTIF('Pesagens'!$B$6:$B$2005,A367)=0,"",SUMPRODUCT(MAX(('Pesagens'!$B$6:$B$2005=A367)*'Pesagens'!$A$6:$A$2005))))</f>
        <v/>
      </c>
      <c r="P367" s="41">
        <f>IF(A367="","",IF(O367="",IF(J367="","",J367),IFERROR(AVERAGEIFS('Pesagens'!$C$6:$C$2005,'Pesagens'!$B$6:$B$2005,A367,'Pesagens'!$A$6:$A$2005,O367),"")))</f>
        <v/>
      </c>
      <c r="Q367" s="42">
        <f>IF(OR(A367="",O367="",I367="",J367=""),"",IFERROR((P367-J367)/(O367-I367),""))</f>
        <v/>
      </c>
    </row>
    <row r="368">
      <c r="A368" s="36" t="n"/>
      <c r="B368" s="32" t="n"/>
      <c r="C368" s="37" t="n"/>
      <c r="D368" s="31" t="n"/>
      <c r="E368" s="32" t="n"/>
      <c r="F368" s="32" t="n"/>
      <c r="G368" s="32" t="n"/>
      <c r="H368" s="36" t="n"/>
      <c r="I368" s="31" t="n"/>
      <c r="J368" s="38" t="n"/>
      <c r="K368" s="32" t="n"/>
      <c r="L368" s="34">
        <f>IF(OR(A368="",D368=""),"",IF(D368&gt;Config!$B$5,0,DATEDIF(D368,Config!$B$5,"m")))</f>
        <v/>
      </c>
      <c r="M368" s="39">
        <f>IF(A368="","",IF(K368&lt;&gt;"",K368,IF(OR(C368="",D368=""),"Sem dados",IFERROR(IF(C368="M",INDEX(Config!$B$11:$B$14,MATCH(L368,Config!$A$11:$A$14,1)),IF(C368="F",INDEX(Config!$C$11:$C$14,MATCH(L368,Config!$A$11:$A$14,1)),"Sem dados")),"Verificar"))))</f>
        <v/>
      </c>
      <c r="N368" s="39">
        <f>IF(A368="","",IF(COUNTIFS('Movimentações'!$C$6:$C$1505,A368,'Movimentações'!$B$6:$B$1505,"Venda")&gt;0,"Vendido",IF(COUNTIFS('Movimentações'!$C$6:$C$1505,A368,'Movimentações'!$B$6:$B$1505,"Morte")&gt;0,"Morto","Ativo")))</f>
        <v/>
      </c>
      <c r="O368" s="40">
        <f>IF(A368="","",IF(COUNTIF('Pesagens'!$B$6:$B$2005,A368)=0,"",SUMPRODUCT(MAX(('Pesagens'!$B$6:$B$2005=A368)*'Pesagens'!$A$6:$A$2005))))</f>
        <v/>
      </c>
      <c r="P368" s="41">
        <f>IF(A368="","",IF(O368="",IF(J368="","",J368),IFERROR(AVERAGEIFS('Pesagens'!$C$6:$C$2005,'Pesagens'!$B$6:$B$2005,A368,'Pesagens'!$A$6:$A$2005,O368),"")))</f>
        <v/>
      </c>
      <c r="Q368" s="42">
        <f>IF(OR(A368="",O368="",I368="",J368=""),"",IFERROR((P368-J368)/(O368-I368),""))</f>
        <v/>
      </c>
    </row>
    <row r="369">
      <c r="A369" s="36" t="n"/>
      <c r="B369" s="32" t="n"/>
      <c r="C369" s="37" t="n"/>
      <c r="D369" s="31" t="n"/>
      <c r="E369" s="32" t="n"/>
      <c r="F369" s="32" t="n"/>
      <c r="G369" s="32" t="n"/>
      <c r="H369" s="36" t="n"/>
      <c r="I369" s="31" t="n"/>
      <c r="J369" s="38" t="n"/>
      <c r="K369" s="32" t="n"/>
      <c r="L369" s="34">
        <f>IF(OR(A369="",D369=""),"",IF(D369&gt;Config!$B$5,0,DATEDIF(D369,Config!$B$5,"m")))</f>
        <v/>
      </c>
      <c r="M369" s="39">
        <f>IF(A369="","",IF(K369&lt;&gt;"",K369,IF(OR(C369="",D369=""),"Sem dados",IFERROR(IF(C369="M",INDEX(Config!$B$11:$B$14,MATCH(L369,Config!$A$11:$A$14,1)),IF(C369="F",INDEX(Config!$C$11:$C$14,MATCH(L369,Config!$A$11:$A$14,1)),"Sem dados")),"Verificar"))))</f>
        <v/>
      </c>
      <c r="N369" s="39">
        <f>IF(A369="","",IF(COUNTIFS('Movimentações'!$C$6:$C$1505,A369,'Movimentações'!$B$6:$B$1505,"Venda")&gt;0,"Vendido",IF(COUNTIFS('Movimentações'!$C$6:$C$1505,A369,'Movimentações'!$B$6:$B$1505,"Morte")&gt;0,"Morto","Ativo")))</f>
        <v/>
      </c>
      <c r="O369" s="40">
        <f>IF(A369="","",IF(COUNTIF('Pesagens'!$B$6:$B$2005,A369)=0,"",SUMPRODUCT(MAX(('Pesagens'!$B$6:$B$2005=A369)*'Pesagens'!$A$6:$A$2005))))</f>
        <v/>
      </c>
      <c r="P369" s="41">
        <f>IF(A369="","",IF(O369="",IF(J369="","",J369),IFERROR(AVERAGEIFS('Pesagens'!$C$6:$C$2005,'Pesagens'!$B$6:$B$2005,A369,'Pesagens'!$A$6:$A$2005,O369),"")))</f>
        <v/>
      </c>
      <c r="Q369" s="42">
        <f>IF(OR(A369="",O369="",I369="",J369=""),"",IFERROR((P369-J369)/(O369-I369),""))</f>
        <v/>
      </c>
    </row>
    <row r="370">
      <c r="A370" s="36" t="n"/>
      <c r="B370" s="32" t="n"/>
      <c r="C370" s="37" t="n"/>
      <c r="D370" s="31" t="n"/>
      <c r="E370" s="32" t="n"/>
      <c r="F370" s="32" t="n"/>
      <c r="G370" s="32" t="n"/>
      <c r="H370" s="36" t="n"/>
      <c r="I370" s="31" t="n"/>
      <c r="J370" s="38" t="n"/>
      <c r="K370" s="32" t="n"/>
      <c r="L370" s="34">
        <f>IF(OR(A370="",D370=""),"",IF(D370&gt;Config!$B$5,0,DATEDIF(D370,Config!$B$5,"m")))</f>
        <v/>
      </c>
      <c r="M370" s="39">
        <f>IF(A370="","",IF(K370&lt;&gt;"",K370,IF(OR(C370="",D370=""),"Sem dados",IFERROR(IF(C370="M",INDEX(Config!$B$11:$B$14,MATCH(L370,Config!$A$11:$A$14,1)),IF(C370="F",INDEX(Config!$C$11:$C$14,MATCH(L370,Config!$A$11:$A$14,1)),"Sem dados")),"Verificar"))))</f>
        <v/>
      </c>
      <c r="N370" s="39">
        <f>IF(A370="","",IF(COUNTIFS('Movimentações'!$C$6:$C$1505,A370,'Movimentações'!$B$6:$B$1505,"Venda")&gt;0,"Vendido",IF(COUNTIFS('Movimentações'!$C$6:$C$1505,A370,'Movimentações'!$B$6:$B$1505,"Morte")&gt;0,"Morto","Ativo")))</f>
        <v/>
      </c>
      <c r="O370" s="40">
        <f>IF(A370="","",IF(COUNTIF('Pesagens'!$B$6:$B$2005,A370)=0,"",SUMPRODUCT(MAX(('Pesagens'!$B$6:$B$2005=A370)*'Pesagens'!$A$6:$A$2005))))</f>
        <v/>
      </c>
      <c r="P370" s="41">
        <f>IF(A370="","",IF(O370="",IF(J370="","",J370),IFERROR(AVERAGEIFS('Pesagens'!$C$6:$C$2005,'Pesagens'!$B$6:$B$2005,A370,'Pesagens'!$A$6:$A$2005,O370),"")))</f>
        <v/>
      </c>
      <c r="Q370" s="42">
        <f>IF(OR(A370="",O370="",I370="",J370=""),"",IFERROR((P370-J370)/(O370-I370),""))</f>
        <v/>
      </c>
    </row>
    <row r="371">
      <c r="A371" s="36" t="n"/>
      <c r="B371" s="32" t="n"/>
      <c r="C371" s="37" t="n"/>
      <c r="D371" s="31" t="n"/>
      <c r="E371" s="32" t="n"/>
      <c r="F371" s="32" t="n"/>
      <c r="G371" s="32" t="n"/>
      <c r="H371" s="36" t="n"/>
      <c r="I371" s="31" t="n"/>
      <c r="J371" s="38" t="n"/>
      <c r="K371" s="32" t="n"/>
      <c r="L371" s="34">
        <f>IF(OR(A371="",D371=""),"",IF(D371&gt;Config!$B$5,0,DATEDIF(D371,Config!$B$5,"m")))</f>
        <v/>
      </c>
      <c r="M371" s="39">
        <f>IF(A371="","",IF(K371&lt;&gt;"",K371,IF(OR(C371="",D371=""),"Sem dados",IFERROR(IF(C371="M",INDEX(Config!$B$11:$B$14,MATCH(L371,Config!$A$11:$A$14,1)),IF(C371="F",INDEX(Config!$C$11:$C$14,MATCH(L371,Config!$A$11:$A$14,1)),"Sem dados")),"Verificar"))))</f>
        <v/>
      </c>
      <c r="N371" s="39">
        <f>IF(A371="","",IF(COUNTIFS('Movimentações'!$C$6:$C$1505,A371,'Movimentações'!$B$6:$B$1505,"Venda")&gt;0,"Vendido",IF(COUNTIFS('Movimentações'!$C$6:$C$1505,A371,'Movimentações'!$B$6:$B$1505,"Morte")&gt;0,"Morto","Ativo")))</f>
        <v/>
      </c>
      <c r="O371" s="40">
        <f>IF(A371="","",IF(COUNTIF('Pesagens'!$B$6:$B$2005,A371)=0,"",SUMPRODUCT(MAX(('Pesagens'!$B$6:$B$2005=A371)*'Pesagens'!$A$6:$A$2005))))</f>
        <v/>
      </c>
      <c r="P371" s="41">
        <f>IF(A371="","",IF(O371="",IF(J371="","",J371),IFERROR(AVERAGEIFS('Pesagens'!$C$6:$C$2005,'Pesagens'!$B$6:$B$2005,A371,'Pesagens'!$A$6:$A$2005,O371),"")))</f>
        <v/>
      </c>
      <c r="Q371" s="42">
        <f>IF(OR(A371="",O371="",I371="",J371=""),"",IFERROR((P371-J371)/(O371-I371),""))</f>
        <v/>
      </c>
    </row>
    <row r="372">
      <c r="A372" s="36" t="n"/>
      <c r="B372" s="32" t="n"/>
      <c r="C372" s="37" t="n"/>
      <c r="D372" s="31" t="n"/>
      <c r="E372" s="32" t="n"/>
      <c r="F372" s="32" t="n"/>
      <c r="G372" s="32" t="n"/>
      <c r="H372" s="36" t="n"/>
      <c r="I372" s="31" t="n"/>
      <c r="J372" s="38" t="n"/>
      <c r="K372" s="32" t="n"/>
      <c r="L372" s="34">
        <f>IF(OR(A372="",D372=""),"",IF(D372&gt;Config!$B$5,0,DATEDIF(D372,Config!$B$5,"m")))</f>
        <v/>
      </c>
      <c r="M372" s="39">
        <f>IF(A372="","",IF(K372&lt;&gt;"",K372,IF(OR(C372="",D372=""),"Sem dados",IFERROR(IF(C372="M",INDEX(Config!$B$11:$B$14,MATCH(L372,Config!$A$11:$A$14,1)),IF(C372="F",INDEX(Config!$C$11:$C$14,MATCH(L372,Config!$A$11:$A$14,1)),"Sem dados")),"Verificar"))))</f>
        <v/>
      </c>
      <c r="N372" s="39">
        <f>IF(A372="","",IF(COUNTIFS('Movimentações'!$C$6:$C$1505,A372,'Movimentações'!$B$6:$B$1505,"Venda")&gt;0,"Vendido",IF(COUNTIFS('Movimentações'!$C$6:$C$1505,A372,'Movimentações'!$B$6:$B$1505,"Morte")&gt;0,"Morto","Ativo")))</f>
        <v/>
      </c>
      <c r="O372" s="40">
        <f>IF(A372="","",IF(COUNTIF('Pesagens'!$B$6:$B$2005,A372)=0,"",SUMPRODUCT(MAX(('Pesagens'!$B$6:$B$2005=A372)*'Pesagens'!$A$6:$A$2005))))</f>
        <v/>
      </c>
      <c r="P372" s="41">
        <f>IF(A372="","",IF(O372="",IF(J372="","",J372),IFERROR(AVERAGEIFS('Pesagens'!$C$6:$C$2005,'Pesagens'!$B$6:$B$2005,A372,'Pesagens'!$A$6:$A$2005,O372),"")))</f>
        <v/>
      </c>
      <c r="Q372" s="42">
        <f>IF(OR(A372="",O372="",I372="",J372=""),"",IFERROR((P372-J372)/(O372-I372),""))</f>
        <v/>
      </c>
    </row>
    <row r="373">
      <c r="A373" s="36" t="n"/>
      <c r="B373" s="32" t="n"/>
      <c r="C373" s="37" t="n"/>
      <c r="D373" s="31" t="n"/>
      <c r="E373" s="32" t="n"/>
      <c r="F373" s="32" t="n"/>
      <c r="G373" s="32" t="n"/>
      <c r="H373" s="36" t="n"/>
      <c r="I373" s="31" t="n"/>
      <c r="J373" s="38" t="n"/>
      <c r="K373" s="32" t="n"/>
      <c r="L373" s="34">
        <f>IF(OR(A373="",D373=""),"",IF(D373&gt;Config!$B$5,0,DATEDIF(D373,Config!$B$5,"m")))</f>
        <v/>
      </c>
      <c r="M373" s="39">
        <f>IF(A373="","",IF(K373&lt;&gt;"",K373,IF(OR(C373="",D373=""),"Sem dados",IFERROR(IF(C373="M",INDEX(Config!$B$11:$B$14,MATCH(L373,Config!$A$11:$A$14,1)),IF(C373="F",INDEX(Config!$C$11:$C$14,MATCH(L373,Config!$A$11:$A$14,1)),"Sem dados")),"Verificar"))))</f>
        <v/>
      </c>
      <c r="N373" s="39">
        <f>IF(A373="","",IF(COUNTIFS('Movimentações'!$C$6:$C$1505,A373,'Movimentações'!$B$6:$B$1505,"Venda")&gt;0,"Vendido",IF(COUNTIFS('Movimentações'!$C$6:$C$1505,A373,'Movimentações'!$B$6:$B$1505,"Morte")&gt;0,"Morto","Ativo")))</f>
        <v/>
      </c>
      <c r="O373" s="40">
        <f>IF(A373="","",IF(COUNTIF('Pesagens'!$B$6:$B$2005,A373)=0,"",SUMPRODUCT(MAX(('Pesagens'!$B$6:$B$2005=A373)*'Pesagens'!$A$6:$A$2005))))</f>
        <v/>
      </c>
      <c r="P373" s="41">
        <f>IF(A373="","",IF(O373="",IF(J373="","",J373),IFERROR(AVERAGEIFS('Pesagens'!$C$6:$C$2005,'Pesagens'!$B$6:$B$2005,A373,'Pesagens'!$A$6:$A$2005,O373),"")))</f>
        <v/>
      </c>
      <c r="Q373" s="42">
        <f>IF(OR(A373="",O373="",I373="",J373=""),"",IFERROR((P373-J373)/(O373-I373),""))</f>
        <v/>
      </c>
    </row>
    <row r="374">
      <c r="A374" s="36" t="n"/>
      <c r="B374" s="32" t="n"/>
      <c r="C374" s="37" t="n"/>
      <c r="D374" s="31" t="n"/>
      <c r="E374" s="32" t="n"/>
      <c r="F374" s="32" t="n"/>
      <c r="G374" s="32" t="n"/>
      <c r="H374" s="36" t="n"/>
      <c r="I374" s="31" t="n"/>
      <c r="J374" s="38" t="n"/>
      <c r="K374" s="32" t="n"/>
      <c r="L374" s="34">
        <f>IF(OR(A374="",D374=""),"",IF(D374&gt;Config!$B$5,0,DATEDIF(D374,Config!$B$5,"m")))</f>
        <v/>
      </c>
      <c r="M374" s="39">
        <f>IF(A374="","",IF(K374&lt;&gt;"",K374,IF(OR(C374="",D374=""),"Sem dados",IFERROR(IF(C374="M",INDEX(Config!$B$11:$B$14,MATCH(L374,Config!$A$11:$A$14,1)),IF(C374="F",INDEX(Config!$C$11:$C$14,MATCH(L374,Config!$A$11:$A$14,1)),"Sem dados")),"Verificar"))))</f>
        <v/>
      </c>
      <c r="N374" s="39">
        <f>IF(A374="","",IF(COUNTIFS('Movimentações'!$C$6:$C$1505,A374,'Movimentações'!$B$6:$B$1505,"Venda")&gt;0,"Vendido",IF(COUNTIFS('Movimentações'!$C$6:$C$1505,A374,'Movimentações'!$B$6:$B$1505,"Morte")&gt;0,"Morto","Ativo")))</f>
        <v/>
      </c>
      <c r="O374" s="40">
        <f>IF(A374="","",IF(COUNTIF('Pesagens'!$B$6:$B$2005,A374)=0,"",SUMPRODUCT(MAX(('Pesagens'!$B$6:$B$2005=A374)*'Pesagens'!$A$6:$A$2005))))</f>
        <v/>
      </c>
      <c r="P374" s="41">
        <f>IF(A374="","",IF(O374="",IF(J374="","",J374),IFERROR(AVERAGEIFS('Pesagens'!$C$6:$C$2005,'Pesagens'!$B$6:$B$2005,A374,'Pesagens'!$A$6:$A$2005,O374),"")))</f>
        <v/>
      </c>
      <c r="Q374" s="42">
        <f>IF(OR(A374="",O374="",I374="",J374=""),"",IFERROR((P374-J374)/(O374-I374),""))</f>
        <v/>
      </c>
    </row>
    <row r="375">
      <c r="A375" s="36" t="n"/>
      <c r="B375" s="32" t="n"/>
      <c r="C375" s="37" t="n"/>
      <c r="D375" s="31" t="n"/>
      <c r="E375" s="32" t="n"/>
      <c r="F375" s="32" t="n"/>
      <c r="G375" s="32" t="n"/>
      <c r="H375" s="36" t="n"/>
      <c r="I375" s="31" t="n"/>
      <c r="J375" s="38" t="n"/>
      <c r="K375" s="32" t="n"/>
      <c r="L375" s="34">
        <f>IF(OR(A375="",D375=""),"",IF(D375&gt;Config!$B$5,0,DATEDIF(D375,Config!$B$5,"m")))</f>
        <v/>
      </c>
      <c r="M375" s="39">
        <f>IF(A375="","",IF(K375&lt;&gt;"",K375,IF(OR(C375="",D375=""),"Sem dados",IFERROR(IF(C375="M",INDEX(Config!$B$11:$B$14,MATCH(L375,Config!$A$11:$A$14,1)),IF(C375="F",INDEX(Config!$C$11:$C$14,MATCH(L375,Config!$A$11:$A$14,1)),"Sem dados")),"Verificar"))))</f>
        <v/>
      </c>
      <c r="N375" s="39">
        <f>IF(A375="","",IF(COUNTIFS('Movimentações'!$C$6:$C$1505,A375,'Movimentações'!$B$6:$B$1505,"Venda")&gt;0,"Vendido",IF(COUNTIFS('Movimentações'!$C$6:$C$1505,A375,'Movimentações'!$B$6:$B$1505,"Morte")&gt;0,"Morto","Ativo")))</f>
        <v/>
      </c>
      <c r="O375" s="40">
        <f>IF(A375="","",IF(COUNTIF('Pesagens'!$B$6:$B$2005,A375)=0,"",SUMPRODUCT(MAX(('Pesagens'!$B$6:$B$2005=A375)*'Pesagens'!$A$6:$A$2005))))</f>
        <v/>
      </c>
      <c r="P375" s="41">
        <f>IF(A375="","",IF(O375="",IF(J375="","",J375),IFERROR(AVERAGEIFS('Pesagens'!$C$6:$C$2005,'Pesagens'!$B$6:$B$2005,A375,'Pesagens'!$A$6:$A$2005,O375),"")))</f>
        <v/>
      </c>
      <c r="Q375" s="42">
        <f>IF(OR(A375="",O375="",I375="",J375=""),"",IFERROR((P375-J375)/(O375-I375),""))</f>
        <v/>
      </c>
    </row>
    <row r="376">
      <c r="A376" s="36" t="n"/>
      <c r="B376" s="32" t="n"/>
      <c r="C376" s="37" t="n"/>
      <c r="D376" s="31" t="n"/>
      <c r="E376" s="32" t="n"/>
      <c r="F376" s="32" t="n"/>
      <c r="G376" s="32" t="n"/>
      <c r="H376" s="36" t="n"/>
      <c r="I376" s="31" t="n"/>
      <c r="J376" s="38" t="n"/>
      <c r="K376" s="32" t="n"/>
      <c r="L376" s="34">
        <f>IF(OR(A376="",D376=""),"",IF(D376&gt;Config!$B$5,0,DATEDIF(D376,Config!$B$5,"m")))</f>
        <v/>
      </c>
      <c r="M376" s="39">
        <f>IF(A376="","",IF(K376&lt;&gt;"",K376,IF(OR(C376="",D376=""),"Sem dados",IFERROR(IF(C376="M",INDEX(Config!$B$11:$B$14,MATCH(L376,Config!$A$11:$A$14,1)),IF(C376="F",INDEX(Config!$C$11:$C$14,MATCH(L376,Config!$A$11:$A$14,1)),"Sem dados")),"Verificar"))))</f>
        <v/>
      </c>
      <c r="N376" s="39">
        <f>IF(A376="","",IF(COUNTIFS('Movimentações'!$C$6:$C$1505,A376,'Movimentações'!$B$6:$B$1505,"Venda")&gt;0,"Vendido",IF(COUNTIFS('Movimentações'!$C$6:$C$1505,A376,'Movimentações'!$B$6:$B$1505,"Morte")&gt;0,"Morto","Ativo")))</f>
        <v/>
      </c>
      <c r="O376" s="40">
        <f>IF(A376="","",IF(COUNTIF('Pesagens'!$B$6:$B$2005,A376)=0,"",SUMPRODUCT(MAX(('Pesagens'!$B$6:$B$2005=A376)*'Pesagens'!$A$6:$A$2005))))</f>
        <v/>
      </c>
      <c r="P376" s="41">
        <f>IF(A376="","",IF(O376="",IF(J376="","",J376),IFERROR(AVERAGEIFS('Pesagens'!$C$6:$C$2005,'Pesagens'!$B$6:$B$2005,A376,'Pesagens'!$A$6:$A$2005,O376),"")))</f>
        <v/>
      </c>
      <c r="Q376" s="42">
        <f>IF(OR(A376="",O376="",I376="",J376=""),"",IFERROR((P376-J376)/(O376-I376),""))</f>
        <v/>
      </c>
    </row>
    <row r="377">
      <c r="A377" s="36" t="n"/>
      <c r="B377" s="32" t="n"/>
      <c r="C377" s="37" t="n"/>
      <c r="D377" s="31" t="n"/>
      <c r="E377" s="32" t="n"/>
      <c r="F377" s="32" t="n"/>
      <c r="G377" s="32" t="n"/>
      <c r="H377" s="36" t="n"/>
      <c r="I377" s="31" t="n"/>
      <c r="J377" s="38" t="n"/>
      <c r="K377" s="32" t="n"/>
      <c r="L377" s="34">
        <f>IF(OR(A377="",D377=""),"",IF(D377&gt;Config!$B$5,0,DATEDIF(D377,Config!$B$5,"m")))</f>
        <v/>
      </c>
      <c r="M377" s="39">
        <f>IF(A377="","",IF(K377&lt;&gt;"",K377,IF(OR(C377="",D377=""),"Sem dados",IFERROR(IF(C377="M",INDEX(Config!$B$11:$B$14,MATCH(L377,Config!$A$11:$A$14,1)),IF(C377="F",INDEX(Config!$C$11:$C$14,MATCH(L377,Config!$A$11:$A$14,1)),"Sem dados")),"Verificar"))))</f>
        <v/>
      </c>
      <c r="N377" s="39">
        <f>IF(A377="","",IF(COUNTIFS('Movimentações'!$C$6:$C$1505,A377,'Movimentações'!$B$6:$B$1505,"Venda")&gt;0,"Vendido",IF(COUNTIFS('Movimentações'!$C$6:$C$1505,A377,'Movimentações'!$B$6:$B$1505,"Morte")&gt;0,"Morto","Ativo")))</f>
        <v/>
      </c>
      <c r="O377" s="40">
        <f>IF(A377="","",IF(COUNTIF('Pesagens'!$B$6:$B$2005,A377)=0,"",SUMPRODUCT(MAX(('Pesagens'!$B$6:$B$2005=A377)*'Pesagens'!$A$6:$A$2005))))</f>
        <v/>
      </c>
      <c r="P377" s="41">
        <f>IF(A377="","",IF(O377="",IF(J377="","",J377),IFERROR(AVERAGEIFS('Pesagens'!$C$6:$C$2005,'Pesagens'!$B$6:$B$2005,A377,'Pesagens'!$A$6:$A$2005,O377),"")))</f>
        <v/>
      </c>
      <c r="Q377" s="42">
        <f>IF(OR(A377="",O377="",I377="",J377=""),"",IFERROR((P377-J377)/(O377-I377),""))</f>
        <v/>
      </c>
    </row>
    <row r="378">
      <c r="A378" s="36" t="n"/>
      <c r="B378" s="32" t="n"/>
      <c r="C378" s="37" t="n"/>
      <c r="D378" s="31" t="n"/>
      <c r="E378" s="32" t="n"/>
      <c r="F378" s="32" t="n"/>
      <c r="G378" s="32" t="n"/>
      <c r="H378" s="36" t="n"/>
      <c r="I378" s="31" t="n"/>
      <c r="J378" s="38" t="n"/>
      <c r="K378" s="32" t="n"/>
      <c r="L378" s="34">
        <f>IF(OR(A378="",D378=""),"",IF(D378&gt;Config!$B$5,0,DATEDIF(D378,Config!$B$5,"m")))</f>
        <v/>
      </c>
      <c r="M378" s="39">
        <f>IF(A378="","",IF(K378&lt;&gt;"",K378,IF(OR(C378="",D378=""),"Sem dados",IFERROR(IF(C378="M",INDEX(Config!$B$11:$B$14,MATCH(L378,Config!$A$11:$A$14,1)),IF(C378="F",INDEX(Config!$C$11:$C$14,MATCH(L378,Config!$A$11:$A$14,1)),"Sem dados")),"Verificar"))))</f>
        <v/>
      </c>
      <c r="N378" s="39">
        <f>IF(A378="","",IF(COUNTIFS('Movimentações'!$C$6:$C$1505,A378,'Movimentações'!$B$6:$B$1505,"Venda")&gt;0,"Vendido",IF(COUNTIFS('Movimentações'!$C$6:$C$1505,A378,'Movimentações'!$B$6:$B$1505,"Morte")&gt;0,"Morto","Ativo")))</f>
        <v/>
      </c>
      <c r="O378" s="40">
        <f>IF(A378="","",IF(COUNTIF('Pesagens'!$B$6:$B$2005,A378)=0,"",SUMPRODUCT(MAX(('Pesagens'!$B$6:$B$2005=A378)*'Pesagens'!$A$6:$A$2005))))</f>
        <v/>
      </c>
      <c r="P378" s="41">
        <f>IF(A378="","",IF(O378="",IF(J378="","",J378),IFERROR(AVERAGEIFS('Pesagens'!$C$6:$C$2005,'Pesagens'!$B$6:$B$2005,A378,'Pesagens'!$A$6:$A$2005,O378),"")))</f>
        <v/>
      </c>
      <c r="Q378" s="42">
        <f>IF(OR(A378="",O378="",I378="",J378=""),"",IFERROR((P378-J378)/(O378-I378),""))</f>
        <v/>
      </c>
    </row>
    <row r="379">
      <c r="A379" s="36" t="n"/>
      <c r="B379" s="32" t="n"/>
      <c r="C379" s="37" t="n"/>
      <c r="D379" s="31" t="n"/>
      <c r="E379" s="32" t="n"/>
      <c r="F379" s="32" t="n"/>
      <c r="G379" s="32" t="n"/>
      <c r="H379" s="36" t="n"/>
      <c r="I379" s="31" t="n"/>
      <c r="J379" s="38" t="n"/>
      <c r="K379" s="32" t="n"/>
      <c r="L379" s="34">
        <f>IF(OR(A379="",D379=""),"",IF(D379&gt;Config!$B$5,0,DATEDIF(D379,Config!$B$5,"m")))</f>
        <v/>
      </c>
      <c r="M379" s="39">
        <f>IF(A379="","",IF(K379&lt;&gt;"",K379,IF(OR(C379="",D379=""),"Sem dados",IFERROR(IF(C379="M",INDEX(Config!$B$11:$B$14,MATCH(L379,Config!$A$11:$A$14,1)),IF(C379="F",INDEX(Config!$C$11:$C$14,MATCH(L379,Config!$A$11:$A$14,1)),"Sem dados")),"Verificar"))))</f>
        <v/>
      </c>
      <c r="N379" s="39">
        <f>IF(A379="","",IF(COUNTIFS('Movimentações'!$C$6:$C$1505,A379,'Movimentações'!$B$6:$B$1505,"Venda")&gt;0,"Vendido",IF(COUNTIFS('Movimentações'!$C$6:$C$1505,A379,'Movimentações'!$B$6:$B$1505,"Morte")&gt;0,"Morto","Ativo")))</f>
        <v/>
      </c>
      <c r="O379" s="40">
        <f>IF(A379="","",IF(COUNTIF('Pesagens'!$B$6:$B$2005,A379)=0,"",SUMPRODUCT(MAX(('Pesagens'!$B$6:$B$2005=A379)*'Pesagens'!$A$6:$A$2005))))</f>
        <v/>
      </c>
      <c r="P379" s="41">
        <f>IF(A379="","",IF(O379="",IF(J379="","",J379),IFERROR(AVERAGEIFS('Pesagens'!$C$6:$C$2005,'Pesagens'!$B$6:$B$2005,A379,'Pesagens'!$A$6:$A$2005,O379),"")))</f>
        <v/>
      </c>
      <c r="Q379" s="42">
        <f>IF(OR(A379="",O379="",I379="",J379=""),"",IFERROR((P379-J379)/(O379-I379),""))</f>
        <v/>
      </c>
    </row>
    <row r="380">
      <c r="A380" s="36" t="n"/>
      <c r="B380" s="32" t="n"/>
      <c r="C380" s="37" t="n"/>
      <c r="D380" s="31" t="n"/>
      <c r="E380" s="32" t="n"/>
      <c r="F380" s="32" t="n"/>
      <c r="G380" s="32" t="n"/>
      <c r="H380" s="36" t="n"/>
      <c r="I380" s="31" t="n"/>
      <c r="J380" s="38" t="n"/>
      <c r="K380" s="32" t="n"/>
      <c r="L380" s="34">
        <f>IF(OR(A380="",D380=""),"",IF(D380&gt;Config!$B$5,0,DATEDIF(D380,Config!$B$5,"m")))</f>
        <v/>
      </c>
      <c r="M380" s="39">
        <f>IF(A380="","",IF(K380&lt;&gt;"",K380,IF(OR(C380="",D380=""),"Sem dados",IFERROR(IF(C380="M",INDEX(Config!$B$11:$B$14,MATCH(L380,Config!$A$11:$A$14,1)),IF(C380="F",INDEX(Config!$C$11:$C$14,MATCH(L380,Config!$A$11:$A$14,1)),"Sem dados")),"Verificar"))))</f>
        <v/>
      </c>
      <c r="N380" s="39">
        <f>IF(A380="","",IF(COUNTIFS('Movimentações'!$C$6:$C$1505,A380,'Movimentações'!$B$6:$B$1505,"Venda")&gt;0,"Vendido",IF(COUNTIFS('Movimentações'!$C$6:$C$1505,A380,'Movimentações'!$B$6:$B$1505,"Morte")&gt;0,"Morto","Ativo")))</f>
        <v/>
      </c>
      <c r="O380" s="40">
        <f>IF(A380="","",IF(COUNTIF('Pesagens'!$B$6:$B$2005,A380)=0,"",SUMPRODUCT(MAX(('Pesagens'!$B$6:$B$2005=A380)*'Pesagens'!$A$6:$A$2005))))</f>
        <v/>
      </c>
      <c r="P380" s="41">
        <f>IF(A380="","",IF(O380="",IF(J380="","",J380),IFERROR(AVERAGEIFS('Pesagens'!$C$6:$C$2005,'Pesagens'!$B$6:$B$2005,A380,'Pesagens'!$A$6:$A$2005,O380),"")))</f>
        <v/>
      </c>
      <c r="Q380" s="42">
        <f>IF(OR(A380="",O380="",I380="",J380=""),"",IFERROR((P380-J380)/(O380-I380),""))</f>
        <v/>
      </c>
    </row>
    <row r="381">
      <c r="A381" s="36" t="n"/>
      <c r="B381" s="32" t="n"/>
      <c r="C381" s="37" t="n"/>
      <c r="D381" s="31" t="n"/>
      <c r="E381" s="32" t="n"/>
      <c r="F381" s="32" t="n"/>
      <c r="G381" s="32" t="n"/>
      <c r="H381" s="36" t="n"/>
      <c r="I381" s="31" t="n"/>
      <c r="J381" s="38" t="n"/>
      <c r="K381" s="32" t="n"/>
      <c r="L381" s="34">
        <f>IF(OR(A381="",D381=""),"",IF(D381&gt;Config!$B$5,0,DATEDIF(D381,Config!$B$5,"m")))</f>
        <v/>
      </c>
      <c r="M381" s="39">
        <f>IF(A381="","",IF(K381&lt;&gt;"",K381,IF(OR(C381="",D381=""),"Sem dados",IFERROR(IF(C381="M",INDEX(Config!$B$11:$B$14,MATCH(L381,Config!$A$11:$A$14,1)),IF(C381="F",INDEX(Config!$C$11:$C$14,MATCH(L381,Config!$A$11:$A$14,1)),"Sem dados")),"Verificar"))))</f>
        <v/>
      </c>
      <c r="N381" s="39">
        <f>IF(A381="","",IF(COUNTIFS('Movimentações'!$C$6:$C$1505,A381,'Movimentações'!$B$6:$B$1505,"Venda")&gt;0,"Vendido",IF(COUNTIFS('Movimentações'!$C$6:$C$1505,A381,'Movimentações'!$B$6:$B$1505,"Morte")&gt;0,"Morto","Ativo")))</f>
        <v/>
      </c>
      <c r="O381" s="40">
        <f>IF(A381="","",IF(COUNTIF('Pesagens'!$B$6:$B$2005,A381)=0,"",SUMPRODUCT(MAX(('Pesagens'!$B$6:$B$2005=A381)*'Pesagens'!$A$6:$A$2005))))</f>
        <v/>
      </c>
      <c r="P381" s="41">
        <f>IF(A381="","",IF(O381="",IF(J381="","",J381),IFERROR(AVERAGEIFS('Pesagens'!$C$6:$C$2005,'Pesagens'!$B$6:$B$2005,A381,'Pesagens'!$A$6:$A$2005,O381),"")))</f>
        <v/>
      </c>
      <c r="Q381" s="42">
        <f>IF(OR(A381="",O381="",I381="",J381=""),"",IFERROR((P381-J381)/(O381-I381),""))</f>
        <v/>
      </c>
    </row>
    <row r="382">
      <c r="A382" s="36" t="n"/>
      <c r="B382" s="32" t="n"/>
      <c r="C382" s="37" t="n"/>
      <c r="D382" s="31" t="n"/>
      <c r="E382" s="32" t="n"/>
      <c r="F382" s="32" t="n"/>
      <c r="G382" s="32" t="n"/>
      <c r="H382" s="36" t="n"/>
      <c r="I382" s="31" t="n"/>
      <c r="J382" s="38" t="n"/>
      <c r="K382" s="32" t="n"/>
      <c r="L382" s="34">
        <f>IF(OR(A382="",D382=""),"",IF(D382&gt;Config!$B$5,0,DATEDIF(D382,Config!$B$5,"m")))</f>
        <v/>
      </c>
      <c r="M382" s="39">
        <f>IF(A382="","",IF(K382&lt;&gt;"",K382,IF(OR(C382="",D382=""),"Sem dados",IFERROR(IF(C382="M",INDEX(Config!$B$11:$B$14,MATCH(L382,Config!$A$11:$A$14,1)),IF(C382="F",INDEX(Config!$C$11:$C$14,MATCH(L382,Config!$A$11:$A$14,1)),"Sem dados")),"Verificar"))))</f>
        <v/>
      </c>
      <c r="N382" s="39">
        <f>IF(A382="","",IF(COUNTIFS('Movimentações'!$C$6:$C$1505,A382,'Movimentações'!$B$6:$B$1505,"Venda")&gt;0,"Vendido",IF(COUNTIFS('Movimentações'!$C$6:$C$1505,A382,'Movimentações'!$B$6:$B$1505,"Morte")&gt;0,"Morto","Ativo")))</f>
        <v/>
      </c>
      <c r="O382" s="40">
        <f>IF(A382="","",IF(COUNTIF('Pesagens'!$B$6:$B$2005,A382)=0,"",SUMPRODUCT(MAX(('Pesagens'!$B$6:$B$2005=A382)*'Pesagens'!$A$6:$A$2005))))</f>
        <v/>
      </c>
      <c r="P382" s="41">
        <f>IF(A382="","",IF(O382="",IF(J382="","",J382),IFERROR(AVERAGEIFS('Pesagens'!$C$6:$C$2005,'Pesagens'!$B$6:$B$2005,A382,'Pesagens'!$A$6:$A$2005,O382),"")))</f>
        <v/>
      </c>
      <c r="Q382" s="42">
        <f>IF(OR(A382="",O382="",I382="",J382=""),"",IFERROR((P382-J382)/(O382-I382),""))</f>
        <v/>
      </c>
    </row>
    <row r="383">
      <c r="A383" s="36" t="n"/>
      <c r="B383" s="32" t="n"/>
      <c r="C383" s="37" t="n"/>
      <c r="D383" s="31" t="n"/>
      <c r="E383" s="32" t="n"/>
      <c r="F383" s="32" t="n"/>
      <c r="G383" s="32" t="n"/>
      <c r="H383" s="36" t="n"/>
      <c r="I383" s="31" t="n"/>
      <c r="J383" s="38" t="n"/>
      <c r="K383" s="32" t="n"/>
      <c r="L383" s="34">
        <f>IF(OR(A383="",D383=""),"",IF(D383&gt;Config!$B$5,0,DATEDIF(D383,Config!$B$5,"m")))</f>
        <v/>
      </c>
      <c r="M383" s="39">
        <f>IF(A383="","",IF(K383&lt;&gt;"",K383,IF(OR(C383="",D383=""),"Sem dados",IFERROR(IF(C383="M",INDEX(Config!$B$11:$B$14,MATCH(L383,Config!$A$11:$A$14,1)),IF(C383="F",INDEX(Config!$C$11:$C$14,MATCH(L383,Config!$A$11:$A$14,1)),"Sem dados")),"Verificar"))))</f>
        <v/>
      </c>
      <c r="N383" s="39">
        <f>IF(A383="","",IF(COUNTIFS('Movimentações'!$C$6:$C$1505,A383,'Movimentações'!$B$6:$B$1505,"Venda")&gt;0,"Vendido",IF(COUNTIFS('Movimentações'!$C$6:$C$1505,A383,'Movimentações'!$B$6:$B$1505,"Morte")&gt;0,"Morto","Ativo")))</f>
        <v/>
      </c>
      <c r="O383" s="40">
        <f>IF(A383="","",IF(COUNTIF('Pesagens'!$B$6:$B$2005,A383)=0,"",SUMPRODUCT(MAX(('Pesagens'!$B$6:$B$2005=A383)*'Pesagens'!$A$6:$A$2005))))</f>
        <v/>
      </c>
      <c r="P383" s="41">
        <f>IF(A383="","",IF(O383="",IF(J383="","",J383),IFERROR(AVERAGEIFS('Pesagens'!$C$6:$C$2005,'Pesagens'!$B$6:$B$2005,A383,'Pesagens'!$A$6:$A$2005,O383),"")))</f>
        <v/>
      </c>
      <c r="Q383" s="42">
        <f>IF(OR(A383="",O383="",I383="",J383=""),"",IFERROR((P383-J383)/(O383-I383),""))</f>
        <v/>
      </c>
    </row>
    <row r="384">
      <c r="A384" s="36" t="n"/>
      <c r="B384" s="32" t="n"/>
      <c r="C384" s="37" t="n"/>
      <c r="D384" s="31" t="n"/>
      <c r="E384" s="32" t="n"/>
      <c r="F384" s="32" t="n"/>
      <c r="G384" s="32" t="n"/>
      <c r="H384" s="36" t="n"/>
      <c r="I384" s="31" t="n"/>
      <c r="J384" s="38" t="n"/>
      <c r="K384" s="32" t="n"/>
      <c r="L384" s="34">
        <f>IF(OR(A384="",D384=""),"",IF(D384&gt;Config!$B$5,0,DATEDIF(D384,Config!$B$5,"m")))</f>
        <v/>
      </c>
      <c r="M384" s="39">
        <f>IF(A384="","",IF(K384&lt;&gt;"",K384,IF(OR(C384="",D384=""),"Sem dados",IFERROR(IF(C384="M",INDEX(Config!$B$11:$B$14,MATCH(L384,Config!$A$11:$A$14,1)),IF(C384="F",INDEX(Config!$C$11:$C$14,MATCH(L384,Config!$A$11:$A$14,1)),"Sem dados")),"Verificar"))))</f>
        <v/>
      </c>
      <c r="N384" s="39">
        <f>IF(A384="","",IF(COUNTIFS('Movimentações'!$C$6:$C$1505,A384,'Movimentações'!$B$6:$B$1505,"Venda")&gt;0,"Vendido",IF(COUNTIFS('Movimentações'!$C$6:$C$1505,A384,'Movimentações'!$B$6:$B$1505,"Morte")&gt;0,"Morto","Ativo")))</f>
        <v/>
      </c>
      <c r="O384" s="40">
        <f>IF(A384="","",IF(COUNTIF('Pesagens'!$B$6:$B$2005,A384)=0,"",SUMPRODUCT(MAX(('Pesagens'!$B$6:$B$2005=A384)*'Pesagens'!$A$6:$A$2005))))</f>
        <v/>
      </c>
      <c r="P384" s="41">
        <f>IF(A384="","",IF(O384="",IF(J384="","",J384),IFERROR(AVERAGEIFS('Pesagens'!$C$6:$C$2005,'Pesagens'!$B$6:$B$2005,A384,'Pesagens'!$A$6:$A$2005,O384),"")))</f>
        <v/>
      </c>
      <c r="Q384" s="42">
        <f>IF(OR(A384="",O384="",I384="",J384=""),"",IFERROR((P384-J384)/(O384-I384),""))</f>
        <v/>
      </c>
    </row>
    <row r="385">
      <c r="A385" s="36" t="n"/>
      <c r="B385" s="32" t="n"/>
      <c r="C385" s="37" t="n"/>
      <c r="D385" s="31" t="n"/>
      <c r="E385" s="32" t="n"/>
      <c r="F385" s="32" t="n"/>
      <c r="G385" s="32" t="n"/>
      <c r="H385" s="36" t="n"/>
      <c r="I385" s="31" t="n"/>
      <c r="J385" s="38" t="n"/>
      <c r="K385" s="32" t="n"/>
      <c r="L385" s="34">
        <f>IF(OR(A385="",D385=""),"",IF(D385&gt;Config!$B$5,0,DATEDIF(D385,Config!$B$5,"m")))</f>
        <v/>
      </c>
      <c r="M385" s="39">
        <f>IF(A385="","",IF(K385&lt;&gt;"",K385,IF(OR(C385="",D385=""),"Sem dados",IFERROR(IF(C385="M",INDEX(Config!$B$11:$B$14,MATCH(L385,Config!$A$11:$A$14,1)),IF(C385="F",INDEX(Config!$C$11:$C$14,MATCH(L385,Config!$A$11:$A$14,1)),"Sem dados")),"Verificar"))))</f>
        <v/>
      </c>
      <c r="N385" s="39">
        <f>IF(A385="","",IF(COUNTIFS('Movimentações'!$C$6:$C$1505,A385,'Movimentações'!$B$6:$B$1505,"Venda")&gt;0,"Vendido",IF(COUNTIFS('Movimentações'!$C$6:$C$1505,A385,'Movimentações'!$B$6:$B$1505,"Morte")&gt;0,"Morto","Ativo")))</f>
        <v/>
      </c>
      <c r="O385" s="40">
        <f>IF(A385="","",IF(COUNTIF('Pesagens'!$B$6:$B$2005,A385)=0,"",SUMPRODUCT(MAX(('Pesagens'!$B$6:$B$2005=A385)*'Pesagens'!$A$6:$A$2005))))</f>
        <v/>
      </c>
      <c r="P385" s="41">
        <f>IF(A385="","",IF(O385="",IF(J385="","",J385),IFERROR(AVERAGEIFS('Pesagens'!$C$6:$C$2005,'Pesagens'!$B$6:$B$2005,A385,'Pesagens'!$A$6:$A$2005,O385),"")))</f>
        <v/>
      </c>
      <c r="Q385" s="42">
        <f>IF(OR(A385="",O385="",I385="",J385=""),"",IFERROR((P385-J385)/(O385-I385),""))</f>
        <v/>
      </c>
    </row>
    <row r="386">
      <c r="A386" s="36" t="n"/>
      <c r="B386" s="32" t="n"/>
      <c r="C386" s="37" t="n"/>
      <c r="D386" s="31" t="n"/>
      <c r="E386" s="32" t="n"/>
      <c r="F386" s="32" t="n"/>
      <c r="G386" s="32" t="n"/>
      <c r="H386" s="36" t="n"/>
      <c r="I386" s="31" t="n"/>
      <c r="J386" s="38" t="n"/>
      <c r="K386" s="32" t="n"/>
      <c r="L386" s="34">
        <f>IF(OR(A386="",D386=""),"",IF(D386&gt;Config!$B$5,0,DATEDIF(D386,Config!$B$5,"m")))</f>
        <v/>
      </c>
      <c r="M386" s="39">
        <f>IF(A386="","",IF(K386&lt;&gt;"",K386,IF(OR(C386="",D386=""),"Sem dados",IFERROR(IF(C386="M",INDEX(Config!$B$11:$B$14,MATCH(L386,Config!$A$11:$A$14,1)),IF(C386="F",INDEX(Config!$C$11:$C$14,MATCH(L386,Config!$A$11:$A$14,1)),"Sem dados")),"Verificar"))))</f>
        <v/>
      </c>
      <c r="N386" s="39">
        <f>IF(A386="","",IF(COUNTIFS('Movimentações'!$C$6:$C$1505,A386,'Movimentações'!$B$6:$B$1505,"Venda")&gt;0,"Vendido",IF(COUNTIFS('Movimentações'!$C$6:$C$1505,A386,'Movimentações'!$B$6:$B$1505,"Morte")&gt;0,"Morto","Ativo")))</f>
        <v/>
      </c>
      <c r="O386" s="40">
        <f>IF(A386="","",IF(COUNTIF('Pesagens'!$B$6:$B$2005,A386)=0,"",SUMPRODUCT(MAX(('Pesagens'!$B$6:$B$2005=A386)*'Pesagens'!$A$6:$A$2005))))</f>
        <v/>
      </c>
      <c r="P386" s="41">
        <f>IF(A386="","",IF(O386="",IF(J386="","",J386),IFERROR(AVERAGEIFS('Pesagens'!$C$6:$C$2005,'Pesagens'!$B$6:$B$2005,A386,'Pesagens'!$A$6:$A$2005,O386),"")))</f>
        <v/>
      </c>
      <c r="Q386" s="42">
        <f>IF(OR(A386="",O386="",I386="",J386=""),"",IFERROR((P386-J386)/(O386-I386),""))</f>
        <v/>
      </c>
    </row>
    <row r="387">
      <c r="A387" s="36" t="n"/>
      <c r="B387" s="32" t="n"/>
      <c r="C387" s="37" t="n"/>
      <c r="D387" s="31" t="n"/>
      <c r="E387" s="32" t="n"/>
      <c r="F387" s="32" t="n"/>
      <c r="G387" s="32" t="n"/>
      <c r="H387" s="36" t="n"/>
      <c r="I387" s="31" t="n"/>
      <c r="J387" s="38" t="n"/>
      <c r="K387" s="32" t="n"/>
      <c r="L387" s="34">
        <f>IF(OR(A387="",D387=""),"",IF(D387&gt;Config!$B$5,0,DATEDIF(D387,Config!$B$5,"m")))</f>
        <v/>
      </c>
      <c r="M387" s="39">
        <f>IF(A387="","",IF(K387&lt;&gt;"",K387,IF(OR(C387="",D387=""),"Sem dados",IFERROR(IF(C387="M",INDEX(Config!$B$11:$B$14,MATCH(L387,Config!$A$11:$A$14,1)),IF(C387="F",INDEX(Config!$C$11:$C$14,MATCH(L387,Config!$A$11:$A$14,1)),"Sem dados")),"Verificar"))))</f>
        <v/>
      </c>
      <c r="N387" s="39">
        <f>IF(A387="","",IF(COUNTIFS('Movimentações'!$C$6:$C$1505,A387,'Movimentações'!$B$6:$B$1505,"Venda")&gt;0,"Vendido",IF(COUNTIFS('Movimentações'!$C$6:$C$1505,A387,'Movimentações'!$B$6:$B$1505,"Morte")&gt;0,"Morto","Ativo")))</f>
        <v/>
      </c>
      <c r="O387" s="40">
        <f>IF(A387="","",IF(COUNTIF('Pesagens'!$B$6:$B$2005,A387)=0,"",SUMPRODUCT(MAX(('Pesagens'!$B$6:$B$2005=A387)*'Pesagens'!$A$6:$A$2005))))</f>
        <v/>
      </c>
      <c r="P387" s="41">
        <f>IF(A387="","",IF(O387="",IF(J387="","",J387),IFERROR(AVERAGEIFS('Pesagens'!$C$6:$C$2005,'Pesagens'!$B$6:$B$2005,A387,'Pesagens'!$A$6:$A$2005,O387),"")))</f>
        <v/>
      </c>
      <c r="Q387" s="42">
        <f>IF(OR(A387="",O387="",I387="",J387=""),"",IFERROR((P387-J387)/(O387-I387),""))</f>
        <v/>
      </c>
    </row>
    <row r="388">
      <c r="A388" s="36" t="n"/>
      <c r="B388" s="32" t="n"/>
      <c r="C388" s="37" t="n"/>
      <c r="D388" s="31" t="n"/>
      <c r="E388" s="32" t="n"/>
      <c r="F388" s="32" t="n"/>
      <c r="G388" s="32" t="n"/>
      <c r="H388" s="36" t="n"/>
      <c r="I388" s="31" t="n"/>
      <c r="J388" s="38" t="n"/>
      <c r="K388" s="32" t="n"/>
      <c r="L388" s="34">
        <f>IF(OR(A388="",D388=""),"",IF(D388&gt;Config!$B$5,0,DATEDIF(D388,Config!$B$5,"m")))</f>
        <v/>
      </c>
      <c r="M388" s="39">
        <f>IF(A388="","",IF(K388&lt;&gt;"",K388,IF(OR(C388="",D388=""),"Sem dados",IFERROR(IF(C388="M",INDEX(Config!$B$11:$B$14,MATCH(L388,Config!$A$11:$A$14,1)),IF(C388="F",INDEX(Config!$C$11:$C$14,MATCH(L388,Config!$A$11:$A$14,1)),"Sem dados")),"Verificar"))))</f>
        <v/>
      </c>
      <c r="N388" s="39">
        <f>IF(A388="","",IF(COUNTIFS('Movimentações'!$C$6:$C$1505,A388,'Movimentações'!$B$6:$B$1505,"Venda")&gt;0,"Vendido",IF(COUNTIFS('Movimentações'!$C$6:$C$1505,A388,'Movimentações'!$B$6:$B$1505,"Morte")&gt;0,"Morto","Ativo")))</f>
        <v/>
      </c>
      <c r="O388" s="40">
        <f>IF(A388="","",IF(COUNTIF('Pesagens'!$B$6:$B$2005,A388)=0,"",SUMPRODUCT(MAX(('Pesagens'!$B$6:$B$2005=A388)*'Pesagens'!$A$6:$A$2005))))</f>
        <v/>
      </c>
      <c r="P388" s="41">
        <f>IF(A388="","",IF(O388="",IF(J388="","",J388),IFERROR(AVERAGEIFS('Pesagens'!$C$6:$C$2005,'Pesagens'!$B$6:$B$2005,A388,'Pesagens'!$A$6:$A$2005,O388),"")))</f>
        <v/>
      </c>
      <c r="Q388" s="42">
        <f>IF(OR(A388="",O388="",I388="",J388=""),"",IFERROR((P388-J388)/(O388-I388),""))</f>
        <v/>
      </c>
    </row>
    <row r="389">
      <c r="A389" s="36" t="n"/>
      <c r="B389" s="32" t="n"/>
      <c r="C389" s="37" t="n"/>
      <c r="D389" s="31" t="n"/>
      <c r="E389" s="32" t="n"/>
      <c r="F389" s="32" t="n"/>
      <c r="G389" s="32" t="n"/>
      <c r="H389" s="36" t="n"/>
      <c r="I389" s="31" t="n"/>
      <c r="J389" s="38" t="n"/>
      <c r="K389" s="32" t="n"/>
      <c r="L389" s="34">
        <f>IF(OR(A389="",D389=""),"",IF(D389&gt;Config!$B$5,0,DATEDIF(D389,Config!$B$5,"m")))</f>
        <v/>
      </c>
      <c r="M389" s="39">
        <f>IF(A389="","",IF(K389&lt;&gt;"",K389,IF(OR(C389="",D389=""),"Sem dados",IFERROR(IF(C389="M",INDEX(Config!$B$11:$B$14,MATCH(L389,Config!$A$11:$A$14,1)),IF(C389="F",INDEX(Config!$C$11:$C$14,MATCH(L389,Config!$A$11:$A$14,1)),"Sem dados")),"Verificar"))))</f>
        <v/>
      </c>
      <c r="N389" s="39">
        <f>IF(A389="","",IF(COUNTIFS('Movimentações'!$C$6:$C$1505,A389,'Movimentações'!$B$6:$B$1505,"Venda")&gt;0,"Vendido",IF(COUNTIFS('Movimentações'!$C$6:$C$1505,A389,'Movimentações'!$B$6:$B$1505,"Morte")&gt;0,"Morto","Ativo")))</f>
        <v/>
      </c>
      <c r="O389" s="40">
        <f>IF(A389="","",IF(COUNTIF('Pesagens'!$B$6:$B$2005,A389)=0,"",SUMPRODUCT(MAX(('Pesagens'!$B$6:$B$2005=A389)*'Pesagens'!$A$6:$A$2005))))</f>
        <v/>
      </c>
      <c r="P389" s="41">
        <f>IF(A389="","",IF(O389="",IF(J389="","",J389),IFERROR(AVERAGEIFS('Pesagens'!$C$6:$C$2005,'Pesagens'!$B$6:$B$2005,A389,'Pesagens'!$A$6:$A$2005,O389),"")))</f>
        <v/>
      </c>
      <c r="Q389" s="42">
        <f>IF(OR(A389="",O389="",I389="",J389=""),"",IFERROR((P389-J389)/(O389-I389),""))</f>
        <v/>
      </c>
    </row>
    <row r="390">
      <c r="A390" s="36" t="n"/>
      <c r="B390" s="32" t="n"/>
      <c r="C390" s="37" t="n"/>
      <c r="D390" s="31" t="n"/>
      <c r="E390" s="32" t="n"/>
      <c r="F390" s="32" t="n"/>
      <c r="G390" s="32" t="n"/>
      <c r="H390" s="36" t="n"/>
      <c r="I390" s="31" t="n"/>
      <c r="J390" s="38" t="n"/>
      <c r="K390" s="32" t="n"/>
      <c r="L390" s="34">
        <f>IF(OR(A390="",D390=""),"",IF(D390&gt;Config!$B$5,0,DATEDIF(D390,Config!$B$5,"m")))</f>
        <v/>
      </c>
      <c r="M390" s="39">
        <f>IF(A390="","",IF(K390&lt;&gt;"",K390,IF(OR(C390="",D390=""),"Sem dados",IFERROR(IF(C390="M",INDEX(Config!$B$11:$B$14,MATCH(L390,Config!$A$11:$A$14,1)),IF(C390="F",INDEX(Config!$C$11:$C$14,MATCH(L390,Config!$A$11:$A$14,1)),"Sem dados")),"Verificar"))))</f>
        <v/>
      </c>
      <c r="N390" s="39">
        <f>IF(A390="","",IF(COUNTIFS('Movimentações'!$C$6:$C$1505,A390,'Movimentações'!$B$6:$B$1505,"Venda")&gt;0,"Vendido",IF(COUNTIFS('Movimentações'!$C$6:$C$1505,A390,'Movimentações'!$B$6:$B$1505,"Morte")&gt;0,"Morto","Ativo")))</f>
        <v/>
      </c>
      <c r="O390" s="40">
        <f>IF(A390="","",IF(COUNTIF('Pesagens'!$B$6:$B$2005,A390)=0,"",SUMPRODUCT(MAX(('Pesagens'!$B$6:$B$2005=A390)*'Pesagens'!$A$6:$A$2005))))</f>
        <v/>
      </c>
      <c r="P390" s="41">
        <f>IF(A390="","",IF(O390="",IF(J390="","",J390),IFERROR(AVERAGEIFS('Pesagens'!$C$6:$C$2005,'Pesagens'!$B$6:$B$2005,A390,'Pesagens'!$A$6:$A$2005,O390),"")))</f>
        <v/>
      </c>
      <c r="Q390" s="42">
        <f>IF(OR(A390="",O390="",I390="",J390=""),"",IFERROR((P390-J390)/(O390-I390),""))</f>
        <v/>
      </c>
    </row>
    <row r="391">
      <c r="A391" s="36" t="n"/>
      <c r="B391" s="32" t="n"/>
      <c r="C391" s="37" t="n"/>
      <c r="D391" s="31" t="n"/>
      <c r="E391" s="32" t="n"/>
      <c r="F391" s="32" t="n"/>
      <c r="G391" s="32" t="n"/>
      <c r="H391" s="36" t="n"/>
      <c r="I391" s="31" t="n"/>
      <c r="J391" s="38" t="n"/>
      <c r="K391" s="32" t="n"/>
      <c r="L391" s="34">
        <f>IF(OR(A391="",D391=""),"",IF(D391&gt;Config!$B$5,0,DATEDIF(D391,Config!$B$5,"m")))</f>
        <v/>
      </c>
      <c r="M391" s="39">
        <f>IF(A391="","",IF(K391&lt;&gt;"",K391,IF(OR(C391="",D391=""),"Sem dados",IFERROR(IF(C391="M",INDEX(Config!$B$11:$B$14,MATCH(L391,Config!$A$11:$A$14,1)),IF(C391="F",INDEX(Config!$C$11:$C$14,MATCH(L391,Config!$A$11:$A$14,1)),"Sem dados")),"Verificar"))))</f>
        <v/>
      </c>
      <c r="N391" s="39">
        <f>IF(A391="","",IF(COUNTIFS('Movimentações'!$C$6:$C$1505,A391,'Movimentações'!$B$6:$B$1505,"Venda")&gt;0,"Vendido",IF(COUNTIFS('Movimentações'!$C$6:$C$1505,A391,'Movimentações'!$B$6:$B$1505,"Morte")&gt;0,"Morto","Ativo")))</f>
        <v/>
      </c>
      <c r="O391" s="40">
        <f>IF(A391="","",IF(COUNTIF('Pesagens'!$B$6:$B$2005,A391)=0,"",SUMPRODUCT(MAX(('Pesagens'!$B$6:$B$2005=A391)*'Pesagens'!$A$6:$A$2005))))</f>
        <v/>
      </c>
      <c r="P391" s="41">
        <f>IF(A391="","",IF(O391="",IF(J391="","",J391),IFERROR(AVERAGEIFS('Pesagens'!$C$6:$C$2005,'Pesagens'!$B$6:$B$2005,A391,'Pesagens'!$A$6:$A$2005,O391),"")))</f>
        <v/>
      </c>
      <c r="Q391" s="42">
        <f>IF(OR(A391="",O391="",I391="",J391=""),"",IFERROR((P391-J391)/(O391-I391),""))</f>
        <v/>
      </c>
    </row>
    <row r="392">
      <c r="A392" s="36" t="n"/>
      <c r="B392" s="32" t="n"/>
      <c r="C392" s="37" t="n"/>
      <c r="D392" s="31" t="n"/>
      <c r="E392" s="32" t="n"/>
      <c r="F392" s="32" t="n"/>
      <c r="G392" s="32" t="n"/>
      <c r="H392" s="36" t="n"/>
      <c r="I392" s="31" t="n"/>
      <c r="J392" s="38" t="n"/>
      <c r="K392" s="32" t="n"/>
      <c r="L392" s="34">
        <f>IF(OR(A392="",D392=""),"",IF(D392&gt;Config!$B$5,0,DATEDIF(D392,Config!$B$5,"m")))</f>
        <v/>
      </c>
      <c r="M392" s="39">
        <f>IF(A392="","",IF(K392&lt;&gt;"",K392,IF(OR(C392="",D392=""),"Sem dados",IFERROR(IF(C392="M",INDEX(Config!$B$11:$B$14,MATCH(L392,Config!$A$11:$A$14,1)),IF(C392="F",INDEX(Config!$C$11:$C$14,MATCH(L392,Config!$A$11:$A$14,1)),"Sem dados")),"Verificar"))))</f>
        <v/>
      </c>
      <c r="N392" s="39">
        <f>IF(A392="","",IF(COUNTIFS('Movimentações'!$C$6:$C$1505,A392,'Movimentações'!$B$6:$B$1505,"Venda")&gt;0,"Vendido",IF(COUNTIFS('Movimentações'!$C$6:$C$1505,A392,'Movimentações'!$B$6:$B$1505,"Morte")&gt;0,"Morto","Ativo")))</f>
        <v/>
      </c>
      <c r="O392" s="40">
        <f>IF(A392="","",IF(COUNTIF('Pesagens'!$B$6:$B$2005,A392)=0,"",SUMPRODUCT(MAX(('Pesagens'!$B$6:$B$2005=A392)*'Pesagens'!$A$6:$A$2005))))</f>
        <v/>
      </c>
      <c r="P392" s="41">
        <f>IF(A392="","",IF(O392="",IF(J392="","",J392),IFERROR(AVERAGEIFS('Pesagens'!$C$6:$C$2005,'Pesagens'!$B$6:$B$2005,A392,'Pesagens'!$A$6:$A$2005,O392),"")))</f>
        <v/>
      </c>
      <c r="Q392" s="42">
        <f>IF(OR(A392="",O392="",I392="",J392=""),"",IFERROR((P392-J392)/(O392-I392),""))</f>
        <v/>
      </c>
    </row>
    <row r="393">
      <c r="A393" s="36" t="n"/>
      <c r="B393" s="32" t="n"/>
      <c r="C393" s="37" t="n"/>
      <c r="D393" s="31" t="n"/>
      <c r="E393" s="32" t="n"/>
      <c r="F393" s="32" t="n"/>
      <c r="G393" s="32" t="n"/>
      <c r="H393" s="36" t="n"/>
      <c r="I393" s="31" t="n"/>
      <c r="J393" s="38" t="n"/>
      <c r="K393" s="32" t="n"/>
      <c r="L393" s="34">
        <f>IF(OR(A393="",D393=""),"",IF(D393&gt;Config!$B$5,0,DATEDIF(D393,Config!$B$5,"m")))</f>
        <v/>
      </c>
      <c r="M393" s="39">
        <f>IF(A393="","",IF(K393&lt;&gt;"",K393,IF(OR(C393="",D393=""),"Sem dados",IFERROR(IF(C393="M",INDEX(Config!$B$11:$B$14,MATCH(L393,Config!$A$11:$A$14,1)),IF(C393="F",INDEX(Config!$C$11:$C$14,MATCH(L393,Config!$A$11:$A$14,1)),"Sem dados")),"Verificar"))))</f>
        <v/>
      </c>
      <c r="N393" s="39">
        <f>IF(A393="","",IF(COUNTIFS('Movimentações'!$C$6:$C$1505,A393,'Movimentações'!$B$6:$B$1505,"Venda")&gt;0,"Vendido",IF(COUNTIFS('Movimentações'!$C$6:$C$1505,A393,'Movimentações'!$B$6:$B$1505,"Morte")&gt;0,"Morto","Ativo")))</f>
        <v/>
      </c>
      <c r="O393" s="40">
        <f>IF(A393="","",IF(COUNTIF('Pesagens'!$B$6:$B$2005,A393)=0,"",SUMPRODUCT(MAX(('Pesagens'!$B$6:$B$2005=A393)*'Pesagens'!$A$6:$A$2005))))</f>
        <v/>
      </c>
      <c r="P393" s="41">
        <f>IF(A393="","",IF(O393="",IF(J393="","",J393),IFERROR(AVERAGEIFS('Pesagens'!$C$6:$C$2005,'Pesagens'!$B$6:$B$2005,A393,'Pesagens'!$A$6:$A$2005,O393),"")))</f>
        <v/>
      </c>
      <c r="Q393" s="42">
        <f>IF(OR(A393="",O393="",I393="",J393=""),"",IFERROR((P393-J393)/(O393-I393),""))</f>
        <v/>
      </c>
    </row>
    <row r="394">
      <c r="A394" s="36" t="n"/>
      <c r="B394" s="32" t="n"/>
      <c r="C394" s="37" t="n"/>
      <c r="D394" s="31" t="n"/>
      <c r="E394" s="32" t="n"/>
      <c r="F394" s="32" t="n"/>
      <c r="G394" s="32" t="n"/>
      <c r="H394" s="36" t="n"/>
      <c r="I394" s="31" t="n"/>
      <c r="J394" s="38" t="n"/>
      <c r="K394" s="32" t="n"/>
      <c r="L394" s="34">
        <f>IF(OR(A394="",D394=""),"",IF(D394&gt;Config!$B$5,0,DATEDIF(D394,Config!$B$5,"m")))</f>
        <v/>
      </c>
      <c r="M394" s="39">
        <f>IF(A394="","",IF(K394&lt;&gt;"",K394,IF(OR(C394="",D394=""),"Sem dados",IFERROR(IF(C394="M",INDEX(Config!$B$11:$B$14,MATCH(L394,Config!$A$11:$A$14,1)),IF(C394="F",INDEX(Config!$C$11:$C$14,MATCH(L394,Config!$A$11:$A$14,1)),"Sem dados")),"Verificar"))))</f>
        <v/>
      </c>
      <c r="N394" s="39">
        <f>IF(A394="","",IF(COUNTIFS('Movimentações'!$C$6:$C$1505,A394,'Movimentações'!$B$6:$B$1505,"Venda")&gt;0,"Vendido",IF(COUNTIFS('Movimentações'!$C$6:$C$1505,A394,'Movimentações'!$B$6:$B$1505,"Morte")&gt;0,"Morto","Ativo")))</f>
        <v/>
      </c>
      <c r="O394" s="40">
        <f>IF(A394="","",IF(COUNTIF('Pesagens'!$B$6:$B$2005,A394)=0,"",SUMPRODUCT(MAX(('Pesagens'!$B$6:$B$2005=A394)*'Pesagens'!$A$6:$A$2005))))</f>
        <v/>
      </c>
      <c r="P394" s="41">
        <f>IF(A394="","",IF(O394="",IF(J394="","",J394),IFERROR(AVERAGEIFS('Pesagens'!$C$6:$C$2005,'Pesagens'!$B$6:$B$2005,A394,'Pesagens'!$A$6:$A$2005,O394),"")))</f>
        <v/>
      </c>
      <c r="Q394" s="42">
        <f>IF(OR(A394="",O394="",I394="",J394=""),"",IFERROR((P394-J394)/(O394-I394),""))</f>
        <v/>
      </c>
    </row>
    <row r="395">
      <c r="A395" s="36" t="n"/>
      <c r="B395" s="32" t="n"/>
      <c r="C395" s="37" t="n"/>
      <c r="D395" s="31" t="n"/>
      <c r="E395" s="32" t="n"/>
      <c r="F395" s="32" t="n"/>
      <c r="G395" s="32" t="n"/>
      <c r="H395" s="36" t="n"/>
      <c r="I395" s="31" t="n"/>
      <c r="J395" s="38" t="n"/>
      <c r="K395" s="32" t="n"/>
      <c r="L395" s="34">
        <f>IF(OR(A395="",D395=""),"",IF(D395&gt;Config!$B$5,0,DATEDIF(D395,Config!$B$5,"m")))</f>
        <v/>
      </c>
      <c r="M395" s="39">
        <f>IF(A395="","",IF(K395&lt;&gt;"",K395,IF(OR(C395="",D395=""),"Sem dados",IFERROR(IF(C395="M",INDEX(Config!$B$11:$B$14,MATCH(L395,Config!$A$11:$A$14,1)),IF(C395="F",INDEX(Config!$C$11:$C$14,MATCH(L395,Config!$A$11:$A$14,1)),"Sem dados")),"Verificar"))))</f>
        <v/>
      </c>
      <c r="N395" s="39">
        <f>IF(A395="","",IF(COUNTIFS('Movimentações'!$C$6:$C$1505,A395,'Movimentações'!$B$6:$B$1505,"Venda")&gt;0,"Vendido",IF(COUNTIFS('Movimentações'!$C$6:$C$1505,A395,'Movimentações'!$B$6:$B$1505,"Morte")&gt;0,"Morto","Ativo")))</f>
        <v/>
      </c>
      <c r="O395" s="40">
        <f>IF(A395="","",IF(COUNTIF('Pesagens'!$B$6:$B$2005,A395)=0,"",SUMPRODUCT(MAX(('Pesagens'!$B$6:$B$2005=A395)*'Pesagens'!$A$6:$A$2005))))</f>
        <v/>
      </c>
      <c r="P395" s="41">
        <f>IF(A395="","",IF(O395="",IF(J395="","",J395),IFERROR(AVERAGEIFS('Pesagens'!$C$6:$C$2005,'Pesagens'!$B$6:$B$2005,A395,'Pesagens'!$A$6:$A$2005,O395),"")))</f>
        <v/>
      </c>
      <c r="Q395" s="42">
        <f>IF(OR(A395="",O395="",I395="",J395=""),"",IFERROR((P395-J395)/(O395-I395),""))</f>
        <v/>
      </c>
    </row>
    <row r="396">
      <c r="A396" s="36" t="n"/>
      <c r="B396" s="32" t="n"/>
      <c r="C396" s="37" t="n"/>
      <c r="D396" s="31" t="n"/>
      <c r="E396" s="32" t="n"/>
      <c r="F396" s="32" t="n"/>
      <c r="G396" s="32" t="n"/>
      <c r="H396" s="36" t="n"/>
      <c r="I396" s="31" t="n"/>
      <c r="J396" s="38" t="n"/>
      <c r="K396" s="32" t="n"/>
      <c r="L396" s="34">
        <f>IF(OR(A396="",D396=""),"",IF(D396&gt;Config!$B$5,0,DATEDIF(D396,Config!$B$5,"m")))</f>
        <v/>
      </c>
      <c r="M396" s="39">
        <f>IF(A396="","",IF(K396&lt;&gt;"",K396,IF(OR(C396="",D396=""),"Sem dados",IFERROR(IF(C396="M",INDEX(Config!$B$11:$B$14,MATCH(L396,Config!$A$11:$A$14,1)),IF(C396="F",INDEX(Config!$C$11:$C$14,MATCH(L396,Config!$A$11:$A$14,1)),"Sem dados")),"Verificar"))))</f>
        <v/>
      </c>
      <c r="N396" s="39">
        <f>IF(A396="","",IF(COUNTIFS('Movimentações'!$C$6:$C$1505,A396,'Movimentações'!$B$6:$B$1505,"Venda")&gt;0,"Vendido",IF(COUNTIFS('Movimentações'!$C$6:$C$1505,A396,'Movimentações'!$B$6:$B$1505,"Morte")&gt;0,"Morto","Ativo")))</f>
        <v/>
      </c>
      <c r="O396" s="40">
        <f>IF(A396="","",IF(COUNTIF('Pesagens'!$B$6:$B$2005,A396)=0,"",SUMPRODUCT(MAX(('Pesagens'!$B$6:$B$2005=A396)*'Pesagens'!$A$6:$A$2005))))</f>
        <v/>
      </c>
      <c r="P396" s="41">
        <f>IF(A396="","",IF(O396="",IF(J396="","",J396),IFERROR(AVERAGEIFS('Pesagens'!$C$6:$C$2005,'Pesagens'!$B$6:$B$2005,A396,'Pesagens'!$A$6:$A$2005,O396),"")))</f>
        <v/>
      </c>
      <c r="Q396" s="42">
        <f>IF(OR(A396="",O396="",I396="",J396=""),"",IFERROR((P396-J396)/(O396-I396),""))</f>
        <v/>
      </c>
    </row>
    <row r="397">
      <c r="A397" s="36" t="n"/>
      <c r="B397" s="32" t="n"/>
      <c r="C397" s="37" t="n"/>
      <c r="D397" s="31" t="n"/>
      <c r="E397" s="32" t="n"/>
      <c r="F397" s="32" t="n"/>
      <c r="G397" s="32" t="n"/>
      <c r="H397" s="36" t="n"/>
      <c r="I397" s="31" t="n"/>
      <c r="J397" s="38" t="n"/>
      <c r="K397" s="32" t="n"/>
      <c r="L397" s="34">
        <f>IF(OR(A397="",D397=""),"",IF(D397&gt;Config!$B$5,0,DATEDIF(D397,Config!$B$5,"m")))</f>
        <v/>
      </c>
      <c r="M397" s="39">
        <f>IF(A397="","",IF(K397&lt;&gt;"",K397,IF(OR(C397="",D397=""),"Sem dados",IFERROR(IF(C397="M",INDEX(Config!$B$11:$B$14,MATCH(L397,Config!$A$11:$A$14,1)),IF(C397="F",INDEX(Config!$C$11:$C$14,MATCH(L397,Config!$A$11:$A$14,1)),"Sem dados")),"Verificar"))))</f>
        <v/>
      </c>
      <c r="N397" s="39">
        <f>IF(A397="","",IF(COUNTIFS('Movimentações'!$C$6:$C$1505,A397,'Movimentações'!$B$6:$B$1505,"Venda")&gt;0,"Vendido",IF(COUNTIFS('Movimentações'!$C$6:$C$1505,A397,'Movimentações'!$B$6:$B$1505,"Morte")&gt;0,"Morto","Ativo")))</f>
        <v/>
      </c>
      <c r="O397" s="40">
        <f>IF(A397="","",IF(COUNTIF('Pesagens'!$B$6:$B$2005,A397)=0,"",SUMPRODUCT(MAX(('Pesagens'!$B$6:$B$2005=A397)*'Pesagens'!$A$6:$A$2005))))</f>
        <v/>
      </c>
      <c r="P397" s="41">
        <f>IF(A397="","",IF(O397="",IF(J397="","",J397),IFERROR(AVERAGEIFS('Pesagens'!$C$6:$C$2005,'Pesagens'!$B$6:$B$2005,A397,'Pesagens'!$A$6:$A$2005,O397),"")))</f>
        <v/>
      </c>
      <c r="Q397" s="42">
        <f>IF(OR(A397="",O397="",I397="",J397=""),"",IFERROR((P397-J397)/(O397-I397),""))</f>
        <v/>
      </c>
    </row>
    <row r="398">
      <c r="A398" s="36" t="n"/>
      <c r="B398" s="32" t="n"/>
      <c r="C398" s="37" t="n"/>
      <c r="D398" s="31" t="n"/>
      <c r="E398" s="32" t="n"/>
      <c r="F398" s="32" t="n"/>
      <c r="G398" s="32" t="n"/>
      <c r="H398" s="36" t="n"/>
      <c r="I398" s="31" t="n"/>
      <c r="J398" s="38" t="n"/>
      <c r="K398" s="32" t="n"/>
      <c r="L398" s="34">
        <f>IF(OR(A398="",D398=""),"",IF(D398&gt;Config!$B$5,0,DATEDIF(D398,Config!$B$5,"m")))</f>
        <v/>
      </c>
      <c r="M398" s="39">
        <f>IF(A398="","",IF(K398&lt;&gt;"",K398,IF(OR(C398="",D398=""),"Sem dados",IFERROR(IF(C398="M",INDEX(Config!$B$11:$B$14,MATCH(L398,Config!$A$11:$A$14,1)),IF(C398="F",INDEX(Config!$C$11:$C$14,MATCH(L398,Config!$A$11:$A$14,1)),"Sem dados")),"Verificar"))))</f>
        <v/>
      </c>
      <c r="N398" s="39">
        <f>IF(A398="","",IF(COUNTIFS('Movimentações'!$C$6:$C$1505,A398,'Movimentações'!$B$6:$B$1505,"Venda")&gt;0,"Vendido",IF(COUNTIFS('Movimentações'!$C$6:$C$1505,A398,'Movimentações'!$B$6:$B$1505,"Morte")&gt;0,"Morto","Ativo")))</f>
        <v/>
      </c>
      <c r="O398" s="40">
        <f>IF(A398="","",IF(COUNTIF('Pesagens'!$B$6:$B$2005,A398)=0,"",SUMPRODUCT(MAX(('Pesagens'!$B$6:$B$2005=A398)*'Pesagens'!$A$6:$A$2005))))</f>
        <v/>
      </c>
      <c r="P398" s="41">
        <f>IF(A398="","",IF(O398="",IF(J398="","",J398),IFERROR(AVERAGEIFS('Pesagens'!$C$6:$C$2005,'Pesagens'!$B$6:$B$2005,A398,'Pesagens'!$A$6:$A$2005,O398),"")))</f>
        <v/>
      </c>
      <c r="Q398" s="42">
        <f>IF(OR(A398="",O398="",I398="",J398=""),"",IFERROR((P398-J398)/(O398-I398),""))</f>
        <v/>
      </c>
    </row>
    <row r="399">
      <c r="A399" s="36" t="n"/>
      <c r="B399" s="32" t="n"/>
      <c r="C399" s="37" t="n"/>
      <c r="D399" s="31" t="n"/>
      <c r="E399" s="32" t="n"/>
      <c r="F399" s="32" t="n"/>
      <c r="G399" s="32" t="n"/>
      <c r="H399" s="36" t="n"/>
      <c r="I399" s="31" t="n"/>
      <c r="J399" s="38" t="n"/>
      <c r="K399" s="32" t="n"/>
      <c r="L399" s="34">
        <f>IF(OR(A399="",D399=""),"",IF(D399&gt;Config!$B$5,0,DATEDIF(D399,Config!$B$5,"m")))</f>
        <v/>
      </c>
      <c r="M399" s="39">
        <f>IF(A399="","",IF(K399&lt;&gt;"",K399,IF(OR(C399="",D399=""),"Sem dados",IFERROR(IF(C399="M",INDEX(Config!$B$11:$B$14,MATCH(L399,Config!$A$11:$A$14,1)),IF(C399="F",INDEX(Config!$C$11:$C$14,MATCH(L399,Config!$A$11:$A$14,1)),"Sem dados")),"Verificar"))))</f>
        <v/>
      </c>
      <c r="N399" s="39">
        <f>IF(A399="","",IF(COUNTIFS('Movimentações'!$C$6:$C$1505,A399,'Movimentações'!$B$6:$B$1505,"Venda")&gt;0,"Vendido",IF(COUNTIFS('Movimentações'!$C$6:$C$1505,A399,'Movimentações'!$B$6:$B$1505,"Morte")&gt;0,"Morto","Ativo")))</f>
        <v/>
      </c>
      <c r="O399" s="40">
        <f>IF(A399="","",IF(COUNTIF('Pesagens'!$B$6:$B$2005,A399)=0,"",SUMPRODUCT(MAX(('Pesagens'!$B$6:$B$2005=A399)*'Pesagens'!$A$6:$A$2005))))</f>
        <v/>
      </c>
      <c r="P399" s="41">
        <f>IF(A399="","",IF(O399="",IF(J399="","",J399),IFERROR(AVERAGEIFS('Pesagens'!$C$6:$C$2005,'Pesagens'!$B$6:$B$2005,A399,'Pesagens'!$A$6:$A$2005,O399),"")))</f>
        <v/>
      </c>
      <c r="Q399" s="42">
        <f>IF(OR(A399="",O399="",I399="",J399=""),"",IFERROR((P399-J399)/(O399-I399),""))</f>
        <v/>
      </c>
    </row>
    <row r="400">
      <c r="A400" s="36" t="n"/>
      <c r="B400" s="32" t="n"/>
      <c r="C400" s="37" t="n"/>
      <c r="D400" s="31" t="n"/>
      <c r="E400" s="32" t="n"/>
      <c r="F400" s="32" t="n"/>
      <c r="G400" s="32" t="n"/>
      <c r="H400" s="36" t="n"/>
      <c r="I400" s="31" t="n"/>
      <c r="J400" s="38" t="n"/>
      <c r="K400" s="32" t="n"/>
      <c r="L400" s="34">
        <f>IF(OR(A400="",D400=""),"",IF(D400&gt;Config!$B$5,0,DATEDIF(D400,Config!$B$5,"m")))</f>
        <v/>
      </c>
      <c r="M400" s="39">
        <f>IF(A400="","",IF(K400&lt;&gt;"",K400,IF(OR(C400="",D400=""),"Sem dados",IFERROR(IF(C400="M",INDEX(Config!$B$11:$B$14,MATCH(L400,Config!$A$11:$A$14,1)),IF(C400="F",INDEX(Config!$C$11:$C$14,MATCH(L400,Config!$A$11:$A$14,1)),"Sem dados")),"Verificar"))))</f>
        <v/>
      </c>
      <c r="N400" s="39">
        <f>IF(A400="","",IF(COUNTIFS('Movimentações'!$C$6:$C$1505,A400,'Movimentações'!$B$6:$B$1505,"Venda")&gt;0,"Vendido",IF(COUNTIFS('Movimentações'!$C$6:$C$1505,A400,'Movimentações'!$B$6:$B$1505,"Morte")&gt;0,"Morto","Ativo")))</f>
        <v/>
      </c>
      <c r="O400" s="40">
        <f>IF(A400="","",IF(COUNTIF('Pesagens'!$B$6:$B$2005,A400)=0,"",SUMPRODUCT(MAX(('Pesagens'!$B$6:$B$2005=A400)*'Pesagens'!$A$6:$A$2005))))</f>
        <v/>
      </c>
      <c r="P400" s="41">
        <f>IF(A400="","",IF(O400="",IF(J400="","",J400),IFERROR(AVERAGEIFS('Pesagens'!$C$6:$C$2005,'Pesagens'!$B$6:$B$2005,A400,'Pesagens'!$A$6:$A$2005,O400),"")))</f>
        <v/>
      </c>
      <c r="Q400" s="42">
        <f>IF(OR(A400="",O400="",I400="",J400=""),"",IFERROR((P400-J400)/(O400-I400),""))</f>
        <v/>
      </c>
    </row>
    <row r="401">
      <c r="A401" s="36" t="n"/>
      <c r="B401" s="32" t="n"/>
      <c r="C401" s="37" t="n"/>
      <c r="D401" s="31" t="n"/>
      <c r="E401" s="32" t="n"/>
      <c r="F401" s="32" t="n"/>
      <c r="G401" s="32" t="n"/>
      <c r="H401" s="36" t="n"/>
      <c r="I401" s="31" t="n"/>
      <c r="J401" s="38" t="n"/>
      <c r="K401" s="32" t="n"/>
      <c r="L401" s="34">
        <f>IF(OR(A401="",D401=""),"",IF(D401&gt;Config!$B$5,0,DATEDIF(D401,Config!$B$5,"m")))</f>
        <v/>
      </c>
      <c r="M401" s="39">
        <f>IF(A401="","",IF(K401&lt;&gt;"",K401,IF(OR(C401="",D401=""),"Sem dados",IFERROR(IF(C401="M",INDEX(Config!$B$11:$B$14,MATCH(L401,Config!$A$11:$A$14,1)),IF(C401="F",INDEX(Config!$C$11:$C$14,MATCH(L401,Config!$A$11:$A$14,1)),"Sem dados")),"Verificar"))))</f>
        <v/>
      </c>
      <c r="N401" s="39">
        <f>IF(A401="","",IF(COUNTIFS('Movimentações'!$C$6:$C$1505,A401,'Movimentações'!$B$6:$B$1505,"Venda")&gt;0,"Vendido",IF(COUNTIFS('Movimentações'!$C$6:$C$1505,A401,'Movimentações'!$B$6:$B$1505,"Morte")&gt;0,"Morto","Ativo")))</f>
        <v/>
      </c>
      <c r="O401" s="40">
        <f>IF(A401="","",IF(COUNTIF('Pesagens'!$B$6:$B$2005,A401)=0,"",SUMPRODUCT(MAX(('Pesagens'!$B$6:$B$2005=A401)*'Pesagens'!$A$6:$A$2005))))</f>
        <v/>
      </c>
      <c r="P401" s="41">
        <f>IF(A401="","",IF(O401="",IF(J401="","",J401),IFERROR(AVERAGEIFS('Pesagens'!$C$6:$C$2005,'Pesagens'!$B$6:$B$2005,A401,'Pesagens'!$A$6:$A$2005,O401),"")))</f>
        <v/>
      </c>
      <c r="Q401" s="42">
        <f>IF(OR(A401="",O401="",I401="",J401=""),"",IFERROR((P401-J401)/(O401-I401),""))</f>
        <v/>
      </c>
    </row>
    <row r="402">
      <c r="A402" s="36" t="n"/>
      <c r="B402" s="32" t="n"/>
      <c r="C402" s="37" t="n"/>
      <c r="D402" s="31" t="n"/>
      <c r="E402" s="32" t="n"/>
      <c r="F402" s="32" t="n"/>
      <c r="G402" s="32" t="n"/>
      <c r="H402" s="36" t="n"/>
      <c r="I402" s="31" t="n"/>
      <c r="J402" s="38" t="n"/>
      <c r="K402" s="32" t="n"/>
      <c r="L402" s="34">
        <f>IF(OR(A402="",D402=""),"",IF(D402&gt;Config!$B$5,0,DATEDIF(D402,Config!$B$5,"m")))</f>
        <v/>
      </c>
      <c r="M402" s="39">
        <f>IF(A402="","",IF(K402&lt;&gt;"",K402,IF(OR(C402="",D402=""),"Sem dados",IFERROR(IF(C402="M",INDEX(Config!$B$11:$B$14,MATCH(L402,Config!$A$11:$A$14,1)),IF(C402="F",INDEX(Config!$C$11:$C$14,MATCH(L402,Config!$A$11:$A$14,1)),"Sem dados")),"Verificar"))))</f>
        <v/>
      </c>
      <c r="N402" s="39">
        <f>IF(A402="","",IF(COUNTIFS('Movimentações'!$C$6:$C$1505,A402,'Movimentações'!$B$6:$B$1505,"Venda")&gt;0,"Vendido",IF(COUNTIFS('Movimentações'!$C$6:$C$1505,A402,'Movimentações'!$B$6:$B$1505,"Morte")&gt;0,"Morto","Ativo")))</f>
        <v/>
      </c>
      <c r="O402" s="40">
        <f>IF(A402="","",IF(COUNTIF('Pesagens'!$B$6:$B$2005,A402)=0,"",SUMPRODUCT(MAX(('Pesagens'!$B$6:$B$2005=A402)*'Pesagens'!$A$6:$A$2005))))</f>
        <v/>
      </c>
      <c r="P402" s="41">
        <f>IF(A402="","",IF(O402="",IF(J402="","",J402),IFERROR(AVERAGEIFS('Pesagens'!$C$6:$C$2005,'Pesagens'!$B$6:$B$2005,A402,'Pesagens'!$A$6:$A$2005,O402),"")))</f>
        <v/>
      </c>
      <c r="Q402" s="42">
        <f>IF(OR(A402="",O402="",I402="",J402=""),"",IFERROR((P402-J402)/(O402-I402),""))</f>
        <v/>
      </c>
    </row>
    <row r="403">
      <c r="A403" s="36" t="n"/>
      <c r="B403" s="32" t="n"/>
      <c r="C403" s="37" t="n"/>
      <c r="D403" s="31" t="n"/>
      <c r="E403" s="32" t="n"/>
      <c r="F403" s="32" t="n"/>
      <c r="G403" s="32" t="n"/>
      <c r="H403" s="36" t="n"/>
      <c r="I403" s="31" t="n"/>
      <c r="J403" s="38" t="n"/>
      <c r="K403" s="32" t="n"/>
      <c r="L403" s="34">
        <f>IF(OR(A403="",D403=""),"",IF(D403&gt;Config!$B$5,0,DATEDIF(D403,Config!$B$5,"m")))</f>
        <v/>
      </c>
      <c r="M403" s="39">
        <f>IF(A403="","",IF(K403&lt;&gt;"",K403,IF(OR(C403="",D403=""),"Sem dados",IFERROR(IF(C403="M",INDEX(Config!$B$11:$B$14,MATCH(L403,Config!$A$11:$A$14,1)),IF(C403="F",INDEX(Config!$C$11:$C$14,MATCH(L403,Config!$A$11:$A$14,1)),"Sem dados")),"Verificar"))))</f>
        <v/>
      </c>
      <c r="N403" s="39">
        <f>IF(A403="","",IF(COUNTIFS('Movimentações'!$C$6:$C$1505,A403,'Movimentações'!$B$6:$B$1505,"Venda")&gt;0,"Vendido",IF(COUNTIFS('Movimentações'!$C$6:$C$1505,A403,'Movimentações'!$B$6:$B$1505,"Morte")&gt;0,"Morto","Ativo")))</f>
        <v/>
      </c>
      <c r="O403" s="40">
        <f>IF(A403="","",IF(COUNTIF('Pesagens'!$B$6:$B$2005,A403)=0,"",SUMPRODUCT(MAX(('Pesagens'!$B$6:$B$2005=A403)*'Pesagens'!$A$6:$A$2005))))</f>
        <v/>
      </c>
      <c r="P403" s="41">
        <f>IF(A403="","",IF(O403="",IF(J403="","",J403),IFERROR(AVERAGEIFS('Pesagens'!$C$6:$C$2005,'Pesagens'!$B$6:$B$2005,A403,'Pesagens'!$A$6:$A$2005,O403),"")))</f>
        <v/>
      </c>
      <c r="Q403" s="42">
        <f>IF(OR(A403="",O403="",I403="",J403=""),"",IFERROR((P403-J403)/(O403-I403),""))</f>
        <v/>
      </c>
    </row>
    <row r="404">
      <c r="A404" s="36" t="n"/>
      <c r="B404" s="32" t="n"/>
      <c r="C404" s="37" t="n"/>
      <c r="D404" s="31" t="n"/>
      <c r="E404" s="32" t="n"/>
      <c r="F404" s="32" t="n"/>
      <c r="G404" s="32" t="n"/>
      <c r="H404" s="36" t="n"/>
      <c r="I404" s="31" t="n"/>
      <c r="J404" s="38" t="n"/>
      <c r="K404" s="32" t="n"/>
      <c r="L404" s="34">
        <f>IF(OR(A404="",D404=""),"",IF(D404&gt;Config!$B$5,0,DATEDIF(D404,Config!$B$5,"m")))</f>
        <v/>
      </c>
      <c r="M404" s="39">
        <f>IF(A404="","",IF(K404&lt;&gt;"",K404,IF(OR(C404="",D404=""),"Sem dados",IFERROR(IF(C404="M",INDEX(Config!$B$11:$B$14,MATCH(L404,Config!$A$11:$A$14,1)),IF(C404="F",INDEX(Config!$C$11:$C$14,MATCH(L404,Config!$A$11:$A$14,1)),"Sem dados")),"Verificar"))))</f>
        <v/>
      </c>
      <c r="N404" s="39">
        <f>IF(A404="","",IF(COUNTIFS('Movimentações'!$C$6:$C$1505,A404,'Movimentações'!$B$6:$B$1505,"Venda")&gt;0,"Vendido",IF(COUNTIFS('Movimentações'!$C$6:$C$1505,A404,'Movimentações'!$B$6:$B$1505,"Morte")&gt;0,"Morto","Ativo")))</f>
        <v/>
      </c>
      <c r="O404" s="40">
        <f>IF(A404="","",IF(COUNTIF('Pesagens'!$B$6:$B$2005,A404)=0,"",SUMPRODUCT(MAX(('Pesagens'!$B$6:$B$2005=A404)*'Pesagens'!$A$6:$A$2005))))</f>
        <v/>
      </c>
      <c r="P404" s="41">
        <f>IF(A404="","",IF(O404="",IF(J404="","",J404),IFERROR(AVERAGEIFS('Pesagens'!$C$6:$C$2005,'Pesagens'!$B$6:$B$2005,A404,'Pesagens'!$A$6:$A$2005,O404),"")))</f>
        <v/>
      </c>
      <c r="Q404" s="42">
        <f>IF(OR(A404="",O404="",I404="",J404=""),"",IFERROR((P404-J404)/(O404-I404),""))</f>
        <v/>
      </c>
    </row>
    <row r="405">
      <c r="A405" s="36" t="n"/>
      <c r="B405" s="32" t="n"/>
      <c r="C405" s="37" t="n"/>
      <c r="D405" s="31" t="n"/>
      <c r="E405" s="32" t="n"/>
      <c r="F405" s="32" t="n"/>
      <c r="G405" s="32" t="n"/>
      <c r="H405" s="36" t="n"/>
      <c r="I405" s="31" t="n"/>
      <c r="J405" s="38" t="n"/>
      <c r="K405" s="32" t="n"/>
      <c r="L405" s="34">
        <f>IF(OR(A405="",D405=""),"",IF(D405&gt;Config!$B$5,0,DATEDIF(D405,Config!$B$5,"m")))</f>
        <v/>
      </c>
      <c r="M405" s="39">
        <f>IF(A405="","",IF(K405&lt;&gt;"",K405,IF(OR(C405="",D405=""),"Sem dados",IFERROR(IF(C405="M",INDEX(Config!$B$11:$B$14,MATCH(L405,Config!$A$11:$A$14,1)),IF(C405="F",INDEX(Config!$C$11:$C$14,MATCH(L405,Config!$A$11:$A$14,1)),"Sem dados")),"Verificar"))))</f>
        <v/>
      </c>
      <c r="N405" s="39">
        <f>IF(A405="","",IF(COUNTIFS('Movimentações'!$C$6:$C$1505,A405,'Movimentações'!$B$6:$B$1505,"Venda")&gt;0,"Vendido",IF(COUNTIFS('Movimentações'!$C$6:$C$1505,A405,'Movimentações'!$B$6:$B$1505,"Morte")&gt;0,"Morto","Ativo")))</f>
        <v/>
      </c>
      <c r="O405" s="40">
        <f>IF(A405="","",IF(COUNTIF('Pesagens'!$B$6:$B$2005,A405)=0,"",SUMPRODUCT(MAX(('Pesagens'!$B$6:$B$2005=A405)*'Pesagens'!$A$6:$A$2005))))</f>
        <v/>
      </c>
      <c r="P405" s="41">
        <f>IF(A405="","",IF(O405="",IF(J405="","",J405),IFERROR(AVERAGEIFS('Pesagens'!$C$6:$C$2005,'Pesagens'!$B$6:$B$2005,A405,'Pesagens'!$A$6:$A$2005,O405),"")))</f>
        <v/>
      </c>
      <c r="Q405" s="42">
        <f>IF(OR(A405="",O405="",I405="",J405=""),"",IFERROR((P405-J405)/(O405-I405),""))</f>
        <v/>
      </c>
    </row>
    <row r="406">
      <c r="A406" s="36" t="n"/>
      <c r="B406" s="32" t="n"/>
      <c r="C406" s="37" t="n"/>
      <c r="D406" s="31" t="n"/>
      <c r="E406" s="32" t="n"/>
      <c r="F406" s="32" t="n"/>
      <c r="G406" s="32" t="n"/>
      <c r="H406" s="36" t="n"/>
      <c r="I406" s="31" t="n"/>
      <c r="J406" s="38" t="n"/>
      <c r="K406" s="32" t="n"/>
      <c r="L406" s="34">
        <f>IF(OR(A406="",D406=""),"",IF(D406&gt;Config!$B$5,0,DATEDIF(D406,Config!$B$5,"m")))</f>
        <v/>
      </c>
      <c r="M406" s="39">
        <f>IF(A406="","",IF(K406&lt;&gt;"",K406,IF(OR(C406="",D406=""),"Sem dados",IFERROR(IF(C406="M",INDEX(Config!$B$11:$B$14,MATCH(L406,Config!$A$11:$A$14,1)),IF(C406="F",INDEX(Config!$C$11:$C$14,MATCH(L406,Config!$A$11:$A$14,1)),"Sem dados")),"Verificar"))))</f>
        <v/>
      </c>
      <c r="N406" s="39">
        <f>IF(A406="","",IF(COUNTIFS('Movimentações'!$C$6:$C$1505,A406,'Movimentações'!$B$6:$B$1505,"Venda")&gt;0,"Vendido",IF(COUNTIFS('Movimentações'!$C$6:$C$1505,A406,'Movimentações'!$B$6:$B$1505,"Morte")&gt;0,"Morto","Ativo")))</f>
        <v/>
      </c>
      <c r="O406" s="40">
        <f>IF(A406="","",IF(COUNTIF('Pesagens'!$B$6:$B$2005,A406)=0,"",SUMPRODUCT(MAX(('Pesagens'!$B$6:$B$2005=A406)*'Pesagens'!$A$6:$A$2005))))</f>
        <v/>
      </c>
      <c r="P406" s="41">
        <f>IF(A406="","",IF(O406="",IF(J406="","",J406),IFERROR(AVERAGEIFS('Pesagens'!$C$6:$C$2005,'Pesagens'!$B$6:$B$2005,A406,'Pesagens'!$A$6:$A$2005,O406),"")))</f>
        <v/>
      </c>
      <c r="Q406" s="42">
        <f>IF(OR(A406="",O406="",I406="",J406=""),"",IFERROR((P406-J406)/(O406-I406),""))</f>
        <v/>
      </c>
    </row>
    <row r="407">
      <c r="A407" s="36" t="n"/>
      <c r="B407" s="32" t="n"/>
      <c r="C407" s="37" t="n"/>
      <c r="D407" s="31" t="n"/>
      <c r="E407" s="32" t="n"/>
      <c r="F407" s="32" t="n"/>
      <c r="G407" s="32" t="n"/>
      <c r="H407" s="36" t="n"/>
      <c r="I407" s="31" t="n"/>
      <c r="J407" s="38" t="n"/>
      <c r="K407" s="32" t="n"/>
      <c r="L407" s="34">
        <f>IF(OR(A407="",D407=""),"",IF(D407&gt;Config!$B$5,0,DATEDIF(D407,Config!$B$5,"m")))</f>
        <v/>
      </c>
      <c r="M407" s="39">
        <f>IF(A407="","",IF(K407&lt;&gt;"",K407,IF(OR(C407="",D407=""),"Sem dados",IFERROR(IF(C407="M",INDEX(Config!$B$11:$B$14,MATCH(L407,Config!$A$11:$A$14,1)),IF(C407="F",INDEX(Config!$C$11:$C$14,MATCH(L407,Config!$A$11:$A$14,1)),"Sem dados")),"Verificar"))))</f>
        <v/>
      </c>
      <c r="N407" s="39">
        <f>IF(A407="","",IF(COUNTIFS('Movimentações'!$C$6:$C$1505,A407,'Movimentações'!$B$6:$B$1505,"Venda")&gt;0,"Vendido",IF(COUNTIFS('Movimentações'!$C$6:$C$1505,A407,'Movimentações'!$B$6:$B$1505,"Morte")&gt;0,"Morto","Ativo")))</f>
        <v/>
      </c>
      <c r="O407" s="40">
        <f>IF(A407="","",IF(COUNTIF('Pesagens'!$B$6:$B$2005,A407)=0,"",SUMPRODUCT(MAX(('Pesagens'!$B$6:$B$2005=A407)*'Pesagens'!$A$6:$A$2005))))</f>
        <v/>
      </c>
      <c r="P407" s="41">
        <f>IF(A407="","",IF(O407="",IF(J407="","",J407),IFERROR(AVERAGEIFS('Pesagens'!$C$6:$C$2005,'Pesagens'!$B$6:$B$2005,A407,'Pesagens'!$A$6:$A$2005,O407),"")))</f>
        <v/>
      </c>
      <c r="Q407" s="42">
        <f>IF(OR(A407="",O407="",I407="",J407=""),"",IFERROR((P407-J407)/(O407-I407),""))</f>
        <v/>
      </c>
    </row>
    <row r="408">
      <c r="A408" s="36" t="n"/>
      <c r="B408" s="32" t="n"/>
      <c r="C408" s="37" t="n"/>
      <c r="D408" s="31" t="n"/>
      <c r="E408" s="32" t="n"/>
      <c r="F408" s="32" t="n"/>
      <c r="G408" s="32" t="n"/>
      <c r="H408" s="36" t="n"/>
      <c r="I408" s="31" t="n"/>
      <c r="J408" s="38" t="n"/>
      <c r="K408" s="32" t="n"/>
      <c r="L408" s="34">
        <f>IF(OR(A408="",D408=""),"",IF(D408&gt;Config!$B$5,0,DATEDIF(D408,Config!$B$5,"m")))</f>
        <v/>
      </c>
      <c r="M408" s="39">
        <f>IF(A408="","",IF(K408&lt;&gt;"",K408,IF(OR(C408="",D408=""),"Sem dados",IFERROR(IF(C408="M",INDEX(Config!$B$11:$B$14,MATCH(L408,Config!$A$11:$A$14,1)),IF(C408="F",INDEX(Config!$C$11:$C$14,MATCH(L408,Config!$A$11:$A$14,1)),"Sem dados")),"Verificar"))))</f>
        <v/>
      </c>
      <c r="N408" s="39">
        <f>IF(A408="","",IF(COUNTIFS('Movimentações'!$C$6:$C$1505,A408,'Movimentações'!$B$6:$B$1505,"Venda")&gt;0,"Vendido",IF(COUNTIFS('Movimentações'!$C$6:$C$1505,A408,'Movimentações'!$B$6:$B$1505,"Morte")&gt;0,"Morto","Ativo")))</f>
        <v/>
      </c>
      <c r="O408" s="40">
        <f>IF(A408="","",IF(COUNTIF('Pesagens'!$B$6:$B$2005,A408)=0,"",SUMPRODUCT(MAX(('Pesagens'!$B$6:$B$2005=A408)*'Pesagens'!$A$6:$A$2005))))</f>
        <v/>
      </c>
      <c r="P408" s="41">
        <f>IF(A408="","",IF(O408="",IF(J408="","",J408),IFERROR(AVERAGEIFS('Pesagens'!$C$6:$C$2005,'Pesagens'!$B$6:$B$2005,A408,'Pesagens'!$A$6:$A$2005,O408),"")))</f>
        <v/>
      </c>
      <c r="Q408" s="42">
        <f>IF(OR(A408="",O408="",I408="",J408=""),"",IFERROR((P408-J408)/(O408-I408),""))</f>
        <v/>
      </c>
    </row>
    <row r="409">
      <c r="A409" s="36" t="n"/>
      <c r="B409" s="32" t="n"/>
      <c r="C409" s="37" t="n"/>
      <c r="D409" s="31" t="n"/>
      <c r="E409" s="32" t="n"/>
      <c r="F409" s="32" t="n"/>
      <c r="G409" s="32" t="n"/>
      <c r="H409" s="36" t="n"/>
      <c r="I409" s="31" t="n"/>
      <c r="J409" s="38" t="n"/>
      <c r="K409" s="32" t="n"/>
      <c r="L409" s="34">
        <f>IF(OR(A409="",D409=""),"",IF(D409&gt;Config!$B$5,0,DATEDIF(D409,Config!$B$5,"m")))</f>
        <v/>
      </c>
      <c r="M409" s="39">
        <f>IF(A409="","",IF(K409&lt;&gt;"",K409,IF(OR(C409="",D409=""),"Sem dados",IFERROR(IF(C409="M",INDEX(Config!$B$11:$B$14,MATCH(L409,Config!$A$11:$A$14,1)),IF(C409="F",INDEX(Config!$C$11:$C$14,MATCH(L409,Config!$A$11:$A$14,1)),"Sem dados")),"Verificar"))))</f>
        <v/>
      </c>
      <c r="N409" s="39">
        <f>IF(A409="","",IF(COUNTIFS('Movimentações'!$C$6:$C$1505,A409,'Movimentações'!$B$6:$B$1505,"Venda")&gt;0,"Vendido",IF(COUNTIFS('Movimentações'!$C$6:$C$1505,A409,'Movimentações'!$B$6:$B$1505,"Morte")&gt;0,"Morto","Ativo")))</f>
        <v/>
      </c>
      <c r="O409" s="40">
        <f>IF(A409="","",IF(COUNTIF('Pesagens'!$B$6:$B$2005,A409)=0,"",SUMPRODUCT(MAX(('Pesagens'!$B$6:$B$2005=A409)*'Pesagens'!$A$6:$A$2005))))</f>
        <v/>
      </c>
      <c r="P409" s="41">
        <f>IF(A409="","",IF(O409="",IF(J409="","",J409),IFERROR(AVERAGEIFS('Pesagens'!$C$6:$C$2005,'Pesagens'!$B$6:$B$2005,A409,'Pesagens'!$A$6:$A$2005,O409),"")))</f>
        <v/>
      </c>
      <c r="Q409" s="42">
        <f>IF(OR(A409="",O409="",I409="",J409=""),"",IFERROR((P409-J409)/(O409-I409),""))</f>
        <v/>
      </c>
    </row>
    <row r="410">
      <c r="A410" s="36" t="n"/>
      <c r="B410" s="32" t="n"/>
      <c r="C410" s="37" t="n"/>
      <c r="D410" s="31" t="n"/>
      <c r="E410" s="32" t="n"/>
      <c r="F410" s="32" t="n"/>
      <c r="G410" s="32" t="n"/>
      <c r="H410" s="36" t="n"/>
      <c r="I410" s="31" t="n"/>
      <c r="J410" s="38" t="n"/>
      <c r="K410" s="32" t="n"/>
      <c r="L410" s="34">
        <f>IF(OR(A410="",D410=""),"",IF(D410&gt;Config!$B$5,0,DATEDIF(D410,Config!$B$5,"m")))</f>
        <v/>
      </c>
      <c r="M410" s="39">
        <f>IF(A410="","",IF(K410&lt;&gt;"",K410,IF(OR(C410="",D410=""),"Sem dados",IFERROR(IF(C410="M",INDEX(Config!$B$11:$B$14,MATCH(L410,Config!$A$11:$A$14,1)),IF(C410="F",INDEX(Config!$C$11:$C$14,MATCH(L410,Config!$A$11:$A$14,1)),"Sem dados")),"Verificar"))))</f>
        <v/>
      </c>
      <c r="N410" s="39">
        <f>IF(A410="","",IF(COUNTIFS('Movimentações'!$C$6:$C$1505,A410,'Movimentações'!$B$6:$B$1505,"Venda")&gt;0,"Vendido",IF(COUNTIFS('Movimentações'!$C$6:$C$1505,A410,'Movimentações'!$B$6:$B$1505,"Morte")&gt;0,"Morto","Ativo")))</f>
        <v/>
      </c>
      <c r="O410" s="40">
        <f>IF(A410="","",IF(COUNTIF('Pesagens'!$B$6:$B$2005,A410)=0,"",SUMPRODUCT(MAX(('Pesagens'!$B$6:$B$2005=A410)*'Pesagens'!$A$6:$A$2005))))</f>
        <v/>
      </c>
      <c r="P410" s="41">
        <f>IF(A410="","",IF(O410="",IF(J410="","",J410),IFERROR(AVERAGEIFS('Pesagens'!$C$6:$C$2005,'Pesagens'!$B$6:$B$2005,A410,'Pesagens'!$A$6:$A$2005,O410),"")))</f>
        <v/>
      </c>
      <c r="Q410" s="42">
        <f>IF(OR(A410="",O410="",I410="",J410=""),"",IFERROR((P410-J410)/(O410-I410),""))</f>
        <v/>
      </c>
    </row>
    <row r="411">
      <c r="A411" s="36" t="n"/>
      <c r="B411" s="32" t="n"/>
      <c r="C411" s="37" t="n"/>
      <c r="D411" s="31" t="n"/>
      <c r="E411" s="32" t="n"/>
      <c r="F411" s="32" t="n"/>
      <c r="G411" s="32" t="n"/>
      <c r="H411" s="36" t="n"/>
      <c r="I411" s="31" t="n"/>
      <c r="J411" s="38" t="n"/>
      <c r="K411" s="32" t="n"/>
      <c r="L411" s="34">
        <f>IF(OR(A411="",D411=""),"",IF(D411&gt;Config!$B$5,0,DATEDIF(D411,Config!$B$5,"m")))</f>
        <v/>
      </c>
      <c r="M411" s="39">
        <f>IF(A411="","",IF(K411&lt;&gt;"",K411,IF(OR(C411="",D411=""),"Sem dados",IFERROR(IF(C411="M",INDEX(Config!$B$11:$B$14,MATCH(L411,Config!$A$11:$A$14,1)),IF(C411="F",INDEX(Config!$C$11:$C$14,MATCH(L411,Config!$A$11:$A$14,1)),"Sem dados")),"Verificar"))))</f>
        <v/>
      </c>
      <c r="N411" s="39">
        <f>IF(A411="","",IF(COUNTIFS('Movimentações'!$C$6:$C$1505,A411,'Movimentações'!$B$6:$B$1505,"Venda")&gt;0,"Vendido",IF(COUNTIFS('Movimentações'!$C$6:$C$1505,A411,'Movimentações'!$B$6:$B$1505,"Morte")&gt;0,"Morto","Ativo")))</f>
        <v/>
      </c>
      <c r="O411" s="40">
        <f>IF(A411="","",IF(COUNTIF('Pesagens'!$B$6:$B$2005,A411)=0,"",SUMPRODUCT(MAX(('Pesagens'!$B$6:$B$2005=A411)*'Pesagens'!$A$6:$A$2005))))</f>
        <v/>
      </c>
      <c r="P411" s="41">
        <f>IF(A411="","",IF(O411="",IF(J411="","",J411),IFERROR(AVERAGEIFS('Pesagens'!$C$6:$C$2005,'Pesagens'!$B$6:$B$2005,A411,'Pesagens'!$A$6:$A$2005,O411),"")))</f>
        <v/>
      </c>
      <c r="Q411" s="42">
        <f>IF(OR(A411="",O411="",I411="",J411=""),"",IFERROR((P411-J411)/(O411-I411),""))</f>
        <v/>
      </c>
    </row>
    <row r="412">
      <c r="A412" s="36" t="n"/>
      <c r="B412" s="32" t="n"/>
      <c r="C412" s="37" t="n"/>
      <c r="D412" s="31" t="n"/>
      <c r="E412" s="32" t="n"/>
      <c r="F412" s="32" t="n"/>
      <c r="G412" s="32" t="n"/>
      <c r="H412" s="36" t="n"/>
      <c r="I412" s="31" t="n"/>
      <c r="J412" s="38" t="n"/>
      <c r="K412" s="32" t="n"/>
      <c r="L412" s="34">
        <f>IF(OR(A412="",D412=""),"",IF(D412&gt;Config!$B$5,0,DATEDIF(D412,Config!$B$5,"m")))</f>
        <v/>
      </c>
      <c r="M412" s="39">
        <f>IF(A412="","",IF(K412&lt;&gt;"",K412,IF(OR(C412="",D412=""),"Sem dados",IFERROR(IF(C412="M",INDEX(Config!$B$11:$B$14,MATCH(L412,Config!$A$11:$A$14,1)),IF(C412="F",INDEX(Config!$C$11:$C$14,MATCH(L412,Config!$A$11:$A$14,1)),"Sem dados")),"Verificar"))))</f>
        <v/>
      </c>
      <c r="N412" s="39">
        <f>IF(A412="","",IF(COUNTIFS('Movimentações'!$C$6:$C$1505,A412,'Movimentações'!$B$6:$B$1505,"Venda")&gt;0,"Vendido",IF(COUNTIFS('Movimentações'!$C$6:$C$1505,A412,'Movimentações'!$B$6:$B$1505,"Morte")&gt;0,"Morto","Ativo")))</f>
        <v/>
      </c>
      <c r="O412" s="40">
        <f>IF(A412="","",IF(COUNTIF('Pesagens'!$B$6:$B$2005,A412)=0,"",SUMPRODUCT(MAX(('Pesagens'!$B$6:$B$2005=A412)*'Pesagens'!$A$6:$A$2005))))</f>
        <v/>
      </c>
      <c r="P412" s="41">
        <f>IF(A412="","",IF(O412="",IF(J412="","",J412),IFERROR(AVERAGEIFS('Pesagens'!$C$6:$C$2005,'Pesagens'!$B$6:$B$2005,A412,'Pesagens'!$A$6:$A$2005,O412),"")))</f>
        <v/>
      </c>
      <c r="Q412" s="42">
        <f>IF(OR(A412="",O412="",I412="",J412=""),"",IFERROR((P412-J412)/(O412-I412),""))</f>
        <v/>
      </c>
    </row>
    <row r="413">
      <c r="A413" s="36" t="n"/>
      <c r="B413" s="32" t="n"/>
      <c r="C413" s="37" t="n"/>
      <c r="D413" s="31" t="n"/>
      <c r="E413" s="32" t="n"/>
      <c r="F413" s="32" t="n"/>
      <c r="G413" s="32" t="n"/>
      <c r="H413" s="36" t="n"/>
      <c r="I413" s="31" t="n"/>
      <c r="J413" s="38" t="n"/>
      <c r="K413" s="32" t="n"/>
      <c r="L413" s="34">
        <f>IF(OR(A413="",D413=""),"",IF(D413&gt;Config!$B$5,0,DATEDIF(D413,Config!$B$5,"m")))</f>
        <v/>
      </c>
      <c r="M413" s="39">
        <f>IF(A413="","",IF(K413&lt;&gt;"",K413,IF(OR(C413="",D413=""),"Sem dados",IFERROR(IF(C413="M",INDEX(Config!$B$11:$B$14,MATCH(L413,Config!$A$11:$A$14,1)),IF(C413="F",INDEX(Config!$C$11:$C$14,MATCH(L413,Config!$A$11:$A$14,1)),"Sem dados")),"Verificar"))))</f>
        <v/>
      </c>
      <c r="N413" s="39">
        <f>IF(A413="","",IF(COUNTIFS('Movimentações'!$C$6:$C$1505,A413,'Movimentações'!$B$6:$B$1505,"Venda")&gt;0,"Vendido",IF(COUNTIFS('Movimentações'!$C$6:$C$1505,A413,'Movimentações'!$B$6:$B$1505,"Morte")&gt;0,"Morto","Ativo")))</f>
        <v/>
      </c>
      <c r="O413" s="40">
        <f>IF(A413="","",IF(COUNTIF('Pesagens'!$B$6:$B$2005,A413)=0,"",SUMPRODUCT(MAX(('Pesagens'!$B$6:$B$2005=A413)*'Pesagens'!$A$6:$A$2005))))</f>
        <v/>
      </c>
      <c r="P413" s="41">
        <f>IF(A413="","",IF(O413="",IF(J413="","",J413),IFERROR(AVERAGEIFS('Pesagens'!$C$6:$C$2005,'Pesagens'!$B$6:$B$2005,A413,'Pesagens'!$A$6:$A$2005,O413),"")))</f>
        <v/>
      </c>
      <c r="Q413" s="42">
        <f>IF(OR(A413="",O413="",I413="",J413=""),"",IFERROR((P413-J413)/(O413-I413),""))</f>
        <v/>
      </c>
    </row>
    <row r="414">
      <c r="A414" s="36" t="n"/>
      <c r="B414" s="32" t="n"/>
      <c r="C414" s="37" t="n"/>
      <c r="D414" s="31" t="n"/>
      <c r="E414" s="32" t="n"/>
      <c r="F414" s="32" t="n"/>
      <c r="G414" s="32" t="n"/>
      <c r="H414" s="36" t="n"/>
      <c r="I414" s="31" t="n"/>
      <c r="J414" s="38" t="n"/>
      <c r="K414" s="32" t="n"/>
      <c r="L414" s="34">
        <f>IF(OR(A414="",D414=""),"",IF(D414&gt;Config!$B$5,0,DATEDIF(D414,Config!$B$5,"m")))</f>
        <v/>
      </c>
      <c r="M414" s="39">
        <f>IF(A414="","",IF(K414&lt;&gt;"",K414,IF(OR(C414="",D414=""),"Sem dados",IFERROR(IF(C414="M",INDEX(Config!$B$11:$B$14,MATCH(L414,Config!$A$11:$A$14,1)),IF(C414="F",INDEX(Config!$C$11:$C$14,MATCH(L414,Config!$A$11:$A$14,1)),"Sem dados")),"Verificar"))))</f>
        <v/>
      </c>
      <c r="N414" s="39">
        <f>IF(A414="","",IF(COUNTIFS('Movimentações'!$C$6:$C$1505,A414,'Movimentações'!$B$6:$B$1505,"Venda")&gt;0,"Vendido",IF(COUNTIFS('Movimentações'!$C$6:$C$1505,A414,'Movimentações'!$B$6:$B$1505,"Morte")&gt;0,"Morto","Ativo")))</f>
        <v/>
      </c>
      <c r="O414" s="40">
        <f>IF(A414="","",IF(COUNTIF('Pesagens'!$B$6:$B$2005,A414)=0,"",SUMPRODUCT(MAX(('Pesagens'!$B$6:$B$2005=A414)*'Pesagens'!$A$6:$A$2005))))</f>
        <v/>
      </c>
      <c r="P414" s="41">
        <f>IF(A414="","",IF(O414="",IF(J414="","",J414),IFERROR(AVERAGEIFS('Pesagens'!$C$6:$C$2005,'Pesagens'!$B$6:$B$2005,A414,'Pesagens'!$A$6:$A$2005,O414),"")))</f>
        <v/>
      </c>
      <c r="Q414" s="42">
        <f>IF(OR(A414="",O414="",I414="",J414=""),"",IFERROR((P414-J414)/(O414-I414),""))</f>
        <v/>
      </c>
    </row>
    <row r="415">
      <c r="A415" s="36" t="n"/>
      <c r="B415" s="32" t="n"/>
      <c r="C415" s="37" t="n"/>
      <c r="D415" s="31" t="n"/>
      <c r="E415" s="32" t="n"/>
      <c r="F415" s="32" t="n"/>
      <c r="G415" s="32" t="n"/>
      <c r="H415" s="36" t="n"/>
      <c r="I415" s="31" t="n"/>
      <c r="J415" s="38" t="n"/>
      <c r="K415" s="32" t="n"/>
      <c r="L415" s="34">
        <f>IF(OR(A415="",D415=""),"",IF(D415&gt;Config!$B$5,0,DATEDIF(D415,Config!$B$5,"m")))</f>
        <v/>
      </c>
      <c r="M415" s="39">
        <f>IF(A415="","",IF(K415&lt;&gt;"",K415,IF(OR(C415="",D415=""),"Sem dados",IFERROR(IF(C415="M",INDEX(Config!$B$11:$B$14,MATCH(L415,Config!$A$11:$A$14,1)),IF(C415="F",INDEX(Config!$C$11:$C$14,MATCH(L415,Config!$A$11:$A$14,1)),"Sem dados")),"Verificar"))))</f>
        <v/>
      </c>
      <c r="N415" s="39">
        <f>IF(A415="","",IF(COUNTIFS('Movimentações'!$C$6:$C$1505,A415,'Movimentações'!$B$6:$B$1505,"Venda")&gt;0,"Vendido",IF(COUNTIFS('Movimentações'!$C$6:$C$1505,A415,'Movimentações'!$B$6:$B$1505,"Morte")&gt;0,"Morto","Ativo")))</f>
        <v/>
      </c>
      <c r="O415" s="40">
        <f>IF(A415="","",IF(COUNTIF('Pesagens'!$B$6:$B$2005,A415)=0,"",SUMPRODUCT(MAX(('Pesagens'!$B$6:$B$2005=A415)*'Pesagens'!$A$6:$A$2005))))</f>
        <v/>
      </c>
      <c r="P415" s="41">
        <f>IF(A415="","",IF(O415="",IF(J415="","",J415),IFERROR(AVERAGEIFS('Pesagens'!$C$6:$C$2005,'Pesagens'!$B$6:$B$2005,A415,'Pesagens'!$A$6:$A$2005,O415),"")))</f>
        <v/>
      </c>
      <c r="Q415" s="42">
        <f>IF(OR(A415="",O415="",I415="",J415=""),"",IFERROR((P415-J415)/(O415-I415),""))</f>
        <v/>
      </c>
    </row>
    <row r="416">
      <c r="A416" s="36" t="n"/>
      <c r="B416" s="32" t="n"/>
      <c r="C416" s="37" t="n"/>
      <c r="D416" s="31" t="n"/>
      <c r="E416" s="32" t="n"/>
      <c r="F416" s="32" t="n"/>
      <c r="G416" s="32" t="n"/>
      <c r="H416" s="36" t="n"/>
      <c r="I416" s="31" t="n"/>
      <c r="J416" s="38" t="n"/>
      <c r="K416" s="32" t="n"/>
      <c r="L416" s="34">
        <f>IF(OR(A416="",D416=""),"",IF(D416&gt;Config!$B$5,0,DATEDIF(D416,Config!$B$5,"m")))</f>
        <v/>
      </c>
      <c r="M416" s="39">
        <f>IF(A416="","",IF(K416&lt;&gt;"",K416,IF(OR(C416="",D416=""),"Sem dados",IFERROR(IF(C416="M",INDEX(Config!$B$11:$B$14,MATCH(L416,Config!$A$11:$A$14,1)),IF(C416="F",INDEX(Config!$C$11:$C$14,MATCH(L416,Config!$A$11:$A$14,1)),"Sem dados")),"Verificar"))))</f>
        <v/>
      </c>
      <c r="N416" s="39">
        <f>IF(A416="","",IF(COUNTIFS('Movimentações'!$C$6:$C$1505,A416,'Movimentações'!$B$6:$B$1505,"Venda")&gt;0,"Vendido",IF(COUNTIFS('Movimentações'!$C$6:$C$1505,A416,'Movimentações'!$B$6:$B$1505,"Morte")&gt;0,"Morto","Ativo")))</f>
        <v/>
      </c>
      <c r="O416" s="40">
        <f>IF(A416="","",IF(COUNTIF('Pesagens'!$B$6:$B$2005,A416)=0,"",SUMPRODUCT(MAX(('Pesagens'!$B$6:$B$2005=A416)*'Pesagens'!$A$6:$A$2005))))</f>
        <v/>
      </c>
      <c r="P416" s="41">
        <f>IF(A416="","",IF(O416="",IF(J416="","",J416),IFERROR(AVERAGEIFS('Pesagens'!$C$6:$C$2005,'Pesagens'!$B$6:$B$2005,A416,'Pesagens'!$A$6:$A$2005,O416),"")))</f>
        <v/>
      </c>
      <c r="Q416" s="42">
        <f>IF(OR(A416="",O416="",I416="",J416=""),"",IFERROR((P416-J416)/(O416-I416),""))</f>
        <v/>
      </c>
    </row>
    <row r="417">
      <c r="A417" s="36" t="n"/>
      <c r="B417" s="32" t="n"/>
      <c r="C417" s="37" t="n"/>
      <c r="D417" s="31" t="n"/>
      <c r="E417" s="32" t="n"/>
      <c r="F417" s="32" t="n"/>
      <c r="G417" s="32" t="n"/>
      <c r="H417" s="36" t="n"/>
      <c r="I417" s="31" t="n"/>
      <c r="J417" s="38" t="n"/>
      <c r="K417" s="32" t="n"/>
      <c r="L417" s="34">
        <f>IF(OR(A417="",D417=""),"",IF(D417&gt;Config!$B$5,0,DATEDIF(D417,Config!$B$5,"m")))</f>
        <v/>
      </c>
      <c r="M417" s="39">
        <f>IF(A417="","",IF(K417&lt;&gt;"",K417,IF(OR(C417="",D417=""),"Sem dados",IFERROR(IF(C417="M",INDEX(Config!$B$11:$B$14,MATCH(L417,Config!$A$11:$A$14,1)),IF(C417="F",INDEX(Config!$C$11:$C$14,MATCH(L417,Config!$A$11:$A$14,1)),"Sem dados")),"Verificar"))))</f>
        <v/>
      </c>
      <c r="N417" s="39">
        <f>IF(A417="","",IF(COUNTIFS('Movimentações'!$C$6:$C$1505,A417,'Movimentações'!$B$6:$B$1505,"Venda")&gt;0,"Vendido",IF(COUNTIFS('Movimentações'!$C$6:$C$1505,A417,'Movimentações'!$B$6:$B$1505,"Morte")&gt;0,"Morto","Ativo")))</f>
        <v/>
      </c>
      <c r="O417" s="40">
        <f>IF(A417="","",IF(COUNTIF('Pesagens'!$B$6:$B$2005,A417)=0,"",SUMPRODUCT(MAX(('Pesagens'!$B$6:$B$2005=A417)*'Pesagens'!$A$6:$A$2005))))</f>
        <v/>
      </c>
      <c r="P417" s="41">
        <f>IF(A417="","",IF(O417="",IF(J417="","",J417),IFERROR(AVERAGEIFS('Pesagens'!$C$6:$C$2005,'Pesagens'!$B$6:$B$2005,A417,'Pesagens'!$A$6:$A$2005,O417),"")))</f>
        <v/>
      </c>
      <c r="Q417" s="42">
        <f>IF(OR(A417="",O417="",I417="",J417=""),"",IFERROR((P417-J417)/(O417-I417),""))</f>
        <v/>
      </c>
    </row>
    <row r="418">
      <c r="A418" s="36" t="n"/>
      <c r="B418" s="32" t="n"/>
      <c r="C418" s="37" t="n"/>
      <c r="D418" s="31" t="n"/>
      <c r="E418" s="32" t="n"/>
      <c r="F418" s="32" t="n"/>
      <c r="G418" s="32" t="n"/>
      <c r="H418" s="36" t="n"/>
      <c r="I418" s="31" t="n"/>
      <c r="J418" s="38" t="n"/>
      <c r="K418" s="32" t="n"/>
      <c r="L418" s="34">
        <f>IF(OR(A418="",D418=""),"",IF(D418&gt;Config!$B$5,0,DATEDIF(D418,Config!$B$5,"m")))</f>
        <v/>
      </c>
      <c r="M418" s="39">
        <f>IF(A418="","",IF(K418&lt;&gt;"",K418,IF(OR(C418="",D418=""),"Sem dados",IFERROR(IF(C418="M",INDEX(Config!$B$11:$B$14,MATCH(L418,Config!$A$11:$A$14,1)),IF(C418="F",INDEX(Config!$C$11:$C$14,MATCH(L418,Config!$A$11:$A$14,1)),"Sem dados")),"Verificar"))))</f>
        <v/>
      </c>
      <c r="N418" s="39">
        <f>IF(A418="","",IF(COUNTIFS('Movimentações'!$C$6:$C$1505,A418,'Movimentações'!$B$6:$B$1505,"Venda")&gt;0,"Vendido",IF(COUNTIFS('Movimentações'!$C$6:$C$1505,A418,'Movimentações'!$B$6:$B$1505,"Morte")&gt;0,"Morto","Ativo")))</f>
        <v/>
      </c>
      <c r="O418" s="40">
        <f>IF(A418="","",IF(COUNTIF('Pesagens'!$B$6:$B$2005,A418)=0,"",SUMPRODUCT(MAX(('Pesagens'!$B$6:$B$2005=A418)*'Pesagens'!$A$6:$A$2005))))</f>
        <v/>
      </c>
      <c r="P418" s="41">
        <f>IF(A418="","",IF(O418="",IF(J418="","",J418),IFERROR(AVERAGEIFS('Pesagens'!$C$6:$C$2005,'Pesagens'!$B$6:$B$2005,A418,'Pesagens'!$A$6:$A$2005,O418),"")))</f>
        <v/>
      </c>
      <c r="Q418" s="42">
        <f>IF(OR(A418="",O418="",I418="",J418=""),"",IFERROR((P418-J418)/(O418-I418),""))</f>
        <v/>
      </c>
    </row>
    <row r="419">
      <c r="A419" s="36" t="n"/>
      <c r="B419" s="32" t="n"/>
      <c r="C419" s="37" t="n"/>
      <c r="D419" s="31" t="n"/>
      <c r="E419" s="32" t="n"/>
      <c r="F419" s="32" t="n"/>
      <c r="G419" s="32" t="n"/>
      <c r="H419" s="36" t="n"/>
      <c r="I419" s="31" t="n"/>
      <c r="J419" s="38" t="n"/>
      <c r="K419" s="32" t="n"/>
      <c r="L419" s="34">
        <f>IF(OR(A419="",D419=""),"",IF(D419&gt;Config!$B$5,0,DATEDIF(D419,Config!$B$5,"m")))</f>
        <v/>
      </c>
      <c r="M419" s="39">
        <f>IF(A419="","",IF(K419&lt;&gt;"",K419,IF(OR(C419="",D419=""),"Sem dados",IFERROR(IF(C419="M",INDEX(Config!$B$11:$B$14,MATCH(L419,Config!$A$11:$A$14,1)),IF(C419="F",INDEX(Config!$C$11:$C$14,MATCH(L419,Config!$A$11:$A$14,1)),"Sem dados")),"Verificar"))))</f>
        <v/>
      </c>
      <c r="N419" s="39">
        <f>IF(A419="","",IF(COUNTIFS('Movimentações'!$C$6:$C$1505,A419,'Movimentações'!$B$6:$B$1505,"Venda")&gt;0,"Vendido",IF(COUNTIFS('Movimentações'!$C$6:$C$1505,A419,'Movimentações'!$B$6:$B$1505,"Morte")&gt;0,"Morto","Ativo")))</f>
        <v/>
      </c>
      <c r="O419" s="40">
        <f>IF(A419="","",IF(COUNTIF('Pesagens'!$B$6:$B$2005,A419)=0,"",SUMPRODUCT(MAX(('Pesagens'!$B$6:$B$2005=A419)*'Pesagens'!$A$6:$A$2005))))</f>
        <v/>
      </c>
      <c r="P419" s="41">
        <f>IF(A419="","",IF(O419="",IF(J419="","",J419),IFERROR(AVERAGEIFS('Pesagens'!$C$6:$C$2005,'Pesagens'!$B$6:$B$2005,A419,'Pesagens'!$A$6:$A$2005,O419),"")))</f>
        <v/>
      </c>
      <c r="Q419" s="42">
        <f>IF(OR(A419="",O419="",I419="",J419=""),"",IFERROR((P419-J419)/(O419-I419),""))</f>
        <v/>
      </c>
    </row>
    <row r="420">
      <c r="A420" s="36" t="n"/>
      <c r="B420" s="32" t="n"/>
      <c r="C420" s="37" t="n"/>
      <c r="D420" s="31" t="n"/>
      <c r="E420" s="32" t="n"/>
      <c r="F420" s="32" t="n"/>
      <c r="G420" s="32" t="n"/>
      <c r="H420" s="36" t="n"/>
      <c r="I420" s="31" t="n"/>
      <c r="J420" s="38" t="n"/>
      <c r="K420" s="32" t="n"/>
      <c r="L420" s="34">
        <f>IF(OR(A420="",D420=""),"",IF(D420&gt;Config!$B$5,0,DATEDIF(D420,Config!$B$5,"m")))</f>
        <v/>
      </c>
      <c r="M420" s="39">
        <f>IF(A420="","",IF(K420&lt;&gt;"",K420,IF(OR(C420="",D420=""),"Sem dados",IFERROR(IF(C420="M",INDEX(Config!$B$11:$B$14,MATCH(L420,Config!$A$11:$A$14,1)),IF(C420="F",INDEX(Config!$C$11:$C$14,MATCH(L420,Config!$A$11:$A$14,1)),"Sem dados")),"Verificar"))))</f>
        <v/>
      </c>
      <c r="N420" s="39">
        <f>IF(A420="","",IF(COUNTIFS('Movimentações'!$C$6:$C$1505,A420,'Movimentações'!$B$6:$B$1505,"Venda")&gt;0,"Vendido",IF(COUNTIFS('Movimentações'!$C$6:$C$1505,A420,'Movimentações'!$B$6:$B$1505,"Morte")&gt;0,"Morto","Ativo")))</f>
        <v/>
      </c>
      <c r="O420" s="40">
        <f>IF(A420="","",IF(COUNTIF('Pesagens'!$B$6:$B$2005,A420)=0,"",SUMPRODUCT(MAX(('Pesagens'!$B$6:$B$2005=A420)*'Pesagens'!$A$6:$A$2005))))</f>
        <v/>
      </c>
      <c r="P420" s="41">
        <f>IF(A420="","",IF(O420="",IF(J420="","",J420),IFERROR(AVERAGEIFS('Pesagens'!$C$6:$C$2005,'Pesagens'!$B$6:$B$2005,A420,'Pesagens'!$A$6:$A$2005,O420),"")))</f>
        <v/>
      </c>
      <c r="Q420" s="42">
        <f>IF(OR(A420="",O420="",I420="",J420=""),"",IFERROR((P420-J420)/(O420-I420),""))</f>
        <v/>
      </c>
    </row>
    <row r="421">
      <c r="A421" s="36" t="n"/>
      <c r="B421" s="32" t="n"/>
      <c r="C421" s="37" t="n"/>
      <c r="D421" s="31" t="n"/>
      <c r="E421" s="32" t="n"/>
      <c r="F421" s="32" t="n"/>
      <c r="G421" s="32" t="n"/>
      <c r="H421" s="36" t="n"/>
      <c r="I421" s="31" t="n"/>
      <c r="J421" s="38" t="n"/>
      <c r="K421" s="32" t="n"/>
      <c r="L421" s="34">
        <f>IF(OR(A421="",D421=""),"",IF(D421&gt;Config!$B$5,0,DATEDIF(D421,Config!$B$5,"m")))</f>
        <v/>
      </c>
      <c r="M421" s="39">
        <f>IF(A421="","",IF(K421&lt;&gt;"",K421,IF(OR(C421="",D421=""),"Sem dados",IFERROR(IF(C421="M",INDEX(Config!$B$11:$B$14,MATCH(L421,Config!$A$11:$A$14,1)),IF(C421="F",INDEX(Config!$C$11:$C$14,MATCH(L421,Config!$A$11:$A$14,1)),"Sem dados")),"Verificar"))))</f>
        <v/>
      </c>
      <c r="N421" s="39">
        <f>IF(A421="","",IF(COUNTIFS('Movimentações'!$C$6:$C$1505,A421,'Movimentações'!$B$6:$B$1505,"Venda")&gt;0,"Vendido",IF(COUNTIFS('Movimentações'!$C$6:$C$1505,A421,'Movimentações'!$B$6:$B$1505,"Morte")&gt;0,"Morto","Ativo")))</f>
        <v/>
      </c>
      <c r="O421" s="40">
        <f>IF(A421="","",IF(COUNTIF('Pesagens'!$B$6:$B$2005,A421)=0,"",SUMPRODUCT(MAX(('Pesagens'!$B$6:$B$2005=A421)*'Pesagens'!$A$6:$A$2005))))</f>
        <v/>
      </c>
      <c r="P421" s="41">
        <f>IF(A421="","",IF(O421="",IF(J421="","",J421),IFERROR(AVERAGEIFS('Pesagens'!$C$6:$C$2005,'Pesagens'!$B$6:$B$2005,A421,'Pesagens'!$A$6:$A$2005,O421),"")))</f>
        <v/>
      </c>
      <c r="Q421" s="42">
        <f>IF(OR(A421="",O421="",I421="",J421=""),"",IFERROR((P421-J421)/(O421-I421),""))</f>
        <v/>
      </c>
    </row>
    <row r="422">
      <c r="A422" s="36" t="n"/>
      <c r="B422" s="32" t="n"/>
      <c r="C422" s="37" t="n"/>
      <c r="D422" s="31" t="n"/>
      <c r="E422" s="32" t="n"/>
      <c r="F422" s="32" t="n"/>
      <c r="G422" s="32" t="n"/>
      <c r="H422" s="36" t="n"/>
      <c r="I422" s="31" t="n"/>
      <c r="J422" s="38" t="n"/>
      <c r="K422" s="32" t="n"/>
      <c r="L422" s="34">
        <f>IF(OR(A422="",D422=""),"",IF(D422&gt;Config!$B$5,0,DATEDIF(D422,Config!$B$5,"m")))</f>
        <v/>
      </c>
      <c r="M422" s="39">
        <f>IF(A422="","",IF(K422&lt;&gt;"",K422,IF(OR(C422="",D422=""),"Sem dados",IFERROR(IF(C422="M",INDEX(Config!$B$11:$B$14,MATCH(L422,Config!$A$11:$A$14,1)),IF(C422="F",INDEX(Config!$C$11:$C$14,MATCH(L422,Config!$A$11:$A$14,1)),"Sem dados")),"Verificar"))))</f>
        <v/>
      </c>
      <c r="N422" s="39">
        <f>IF(A422="","",IF(COUNTIFS('Movimentações'!$C$6:$C$1505,A422,'Movimentações'!$B$6:$B$1505,"Venda")&gt;0,"Vendido",IF(COUNTIFS('Movimentações'!$C$6:$C$1505,A422,'Movimentações'!$B$6:$B$1505,"Morte")&gt;0,"Morto","Ativo")))</f>
        <v/>
      </c>
      <c r="O422" s="40">
        <f>IF(A422="","",IF(COUNTIF('Pesagens'!$B$6:$B$2005,A422)=0,"",SUMPRODUCT(MAX(('Pesagens'!$B$6:$B$2005=A422)*'Pesagens'!$A$6:$A$2005))))</f>
        <v/>
      </c>
      <c r="P422" s="41">
        <f>IF(A422="","",IF(O422="",IF(J422="","",J422),IFERROR(AVERAGEIFS('Pesagens'!$C$6:$C$2005,'Pesagens'!$B$6:$B$2005,A422,'Pesagens'!$A$6:$A$2005,O422),"")))</f>
        <v/>
      </c>
      <c r="Q422" s="42">
        <f>IF(OR(A422="",O422="",I422="",J422=""),"",IFERROR((P422-J422)/(O422-I422),""))</f>
        <v/>
      </c>
    </row>
    <row r="423">
      <c r="A423" s="36" t="n"/>
      <c r="B423" s="32" t="n"/>
      <c r="C423" s="37" t="n"/>
      <c r="D423" s="31" t="n"/>
      <c r="E423" s="32" t="n"/>
      <c r="F423" s="32" t="n"/>
      <c r="G423" s="32" t="n"/>
      <c r="H423" s="36" t="n"/>
      <c r="I423" s="31" t="n"/>
      <c r="J423" s="38" t="n"/>
      <c r="K423" s="32" t="n"/>
      <c r="L423" s="34">
        <f>IF(OR(A423="",D423=""),"",IF(D423&gt;Config!$B$5,0,DATEDIF(D423,Config!$B$5,"m")))</f>
        <v/>
      </c>
      <c r="M423" s="39">
        <f>IF(A423="","",IF(K423&lt;&gt;"",K423,IF(OR(C423="",D423=""),"Sem dados",IFERROR(IF(C423="M",INDEX(Config!$B$11:$B$14,MATCH(L423,Config!$A$11:$A$14,1)),IF(C423="F",INDEX(Config!$C$11:$C$14,MATCH(L423,Config!$A$11:$A$14,1)),"Sem dados")),"Verificar"))))</f>
        <v/>
      </c>
      <c r="N423" s="39">
        <f>IF(A423="","",IF(COUNTIFS('Movimentações'!$C$6:$C$1505,A423,'Movimentações'!$B$6:$B$1505,"Venda")&gt;0,"Vendido",IF(COUNTIFS('Movimentações'!$C$6:$C$1505,A423,'Movimentações'!$B$6:$B$1505,"Morte")&gt;0,"Morto","Ativo")))</f>
        <v/>
      </c>
      <c r="O423" s="40">
        <f>IF(A423="","",IF(COUNTIF('Pesagens'!$B$6:$B$2005,A423)=0,"",SUMPRODUCT(MAX(('Pesagens'!$B$6:$B$2005=A423)*'Pesagens'!$A$6:$A$2005))))</f>
        <v/>
      </c>
      <c r="P423" s="41">
        <f>IF(A423="","",IF(O423="",IF(J423="","",J423),IFERROR(AVERAGEIFS('Pesagens'!$C$6:$C$2005,'Pesagens'!$B$6:$B$2005,A423,'Pesagens'!$A$6:$A$2005,O423),"")))</f>
        <v/>
      </c>
      <c r="Q423" s="42">
        <f>IF(OR(A423="",O423="",I423="",J423=""),"",IFERROR((P423-J423)/(O423-I423),""))</f>
        <v/>
      </c>
    </row>
    <row r="424">
      <c r="A424" s="36" t="n"/>
      <c r="B424" s="32" t="n"/>
      <c r="C424" s="37" t="n"/>
      <c r="D424" s="31" t="n"/>
      <c r="E424" s="32" t="n"/>
      <c r="F424" s="32" t="n"/>
      <c r="G424" s="32" t="n"/>
      <c r="H424" s="36" t="n"/>
      <c r="I424" s="31" t="n"/>
      <c r="J424" s="38" t="n"/>
      <c r="K424" s="32" t="n"/>
      <c r="L424" s="34">
        <f>IF(OR(A424="",D424=""),"",IF(D424&gt;Config!$B$5,0,DATEDIF(D424,Config!$B$5,"m")))</f>
        <v/>
      </c>
      <c r="M424" s="39">
        <f>IF(A424="","",IF(K424&lt;&gt;"",K424,IF(OR(C424="",D424=""),"Sem dados",IFERROR(IF(C424="M",INDEX(Config!$B$11:$B$14,MATCH(L424,Config!$A$11:$A$14,1)),IF(C424="F",INDEX(Config!$C$11:$C$14,MATCH(L424,Config!$A$11:$A$14,1)),"Sem dados")),"Verificar"))))</f>
        <v/>
      </c>
      <c r="N424" s="39">
        <f>IF(A424="","",IF(COUNTIFS('Movimentações'!$C$6:$C$1505,A424,'Movimentações'!$B$6:$B$1505,"Venda")&gt;0,"Vendido",IF(COUNTIFS('Movimentações'!$C$6:$C$1505,A424,'Movimentações'!$B$6:$B$1505,"Morte")&gt;0,"Morto","Ativo")))</f>
        <v/>
      </c>
      <c r="O424" s="40">
        <f>IF(A424="","",IF(COUNTIF('Pesagens'!$B$6:$B$2005,A424)=0,"",SUMPRODUCT(MAX(('Pesagens'!$B$6:$B$2005=A424)*'Pesagens'!$A$6:$A$2005))))</f>
        <v/>
      </c>
      <c r="P424" s="41">
        <f>IF(A424="","",IF(O424="",IF(J424="","",J424),IFERROR(AVERAGEIFS('Pesagens'!$C$6:$C$2005,'Pesagens'!$B$6:$B$2005,A424,'Pesagens'!$A$6:$A$2005,O424),"")))</f>
        <v/>
      </c>
      <c r="Q424" s="42">
        <f>IF(OR(A424="",O424="",I424="",J424=""),"",IFERROR((P424-J424)/(O424-I424),""))</f>
        <v/>
      </c>
    </row>
    <row r="425">
      <c r="A425" s="36" t="n"/>
      <c r="B425" s="32" t="n"/>
      <c r="C425" s="37" t="n"/>
      <c r="D425" s="31" t="n"/>
      <c r="E425" s="32" t="n"/>
      <c r="F425" s="32" t="n"/>
      <c r="G425" s="32" t="n"/>
      <c r="H425" s="36" t="n"/>
      <c r="I425" s="31" t="n"/>
      <c r="J425" s="38" t="n"/>
      <c r="K425" s="32" t="n"/>
      <c r="L425" s="34">
        <f>IF(OR(A425="",D425=""),"",IF(D425&gt;Config!$B$5,0,DATEDIF(D425,Config!$B$5,"m")))</f>
        <v/>
      </c>
      <c r="M425" s="39">
        <f>IF(A425="","",IF(K425&lt;&gt;"",K425,IF(OR(C425="",D425=""),"Sem dados",IFERROR(IF(C425="M",INDEX(Config!$B$11:$B$14,MATCH(L425,Config!$A$11:$A$14,1)),IF(C425="F",INDEX(Config!$C$11:$C$14,MATCH(L425,Config!$A$11:$A$14,1)),"Sem dados")),"Verificar"))))</f>
        <v/>
      </c>
      <c r="N425" s="39">
        <f>IF(A425="","",IF(COUNTIFS('Movimentações'!$C$6:$C$1505,A425,'Movimentações'!$B$6:$B$1505,"Venda")&gt;0,"Vendido",IF(COUNTIFS('Movimentações'!$C$6:$C$1505,A425,'Movimentações'!$B$6:$B$1505,"Morte")&gt;0,"Morto","Ativo")))</f>
        <v/>
      </c>
      <c r="O425" s="40">
        <f>IF(A425="","",IF(COUNTIF('Pesagens'!$B$6:$B$2005,A425)=0,"",SUMPRODUCT(MAX(('Pesagens'!$B$6:$B$2005=A425)*'Pesagens'!$A$6:$A$2005))))</f>
        <v/>
      </c>
      <c r="P425" s="41">
        <f>IF(A425="","",IF(O425="",IF(J425="","",J425),IFERROR(AVERAGEIFS('Pesagens'!$C$6:$C$2005,'Pesagens'!$B$6:$B$2005,A425,'Pesagens'!$A$6:$A$2005,O425),"")))</f>
        <v/>
      </c>
      <c r="Q425" s="42">
        <f>IF(OR(A425="",O425="",I425="",J425=""),"",IFERROR((P425-J425)/(O425-I425),""))</f>
        <v/>
      </c>
    </row>
    <row r="426">
      <c r="A426" s="36" t="n"/>
      <c r="B426" s="32" t="n"/>
      <c r="C426" s="37" t="n"/>
      <c r="D426" s="31" t="n"/>
      <c r="E426" s="32" t="n"/>
      <c r="F426" s="32" t="n"/>
      <c r="G426" s="32" t="n"/>
      <c r="H426" s="36" t="n"/>
      <c r="I426" s="31" t="n"/>
      <c r="J426" s="38" t="n"/>
      <c r="K426" s="32" t="n"/>
      <c r="L426" s="34">
        <f>IF(OR(A426="",D426=""),"",IF(D426&gt;Config!$B$5,0,DATEDIF(D426,Config!$B$5,"m")))</f>
        <v/>
      </c>
      <c r="M426" s="39">
        <f>IF(A426="","",IF(K426&lt;&gt;"",K426,IF(OR(C426="",D426=""),"Sem dados",IFERROR(IF(C426="M",INDEX(Config!$B$11:$B$14,MATCH(L426,Config!$A$11:$A$14,1)),IF(C426="F",INDEX(Config!$C$11:$C$14,MATCH(L426,Config!$A$11:$A$14,1)),"Sem dados")),"Verificar"))))</f>
        <v/>
      </c>
      <c r="N426" s="39">
        <f>IF(A426="","",IF(COUNTIFS('Movimentações'!$C$6:$C$1505,A426,'Movimentações'!$B$6:$B$1505,"Venda")&gt;0,"Vendido",IF(COUNTIFS('Movimentações'!$C$6:$C$1505,A426,'Movimentações'!$B$6:$B$1505,"Morte")&gt;0,"Morto","Ativo")))</f>
        <v/>
      </c>
      <c r="O426" s="40">
        <f>IF(A426="","",IF(COUNTIF('Pesagens'!$B$6:$B$2005,A426)=0,"",SUMPRODUCT(MAX(('Pesagens'!$B$6:$B$2005=A426)*'Pesagens'!$A$6:$A$2005))))</f>
        <v/>
      </c>
      <c r="P426" s="41">
        <f>IF(A426="","",IF(O426="",IF(J426="","",J426),IFERROR(AVERAGEIFS('Pesagens'!$C$6:$C$2005,'Pesagens'!$B$6:$B$2005,A426,'Pesagens'!$A$6:$A$2005,O426),"")))</f>
        <v/>
      </c>
      <c r="Q426" s="42">
        <f>IF(OR(A426="",O426="",I426="",J426=""),"",IFERROR((P426-J426)/(O426-I426),""))</f>
        <v/>
      </c>
    </row>
    <row r="427">
      <c r="A427" s="36" t="n"/>
      <c r="B427" s="32" t="n"/>
      <c r="C427" s="37" t="n"/>
      <c r="D427" s="31" t="n"/>
      <c r="E427" s="32" t="n"/>
      <c r="F427" s="32" t="n"/>
      <c r="G427" s="32" t="n"/>
      <c r="H427" s="36" t="n"/>
      <c r="I427" s="31" t="n"/>
      <c r="J427" s="38" t="n"/>
      <c r="K427" s="32" t="n"/>
      <c r="L427" s="34">
        <f>IF(OR(A427="",D427=""),"",IF(D427&gt;Config!$B$5,0,DATEDIF(D427,Config!$B$5,"m")))</f>
        <v/>
      </c>
      <c r="M427" s="39">
        <f>IF(A427="","",IF(K427&lt;&gt;"",K427,IF(OR(C427="",D427=""),"Sem dados",IFERROR(IF(C427="M",INDEX(Config!$B$11:$B$14,MATCH(L427,Config!$A$11:$A$14,1)),IF(C427="F",INDEX(Config!$C$11:$C$14,MATCH(L427,Config!$A$11:$A$14,1)),"Sem dados")),"Verificar"))))</f>
        <v/>
      </c>
      <c r="N427" s="39">
        <f>IF(A427="","",IF(COUNTIFS('Movimentações'!$C$6:$C$1505,A427,'Movimentações'!$B$6:$B$1505,"Venda")&gt;0,"Vendido",IF(COUNTIFS('Movimentações'!$C$6:$C$1505,A427,'Movimentações'!$B$6:$B$1505,"Morte")&gt;0,"Morto","Ativo")))</f>
        <v/>
      </c>
      <c r="O427" s="40">
        <f>IF(A427="","",IF(COUNTIF('Pesagens'!$B$6:$B$2005,A427)=0,"",SUMPRODUCT(MAX(('Pesagens'!$B$6:$B$2005=A427)*'Pesagens'!$A$6:$A$2005))))</f>
        <v/>
      </c>
      <c r="P427" s="41">
        <f>IF(A427="","",IF(O427="",IF(J427="","",J427),IFERROR(AVERAGEIFS('Pesagens'!$C$6:$C$2005,'Pesagens'!$B$6:$B$2005,A427,'Pesagens'!$A$6:$A$2005,O427),"")))</f>
        <v/>
      </c>
      <c r="Q427" s="42">
        <f>IF(OR(A427="",O427="",I427="",J427=""),"",IFERROR((P427-J427)/(O427-I427),""))</f>
        <v/>
      </c>
    </row>
    <row r="428">
      <c r="A428" s="36" t="n"/>
      <c r="B428" s="32" t="n"/>
      <c r="C428" s="37" t="n"/>
      <c r="D428" s="31" t="n"/>
      <c r="E428" s="32" t="n"/>
      <c r="F428" s="32" t="n"/>
      <c r="G428" s="32" t="n"/>
      <c r="H428" s="36" t="n"/>
      <c r="I428" s="31" t="n"/>
      <c r="J428" s="38" t="n"/>
      <c r="K428" s="32" t="n"/>
      <c r="L428" s="34">
        <f>IF(OR(A428="",D428=""),"",IF(D428&gt;Config!$B$5,0,DATEDIF(D428,Config!$B$5,"m")))</f>
        <v/>
      </c>
      <c r="M428" s="39">
        <f>IF(A428="","",IF(K428&lt;&gt;"",K428,IF(OR(C428="",D428=""),"Sem dados",IFERROR(IF(C428="M",INDEX(Config!$B$11:$B$14,MATCH(L428,Config!$A$11:$A$14,1)),IF(C428="F",INDEX(Config!$C$11:$C$14,MATCH(L428,Config!$A$11:$A$14,1)),"Sem dados")),"Verificar"))))</f>
        <v/>
      </c>
      <c r="N428" s="39">
        <f>IF(A428="","",IF(COUNTIFS('Movimentações'!$C$6:$C$1505,A428,'Movimentações'!$B$6:$B$1505,"Venda")&gt;0,"Vendido",IF(COUNTIFS('Movimentações'!$C$6:$C$1505,A428,'Movimentações'!$B$6:$B$1505,"Morte")&gt;0,"Morto","Ativo")))</f>
        <v/>
      </c>
      <c r="O428" s="40">
        <f>IF(A428="","",IF(COUNTIF('Pesagens'!$B$6:$B$2005,A428)=0,"",SUMPRODUCT(MAX(('Pesagens'!$B$6:$B$2005=A428)*'Pesagens'!$A$6:$A$2005))))</f>
        <v/>
      </c>
      <c r="P428" s="41">
        <f>IF(A428="","",IF(O428="",IF(J428="","",J428),IFERROR(AVERAGEIFS('Pesagens'!$C$6:$C$2005,'Pesagens'!$B$6:$B$2005,A428,'Pesagens'!$A$6:$A$2005,O428),"")))</f>
        <v/>
      </c>
      <c r="Q428" s="42">
        <f>IF(OR(A428="",O428="",I428="",J428=""),"",IFERROR((P428-J428)/(O428-I428),""))</f>
        <v/>
      </c>
    </row>
    <row r="429">
      <c r="A429" s="36" t="n"/>
      <c r="B429" s="32" t="n"/>
      <c r="C429" s="37" t="n"/>
      <c r="D429" s="31" t="n"/>
      <c r="E429" s="32" t="n"/>
      <c r="F429" s="32" t="n"/>
      <c r="G429" s="32" t="n"/>
      <c r="H429" s="36" t="n"/>
      <c r="I429" s="31" t="n"/>
      <c r="J429" s="38" t="n"/>
      <c r="K429" s="32" t="n"/>
      <c r="L429" s="34">
        <f>IF(OR(A429="",D429=""),"",IF(D429&gt;Config!$B$5,0,DATEDIF(D429,Config!$B$5,"m")))</f>
        <v/>
      </c>
      <c r="M429" s="39">
        <f>IF(A429="","",IF(K429&lt;&gt;"",K429,IF(OR(C429="",D429=""),"Sem dados",IFERROR(IF(C429="M",INDEX(Config!$B$11:$B$14,MATCH(L429,Config!$A$11:$A$14,1)),IF(C429="F",INDEX(Config!$C$11:$C$14,MATCH(L429,Config!$A$11:$A$14,1)),"Sem dados")),"Verificar"))))</f>
        <v/>
      </c>
      <c r="N429" s="39">
        <f>IF(A429="","",IF(COUNTIFS('Movimentações'!$C$6:$C$1505,A429,'Movimentações'!$B$6:$B$1505,"Venda")&gt;0,"Vendido",IF(COUNTIFS('Movimentações'!$C$6:$C$1505,A429,'Movimentações'!$B$6:$B$1505,"Morte")&gt;0,"Morto","Ativo")))</f>
        <v/>
      </c>
      <c r="O429" s="40">
        <f>IF(A429="","",IF(COUNTIF('Pesagens'!$B$6:$B$2005,A429)=0,"",SUMPRODUCT(MAX(('Pesagens'!$B$6:$B$2005=A429)*'Pesagens'!$A$6:$A$2005))))</f>
        <v/>
      </c>
      <c r="P429" s="41">
        <f>IF(A429="","",IF(O429="",IF(J429="","",J429),IFERROR(AVERAGEIFS('Pesagens'!$C$6:$C$2005,'Pesagens'!$B$6:$B$2005,A429,'Pesagens'!$A$6:$A$2005,O429),"")))</f>
        <v/>
      </c>
      <c r="Q429" s="42">
        <f>IF(OR(A429="",O429="",I429="",J429=""),"",IFERROR((P429-J429)/(O429-I429),""))</f>
        <v/>
      </c>
    </row>
    <row r="430">
      <c r="A430" s="36" t="n"/>
      <c r="B430" s="32" t="n"/>
      <c r="C430" s="37" t="n"/>
      <c r="D430" s="31" t="n"/>
      <c r="E430" s="32" t="n"/>
      <c r="F430" s="32" t="n"/>
      <c r="G430" s="32" t="n"/>
      <c r="H430" s="36" t="n"/>
      <c r="I430" s="31" t="n"/>
      <c r="J430" s="38" t="n"/>
      <c r="K430" s="32" t="n"/>
      <c r="L430" s="34">
        <f>IF(OR(A430="",D430=""),"",IF(D430&gt;Config!$B$5,0,DATEDIF(D430,Config!$B$5,"m")))</f>
        <v/>
      </c>
      <c r="M430" s="39">
        <f>IF(A430="","",IF(K430&lt;&gt;"",K430,IF(OR(C430="",D430=""),"Sem dados",IFERROR(IF(C430="M",INDEX(Config!$B$11:$B$14,MATCH(L430,Config!$A$11:$A$14,1)),IF(C430="F",INDEX(Config!$C$11:$C$14,MATCH(L430,Config!$A$11:$A$14,1)),"Sem dados")),"Verificar"))))</f>
        <v/>
      </c>
      <c r="N430" s="39">
        <f>IF(A430="","",IF(COUNTIFS('Movimentações'!$C$6:$C$1505,A430,'Movimentações'!$B$6:$B$1505,"Venda")&gt;0,"Vendido",IF(COUNTIFS('Movimentações'!$C$6:$C$1505,A430,'Movimentações'!$B$6:$B$1505,"Morte")&gt;0,"Morto","Ativo")))</f>
        <v/>
      </c>
      <c r="O430" s="40">
        <f>IF(A430="","",IF(COUNTIF('Pesagens'!$B$6:$B$2005,A430)=0,"",SUMPRODUCT(MAX(('Pesagens'!$B$6:$B$2005=A430)*'Pesagens'!$A$6:$A$2005))))</f>
        <v/>
      </c>
      <c r="P430" s="41">
        <f>IF(A430="","",IF(O430="",IF(J430="","",J430),IFERROR(AVERAGEIFS('Pesagens'!$C$6:$C$2005,'Pesagens'!$B$6:$B$2005,A430,'Pesagens'!$A$6:$A$2005,O430),"")))</f>
        <v/>
      </c>
      <c r="Q430" s="42">
        <f>IF(OR(A430="",O430="",I430="",J430=""),"",IFERROR((P430-J430)/(O430-I430),""))</f>
        <v/>
      </c>
    </row>
    <row r="431">
      <c r="A431" s="36" t="n"/>
      <c r="B431" s="32" t="n"/>
      <c r="C431" s="37" t="n"/>
      <c r="D431" s="31" t="n"/>
      <c r="E431" s="32" t="n"/>
      <c r="F431" s="32" t="n"/>
      <c r="G431" s="32" t="n"/>
      <c r="H431" s="36" t="n"/>
      <c r="I431" s="31" t="n"/>
      <c r="J431" s="38" t="n"/>
      <c r="K431" s="32" t="n"/>
      <c r="L431" s="34">
        <f>IF(OR(A431="",D431=""),"",IF(D431&gt;Config!$B$5,0,DATEDIF(D431,Config!$B$5,"m")))</f>
        <v/>
      </c>
      <c r="M431" s="39">
        <f>IF(A431="","",IF(K431&lt;&gt;"",K431,IF(OR(C431="",D431=""),"Sem dados",IFERROR(IF(C431="M",INDEX(Config!$B$11:$B$14,MATCH(L431,Config!$A$11:$A$14,1)),IF(C431="F",INDEX(Config!$C$11:$C$14,MATCH(L431,Config!$A$11:$A$14,1)),"Sem dados")),"Verificar"))))</f>
        <v/>
      </c>
      <c r="N431" s="39">
        <f>IF(A431="","",IF(COUNTIFS('Movimentações'!$C$6:$C$1505,A431,'Movimentações'!$B$6:$B$1505,"Venda")&gt;0,"Vendido",IF(COUNTIFS('Movimentações'!$C$6:$C$1505,A431,'Movimentações'!$B$6:$B$1505,"Morte")&gt;0,"Morto","Ativo")))</f>
        <v/>
      </c>
      <c r="O431" s="40">
        <f>IF(A431="","",IF(COUNTIF('Pesagens'!$B$6:$B$2005,A431)=0,"",SUMPRODUCT(MAX(('Pesagens'!$B$6:$B$2005=A431)*'Pesagens'!$A$6:$A$2005))))</f>
        <v/>
      </c>
      <c r="P431" s="41">
        <f>IF(A431="","",IF(O431="",IF(J431="","",J431),IFERROR(AVERAGEIFS('Pesagens'!$C$6:$C$2005,'Pesagens'!$B$6:$B$2005,A431,'Pesagens'!$A$6:$A$2005,O431),"")))</f>
        <v/>
      </c>
      <c r="Q431" s="42">
        <f>IF(OR(A431="",O431="",I431="",J431=""),"",IFERROR((P431-J431)/(O431-I431),""))</f>
        <v/>
      </c>
    </row>
    <row r="432">
      <c r="A432" s="36" t="n"/>
      <c r="B432" s="32" t="n"/>
      <c r="C432" s="37" t="n"/>
      <c r="D432" s="31" t="n"/>
      <c r="E432" s="32" t="n"/>
      <c r="F432" s="32" t="n"/>
      <c r="G432" s="32" t="n"/>
      <c r="H432" s="36" t="n"/>
      <c r="I432" s="31" t="n"/>
      <c r="J432" s="38" t="n"/>
      <c r="K432" s="32" t="n"/>
      <c r="L432" s="34">
        <f>IF(OR(A432="",D432=""),"",IF(D432&gt;Config!$B$5,0,DATEDIF(D432,Config!$B$5,"m")))</f>
        <v/>
      </c>
      <c r="M432" s="39">
        <f>IF(A432="","",IF(K432&lt;&gt;"",K432,IF(OR(C432="",D432=""),"Sem dados",IFERROR(IF(C432="M",INDEX(Config!$B$11:$B$14,MATCH(L432,Config!$A$11:$A$14,1)),IF(C432="F",INDEX(Config!$C$11:$C$14,MATCH(L432,Config!$A$11:$A$14,1)),"Sem dados")),"Verificar"))))</f>
        <v/>
      </c>
      <c r="N432" s="39">
        <f>IF(A432="","",IF(COUNTIFS('Movimentações'!$C$6:$C$1505,A432,'Movimentações'!$B$6:$B$1505,"Venda")&gt;0,"Vendido",IF(COUNTIFS('Movimentações'!$C$6:$C$1505,A432,'Movimentações'!$B$6:$B$1505,"Morte")&gt;0,"Morto","Ativo")))</f>
        <v/>
      </c>
      <c r="O432" s="40">
        <f>IF(A432="","",IF(COUNTIF('Pesagens'!$B$6:$B$2005,A432)=0,"",SUMPRODUCT(MAX(('Pesagens'!$B$6:$B$2005=A432)*'Pesagens'!$A$6:$A$2005))))</f>
        <v/>
      </c>
      <c r="P432" s="41">
        <f>IF(A432="","",IF(O432="",IF(J432="","",J432),IFERROR(AVERAGEIFS('Pesagens'!$C$6:$C$2005,'Pesagens'!$B$6:$B$2005,A432,'Pesagens'!$A$6:$A$2005,O432),"")))</f>
        <v/>
      </c>
      <c r="Q432" s="42">
        <f>IF(OR(A432="",O432="",I432="",J432=""),"",IFERROR((P432-J432)/(O432-I432),""))</f>
        <v/>
      </c>
    </row>
    <row r="433">
      <c r="A433" s="36" t="n"/>
      <c r="B433" s="32" t="n"/>
      <c r="C433" s="37" t="n"/>
      <c r="D433" s="31" t="n"/>
      <c r="E433" s="32" t="n"/>
      <c r="F433" s="32" t="n"/>
      <c r="G433" s="32" t="n"/>
      <c r="H433" s="36" t="n"/>
      <c r="I433" s="31" t="n"/>
      <c r="J433" s="38" t="n"/>
      <c r="K433" s="32" t="n"/>
      <c r="L433" s="34">
        <f>IF(OR(A433="",D433=""),"",IF(D433&gt;Config!$B$5,0,DATEDIF(D433,Config!$B$5,"m")))</f>
        <v/>
      </c>
      <c r="M433" s="39">
        <f>IF(A433="","",IF(K433&lt;&gt;"",K433,IF(OR(C433="",D433=""),"Sem dados",IFERROR(IF(C433="M",INDEX(Config!$B$11:$B$14,MATCH(L433,Config!$A$11:$A$14,1)),IF(C433="F",INDEX(Config!$C$11:$C$14,MATCH(L433,Config!$A$11:$A$14,1)),"Sem dados")),"Verificar"))))</f>
        <v/>
      </c>
      <c r="N433" s="39">
        <f>IF(A433="","",IF(COUNTIFS('Movimentações'!$C$6:$C$1505,A433,'Movimentações'!$B$6:$B$1505,"Venda")&gt;0,"Vendido",IF(COUNTIFS('Movimentações'!$C$6:$C$1505,A433,'Movimentações'!$B$6:$B$1505,"Morte")&gt;0,"Morto","Ativo")))</f>
        <v/>
      </c>
      <c r="O433" s="40">
        <f>IF(A433="","",IF(COUNTIF('Pesagens'!$B$6:$B$2005,A433)=0,"",SUMPRODUCT(MAX(('Pesagens'!$B$6:$B$2005=A433)*'Pesagens'!$A$6:$A$2005))))</f>
        <v/>
      </c>
      <c r="P433" s="41">
        <f>IF(A433="","",IF(O433="",IF(J433="","",J433),IFERROR(AVERAGEIFS('Pesagens'!$C$6:$C$2005,'Pesagens'!$B$6:$B$2005,A433,'Pesagens'!$A$6:$A$2005,O433),"")))</f>
        <v/>
      </c>
      <c r="Q433" s="42">
        <f>IF(OR(A433="",O433="",I433="",J433=""),"",IFERROR((P433-J433)/(O433-I433),""))</f>
        <v/>
      </c>
    </row>
    <row r="434">
      <c r="A434" s="36" t="n"/>
      <c r="B434" s="32" t="n"/>
      <c r="C434" s="37" t="n"/>
      <c r="D434" s="31" t="n"/>
      <c r="E434" s="32" t="n"/>
      <c r="F434" s="32" t="n"/>
      <c r="G434" s="32" t="n"/>
      <c r="H434" s="36" t="n"/>
      <c r="I434" s="31" t="n"/>
      <c r="J434" s="38" t="n"/>
      <c r="K434" s="32" t="n"/>
      <c r="L434" s="34">
        <f>IF(OR(A434="",D434=""),"",IF(D434&gt;Config!$B$5,0,DATEDIF(D434,Config!$B$5,"m")))</f>
        <v/>
      </c>
      <c r="M434" s="39">
        <f>IF(A434="","",IF(K434&lt;&gt;"",K434,IF(OR(C434="",D434=""),"Sem dados",IFERROR(IF(C434="M",INDEX(Config!$B$11:$B$14,MATCH(L434,Config!$A$11:$A$14,1)),IF(C434="F",INDEX(Config!$C$11:$C$14,MATCH(L434,Config!$A$11:$A$14,1)),"Sem dados")),"Verificar"))))</f>
        <v/>
      </c>
      <c r="N434" s="39">
        <f>IF(A434="","",IF(COUNTIFS('Movimentações'!$C$6:$C$1505,A434,'Movimentações'!$B$6:$B$1505,"Venda")&gt;0,"Vendido",IF(COUNTIFS('Movimentações'!$C$6:$C$1505,A434,'Movimentações'!$B$6:$B$1505,"Morte")&gt;0,"Morto","Ativo")))</f>
        <v/>
      </c>
      <c r="O434" s="40">
        <f>IF(A434="","",IF(COUNTIF('Pesagens'!$B$6:$B$2005,A434)=0,"",SUMPRODUCT(MAX(('Pesagens'!$B$6:$B$2005=A434)*'Pesagens'!$A$6:$A$2005))))</f>
        <v/>
      </c>
      <c r="P434" s="41">
        <f>IF(A434="","",IF(O434="",IF(J434="","",J434),IFERROR(AVERAGEIFS('Pesagens'!$C$6:$C$2005,'Pesagens'!$B$6:$B$2005,A434,'Pesagens'!$A$6:$A$2005,O434),"")))</f>
        <v/>
      </c>
      <c r="Q434" s="42">
        <f>IF(OR(A434="",O434="",I434="",J434=""),"",IFERROR((P434-J434)/(O434-I434),""))</f>
        <v/>
      </c>
    </row>
    <row r="435">
      <c r="A435" s="36" t="n"/>
      <c r="B435" s="32" t="n"/>
      <c r="C435" s="37" t="n"/>
      <c r="D435" s="31" t="n"/>
      <c r="E435" s="32" t="n"/>
      <c r="F435" s="32" t="n"/>
      <c r="G435" s="32" t="n"/>
      <c r="H435" s="36" t="n"/>
      <c r="I435" s="31" t="n"/>
      <c r="J435" s="38" t="n"/>
      <c r="K435" s="32" t="n"/>
      <c r="L435" s="34">
        <f>IF(OR(A435="",D435=""),"",IF(D435&gt;Config!$B$5,0,DATEDIF(D435,Config!$B$5,"m")))</f>
        <v/>
      </c>
      <c r="M435" s="39">
        <f>IF(A435="","",IF(K435&lt;&gt;"",K435,IF(OR(C435="",D435=""),"Sem dados",IFERROR(IF(C435="M",INDEX(Config!$B$11:$B$14,MATCH(L435,Config!$A$11:$A$14,1)),IF(C435="F",INDEX(Config!$C$11:$C$14,MATCH(L435,Config!$A$11:$A$14,1)),"Sem dados")),"Verificar"))))</f>
        <v/>
      </c>
      <c r="N435" s="39">
        <f>IF(A435="","",IF(COUNTIFS('Movimentações'!$C$6:$C$1505,A435,'Movimentações'!$B$6:$B$1505,"Venda")&gt;0,"Vendido",IF(COUNTIFS('Movimentações'!$C$6:$C$1505,A435,'Movimentações'!$B$6:$B$1505,"Morte")&gt;0,"Morto","Ativo")))</f>
        <v/>
      </c>
      <c r="O435" s="40">
        <f>IF(A435="","",IF(COUNTIF('Pesagens'!$B$6:$B$2005,A435)=0,"",SUMPRODUCT(MAX(('Pesagens'!$B$6:$B$2005=A435)*'Pesagens'!$A$6:$A$2005))))</f>
        <v/>
      </c>
      <c r="P435" s="41">
        <f>IF(A435="","",IF(O435="",IF(J435="","",J435),IFERROR(AVERAGEIFS('Pesagens'!$C$6:$C$2005,'Pesagens'!$B$6:$B$2005,A435,'Pesagens'!$A$6:$A$2005,O435),"")))</f>
        <v/>
      </c>
      <c r="Q435" s="42">
        <f>IF(OR(A435="",O435="",I435="",J435=""),"",IFERROR((P435-J435)/(O435-I435),""))</f>
        <v/>
      </c>
    </row>
    <row r="436">
      <c r="A436" s="36" t="n"/>
      <c r="B436" s="32" t="n"/>
      <c r="C436" s="37" t="n"/>
      <c r="D436" s="31" t="n"/>
      <c r="E436" s="32" t="n"/>
      <c r="F436" s="32" t="n"/>
      <c r="G436" s="32" t="n"/>
      <c r="H436" s="36" t="n"/>
      <c r="I436" s="31" t="n"/>
      <c r="J436" s="38" t="n"/>
      <c r="K436" s="32" t="n"/>
      <c r="L436" s="34">
        <f>IF(OR(A436="",D436=""),"",IF(D436&gt;Config!$B$5,0,DATEDIF(D436,Config!$B$5,"m")))</f>
        <v/>
      </c>
      <c r="M436" s="39">
        <f>IF(A436="","",IF(K436&lt;&gt;"",K436,IF(OR(C436="",D436=""),"Sem dados",IFERROR(IF(C436="M",INDEX(Config!$B$11:$B$14,MATCH(L436,Config!$A$11:$A$14,1)),IF(C436="F",INDEX(Config!$C$11:$C$14,MATCH(L436,Config!$A$11:$A$14,1)),"Sem dados")),"Verificar"))))</f>
        <v/>
      </c>
      <c r="N436" s="39">
        <f>IF(A436="","",IF(COUNTIFS('Movimentações'!$C$6:$C$1505,A436,'Movimentações'!$B$6:$B$1505,"Venda")&gt;0,"Vendido",IF(COUNTIFS('Movimentações'!$C$6:$C$1505,A436,'Movimentações'!$B$6:$B$1505,"Morte")&gt;0,"Morto","Ativo")))</f>
        <v/>
      </c>
      <c r="O436" s="40">
        <f>IF(A436="","",IF(COUNTIF('Pesagens'!$B$6:$B$2005,A436)=0,"",SUMPRODUCT(MAX(('Pesagens'!$B$6:$B$2005=A436)*'Pesagens'!$A$6:$A$2005))))</f>
        <v/>
      </c>
      <c r="P436" s="41">
        <f>IF(A436="","",IF(O436="",IF(J436="","",J436),IFERROR(AVERAGEIFS('Pesagens'!$C$6:$C$2005,'Pesagens'!$B$6:$B$2005,A436,'Pesagens'!$A$6:$A$2005,O436),"")))</f>
        <v/>
      </c>
      <c r="Q436" s="42">
        <f>IF(OR(A436="",O436="",I436="",J436=""),"",IFERROR((P436-J436)/(O436-I436),""))</f>
        <v/>
      </c>
    </row>
    <row r="437">
      <c r="A437" s="36" t="n"/>
      <c r="B437" s="32" t="n"/>
      <c r="C437" s="37" t="n"/>
      <c r="D437" s="31" t="n"/>
      <c r="E437" s="32" t="n"/>
      <c r="F437" s="32" t="n"/>
      <c r="G437" s="32" t="n"/>
      <c r="H437" s="36" t="n"/>
      <c r="I437" s="31" t="n"/>
      <c r="J437" s="38" t="n"/>
      <c r="K437" s="32" t="n"/>
      <c r="L437" s="34">
        <f>IF(OR(A437="",D437=""),"",IF(D437&gt;Config!$B$5,0,DATEDIF(D437,Config!$B$5,"m")))</f>
        <v/>
      </c>
      <c r="M437" s="39">
        <f>IF(A437="","",IF(K437&lt;&gt;"",K437,IF(OR(C437="",D437=""),"Sem dados",IFERROR(IF(C437="M",INDEX(Config!$B$11:$B$14,MATCH(L437,Config!$A$11:$A$14,1)),IF(C437="F",INDEX(Config!$C$11:$C$14,MATCH(L437,Config!$A$11:$A$14,1)),"Sem dados")),"Verificar"))))</f>
        <v/>
      </c>
      <c r="N437" s="39">
        <f>IF(A437="","",IF(COUNTIFS('Movimentações'!$C$6:$C$1505,A437,'Movimentações'!$B$6:$B$1505,"Venda")&gt;0,"Vendido",IF(COUNTIFS('Movimentações'!$C$6:$C$1505,A437,'Movimentações'!$B$6:$B$1505,"Morte")&gt;0,"Morto","Ativo")))</f>
        <v/>
      </c>
      <c r="O437" s="40">
        <f>IF(A437="","",IF(COUNTIF('Pesagens'!$B$6:$B$2005,A437)=0,"",SUMPRODUCT(MAX(('Pesagens'!$B$6:$B$2005=A437)*'Pesagens'!$A$6:$A$2005))))</f>
        <v/>
      </c>
      <c r="P437" s="41">
        <f>IF(A437="","",IF(O437="",IF(J437="","",J437),IFERROR(AVERAGEIFS('Pesagens'!$C$6:$C$2005,'Pesagens'!$B$6:$B$2005,A437,'Pesagens'!$A$6:$A$2005,O437),"")))</f>
        <v/>
      </c>
      <c r="Q437" s="42">
        <f>IF(OR(A437="",O437="",I437="",J437=""),"",IFERROR((P437-J437)/(O437-I437),""))</f>
        <v/>
      </c>
    </row>
    <row r="438">
      <c r="A438" s="36" t="n"/>
      <c r="B438" s="32" t="n"/>
      <c r="C438" s="37" t="n"/>
      <c r="D438" s="31" t="n"/>
      <c r="E438" s="32" t="n"/>
      <c r="F438" s="32" t="n"/>
      <c r="G438" s="32" t="n"/>
      <c r="H438" s="36" t="n"/>
      <c r="I438" s="31" t="n"/>
      <c r="J438" s="38" t="n"/>
      <c r="K438" s="32" t="n"/>
      <c r="L438" s="34">
        <f>IF(OR(A438="",D438=""),"",IF(D438&gt;Config!$B$5,0,DATEDIF(D438,Config!$B$5,"m")))</f>
        <v/>
      </c>
      <c r="M438" s="39">
        <f>IF(A438="","",IF(K438&lt;&gt;"",K438,IF(OR(C438="",D438=""),"Sem dados",IFERROR(IF(C438="M",INDEX(Config!$B$11:$B$14,MATCH(L438,Config!$A$11:$A$14,1)),IF(C438="F",INDEX(Config!$C$11:$C$14,MATCH(L438,Config!$A$11:$A$14,1)),"Sem dados")),"Verificar"))))</f>
        <v/>
      </c>
      <c r="N438" s="39">
        <f>IF(A438="","",IF(COUNTIFS('Movimentações'!$C$6:$C$1505,A438,'Movimentações'!$B$6:$B$1505,"Venda")&gt;0,"Vendido",IF(COUNTIFS('Movimentações'!$C$6:$C$1505,A438,'Movimentações'!$B$6:$B$1505,"Morte")&gt;0,"Morto","Ativo")))</f>
        <v/>
      </c>
      <c r="O438" s="40">
        <f>IF(A438="","",IF(COUNTIF('Pesagens'!$B$6:$B$2005,A438)=0,"",SUMPRODUCT(MAX(('Pesagens'!$B$6:$B$2005=A438)*'Pesagens'!$A$6:$A$2005))))</f>
        <v/>
      </c>
      <c r="P438" s="41">
        <f>IF(A438="","",IF(O438="",IF(J438="","",J438),IFERROR(AVERAGEIFS('Pesagens'!$C$6:$C$2005,'Pesagens'!$B$6:$B$2005,A438,'Pesagens'!$A$6:$A$2005,O438),"")))</f>
        <v/>
      </c>
      <c r="Q438" s="42">
        <f>IF(OR(A438="",O438="",I438="",J438=""),"",IFERROR((P438-J438)/(O438-I438),""))</f>
        <v/>
      </c>
    </row>
    <row r="439">
      <c r="A439" s="36" t="n"/>
      <c r="B439" s="32" t="n"/>
      <c r="C439" s="37" t="n"/>
      <c r="D439" s="31" t="n"/>
      <c r="E439" s="32" t="n"/>
      <c r="F439" s="32" t="n"/>
      <c r="G439" s="32" t="n"/>
      <c r="H439" s="36" t="n"/>
      <c r="I439" s="31" t="n"/>
      <c r="J439" s="38" t="n"/>
      <c r="K439" s="32" t="n"/>
      <c r="L439" s="34">
        <f>IF(OR(A439="",D439=""),"",IF(D439&gt;Config!$B$5,0,DATEDIF(D439,Config!$B$5,"m")))</f>
        <v/>
      </c>
      <c r="M439" s="39">
        <f>IF(A439="","",IF(K439&lt;&gt;"",K439,IF(OR(C439="",D439=""),"Sem dados",IFERROR(IF(C439="M",INDEX(Config!$B$11:$B$14,MATCH(L439,Config!$A$11:$A$14,1)),IF(C439="F",INDEX(Config!$C$11:$C$14,MATCH(L439,Config!$A$11:$A$14,1)),"Sem dados")),"Verificar"))))</f>
        <v/>
      </c>
      <c r="N439" s="39">
        <f>IF(A439="","",IF(COUNTIFS('Movimentações'!$C$6:$C$1505,A439,'Movimentações'!$B$6:$B$1505,"Venda")&gt;0,"Vendido",IF(COUNTIFS('Movimentações'!$C$6:$C$1505,A439,'Movimentações'!$B$6:$B$1505,"Morte")&gt;0,"Morto","Ativo")))</f>
        <v/>
      </c>
      <c r="O439" s="40">
        <f>IF(A439="","",IF(COUNTIF('Pesagens'!$B$6:$B$2005,A439)=0,"",SUMPRODUCT(MAX(('Pesagens'!$B$6:$B$2005=A439)*'Pesagens'!$A$6:$A$2005))))</f>
        <v/>
      </c>
      <c r="P439" s="41">
        <f>IF(A439="","",IF(O439="",IF(J439="","",J439),IFERROR(AVERAGEIFS('Pesagens'!$C$6:$C$2005,'Pesagens'!$B$6:$B$2005,A439,'Pesagens'!$A$6:$A$2005,O439),"")))</f>
        <v/>
      </c>
      <c r="Q439" s="42">
        <f>IF(OR(A439="",O439="",I439="",J439=""),"",IFERROR((P439-J439)/(O439-I439),""))</f>
        <v/>
      </c>
    </row>
    <row r="440">
      <c r="A440" s="36" t="n"/>
      <c r="B440" s="32" t="n"/>
      <c r="C440" s="37" t="n"/>
      <c r="D440" s="31" t="n"/>
      <c r="E440" s="32" t="n"/>
      <c r="F440" s="32" t="n"/>
      <c r="G440" s="32" t="n"/>
      <c r="H440" s="36" t="n"/>
      <c r="I440" s="31" t="n"/>
      <c r="J440" s="38" t="n"/>
      <c r="K440" s="32" t="n"/>
      <c r="L440" s="34">
        <f>IF(OR(A440="",D440=""),"",IF(D440&gt;Config!$B$5,0,DATEDIF(D440,Config!$B$5,"m")))</f>
        <v/>
      </c>
      <c r="M440" s="39">
        <f>IF(A440="","",IF(K440&lt;&gt;"",K440,IF(OR(C440="",D440=""),"Sem dados",IFERROR(IF(C440="M",INDEX(Config!$B$11:$B$14,MATCH(L440,Config!$A$11:$A$14,1)),IF(C440="F",INDEX(Config!$C$11:$C$14,MATCH(L440,Config!$A$11:$A$14,1)),"Sem dados")),"Verificar"))))</f>
        <v/>
      </c>
      <c r="N440" s="39">
        <f>IF(A440="","",IF(COUNTIFS('Movimentações'!$C$6:$C$1505,A440,'Movimentações'!$B$6:$B$1505,"Venda")&gt;0,"Vendido",IF(COUNTIFS('Movimentações'!$C$6:$C$1505,A440,'Movimentações'!$B$6:$B$1505,"Morte")&gt;0,"Morto","Ativo")))</f>
        <v/>
      </c>
      <c r="O440" s="40">
        <f>IF(A440="","",IF(COUNTIF('Pesagens'!$B$6:$B$2005,A440)=0,"",SUMPRODUCT(MAX(('Pesagens'!$B$6:$B$2005=A440)*'Pesagens'!$A$6:$A$2005))))</f>
        <v/>
      </c>
      <c r="P440" s="41">
        <f>IF(A440="","",IF(O440="",IF(J440="","",J440),IFERROR(AVERAGEIFS('Pesagens'!$C$6:$C$2005,'Pesagens'!$B$6:$B$2005,A440,'Pesagens'!$A$6:$A$2005,O440),"")))</f>
        <v/>
      </c>
      <c r="Q440" s="42">
        <f>IF(OR(A440="",O440="",I440="",J440=""),"",IFERROR((P440-J440)/(O440-I440),""))</f>
        <v/>
      </c>
    </row>
    <row r="441">
      <c r="A441" s="36" t="n"/>
      <c r="B441" s="32" t="n"/>
      <c r="C441" s="37" t="n"/>
      <c r="D441" s="31" t="n"/>
      <c r="E441" s="32" t="n"/>
      <c r="F441" s="32" t="n"/>
      <c r="G441" s="32" t="n"/>
      <c r="H441" s="36" t="n"/>
      <c r="I441" s="31" t="n"/>
      <c r="J441" s="38" t="n"/>
      <c r="K441" s="32" t="n"/>
      <c r="L441" s="34">
        <f>IF(OR(A441="",D441=""),"",IF(D441&gt;Config!$B$5,0,DATEDIF(D441,Config!$B$5,"m")))</f>
        <v/>
      </c>
      <c r="M441" s="39">
        <f>IF(A441="","",IF(K441&lt;&gt;"",K441,IF(OR(C441="",D441=""),"Sem dados",IFERROR(IF(C441="M",INDEX(Config!$B$11:$B$14,MATCH(L441,Config!$A$11:$A$14,1)),IF(C441="F",INDEX(Config!$C$11:$C$14,MATCH(L441,Config!$A$11:$A$14,1)),"Sem dados")),"Verificar"))))</f>
        <v/>
      </c>
      <c r="N441" s="39">
        <f>IF(A441="","",IF(COUNTIFS('Movimentações'!$C$6:$C$1505,A441,'Movimentações'!$B$6:$B$1505,"Venda")&gt;0,"Vendido",IF(COUNTIFS('Movimentações'!$C$6:$C$1505,A441,'Movimentações'!$B$6:$B$1505,"Morte")&gt;0,"Morto","Ativo")))</f>
        <v/>
      </c>
      <c r="O441" s="40">
        <f>IF(A441="","",IF(COUNTIF('Pesagens'!$B$6:$B$2005,A441)=0,"",SUMPRODUCT(MAX(('Pesagens'!$B$6:$B$2005=A441)*'Pesagens'!$A$6:$A$2005))))</f>
        <v/>
      </c>
      <c r="P441" s="41">
        <f>IF(A441="","",IF(O441="",IF(J441="","",J441),IFERROR(AVERAGEIFS('Pesagens'!$C$6:$C$2005,'Pesagens'!$B$6:$B$2005,A441,'Pesagens'!$A$6:$A$2005,O441),"")))</f>
        <v/>
      </c>
      <c r="Q441" s="42">
        <f>IF(OR(A441="",O441="",I441="",J441=""),"",IFERROR((P441-J441)/(O441-I441),""))</f>
        <v/>
      </c>
    </row>
    <row r="442">
      <c r="A442" s="36" t="n"/>
      <c r="B442" s="32" t="n"/>
      <c r="C442" s="37" t="n"/>
      <c r="D442" s="31" t="n"/>
      <c r="E442" s="32" t="n"/>
      <c r="F442" s="32" t="n"/>
      <c r="G442" s="32" t="n"/>
      <c r="H442" s="36" t="n"/>
      <c r="I442" s="31" t="n"/>
      <c r="J442" s="38" t="n"/>
      <c r="K442" s="32" t="n"/>
      <c r="L442" s="34">
        <f>IF(OR(A442="",D442=""),"",IF(D442&gt;Config!$B$5,0,DATEDIF(D442,Config!$B$5,"m")))</f>
        <v/>
      </c>
      <c r="M442" s="39">
        <f>IF(A442="","",IF(K442&lt;&gt;"",K442,IF(OR(C442="",D442=""),"Sem dados",IFERROR(IF(C442="M",INDEX(Config!$B$11:$B$14,MATCH(L442,Config!$A$11:$A$14,1)),IF(C442="F",INDEX(Config!$C$11:$C$14,MATCH(L442,Config!$A$11:$A$14,1)),"Sem dados")),"Verificar"))))</f>
        <v/>
      </c>
      <c r="N442" s="39">
        <f>IF(A442="","",IF(COUNTIFS('Movimentações'!$C$6:$C$1505,A442,'Movimentações'!$B$6:$B$1505,"Venda")&gt;0,"Vendido",IF(COUNTIFS('Movimentações'!$C$6:$C$1505,A442,'Movimentações'!$B$6:$B$1505,"Morte")&gt;0,"Morto","Ativo")))</f>
        <v/>
      </c>
      <c r="O442" s="40">
        <f>IF(A442="","",IF(COUNTIF('Pesagens'!$B$6:$B$2005,A442)=0,"",SUMPRODUCT(MAX(('Pesagens'!$B$6:$B$2005=A442)*'Pesagens'!$A$6:$A$2005))))</f>
        <v/>
      </c>
      <c r="P442" s="41">
        <f>IF(A442="","",IF(O442="",IF(J442="","",J442),IFERROR(AVERAGEIFS('Pesagens'!$C$6:$C$2005,'Pesagens'!$B$6:$B$2005,A442,'Pesagens'!$A$6:$A$2005,O442),"")))</f>
        <v/>
      </c>
      <c r="Q442" s="42">
        <f>IF(OR(A442="",O442="",I442="",J442=""),"",IFERROR((P442-J442)/(O442-I442),""))</f>
        <v/>
      </c>
    </row>
    <row r="443">
      <c r="A443" s="36" t="n"/>
      <c r="B443" s="32" t="n"/>
      <c r="C443" s="37" t="n"/>
      <c r="D443" s="31" t="n"/>
      <c r="E443" s="32" t="n"/>
      <c r="F443" s="32" t="n"/>
      <c r="G443" s="32" t="n"/>
      <c r="H443" s="36" t="n"/>
      <c r="I443" s="31" t="n"/>
      <c r="J443" s="38" t="n"/>
      <c r="K443" s="32" t="n"/>
      <c r="L443" s="34">
        <f>IF(OR(A443="",D443=""),"",IF(D443&gt;Config!$B$5,0,DATEDIF(D443,Config!$B$5,"m")))</f>
        <v/>
      </c>
      <c r="M443" s="39">
        <f>IF(A443="","",IF(K443&lt;&gt;"",K443,IF(OR(C443="",D443=""),"Sem dados",IFERROR(IF(C443="M",INDEX(Config!$B$11:$B$14,MATCH(L443,Config!$A$11:$A$14,1)),IF(C443="F",INDEX(Config!$C$11:$C$14,MATCH(L443,Config!$A$11:$A$14,1)),"Sem dados")),"Verificar"))))</f>
        <v/>
      </c>
      <c r="N443" s="39">
        <f>IF(A443="","",IF(COUNTIFS('Movimentações'!$C$6:$C$1505,A443,'Movimentações'!$B$6:$B$1505,"Venda")&gt;0,"Vendido",IF(COUNTIFS('Movimentações'!$C$6:$C$1505,A443,'Movimentações'!$B$6:$B$1505,"Morte")&gt;0,"Morto","Ativo")))</f>
        <v/>
      </c>
      <c r="O443" s="40">
        <f>IF(A443="","",IF(COUNTIF('Pesagens'!$B$6:$B$2005,A443)=0,"",SUMPRODUCT(MAX(('Pesagens'!$B$6:$B$2005=A443)*'Pesagens'!$A$6:$A$2005))))</f>
        <v/>
      </c>
      <c r="P443" s="41">
        <f>IF(A443="","",IF(O443="",IF(J443="","",J443),IFERROR(AVERAGEIFS('Pesagens'!$C$6:$C$2005,'Pesagens'!$B$6:$B$2005,A443,'Pesagens'!$A$6:$A$2005,O443),"")))</f>
        <v/>
      </c>
      <c r="Q443" s="42">
        <f>IF(OR(A443="",O443="",I443="",J443=""),"",IFERROR((P443-J443)/(O443-I443),""))</f>
        <v/>
      </c>
    </row>
    <row r="444">
      <c r="A444" s="36" t="n"/>
      <c r="B444" s="32" t="n"/>
      <c r="C444" s="37" t="n"/>
      <c r="D444" s="31" t="n"/>
      <c r="E444" s="32" t="n"/>
      <c r="F444" s="32" t="n"/>
      <c r="G444" s="32" t="n"/>
      <c r="H444" s="36" t="n"/>
      <c r="I444" s="31" t="n"/>
      <c r="J444" s="38" t="n"/>
      <c r="K444" s="32" t="n"/>
      <c r="L444" s="34">
        <f>IF(OR(A444="",D444=""),"",IF(D444&gt;Config!$B$5,0,DATEDIF(D444,Config!$B$5,"m")))</f>
        <v/>
      </c>
      <c r="M444" s="39">
        <f>IF(A444="","",IF(K444&lt;&gt;"",K444,IF(OR(C444="",D444=""),"Sem dados",IFERROR(IF(C444="M",INDEX(Config!$B$11:$B$14,MATCH(L444,Config!$A$11:$A$14,1)),IF(C444="F",INDEX(Config!$C$11:$C$14,MATCH(L444,Config!$A$11:$A$14,1)),"Sem dados")),"Verificar"))))</f>
        <v/>
      </c>
      <c r="N444" s="39">
        <f>IF(A444="","",IF(COUNTIFS('Movimentações'!$C$6:$C$1505,A444,'Movimentações'!$B$6:$B$1505,"Venda")&gt;0,"Vendido",IF(COUNTIFS('Movimentações'!$C$6:$C$1505,A444,'Movimentações'!$B$6:$B$1505,"Morte")&gt;0,"Morto","Ativo")))</f>
        <v/>
      </c>
      <c r="O444" s="40">
        <f>IF(A444="","",IF(COUNTIF('Pesagens'!$B$6:$B$2005,A444)=0,"",SUMPRODUCT(MAX(('Pesagens'!$B$6:$B$2005=A444)*'Pesagens'!$A$6:$A$2005))))</f>
        <v/>
      </c>
      <c r="P444" s="41">
        <f>IF(A444="","",IF(O444="",IF(J444="","",J444),IFERROR(AVERAGEIFS('Pesagens'!$C$6:$C$2005,'Pesagens'!$B$6:$B$2005,A444,'Pesagens'!$A$6:$A$2005,O444),"")))</f>
        <v/>
      </c>
      <c r="Q444" s="42">
        <f>IF(OR(A444="",O444="",I444="",J444=""),"",IFERROR((P444-J444)/(O444-I444),""))</f>
        <v/>
      </c>
    </row>
    <row r="445">
      <c r="A445" s="36" t="n"/>
      <c r="B445" s="32" t="n"/>
      <c r="C445" s="37" t="n"/>
      <c r="D445" s="31" t="n"/>
      <c r="E445" s="32" t="n"/>
      <c r="F445" s="32" t="n"/>
      <c r="G445" s="32" t="n"/>
      <c r="H445" s="36" t="n"/>
      <c r="I445" s="31" t="n"/>
      <c r="J445" s="38" t="n"/>
      <c r="K445" s="32" t="n"/>
      <c r="L445" s="34">
        <f>IF(OR(A445="",D445=""),"",IF(D445&gt;Config!$B$5,0,DATEDIF(D445,Config!$B$5,"m")))</f>
        <v/>
      </c>
      <c r="M445" s="39">
        <f>IF(A445="","",IF(K445&lt;&gt;"",K445,IF(OR(C445="",D445=""),"Sem dados",IFERROR(IF(C445="M",INDEX(Config!$B$11:$B$14,MATCH(L445,Config!$A$11:$A$14,1)),IF(C445="F",INDEX(Config!$C$11:$C$14,MATCH(L445,Config!$A$11:$A$14,1)),"Sem dados")),"Verificar"))))</f>
        <v/>
      </c>
      <c r="N445" s="39">
        <f>IF(A445="","",IF(COUNTIFS('Movimentações'!$C$6:$C$1505,A445,'Movimentações'!$B$6:$B$1505,"Venda")&gt;0,"Vendido",IF(COUNTIFS('Movimentações'!$C$6:$C$1505,A445,'Movimentações'!$B$6:$B$1505,"Morte")&gt;0,"Morto","Ativo")))</f>
        <v/>
      </c>
      <c r="O445" s="40">
        <f>IF(A445="","",IF(COUNTIF('Pesagens'!$B$6:$B$2005,A445)=0,"",SUMPRODUCT(MAX(('Pesagens'!$B$6:$B$2005=A445)*'Pesagens'!$A$6:$A$2005))))</f>
        <v/>
      </c>
      <c r="P445" s="41">
        <f>IF(A445="","",IF(O445="",IF(J445="","",J445),IFERROR(AVERAGEIFS('Pesagens'!$C$6:$C$2005,'Pesagens'!$B$6:$B$2005,A445,'Pesagens'!$A$6:$A$2005,O445),"")))</f>
        <v/>
      </c>
      <c r="Q445" s="42">
        <f>IF(OR(A445="",O445="",I445="",J445=""),"",IFERROR((P445-J445)/(O445-I445),""))</f>
        <v/>
      </c>
    </row>
    <row r="446">
      <c r="A446" s="36" t="n"/>
      <c r="B446" s="32" t="n"/>
      <c r="C446" s="37" t="n"/>
      <c r="D446" s="31" t="n"/>
      <c r="E446" s="32" t="n"/>
      <c r="F446" s="32" t="n"/>
      <c r="G446" s="32" t="n"/>
      <c r="H446" s="36" t="n"/>
      <c r="I446" s="31" t="n"/>
      <c r="J446" s="38" t="n"/>
      <c r="K446" s="32" t="n"/>
      <c r="L446" s="34">
        <f>IF(OR(A446="",D446=""),"",IF(D446&gt;Config!$B$5,0,DATEDIF(D446,Config!$B$5,"m")))</f>
        <v/>
      </c>
      <c r="M446" s="39">
        <f>IF(A446="","",IF(K446&lt;&gt;"",K446,IF(OR(C446="",D446=""),"Sem dados",IFERROR(IF(C446="M",INDEX(Config!$B$11:$B$14,MATCH(L446,Config!$A$11:$A$14,1)),IF(C446="F",INDEX(Config!$C$11:$C$14,MATCH(L446,Config!$A$11:$A$14,1)),"Sem dados")),"Verificar"))))</f>
        <v/>
      </c>
      <c r="N446" s="39">
        <f>IF(A446="","",IF(COUNTIFS('Movimentações'!$C$6:$C$1505,A446,'Movimentações'!$B$6:$B$1505,"Venda")&gt;0,"Vendido",IF(COUNTIFS('Movimentações'!$C$6:$C$1505,A446,'Movimentações'!$B$6:$B$1505,"Morte")&gt;0,"Morto","Ativo")))</f>
        <v/>
      </c>
      <c r="O446" s="40">
        <f>IF(A446="","",IF(COUNTIF('Pesagens'!$B$6:$B$2005,A446)=0,"",SUMPRODUCT(MAX(('Pesagens'!$B$6:$B$2005=A446)*'Pesagens'!$A$6:$A$2005))))</f>
        <v/>
      </c>
      <c r="P446" s="41">
        <f>IF(A446="","",IF(O446="",IF(J446="","",J446),IFERROR(AVERAGEIFS('Pesagens'!$C$6:$C$2005,'Pesagens'!$B$6:$B$2005,A446,'Pesagens'!$A$6:$A$2005,O446),"")))</f>
        <v/>
      </c>
      <c r="Q446" s="42">
        <f>IF(OR(A446="",O446="",I446="",J446=""),"",IFERROR((P446-J446)/(O446-I446),""))</f>
        <v/>
      </c>
    </row>
    <row r="447">
      <c r="A447" s="36" t="n"/>
      <c r="B447" s="32" t="n"/>
      <c r="C447" s="37" t="n"/>
      <c r="D447" s="31" t="n"/>
      <c r="E447" s="32" t="n"/>
      <c r="F447" s="32" t="n"/>
      <c r="G447" s="32" t="n"/>
      <c r="H447" s="36" t="n"/>
      <c r="I447" s="31" t="n"/>
      <c r="J447" s="38" t="n"/>
      <c r="K447" s="32" t="n"/>
      <c r="L447" s="34">
        <f>IF(OR(A447="",D447=""),"",IF(D447&gt;Config!$B$5,0,DATEDIF(D447,Config!$B$5,"m")))</f>
        <v/>
      </c>
      <c r="M447" s="39">
        <f>IF(A447="","",IF(K447&lt;&gt;"",K447,IF(OR(C447="",D447=""),"Sem dados",IFERROR(IF(C447="M",INDEX(Config!$B$11:$B$14,MATCH(L447,Config!$A$11:$A$14,1)),IF(C447="F",INDEX(Config!$C$11:$C$14,MATCH(L447,Config!$A$11:$A$14,1)),"Sem dados")),"Verificar"))))</f>
        <v/>
      </c>
      <c r="N447" s="39">
        <f>IF(A447="","",IF(COUNTIFS('Movimentações'!$C$6:$C$1505,A447,'Movimentações'!$B$6:$B$1505,"Venda")&gt;0,"Vendido",IF(COUNTIFS('Movimentações'!$C$6:$C$1505,A447,'Movimentações'!$B$6:$B$1505,"Morte")&gt;0,"Morto","Ativo")))</f>
        <v/>
      </c>
      <c r="O447" s="40">
        <f>IF(A447="","",IF(COUNTIF('Pesagens'!$B$6:$B$2005,A447)=0,"",SUMPRODUCT(MAX(('Pesagens'!$B$6:$B$2005=A447)*'Pesagens'!$A$6:$A$2005))))</f>
        <v/>
      </c>
      <c r="P447" s="41">
        <f>IF(A447="","",IF(O447="",IF(J447="","",J447),IFERROR(AVERAGEIFS('Pesagens'!$C$6:$C$2005,'Pesagens'!$B$6:$B$2005,A447,'Pesagens'!$A$6:$A$2005,O447),"")))</f>
        <v/>
      </c>
      <c r="Q447" s="42">
        <f>IF(OR(A447="",O447="",I447="",J447=""),"",IFERROR((P447-J447)/(O447-I447),""))</f>
        <v/>
      </c>
    </row>
    <row r="448">
      <c r="A448" s="36" t="n"/>
      <c r="B448" s="32" t="n"/>
      <c r="C448" s="37" t="n"/>
      <c r="D448" s="31" t="n"/>
      <c r="E448" s="32" t="n"/>
      <c r="F448" s="32" t="n"/>
      <c r="G448" s="32" t="n"/>
      <c r="H448" s="36" t="n"/>
      <c r="I448" s="31" t="n"/>
      <c r="J448" s="38" t="n"/>
      <c r="K448" s="32" t="n"/>
      <c r="L448" s="34">
        <f>IF(OR(A448="",D448=""),"",IF(D448&gt;Config!$B$5,0,DATEDIF(D448,Config!$B$5,"m")))</f>
        <v/>
      </c>
      <c r="M448" s="39">
        <f>IF(A448="","",IF(K448&lt;&gt;"",K448,IF(OR(C448="",D448=""),"Sem dados",IFERROR(IF(C448="M",INDEX(Config!$B$11:$B$14,MATCH(L448,Config!$A$11:$A$14,1)),IF(C448="F",INDEX(Config!$C$11:$C$14,MATCH(L448,Config!$A$11:$A$14,1)),"Sem dados")),"Verificar"))))</f>
        <v/>
      </c>
      <c r="N448" s="39">
        <f>IF(A448="","",IF(COUNTIFS('Movimentações'!$C$6:$C$1505,A448,'Movimentações'!$B$6:$B$1505,"Venda")&gt;0,"Vendido",IF(COUNTIFS('Movimentações'!$C$6:$C$1505,A448,'Movimentações'!$B$6:$B$1505,"Morte")&gt;0,"Morto","Ativo")))</f>
        <v/>
      </c>
      <c r="O448" s="40">
        <f>IF(A448="","",IF(COUNTIF('Pesagens'!$B$6:$B$2005,A448)=0,"",SUMPRODUCT(MAX(('Pesagens'!$B$6:$B$2005=A448)*'Pesagens'!$A$6:$A$2005))))</f>
        <v/>
      </c>
      <c r="P448" s="41">
        <f>IF(A448="","",IF(O448="",IF(J448="","",J448),IFERROR(AVERAGEIFS('Pesagens'!$C$6:$C$2005,'Pesagens'!$B$6:$B$2005,A448,'Pesagens'!$A$6:$A$2005,O448),"")))</f>
        <v/>
      </c>
      <c r="Q448" s="42">
        <f>IF(OR(A448="",O448="",I448="",J448=""),"",IFERROR((P448-J448)/(O448-I448),""))</f>
        <v/>
      </c>
    </row>
    <row r="449">
      <c r="A449" s="36" t="n"/>
      <c r="B449" s="32" t="n"/>
      <c r="C449" s="37" t="n"/>
      <c r="D449" s="31" t="n"/>
      <c r="E449" s="32" t="n"/>
      <c r="F449" s="32" t="n"/>
      <c r="G449" s="32" t="n"/>
      <c r="H449" s="36" t="n"/>
      <c r="I449" s="31" t="n"/>
      <c r="J449" s="38" t="n"/>
      <c r="K449" s="32" t="n"/>
      <c r="L449" s="34">
        <f>IF(OR(A449="",D449=""),"",IF(D449&gt;Config!$B$5,0,DATEDIF(D449,Config!$B$5,"m")))</f>
        <v/>
      </c>
      <c r="M449" s="39">
        <f>IF(A449="","",IF(K449&lt;&gt;"",K449,IF(OR(C449="",D449=""),"Sem dados",IFERROR(IF(C449="M",INDEX(Config!$B$11:$B$14,MATCH(L449,Config!$A$11:$A$14,1)),IF(C449="F",INDEX(Config!$C$11:$C$14,MATCH(L449,Config!$A$11:$A$14,1)),"Sem dados")),"Verificar"))))</f>
        <v/>
      </c>
      <c r="N449" s="39">
        <f>IF(A449="","",IF(COUNTIFS('Movimentações'!$C$6:$C$1505,A449,'Movimentações'!$B$6:$B$1505,"Venda")&gt;0,"Vendido",IF(COUNTIFS('Movimentações'!$C$6:$C$1505,A449,'Movimentações'!$B$6:$B$1505,"Morte")&gt;0,"Morto","Ativo")))</f>
        <v/>
      </c>
      <c r="O449" s="40">
        <f>IF(A449="","",IF(COUNTIF('Pesagens'!$B$6:$B$2005,A449)=0,"",SUMPRODUCT(MAX(('Pesagens'!$B$6:$B$2005=A449)*'Pesagens'!$A$6:$A$2005))))</f>
        <v/>
      </c>
      <c r="P449" s="41">
        <f>IF(A449="","",IF(O449="",IF(J449="","",J449),IFERROR(AVERAGEIFS('Pesagens'!$C$6:$C$2005,'Pesagens'!$B$6:$B$2005,A449,'Pesagens'!$A$6:$A$2005,O449),"")))</f>
        <v/>
      </c>
      <c r="Q449" s="42">
        <f>IF(OR(A449="",O449="",I449="",J449=""),"",IFERROR((P449-J449)/(O449-I449),""))</f>
        <v/>
      </c>
    </row>
    <row r="450">
      <c r="A450" s="36" t="n"/>
      <c r="B450" s="32" t="n"/>
      <c r="C450" s="37" t="n"/>
      <c r="D450" s="31" t="n"/>
      <c r="E450" s="32" t="n"/>
      <c r="F450" s="32" t="n"/>
      <c r="G450" s="32" t="n"/>
      <c r="H450" s="36" t="n"/>
      <c r="I450" s="31" t="n"/>
      <c r="J450" s="38" t="n"/>
      <c r="K450" s="32" t="n"/>
      <c r="L450" s="34">
        <f>IF(OR(A450="",D450=""),"",IF(D450&gt;Config!$B$5,0,DATEDIF(D450,Config!$B$5,"m")))</f>
        <v/>
      </c>
      <c r="M450" s="39">
        <f>IF(A450="","",IF(K450&lt;&gt;"",K450,IF(OR(C450="",D450=""),"Sem dados",IFERROR(IF(C450="M",INDEX(Config!$B$11:$B$14,MATCH(L450,Config!$A$11:$A$14,1)),IF(C450="F",INDEX(Config!$C$11:$C$14,MATCH(L450,Config!$A$11:$A$14,1)),"Sem dados")),"Verificar"))))</f>
        <v/>
      </c>
      <c r="N450" s="39">
        <f>IF(A450="","",IF(COUNTIFS('Movimentações'!$C$6:$C$1505,A450,'Movimentações'!$B$6:$B$1505,"Venda")&gt;0,"Vendido",IF(COUNTIFS('Movimentações'!$C$6:$C$1505,A450,'Movimentações'!$B$6:$B$1505,"Morte")&gt;0,"Morto","Ativo")))</f>
        <v/>
      </c>
      <c r="O450" s="40">
        <f>IF(A450="","",IF(COUNTIF('Pesagens'!$B$6:$B$2005,A450)=0,"",SUMPRODUCT(MAX(('Pesagens'!$B$6:$B$2005=A450)*'Pesagens'!$A$6:$A$2005))))</f>
        <v/>
      </c>
      <c r="P450" s="41">
        <f>IF(A450="","",IF(O450="",IF(J450="","",J450),IFERROR(AVERAGEIFS('Pesagens'!$C$6:$C$2005,'Pesagens'!$B$6:$B$2005,A450,'Pesagens'!$A$6:$A$2005,O450),"")))</f>
        <v/>
      </c>
      <c r="Q450" s="42">
        <f>IF(OR(A450="",O450="",I450="",J450=""),"",IFERROR((P450-J450)/(O450-I450),""))</f>
        <v/>
      </c>
    </row>
    <row r="451">
      <c r="A451" s="36" t="n"/>
      <c r="B451" s="32" t="n"/>
      <c r="C451" s="37" t="n"/>
      <c r="D451" s="31" t="n"/>
      <c r="E451" s="32" t="n"/>
      <c r="F451" s="32" t="n"/>
      <c r="G451" s="32" t="n"/>
      <c r="H451" s="36" t="n"/>
      <c r="I451" s="31" t="n"/>
      <c r="J451" s="38" t="n"/>
      <c r="K451" s="32" t="n"/>
      <c r="L451" s="34">
        <f>IF(OR(A451="",D451=""),"",IF(D451&gt;Config!$B$5,0,DATEDIF(D451,Config!$B$5,"m")))</f>
        <v/>
      </c>
      <c r="M451" s="39">
        <f>IF(A451="","",IF(K451&lt;&gt;"",K451,IF(OR(C451="",D451=""),"Sem dados",IFERROR(IF(C451="M",INDEX(Config!$B$11:$B$14,MATCH(L451,Config!$A$11:$A$14,1)),IF(C451="F",INDEX(Config!$C$11:$C$14,MATCH(L451,Config!$A$11:$A$14,1)),"Sem dados")),"Verificar"))))</f>
        <v/>
      </c>
      <c r="N451" s="39">
        <f>IF(A451="","",IF(COUNTIFS('Movimentações'!$C$6:$C$1505,A451,'Movimentações'!$B$6:$B$1505,"Venda")&gt;0,"Vendido",IF(COUNTIFS('Movimentações'!$C$6:$C$1505,A451,'Movimentações'!$B$6:$B$1505,"Morte")&gt;0,"Morto","Ativo")))</f>
        <v/>
      </c>
      <c r="O451" s="40">
        <f>IF(A451="","",IF(COUNTIF('Pesagens'!$B$6:$B$2005,A451)=0,"",SUMPRODUCT(MAX(('Pesagens'!$B$6:$B$2005=A451)*'Pesagens'!$A$6:$A$2005))))</f>
        <v/>
      </c>
      <c r="P451" s="41">
        <f>IF(A451="","",IF(O451="",IF(J451="","",J451),IFERROR(AVERAGEIFS('Pesagens'!$C$6:$C$2005,'Pesagens'!$B$6:$B$2005,A451,'Pesagens'!$A$6:$A$2005,O451),"")))</f>
        <v/>
      </c>
      <c r="Q451" s="42">
        <f>IF(OR(A451="",O451="",I451="",J451=""),"",IFERROR((P451-J451)/(O451-I451),""))</f>
        <v/>
      </c>
    </row>
    <row r="452">
      <c r="A452" s="36" t="n"/>
      <c r="B452" s="32" t="n"/>
      <c r="C452" s="37" t="n"/>
      <c r="D452" s="31" t="n"/>
      <c r="E452" s="32" t="n"/>
      <c r="F452" s="32" t="n"/>
      <c r="G452" s="32" t="n"/>
      <c r="H452" s="36" t="n"/>
      <c r="I452" s="31" t="n"/>
      <c r="J452" s="38" t="n"/>
      <c r="K452" s="32" t="n"/>
      <c r="L452" s="34">
        <f>IF(OR(A452="",D452=""),"",IF(D452&gt;Config!$B$5,0,DATEDIF(D452,Config!$B$5,"m")))</f>
        <v/>
      </c>
      <c r="M452" s="39">
        <f>IF(A452="","",IF(K452&lt;&gt;"",K452,IF(OR(C452="",D452=""),"Sem dados",IFERROR(IF(C452="M",INDEX(Config!$B$11:$B$14,MATCH(L452,Config!$A$11:$A$14,1)),IF(C452="F",INDEX(Config!$C$11:$C$14,MATCH(L452,Config!$A$11:$A$14,1)),"Sem dados")),"Verificar"))))</f>
        <v/>
      </c>
      <c r="N452" s="39">
        <f>IF(A452="","",IF(COUNTIFS('Movimentações'!$C$6:$C$1505,A452,'Movimentações'!$B$6:$B$1505,"Venda")&gt;0,"Vendido",IF(COUNTIFS('Movimentações'!$C$6:$C$1505,A452,'Movimentações'!$B$6:$B$1505,"Morte")&gt;0,"Morto","Ativo")))</f>
        <v/>
      </c>
      <c r="O452" s="40">
        <f>IF(A452="","",IF(COUNTIF('Pesagens'!$B$6:$B$2005,A452)=0,"",SUMPRODUCT(MAX(('Pesagens'!$B$6:$B$2005=A452)*'Pesagens'!$A$6:$A$2005))))</f>
        <v/>
      </c>
      <c r="P452" s="41">
        <f>IF(A452="","",IF(O452="",IF(J452="","",J452),IFERROR(AVERAGEIFS('Pesagens'!$C$6:$C$2005,'Pesagens'!$B$6:$B$2005,A452,'Pesagens'!$A$6:$A$2005,O452),"")))</f>
        <v/>
      </c>
      <c r="Q452" s="42">
        <f>IF(OR(A452="",O452="",I452="",J452=""),"",IFERROR((P452-J452)/(O452-I452),""))</f>
        <v/>
      </c>
    </row>
    <row r="453">
      <c r="A453" s="36" t="n"/>
      <c r="B453" s="32" t="n"/>
      <c r="C453" s="37" t="n"/>
      <c r="D453" s="31" t="n"/>
      <c r="E453" s="32" t="n"/>
      <c r="F453" s="32" t="n"/>
      <c r="G453" s="32" t="n"/>
      <c r="H453" s="36" t="n"/>
      <c r="I453" s="31" t="n"/>
      <c r="J453" s="38" t="n"/>
      <c r="K453" s="32" t="n"/>
      <c r="L453" s="34">
        <f>IF(OR(A453="",D453=""),"",IF(D453&gt;Config!$B$5,0,DATEDIF(D453,Config!$B$5,"m")))</f>
        <v/>
      </c>
      <c r="M453" s="39">
        <f>IF(A453="","",IF(K453&lt;&gt;"",K453,IF(OR(C453="",D453=""),"Sem dados",IFERROR(IF(C453="M",INDEX(Config!$B$11:$B$14,MATCH(L453,Config!$A$11:$A$14,1)),IF(C453="F",INDEX(Config!$C$11:$C$14,MATCH(L453,Config!$A$11:$A$14,1)),"Sem dados")),"Verificar"))))</f>
        <v/>
      </c>
      <c r="N453" s="39">
        <f>IF(A453="","",IF(COUNTIFS('Movimentações'!$C$6:$C$1505,A453,'Movimentações'!$B$6:$B$1505,"Venda")&gt;0,"Vendido",IF(COUNTIFS('Movimentações'!$C$6:$C$1505,A453,'Movimentações'!$B$6:$B$1505,"Morte")&gt;0,"Morto","Ativo")))</f>
        <v/>
      </c>
      <c r="O453" s="40">
        <f>IF(A453="","",IF(COUNTIF('Pesagens'!$B$6:$B$2005,A453)=0,"",SUMPRODUCT(MAX(('Pesagens'!$B$6:$B$2005=A453)*'Pesagens'!$A$6:$A$2005))))</f>
        <v/>
      </c>
      <c r="P453" s="41">
        <f>IF(A453="","",IF(O453="",IF(J453="","",J453),IFERROR(AVERAGEIFS('Pesagens'!$C$6:$C$2005,'Pesagens'!$B$6:$B$2005,A453,'Pesagens'!$A$6:$A$2005,O453),"")))</f>
        <v/>
      </c>
      <c r="Q453" s="42">
        <f>IF(OR(A453="",O453="",I453="",J453=""),"",IFERROR((P453-J453)/(O453-I453),""))</f>
        <v/>
      </c>
    </row>
    <row r="454">
      <c r="A454" s="36" t="n"/>
      <c r="B454" s="32" t="n"/>
      <c r="C454" s="37" t="n"/>
      <c r="D454" s="31" t="n"/>
      <c r="E454" s="32" t="n"/>
      <c r="F454" s="32" t="n"/>
      <c r="G454" s="32" t="n"/>
      <c r="H454" s="36" t="n"/>
      <c r="I454" s="31" t="n"/>
      <c r="J454" s="38" t="n"/>
      <c r="K454" s="32" t="n"/>
      <c r="L454" s="34">
        <f>IF(OR(A454="",D454=""),"",IF(D454&gt;Config!$B$5,0,DATEDIF(D454,Config!$B$5,"m")))</f>
        <v/>
      </c>
      <c r="M454" s="39">
        <f>IF(A454="","",IF(K454&lt;&gt;"",K454,IF(OR(C454="",D454=""),"Sem dados",IFERROR(IF(C454="M",INDEX(Config!$B$11:$B$14,MATCH(L454,Config!$A$11:$A$14,1)),IF(C454="F",INDEX(Config!$C$11:$C$14,MATCH(L454,Config!$A$11:$A$14,1)),"Sem dados")),"Verificar"))))</f>
        <v/>
      </c>
      <c r="N454" s="39">
        <f>IF(A454="","",IF(COUNTIFS('Movimentações'!$C$6:$C$1505,A454,'Movimentações'!$B$6:$B$1505,"Venda")&gt;0,"Vendido",IF(COUNTIFS('Movimentações'!$C$6:$C$1505,A454,'Movimentações'!$B$6:$B$1505,"Morte")&gt;0,"Morto","Ativo")))</f>
        <v/>
      </c>
      <c r="O454" s="40">
        <f>IF(A454="","",IF(COUNTIF('Pesagens'!$B$6:$B$2005,A454)=0,"",SUMPRODUCT(MAX(('Pesagens'!$B$6:$B$2005=A454)*'Pesagens'!$A$6:$A$2005))))</f>
        <v/>
      </c>
      <c r="P454" s="41">
        <f>IF(A454="","",IF(O454="",IF(J454="","",J454),IFERROR(AVERAGEIFS('Pesagens'!$C$6:$C$2005,'Pesagens'!$B$6:$B$2005,A454,'Pesagens'!$A$6:$A$2005,O454),"")))</f>
        <v/>
      </c>
      <c r="Q454" s="42">
        <f>IF(OR(A454="",O454="",I454="",J454=""),"",IFERROR((P454-J454)/(O454-I454),""))</f>
        <v/>
      </c>
    </row>
    <row r="455">
      <c r="A455" s="36" t="n"/>
      <c r="B455" s="32" t="n"/>
      <c r="C455" s="37" t="n"/>
      <c r="D455" s="31" t="n"/>
      <c r="E455" s="32" t="n"/>
      <c r="F455" s="32" t="n"/>
      <c r="G455" s="32" t="n"/>
      <c r="H455" s="36" t="n"/>
      <c r="I455" s="31" t="n"/>
      <c r="J455" s="38" t="n"/>
      <c r="K455" s="32" t="n"/>
      <c r="L455" s="34">
        <f>IF(OR(A455="",D455=""),"",IF(D455&gt;Config!$B$5,0,DATEDIF(D455,Config!$B$5,"m")))</f>
        <v/>
      </c>
      <c r="M455" s="39">
        <f>IF(A455="","",IF(K455&lt;&gt;"",K455,IF(OR(C455="",D455=""),"Sem dados",IFERROR(IF(C455="M",INDEX(Config!$B$11:$B$14,MATCH(L455,Config!$A$11:$A$14,1)),IF(C455="F",INDEX(Config!$C$11:$C$14,MATCH(L455,Config!$A$11:$A$14,1)),"Sem dados")),"Verificar"))))</f>
        <v/>
      </c>
      <c r="N455" s="39">
        <f>IF(A455="","",IF(COUNTIFS('Movimentações'!$C$6:$C$1505,A455,'Movimentações'!$B$6:$B$1505,"Venda")&gt;0,"Vendido",IF(COUNTIFS('Movimentações'!$C$6:$C$1505,A455,'Movimentações'!$B$6:$B$1505,"Morte")&gt;0,"Morto","Ativo")))</f>
        <v/>
      </c>
      <c r="O455" s="40">
        <f>IF(A455="","",IF(COUNTIF('Pesagens'!$B$6:$B$2005,A455)=0,"",SUMPRODUCT(MAX(('Pesagens'!$B$6:$B$2005=A455)*'Pesagens'!$A$6:$A$2005))))</f>
        <v/>
      </c>
      <c r="P455" s="41">
        <f>IF(A455="","",IF(O455="",IF(J455="","",J455),IFERROR(AVERAGEIFS('Pesagens'!$C$6:$C$2005,'Pesagens'!$B$6:$B$2005,A455,'Pesagens'!$A$6:$A$2005,O455),"")))</f>
        <v/>
      </c>
      <c r="Q455" s="42">
        <f>IF(OR(A455="",O455="",I455="",J455=""),"",IFERROR((P455-J455)/(O455-I455),""))</f>
        <v/>
      </c>
    </row>
    <row r="456">
      <c r="A456" s="36" t="n"/>
      <c r="B456" s="32" t="n"/>
      <c r="C456" s="37" t="n"/>
      <c r="D456" s="31" t="n"/>
      <c r="E456" s="32" t="n"/>
      <c r="F456" s="32" t="n"/>
      <c r="G456" s="32" t="n"/>
      <c r="H456" s="36" t="n"/>
      <c r="I456" s="31" t="n"/>
      <c r="J456" s="38" t="n"/>
      <c r="K456" s="32" t="n"/>
      <c r="L456" s="34">
        <f>IF(OR(A456="",D456=""),"",IF(D456&gt;Config!$B$5,0,DATEDIF(D456,Config!$B$5,"m")))</f>
        <v/>
      </c>
      <c r="M456" s="39">
        <f>IF(A456="","",IF(K456&lt;&gt;"",K456,IF(OR(C456="",D456=""),"Sem dados",IFERROR(IF(C456="M",INDEX(Config!$B$11:$B$14,MATCH(L456,Config!$A$11:$A$14,1)),IF(C456="F",INDEX(Config!$C$11:$C$14,MATCH(L456,Config!$A$11:$A$14,1)),"Sem dados")),"Verificar"))))</f>
        <v/>
      </c>
      <c r="N456" s="39">
        <f>IF(A456="","",IF(COUNTIFS('Movimentações'!$C$6:$C$1505,A456,'Movimentações'!$B$6:$B$1505,"Venda")&gt;0,"Vendido",IF(COUNTIFS('Movimentações'!$C$6:$C$1505,A456,'Movimentações'!$B$6:$B$1505,"Morte")&gt;0,"Morto","Ativo")))</f>
        <v/>
      </c>
      <c r="O456" s="40">
        <f>IF(A456="","",IF(COUNTIF('Pesagens'!$B$6:$B$2005,A456)=0,"",SUMPRODUCT(MAX(('Pesagens'!$B$6:$B$2005=A456)*'Pesagens'!$A$6:$A$2005))))</f>
        <v/>
      </c>
      <c r="P456" s="41">
        <f>IF(A456="","",IF(O456="",IF(J456="","",J456),IFERROR(AVERAGEIFS('Pesagens'!$C$6:$C$2005,'Pesagens'!$B$6:$B$2005,A456,'Pesagens'!$A$6:$A$2005,O456),"")))</f>
        <v/>
      </c>
      <c r="Q456" s="42">
        <f>IF(OR(A456="",O456="",I456="",J456=""),"",IFERROR((P456-J456)/(O456-I456),""))</f>
        <v/>
      </c>
    </row>
    <row r="457">
      <c r="A457" s="36" t="n"/>
      <c r="B457" s="32" t="n"/>
      <c r="C457" s="37" t="n"/>
      <c r="D457" s="31" t="n"/>
      <c r="E457" s="32" t="n"/>
      <c r="F457" s="32" t="n"/>
      <c r="G457" s="32" t="n"/>
      <c r="H457" s="36" t="n"/>
      <c r="I457" s="31" t="n"/>
      <c r="J457" s="38" t="n"/>
      <c r="K457" s="32" t="n"/>
      <c r="L457" s="34">
        <f>IF(OR(A457="",D457=""),"",IF(D457&gt;Config!$B$5,0,DATEDIF(D457,Config!$B$5,"m")))</f>
        <v/>
      </c>
      <c r="M457" s="39">
        <f>IF(A457="","",IF(K457&lt;&gt;"",K457,IF(OR(C457="",D457=""),"Sem dados",IFERROR(IF(C457="M",INDEX(Config!$B$11:$B$14,MATCH(L457,Config!$A$11:$A$14,1)),IF(C457="F",INDEX(Config!$C$11:$C$14,MATCH(L457,Config!$A$11:$A$14,1)),"Sem dados")),"Verificar"))))</f>
        <v/>
      </c>
      <c r="N457" s="39">
        <f>IF(A457="","",IF(COUNTIFS('Movimentações'!$C$6:$C$1505,A457,'Movimentações'!$B$6:$B$1505,"Venda")&gt;0,"Vendido",IF(COUNTIFS('Movimentações'!$C$6:$C$1505,A457,'Movimentações'!$B$6:$B$1505,"Morte")&gt;0,"Morto","Ativo")))</f>
        <v/>
      </c>
      <c r="O457" s="40">
        <f>IF(A457="","",IF(COUNTIF('Pesagens'!$B$6:$B$2005,A457)=0,"",SUMPRODUCT(MAX(('Pesagens'!$B$6:$B$2005=A457)*'Pesagens'!$A$6:$A$2005))))</f>
        <v/>
      </c>
      <c r="P457" s="41">
        <f>IF(A457="","",IF(O457="",IF(J457="","",J457),IFERROR(AVERAGEIFS('Pesagens'!$C$6:$C$2005,'Pesagens'!$B$6:$B$2005,A457,'Pesagens'!$A$6:$A$2005,O457),"")))</f>
        <v/>
      </c>
      <c r="Q457" s="42">
        <f>IF(OR(A457="",O457="",I457="",J457=""),"",IFERROR((P457-J457)/(O457-I457),""))</f>
        <v/>
      </c>
    </row>
    <row r="458">
      <c r="A458" s="36" t="n"/>
      <c r="B458" s="32" t="n"/>
      <c r="C458" s="37" t="n"/>
      <c r="D458" s="31" t="n"/>
      <c r="E458" s="32" t="n"/>
      <c r="F458" s="32" t="n"/>
      <c r="G458" s="32" t="n"/>
      <c r="H458" s="36" t="n"/>
      <c r="I458" s="31" t="n"/>
      <c r="J458" s="38" t="n"/>
      <c r="K458" s="32" t="n"/>
      <c r="L458" s="34">
        <f>IF(OR(A458="",D458=""),"",IF(D458&gt;Config!$B$5,0,DATEDIF(D458,Config!$B$5,"m")))</f>
        <v/>
      </c>
      <c r="M458" s="39">
        <f>IF(A458="","",IF(K458&lt;&gt;"",K458,IF(OR(C458="",D458=""),"Sem dados",IFERROR(IF(C458="M",INDEX(Config!$B$11:$B$14,MATCH(L458,Config!$A$11:$A$14,1)),IF(C458="F",INDEX(Config!$C$11:$C$14,MATCH(L458,Config!$A$11:$A$14,1)),"Sem dados")),"Verificar"))))</f>
        <v/>
      </c>
      <c r="N458" s="39">
        <f>IF(A458="","",IF(COUNTIFS('Movimentações'!$C$6:$C$1505,A458,'Movimentações'!$B$6:$B$1505,"Venda")&gt;0,"Vendido",IF(COUNTIFS('Movimentações'!$C$6:$C$1505,A458,'Movimentações'!$B$6:$B$1505,"Morte")&gt;0,"Morto","Ativo")))</f>
        <v/>
      </c>
      <c r="O458" s="40">
        <f>IF(A458="","",IF(COUNTIF('Pesagens'!$B$6:$B$2005,A458)=0,"",SUMPRODUCT(MAX(('Pesagens'!$B$6:$B$2005=A458)*'Pesagens'!$A$6:$A$2005))))</f>
        <v/>
      </c>
      <c r="P458" s="41">
        <f>IF(A458="","",IF(O458="",IF(J458="","",J458),IFERROR(AVERAGEIFS('Pesagens'!$C$6:$C$2005,'Pesagens'!$B$6:$B$2005,A458,'Pesagens'!$A$6:$A$2005,O458),"")))</f>
        <v/>
      </c>
      <c r="Q458" s="42">
        <f>IF(OR(A458="",O458="",I458="",J458=""),"",IFERROR((P458-J458)/(O458-I458),""))</f>
        <v/>
      </c>
    </row>
    <row r="459">
      <c r="A459" s="36" t="n"/>
      <c r="B459" s="32" t="n"/>
      <c r="C459" s="37" t="n"/>
      <c r="D459" s="31" t="n"/>
      <c r="E459" s="32" t="n"/>
      <c r="F459" s="32" t="n"/>
      <c r="G459" s="32" t="n"/>
      <c r="H459" s="36" t="n"/>
      <c r="I459" s="31" t="n"/>
      <c r="J459" s="38" t="n"/>
      <c r="K459" s="32" t="n"/>
      <c r="L459" s="34">
        <f>IF(OR(A459="",D459=""),"",IF(D459&gt;Config!$B$5,0,DATEDIF(D459,Config!$B$5,"m")))</f>
        <v/>
      </c>
      <c r="M459" s="39">
        <f>IF(A459="","",IF(K459&lt;&gt;"",K459,IF(OR(C459="",D459=""),"Sem dados",IFERROR(IF(C459="M",INDEX(Config!$B$11:$B$14,MATCH(L459,Config!$A$11:$A$14,1)),IF(C459="F",INDEX(Config!$C$11:$C$14,MATCH(L459,Config!$A$11:$A$14,1)),"Sem dados")),"Verificar"))))</f>
        <v/>
      </c>
      <c r="N459" s="39">
        <f>IF(A459="","",IF(COUNTIFS('Movimentações'!$C$6:$C$1505,A459,'Movimentações'!$B$6:$B$1505,"Venda")&gt;0,"Vendido",IF(COUNTIFS('Movimentações'!$C$6:$C$1505,A459,'Movimentações'!$B$6:$B$1505,"Morte")&gt;0,"Morto","Ativo")))</f>
        <v/>
      </c>
      <c r="O459" s="40">
        <f>IF(A459="","",IF(COUNTIF('Pesagens'!$B$6:$B$2005,A459)=0,"",SUMPRODUCT(MAX(('Pesagens'!$B$6:$B$2005=A459)*'Pesagens'!$A$6:$A$2005))))</f>
        <v/>
      </c>
      <c r="P459" s="41">
        <f>IF(A459="","",IF(O459="",IF(J459="","",J459),IFERROR(AVERAGEIFS('Pesagens'!$C$6:$C$2005,'Pesagens'!$B$6:$B$2005,A459,'Pesagens'!$A$6:$A$2005,O459),"")))</f>
        <v/>
      </c>
      <c r="Q459" s="42">
        <f>IF(OR(A459="",O459="",I459="",J459=""),"",IFERROR((P459-J459)/(O459-I459),""))</f>
        <v/>
      </c>
    </row>
    <row r="460">
      <c r="A460" s="36" t="n"/>
      <c r="B460" s="32" t="n"/>
      <c r="C460" s="37" t="n"/>
      <c r="D460" s="31" t="n"/>
      <c r="E460" s="32" t="n"/>
      <c r="F460" s="32" t="n"/>
      <c r="G460" s="32" t="n"/>
      <c r="H460" s="36" t="n"/>
      <c r="I460" s="31" t="n"/>
      <c r="J460" s="38" t="n"/>
      <c r="K460" s="32" t="n"/>
      <c r="L460" s="34">
        <f>IF(OR(A460="",D460=""),"",IF(D460&gt;Config!$B$5,0,DATEDIF(D460,Config!$B$5,"m")))</f>
        <v/>
      </c>
      <c r="M460" s="39">
        <f>IF(A460="","",IF(K460&lt;&gt;"",K460,IF(OR(C460="",D460=""),"Sem dados",IFERROR(IF(C460="M",INDEX(Config!$B$11:$B$14,MATCH(L460,Config!$A$11:$A$14,1)),IF(C460="F",INDEX(Config!$C$11:$C$14,MATCH(L460,Config!$A$11:$A$14,1)),"Sem dados")),"Verificar"))))</f>
        <v/>
      </c>
      <c r="N460" s="39">
        <f>IF(A460="","",IF(COUNTIFS('Movimentações'!$C$6:$C$1505,A460,'Movimentações'!$B$6:$B$1505,"Venda")&gt;0,"Vendido",IF(COUNTIFS('Movimentações'!$C$6:$C$1505,A460,'Movimentações'!$B$6:$B$1505,"Morte")&gt;0,"Morto","Ativo")))</f>
        <v/>
      </c>
      <c r="O460" s="40">
        <f>IF(A460="","",IF(COUNTIF('Pesagens'!$B$6:$B$2005,A460)=0,"",SUMPRODUCT(MAX(('Pesagens'!$B$6:$B$2005=A460)*'Pesagens'!$A$6:$A$2005))))</f>
        <v/>
      </c>
      <c r="P460" s="41">
        <f>IF(A460="","",IF(O460="",IF(J460="","",J460),IFERROR(AVERAGEIFS('Pesagens'!$C$6:$C$2005,'Pesagens'!$B$6:$B$2005,A460,'Pesagens'!$A$6:$A$2005,O460),"")))</f>
        <v/>
      </c>
      <c r="Q460" s="42">
        <f>IF(OR(A460="",O460="",I460="",J460=""),"",IFERROR((P460-J460)/(O460-I460),""))</f>
        <v/>
      </c>
    </row>
    <row r="461">
      <c r="A461" s="36" t="n"/>
      <c r="B461" s="32" t="n"/>
      <c r="C461" s="37" t="n"/>
      <c r="D461" s="31" t="n"/>
      <c r="E461" s="32" t="n"/>
      <c r="F461" s="32" t="n"/>
      <c r="G461" s="32" t="n"/>
      <c r="H461" s="36" t="n"/>
      <c r="I461" s="31" t="n"/>
      <c r="J461" s="38" t="n"/>
      <c r="K461" s="32" t="n"/>
      <c r="L461" s="34">
        <f>IF(OR(A461="",D461=""),"",IF(D461&gt;Config!$B$5,0,DATEDIF(D461,Config!$B$5,"m")))</f>
        <v/>
      </c>
      <c r="M461" s="39">
        <f>IF(A461="","",IF(K461&lt;&gt;"",K461,IF(OR(C461="",D461=""),"Sem dados",IFERROR(IF(C461="M",INDEX(Config!$B$11:$B$14,MATCH(L461,Config!$A$11:$A$14,1)),IF(C461="F",INDEX(Config!$C$11:$C$14,MATCH(L461,Config!$A$11:$A$14,1)),"Sem dados")),"Verificar"))))</f>
        <v/>
      </c>
      <c r="N461" s="39">
        <f>IF(A461="","",IF(COUNTIFS('Movimentações'!$C$6:$C$1505,A461,'Movimentações'!$B$6:$B$1505,"Venda")&gt;0,"Vendido",IF(COUNTIFS('Movimentações'!$C$6:$C$1505,A461,'Movimentações'!$B$6:$B$1505,"Morte")&gt;0,"Morto","Ativo")))</f>
        <v/>
      </c>
      <c r="O461" s="40">
        <f>IF(A461="","",IF(COUNTIF('Pesagens'!$B$6:$B$2005,A461)=0,"",SUMPRODUCT(MAX(('Pesagens'!$B$6:$B$2005=A461)*'Pesagens'!$A$6:$A$2005))))</f>
        <v/>
      </c>
      <c r="P461" s="41">
        <f>IF(A461="","",IF(O461="",IF(J461="","",J461),IFERROR(AVERAGEIFS('Pesagens'!$C$6:$C$2005,'Pesagens'!$B$6:$B$2005,A461,'Pesagens'!$A$6:$A$2005,O461),"")))</f>
        <v/>
      </c>
      <c r="Q461" s="42">
        <f>IF(OR(A461="",O461="",I461="",J461=""),"",IFERROR((P461-J461)/(O461-I461),""))</f>
        <v/>
      </c>
    </row>
    <row r="462">
      <c r="A462" s="36" t="n"/>
      <c r="B462" s="32" t="n"/>
      <c r="C462" s="37" t="n"/>
      <c r="D462" s="31" t="n"/>
      <c r="E462" s="32" t="n"/>
      <c r="F462" s="32" t="n"/>
      <c r="G462" s="32" t="n"/>
      <c r="H462" s="36" t="n"/>
      <c r="I462" s="31" t="n"/>
      <c r="J462" s="38" t="n"/>
      <c r="K462" s="32" t="n"/>
      <c r="L462" s="34">
        <f>IF(OR(A462="",D462=""),"",IF(D462&gt;Config!$B$5,0,DATEDIF(D462,Config!$B$5,"m")))</f>
        <v/>
      </c>
      <c r="M462" s="39">
        <f>IF(A462="","",IF(K462&lt;&gt;"",K462,IF(OR(C462="",D462=""),"Sem dados",IFERROR(IF(C462="M",INDEX(Config!$B$11:$B$14,MATCH(L462,Config!$A$11:$A$14,1)),IF(C462="F",INDEX(Config!$C$11:$C$14,MATCH(L462,Config!$A$11:$A$14,1)),"Sem dados")),"Verificar"))))</f>
        <v/>
      </c>
      <c r="N462" s="39">
        <f>IF(A462="","",IF(COUNTIFS('Movimentações'!$C$6:$C$1505,A462,'Movimentações'!$B$6:$B$1505,"Venda")&gt;0,"Vendido",IF(COUNTIFS('Movimentações'!$C$6:$C$1505,A462,'Movimentações'!$B$6:$B$1505,"Morte")&gt;0,"Morto","Ativo")))</f>
        <v/>
      </c>
      <c r="O462" s="40">
        <f>IF(A462="","",IF(COUNTIF('Pesagens'!$B$6:$B$2005,A462)=0,"",SUMPRODUCT(MAX(('Pesagens'!$B$6:$B$2005=A462)*'Pesagens'!$A$6:$A$2005))))</f>
        <v/>
      </c>
      <c r="P462" s="41">
        <f>IF(A462="","",IF(O462="",IF(J462="","",J462),IFERROR(AVERAGEIFS('Pesagens'!$C$6:$C$2005,'Pesagens'!$B$6:$B$2005,A462,'Pesagens'!$A$6:$A$2005,O462),"")))</f>
        <v/>
      </c>
      <c r="Q462" s="42">
        <f>IF(OR(A462="",O462="",I462="",J462=""),"",IFERROR((P462-J462)/(O462-I462),""))</f>
        <v/>
      </c>
    </row>
    <row r="463">
      <c r="A463" s="36" t="n"/>
      <c r="B463" s="32" t="n"/>
      <c r="C463" s="37" t="n"/>
      <c r="D463" s="31" t="n"/>
      <c r="E463" s="32" t="n"/>
      <c r="F463" s="32" t="n"/>
      <c r="G463" s="32" t="n"/>
      <c r="H463" s="36" t="n"/>
      <c r="I463" s="31" t="n"/>
      <c r="J463" s="38" t="n"/>
      <c r="K463" s="32" t="n"/>
      <c r="L463" s="34">
        <f>IF(OR(A463="",D463=""),"",IF(D463&gt;Config!$B$5,0,DATEDIF(D463,Config!$B$5,"m")))</f>
        <v/>
      </c>
      <c r="M463" s="39">
        <f>IF(A463="","",IF(K463&lt;&gt;"",K463,IF(OR(C463="",D463=""),"Sem dados",IFERROR(IF(C463="M",INDEX(Config!$B$11:$B$14,MATCH(L463,Config!$A$11:$A$14,1)),IF(C463="F",INDEX(Config!$C$11:$C$14,MATCH(L463,Config!$A$11:$A$14,1)),"Sem dados")),"Verificar"))))</f>
        <v/>
      </c>
      <c r="N463" s="39">
        <f>IF(A463="","",IF(COUNTIFS('Movimentações'!$C$6:$C$1505,A463,'Movimentações'!$B$6:$B$1505,"Venda")&gt;0,"Vendido",IF(COUNTIFS('Movimentações'!$C$6:$C$1505,A463,'Movimentações'!$B$6:$B$1505,"Morte")&gt;0,"Morto","Ativo")))</f>
        <v/>
      </c>
      <c r="O463" s="40">
        <f>IF(A463="","",IF(COUNTIF('Pesagens'!$B$6:$B$2005,A463)=0,"",SUMPRODUCT(MAX(('Pesagens'!$B$6:$B$2005=A463)*'Pesagens'!$A$6:$A$2005))))</f>
        <v/>
      </c>
      <c r="P463" s="41">
        <f>IF(A463="","",IF(O463="",IF(J463="","",J463),IFERROR(AVERAGEIFS('Pesagens'!$C$6:$C$2005,'Pesagens'!$B$6:$B$2005,A463,'Pesagens'!$A$6:$A$2005,O463),"")))</f>
        <v/>
      </c>
      <c r="Q463" s="42">
        <f>IF(OR(A463="",O463="",I463="",J463=""),"",IFERROR((P463-J463)/(O463-I463),""))</f>
        <v/>
      </c>
    </row>
    <row r="464">
      <c r="A464" s="36" t="n"/>
      <c r="B464" s="32" t="n"/>
      <c r="C464" s="37" t="n"/>
      <c r="D464" s="31" t="n"/>
      <c r="E464" s="32" t="n"/>
      <c r="F464" s="32" t="n"/>
      <c r="G464" s="32" t="n"/>
      <c r="H464" s="36" t="n"/>
      <c r="I464" s="31" t="n"/>
      <c r="J464" s="38" t="n"/>
      <c r="K464" s="32" t="n"/>
      <c r="L464" s="34">
        <f>IF(OR(A464="",D464=""),"",IF(D464&gt;Config!$B$5,0,DATEDIF(D464,Config!$B$5,"m")))</f>
        <v/>
      </c>
      <c r="M464" s="39">
        <f>IF(A464="","",IF(K464&lt;&gt;"",K464,IF(OR(C464="",D464=""),"Sem dados",IFERROR(IF(C464="M",INDEX(Config!$B$11:$B$14,MATCH(L464,Config!$A$11:$A$14,1)),IF(C464="F",INDEX(Config!$C$11:$C$14,MATCH(L464,Config!$A$11:$A$14,1)),"Sem dados")),"Verificar"))))</f>
        <v/>
      </c>
      <c r="N464" s="39">
        <f>IF(A464="","",IF(COUNTIFS('Movimentações'!$C$6:$C$1505,A464,'Movimentações'!$B$6:$B$1505,"Venda")&gt;0,"Vendido",IF(COUNTIFS('Movimentações'!$C$6:$C$1505,A464,'Movimentações'!$B$6:$B$1505,"Morte")&gt;0,"Morto","Ativo")))</f>
        <v/>
      </c>
      <c r="O464" s="40">
        <f>IF(A464="","",IF(COUNTIF('Pesagens'!$B$6:$B$2005,A464)=0,"",SUMPRODUCT(MAX(('Pesagens'!$B$6:$B$2005=A464)*'Pesagens'!$A$6:$A$2005))))</f>
        <v/>
      </c>
      <c r="P464" s="41">
        <f>IF(A464="","",IF(O464="",IF(J464="","",J464),IFERROR(AVERAGEIFS('Pesagens'!$C$6:$C$2005,'Pesagens'!$B$6:$B$2005,A464,'Pesagens'!$A$6:$A$2005,O464),"")))</f>
        <v/>
      </c>
      <c r="Q464" s="42">
        <f>IF(OR(A464="",O464="",I464="",J464=""),"",IFERROR((P464-J464)/(O464-I464),""))</f>
        <v/>
      </c>
    </row>
    <row r="465">
      <c r="A465" s="36" t="n"/>
      <c r="B465" s="32" t="n"/>
      <c r="C465" s="37" t="n"/>
      <c r="D465" s="31" t="n"/>
      <c r="E465" s="32" t="n"/>
      <c r="F465" s="32" t="n"/>
      <c r="G465" s="32" t="n"/>
      <c r="H465" s="36" t="n"/>
      <c r="I465" s="31" t="n"/>
      <c r="J465" s="38" t="n"/>
      <c r="K465" s="32" t="n"/>
      <c r="L465" s="34">
        <f>IF(OR(A465="",D465=""),"",IF(D465&gt;Config!$B$5,0,DATEDIF(D465,Config!$B$5,"m")))</f>
        <v/>
      </c>
      <c r="M465" s="39">
        <f>IF(A465="","",IF(K465&lt;&gt;"",K465,IF(OR(C465="",D465=""),"Sem dados",IFERROR(IF(C465="M",INDEX(Config!$B$11:$B$14,MATCH(L465,Config!$A$11:$A$14,1)),IF(C465="F",INDEX(Config!$C$11:$C$14,MATCH(L465,Config!$A$11:$A$14,1)),"Sem dados")),"Verificar"))))</f>
        <v/>
      </c>
      <c r="N465" s="39">
        <f>IF(A465="","",IF(COUNTIFS('Movimentações'!$C$6:$C$1505,A465,'Movimentações'!$B$6:$B$1505,"Venda")&gt;0,"Vendido",IF(COUNTIFS('Movimentações'!$C$6:$C$1505,A465,'Movimentações'!$B$6:$B$1505,"Morte")&gt;0,"Morto","Ativo")))</f>
        <v/>
      </c>
      <c r="O465" s="40">
        <f>IF(A465="","",IF(COUNTIF('Pesagens'!$B$6:$B$2005,A465)=0,"",SUMPRODUCT(MAX(('Pesagens'!$B$6:$B$2005=A465)*'Pesagens'!$A$6:$A$2005))))</f>
        <v/>
      </c>
      <c r="P465" s="41">
        <f>IF(A465="","",IF(O465="",IF(J465="","",J465),IFERROR(AVERAGEIFS('Pesagens'!$C$6:$C$2005,'Pesagens'!$B$6:$B$2005,A465,'Pesagens'!$A$6:$A$2005,O465),"")))</f>
        <v/>
      </c>
      <c r="Q465" s="42">
        <f>IF(OR(A465="",O465="",I465="",J465=""),"",IFERROR((P465-J465)/(O465-I465),""))</f>
        <v/>
      </c>
    </row>
    <row r="466">
      <c r="A466" s="36" t="n"/>
      <c r="B466" s="32" t="n"/>
      <c r="C466" s="37" t="n"/>
      <c r="D466" s="31" t="n"/>
      <c r="E466" s="32" t="n"/>
      <c r="F466" s="32" t="n"/>
      <c r="G466" s="32" t="n"/>
      <c r="H466" s="36" t="n"/>
      <c r="I466" s="31" t="n"/>
      <c r="J466" s="38" t="n"/>
      <c r="K466" s="32" t="n"/>
      <c r="L466" s="34">
        <f>IF(OR(A466="",D466=""),"",IF(D466&gt;Config!$B$5,0,DATEDIF(D466,Config!$B$5,"m")))</f>
        <v/>
      </c>
      <c r="M466" s="39">
        <f>IF(A466="","",IF(K466&lt;&gt;"",K466,IF(OR(C466="",D466=""),"Sem dados",IFERROR(IF(C466="M",INDEX(Config!$B$11:$B$14,MATCH(L466,Config!$A$11:$A$14,1)),IF(C466="F",INDEX(Config!$C$11:$C$14,MATCH(L466,Config!$A$11:$A$14,1)),"Sem dados")),"Verificar"))))</f>
        <v/>
      </c>
      <c r="N466" s="39">
        <f>IF(A466="","",IF(COUNTIFS('Movimentações'!$C$6:$C$1505,A466,'Movimentações'!$B$6:$B$1505,"Venda")&gt;0,"Vendido",IF(COUNTIFS('Movimentações'!$C$6:$C$1505,A466,'Movimentações'!$B$6:$B$1505,"Morte")&gt;0,"Morto","Ativo")))</f>
        <v/>
      </c>
      <c r="O466" s="40">
        <f>IF(A466="","",IF(COUNTIF('Pesagens'!$B$6:$B$2005,A466)=0,"",SUMPRODUCT(MAX(('Pesagens'!$B$6:$B$2005=A466)*'Pesagens'!$A$6:$A$2005))))</f>
        <v/>
      </c>
      <c r="P466" s="41">
        <f>IF(A466="","",IF(O466="",IF(J466="","",J466),IFERROR(AVERAGEIFS('Pesagens'!$C$6:$C$2005,'Pesagens'!$B$6:$B$2005,A466,'Pesagens'!$A$6:$A$2005,O466),"")))</f>
        <v/>
      </c>
      <c r="Q466" s="42">
        <f>IF(OR(A466="",O466="",I466="",J466=""),"",IFERROR((P466-J466)/(O466-I466),""))</f>
        <v/>
      </c>
    </row>
    <row r="467">
      <c r="A467" s="36" t="n"/>
      <c r="B467" s="32" t="n"/>
      <c r="C467" s="37" t="n"/>
      <c r="D467" s="31" t="n"/>
      <c r="E467" s="32" t="n"/>
      <c r="F467" s="32" t="n"/>
      <c r="G467" s="32" t="n"/>
      <c r="H467" s="36" t="n"/>
      <c r="I467" s="31" t="n"/>
      <c r="J467" s="38" t="n"/>
      <c r="K467" s="32" t="n"/>
      <c r="L467" s="34">
        <f>IF(OR(A467="",D467=""),"",IF(D467&gt;Config!$B$5,0,DATEDIF(D467,Config!$B$5,"m")))</f>
        <v/>
      </c>
      <c r="M467" s="39">
        <f>IF(A467="","",IF(K467&lt;&gt;"",K467,IF(OR(C467="",D467=""),"Sem dados",IFERROR(IF(C467="M",INDEX(Config!$B$11:$B$14,MATCH(L467,Config!$A$11:$A$14,1)),IF(C467="F",INDEX(Config!$C$11:$C$14,MATCH(L467,Config!$A$11:$A$14,1)),"Sem dados")),"Verificar"))))</f>
        <v/>
      </c>
      <c r="N467" s="39">
        <f>IF(A467="","",IF(COUNTIFS('Movimentações'!$C$6:$C$1505,A467,'Movimentações'!$B$6:$B$1505,"Venda")&gt;0,"Vendido",IF(COUNTIFS('Movimentações'!$C$6:$C$1505,A467,'Movimentações'!$B$6:$B$1505,"Morte")&gt;0,"Morto","Ativo")))</f>
        <v/>
      </c>
      <c r="O467" s="40">
        <f>IF(A467="","",IF(COUNTIF('Pesagens'!$B$6:$B$2005,A467)=0,"",SUMPRODUCT(MAX(('Pesagens'!$B$6:$B$2005=A467)*'Pesagens'!$A$6:$A$2005))))</f>
        <v/>
      </c>
      <c r="P467" s="41">
        <f>IF(A467="","",IF(O467="",IF(J467="","",J467),IFERROR(AVERAGEIFS('Pesagens'!$C$6:$C$2005,'Pesagens'!$B$6:$B$2005,A467,'Pesagens'!$A$6:$A$2005,O467),"")))</f>
        <v/>
      </c>
      <c r="Q467" s="42">
        <f>IF(OR(A467="",O467="",I467="",J467=""),"",IFERROR((P467-J467)/(O467-I467),""))</f>
        <v/>
      </c>
    </row>
    <row r="468">
      <c r="A468" s="36" t="n"/>
      <c r="B468" s="32" t="n"/>
      <c r="C468" s="37" t="n"/>
      <c r="D468" s="31" t="n"/>
      <c r="E468" s="32" t="n"/>
      <c r="F468" s="32" t="n"/>
      <c r="G468" s="32" t="n"/>
      <c r="H468" s="36" t="n"/>
      <c r="I468" s="31" t="n"/>
      <c r="J468" s="38" t="n"/>
      <c r="K468" s="32" t="n"/>
      <c r="L468" s="34">
        <f>IF(OR(A468="",D468=""),"",IF(D468&gt;Config!$B$5,0,DATEDIF(D468,Config!$B$5,"m")))</f>
        <v/>
      </c>
      <c r="M468" s="39">
        <f>IF(A468="","",IF(K468&lt;&gt;"",K468,IF(OR(C468="",D468=""),"Sem dados",IFERROR(IF(C468="M",INDEX(Config!$B$11:$B$14,MATCH(L468,Config!$A$11:$A$14,1)),IF(C468="F",INDEX(Config!$C$11:$C$14,MATCH(L468,Config!$A$11:$A$14,1)),"Sem dados")),"Verificar"))))</f>
        <v/>
      </c>
      <c r="N468" s="39">
        <f>IF(A468="","",IF(COUNTIFS('Movimentações'!$C$6:$C$1505,A468,'Movimentações'!$B$6:$B$1505,"Venda")&gt;0,"Vendido",IF(COUNTIFS('Movimentações'!$C$6:$C$1505,A468,'Movimentações'!$B$6:$B$1505,"Morte")&gt;0,"Morto","Ativo")))</f>
        <v/>
      </c>
      <c r="O468" s="40">
        <f>IF(A468="","",IF(COUNTIF('Pesagens'!$B$6:$B$2005,A468)=0,"",SUMPRODUCT(MAX(('Pesagens'!$B$6:$B$2005=A468)*'Pesagens'!$A$6:$A$2005))))</f>
        <v/>
      </c>
      <c r="P468" s="41">
        <f>IF(A468="","",IF(O468="",IF(J468="","",J468),IFERROR(AVERAGEIFS('Pesagens'!$C$6:$C$2005,'Pesagens'!$B$6:$B$2005,A468,'Pesagens'!$A$6:$A$2005,O468),"")))</f>
        <v/>
      </c>
      <c r="Q468" s="42">
        <f>IF(OR(A468="",O468="",I468="",J468=""),"",IFERROR((P468-J468)/(O468-I468),""))</f>
        <v/>
      </c>
    </row>
    <row r="469">
      <c r="A469" s="36" t="n"/>
      <c r="B469" s="32" t="n"/>
      <c r="C469" s="37" t="n"/>
      <c r="D469" s="31" t="n"/>
      <c r="E469" s="32" t="n"/>
      <c r="F469" s="32" t="n"/>
      <c r="G469" s="32" t="n"/>
      <c r="H469" s="36" t="n"/>
      <c r="I469" s="31" t="n"/>
      <c r="J469" s="38" t="n"/>
      <c r="K469" s="32" t="n"/>
      <c r="L469" s="34">
        <f>IF(OR(A469="",D469=""),"",IF(D469&gt;Config!$B$5,0,DATEDIF(D469,Config!$B$5,"m")))</f>
        <v/>
      </c>
      <c r="M469" s="39">
        <f>IF(A469="","",IF(K469&lt;&gt;"",K469,IF(OR(C469="",D469=""),"Sem dados",IFERROR(IF(C469="M",INDEX(Config!$B$11:$B$14,MATCH(L469,Config!$A$11:$A$14,1)),IF(C469="F",INDEX(Config!$C$11:$C$14,MATCH(L469,Config!$A$11:$A$14,1)),"Sem dados")),"Verificar"))))</f>
        <v/>
      </c>
      <c r="N469" s="39">
        <f>IF(A469="","",IF(COUNTIFS('Movimentações'!$C$6:$C$1505,A469,'Movimentações'!$B$6:$B$1505,"Venda")&gt;0,"Vendido",IF(COUNTIFS('Movimentações'!$C$6:$C$1505,A469,'Movimentações'!$B$6:$B$1505,"Morte")&gt;0,"Morto","Ativo")))</f>
        <v/>
      </c>
      <c r="O469" s="40">
        <f>IF(A469="","",IF(COUNTIF('Pesagens'!$B$6:$B$2005,A469)=0,"",SUMPRODUCT(MAX(('Pesagens'!$B$6:$B$2005=A469)*'Pesagens'!$A$6:$A$2005))))</f>
        <v/>
      </c>
      <c r="P469" s="41">
        <f>IF(A469="","",IF(O469="",IF(J469="","",J469),IFERROR(AVERAGEIFS('Pesagens'!$C$6:$C$2005,'Pesagens'!$B$6:$B$2005,A469,'Pesagens'!$A$6:$A$2005,O469),"")))</f>
        <v/>
      </c>
      <c r="Q469" s="42">
        <f>IF(OR(A469="",O469="",I469="",J469=""),"",IFERROR((P469-J469)/(O469-I469),""))</f>
        <v/>
      </c>
    </row>
    <row r="470">
      <c r="A470" s="36" t="n"/>
      <c r="B470" s="32" t="n"/>
      <c r="C470" s="37" t="n"/>
      <c r="D470" s="31" t="n"/>
      <c r="E470" s="32" t="n"/>
      <c r="F470" s="32" t="n"/>
      <c r="G470" s="32" t="n"/>
      <c r="H470" s="36" t="n"/>
      <c r="I470" s="31" t="n"/>
      <c r="J470" s="38" t="n"/>
      <c r="K470" s="32" t="n"/>
      <c r="L470" s="34">
        <f>IF(OR(A470="",D470=""),"",IF(D470&gt;Config!$B$5,0,DATEDIF(D470,Config!$B$5,"m")))</f>
        <v/>
      </c>
      <c r="M470" s="39">
        <f>IF(A470="","",IF(K470&lt;&gt;"",K470,IF(OR(C470="",D470=""),"Sem dados",IFERROR(IF(C470="M",INDEX(Config!$B$11:$B$14,MATCH(L470,Config!$A$11:$A$14,1)),IF(C470="F",INDEX(Config!$C$11:$C$14,MATCH(L470,Config!$A$11:$A$14,1)),"Sem dados")),"Verificar"))))</f>
        <v/>
      </c>
      <c r="N470" s="39">
        <f>IF(A470="","",IF(COUNTIFS('Movimentações'!$C$6:$C$1505,A470,'Movimentações'!$B$6:$B$1505,"Venda")&gt;0,"Vendido",IF(COUNTIFS('Movimentações'!$C$6:$C$1505,A470,'Movimentações'!$B$6:$B$1505,"Morte")&gt;0,"Morto","Ativo")))</f>
        <v/>
      </c>
      <c r="O470" s="40">
        <f>IF(A470="","",IF(COUNTIF('Pesagens'!$B$6:$B$2005,A470)=0,"",SUMPRODUCT(MAX(('Pesagens'!$B$6:$B$2005=A470)*'Pesagens'!$A$6:$A$2005))))</f>
        <v/>
      </c>
      <c r="P470" s="41">
        <f>IF(A470="","",IF(O470="",IF(J470="","",J470),IFERROR(AVERAGEIFS('Pesagens'!$C$6:$C$2005,'Pesagens'!$B$6:$B$2005,A470,'Pesagens'!$A$6:$A$2005,O470),"")))</f>
        <v/>
      </c>
      <c r="Q470" s="42">
        <f>IF(OR(A470="",O470="",I470="",J470=""),"",IFERROR((P470-J470)/(O470-I470),""))</f>
        <v/>
      </c>
    </row>
    <row r="471">
      <c r="A471" s="36" t="n"/>
      <c r="B471" s="32" t="n"/>
      <c r="C471" s="37" t="n"/>
      <c r="D471" s="31" t="n"/>
      <c r="E471" s="32" t="n"/>
      <c r="F471" s="32" t="n"/>
      <c r="G471" s="32" t="n"/>
      <c r="H471" s="36" t="n"/>
      <c r="I471" s="31" t="n"/>
      <c r="J471" s="38" t="n"/>
      <c r="K471" s="32" t="n"/>
      <c r="L471" s="34">
        <f>IF(OR(A471="",D471=""),"",IF(D471&gt;Config!$B$5,0,DATEDIF(D471,Config!$B$5,"m")))</f>
        <v/>
      </c>
      <c r="M471" s="39">
        <f>IF(A471="","",IF(K471&lt;&gt;"",K471,IF(OR(C471="",D471=""),"Sem dados",IFERROR(IF(C471="M",INDEX(Config!$B$11:$B$14,MATCH(L471,Config!$A$11:$A$14,1)),IF(C471="F",INDEX(Config!$C$11:$C$14,MATCH(L471,Config!$A$11:$A$14,1)),"Sem dados")),"Verificar"))))</f>
        <v/>
      </c>
      <c r="N471" s="39">
        <f>IF(A471="","",IF(COUNTIFS('Movimentações'!$C$6:$C$1505,A471,'Movimentações'!$B$6:$B$1505,"Venda")&gt;0,"Vendido",IF(COUNTIFS('Movimentações'!$C$6:$C$1505,A471,'Movimentações'!$B$6:$B$1505,"Morte")&gt;0,"Morto","Ativo")))</f>
        <v/>
      </c>
      <c r="O471" s="40">
        <f>IF(A471="","",IF(COUNTIF('Pesagens'!$B$6:$B$2005,A471)=0,"",SUMPRODUCT(MAX(('Pesagens'!$B$6:$B$2005=A471)*'Pesagens'!$A$6:$A$2005))))</f>
        <v/>
      </c>
      <c r="P471" s="41">
        <f>IF(A471="","",IF(O471="",IF(J471="","",J471),IFERROR(AVERAGEIFS('Pesagens'!$C$6:$C$2005,'Pesagens'!$B$6:$B$2005,A471,'Pesagens'!$A$6:$A$2005,O471),"")))</f>
        <v/>
      </c>
      <c r="Q471" s="42">
        <f>IF(OR(A471="",O471="",I471="",J471=""),"",IFERROR((P471-J471)/(O471-I471),""))</f>
        <v/>
      </c>
    </row>
    <row r="472">
      <c r="A472" s="36" t="n"/>
      <c r="B472" s="32" t="n"/>
      <c r="C472" s="37" t="n"/>
      <c r="D472" s="31" t="n"/>
      <c r="E472" s="32" t="n"/>
      <c r="F472" s="32" t="n"/>
      <c r="G472" s="32" t="n"/>
      <c r="H472" s="36" t="n"/>
      <c r="I472" s="31" t="n"/>
      <c r="J472" s="38" t="n"/>
      <c r="K472" s="32" t="n"/>
      <c r="L472" s="34">
        <f>IF(OR(A472="",D472=""),"",IF(D472&gt;Config!$B$5,0,DATEDIF(D472,Config!$B$5,"m")))</f>
        <v/>
      </c>
      <c r="M472" s="39">
        <f>IF(A472="","",IF(K472&lt;&gt;"",K472,IF(OR(C472="",D472=""),"Sem dados",IFERROR(IF(C472="M",INDEX(Config!$B$11:$B$14,MATCH(L472,Config!$A$11:$A$14,1)),IF(C472="F",INDEX(Config!$C$11:$C$14,MATCH(L472,Config!$A$11:$A$14,1)),"Sem dados")),"Verificar"))))</f>
        <v/>
      </c>
      <c r="N472" s="39">
        <f>IF(A472="","",IF(COUNTIFS('Movimentações'!$C$6:$C$1505,A472,'Movimentações'!$B$6:$B$1505,"Venda")&gt;0,"Vendido",IF(COUNTIFS('Movimentações'!$C$6:$C$1505,A472,'Movimentações'!$B$6:$B$1505,"Morte")&gt;0,"Morto","Ativo")))</f>
        <v/>
      </c>
      <c r="O472" s="40">
        <f>IF(A472="","",IF(COUNTIF('Pesagens'!$B$6:$B$2005,A472)=0,"",SUMPRODUCT(MAX(('Pesagens'!$B$6:$B$2005=A472)*'Pesagens'!$A$6:$A$2005))))</f>
        <v/>
      </c>
      <c r="P472" s="41">
        <f>IF(A472="","",IF(O472="",IF(J472="","",J472),IFERROR(AVERAGEIFS('Pesagens'!$C$6:$C$2005,'Pesagens'!$B$6:$B$2005,A472,'Pesagens'!$A$6:$A$2005,O472),"")))</f>
        <v/>
      </c>
      <c r="Q472" s="42">
        <f>IF(OR(A472="",O472="",I472="",J472=""),"",IFERROR((P472-J472)/(O472-I472),""))</f>
        <v/>
      </c>
    </row>
    <row r="473">
      <c r="A473" s="36" t="n"/>
      <c r="B473" s="32" t="n"/>
      <c r="C473" s="37" t="n"/>
      <c r="D473" s="31" t="n"/>
      <c r="E473" s="32" t="n"/>
      <c r="F473" s="32" t="n"/>
      <c r="G473" s="32" t="n"/>
      <c r="H473" s="36" t="n"/>
      <c r="I473" s="31" t="n"/>
      <c r="J473" s="38" t="n"/>
      <c r="K473" s="32" t="n"/>
      <c r="L473" s="34">
        <f>IF(OR(A473="",D473=""),"",IF(D473&gt;Config!$B$5,0,DATEDIF(D473,Config!$B$5,"m")))</f>
        <v/>
      </c>
      <c r="M473" s="39">
        <f>IF(A473="","",IF(K473&lt;&gt;"",K473,IF(OR(C473="",D473=""),"Sem dados",IFERROR(IF(C473="M",INDEX(Config!$B$11:$B$14,MATCH(L473,Config!$A$11:$A$14,1)),IF(C473="F",INDEX(Config!$C$11:$C$14,MATCH(L473,Config!$A$11:$A$14,1)),"Sem dados")),"Verificar"))))</f>
        <v/>
      </c>
      <c r="N473" s="39">
        <f>IF(A473="","",IF(COUNTIFS('Movimentações'!$C$6:$C$1505,A473,'Movimentações'!$B$6:$B$1505,"Venda")&gt;0,"Vendido",IF(COUNTIFS('Movimentações'!$C$6:$C$1505,A473,'Movimentações'!$B$6:$B$1505,"Morte")&gt;0,"Morto","Ativo")))</f>
        <v/>
      </c>
      <c r="O473" s="40">
        <f>IF(A473="","",IF(COUNTIF('Pesagens'!$B$6:$B$2005,A473)=0,"",SUMPRODUCT(MAX(('Pesagens'!$B$6:$B$2005=A473)*'Pesagens'!$A$6:$A$2005))))</f>
        <v/>
      </c>
      <c r="P473" s="41">
        <f>IF(A473="","",IF(O473="",IF(J473="","",J473),IFERROR(AVERAGEIFS('Pesagens'!$C$6:$C$2005,'Pesagens'!$B$6:$B$2005,A473,'Pesagens'!$A$6:$A$2005,O473),"")))</f>
        <v/>
      </c>
      <c r="Q473" s="42">
        <f>IF(OR(A473="",O473="",I473="",J473=""),"",IFERROR((P473-J473)/(O473-I473),""))</f>
        <v/>
      </c>
    </row>
    <row r="474">
      <c r="A474" s="36" t="n"/>
      <c r="B474" s="32" t="n"/>
      <c r="C474" s="37" t="n"/>
      <c r="D474" s="31" t="n"/>
      <c r="E474" s="32" t="n"/>
      <c r="F474" s="32" t="n"/>
      <c r="G474" s="32" t="n"/>
      <c r="H474" s="36" t="n"/>
      <c r="I474" s="31" t="n"/>
      <c r="J474" s="38" t="n"/>
      <c r="K474" s="32" t="n"/>
      <c r="L474" s="34">
        <f>IF(OR(A474="",D474=""),"",IF(D474&gt;Config!$B$5,0,DATEDIF(D474,Config!$B$5,"m")))</f>
        <v/>
      </c>
      <c r="M474" s="39">
        <f>IF(A474="","",IF(K474&lt;&gt;"",K474,IF(OR(C474="",D474=""),"Sem dados",IFERROR(IF(C474="M",INDEX(Config!$B$11:$B$14,MATCH(L474,Config!$A$11:$A$14,1)),IF(C474="F",INDEX(Config!$C$11:$C$14,MATCH(L474,Config!$A$11:$A$14,1)),"Sem dados")),"Verificar"))))</f>
        <v/>
      </c>
      <c r="N474" s="39">
        <f>IF(A474="","",IF(COUNTIFS('Movimentações'!$C$6:$C$1505,A474,'Movimentações'!$B$6:$B$1505,"Venda")&gt;0,"Vendido",IF(COUNTIFS('Movimentações'!$C$6:$C$1505,A474,'Movimentações'!$B$6:$B$1505,"Morte")&gt;0,"Morto","Ativo")))</f>
        <v/>
      </c>
      <c r="O474" s="40">
        <f>IF(A474="","",IF(COUNTIF('Pesagens'!$B$6:$B$2005,A474)=0,"",SUMPRODUCT(MAX(('Pesagens'!$B$6:$B$2005=A474)*'Pesagens'!$A$6:$A$2005))))</f>
        <v/>
      </c>
      <c r="P474" s="41">
        <f>IF(A474="","",IF(O474="",IF(J474="","",J474),IFERROR(AVERAGEIFS('Pesagens'!$C$6:$C$2005,'Pesagens'!$B$6:$B$2005,A474,'Pesagens'!$A$6:$A$2005,O474),"")))</f>
        <v/>
      </c>
      <c r="Q474" s="42">
        <f>IF(OR(A474="",O474="",I474="",J474=""),"",IFERROR((P474-J474)/(O474-I474),""))</f>
        <v/>
      </c>
    </row>
    <row r="475">
      <c r="A475" s="36" t="n"/>
      <c r="B475" s="32" t="n"/>
      <c r="C475" s="37" t="n"/>
      <c r="D475" s="31" t="n"/>
      <c r="E475" s="32" t="n"/>
      <c r="F475" s="32" t="n"/>
      <c r="G475" s="32" t="n"/>
      <c r="H475" s="36" t="n"/>
      <c r="I475" s="31" t="n"/>
      <c r="J475" s="38" t="n"/>
      <c r="K475" s="32" t="n"/>
      <c r="L475" s="34">
        <f>IF(OR(A475="",D475=""),"",IF(D475&gt;Config!$B$5,0,DATEDIF(D475,Config!$B$5,"m")))</f>
        <v/>
      </c>
      <c r="M475" s="39">
        <f>IF(A475="","",IF(K475&lt;&gt;"",K475,IF(OR(C475="",D475=""),"Sem dados",IFERROR(IF(C475="M",INDEX(Config!$B$11:$B$14,MATCH(L475,Config!$A$11:$A$14,1)),IF(C475="F",INDEX(Config!$C$11:$C$14,MATCH(L475,Config!$A$11:$A$14,1)),"Sem dados")),"Verificar"))))</f>
        <v/>
      </c>
      <c r="N475" s="39">
        <f>IF(A475="","",IF(COUNTIFS('Movimentações'!$C$6:$C$1505,A475,'Movimentações'!$B$6:$B$1505,"Venda")&gt;0,"Vendido",IF(COUNTIFS('Movimentações'!$C$6:$C$1505,A475,'Movimentações'!$B$6:$B$1505,"Morte")&gt;0,"Morto","Ativo")))</f>
        <v/>
      </c>
      <c r="O475" s="40">
        <f>IF(A475="","",IF(COUNTIF('Pesagens'!$B$6:$B$2005,A475)=0,"",SUMPRODUCT(MAX(('Pesagens'!$B$6:$B$2005=A475)*'Pesagens'!$A$6:$A$2005))))</f>
        <v/>
      </c>
      <c r="P475" s="41">
        <f>IF(A475="","",IF(O475="",IF(J475="","",J475),IFERROR(AVERAGEIFS('Pesagens'!$C$6:$C$2005,'Pesagens'!$B$6:$B$2005,A475,'Pesagens'!$A$6:$A$2005,O475),"")))</f>
        <v/>
      </c>
      <c r="Q475" s="42">
        <f>IF(OR(A475="",O475="",I475="",J475=""),"",IFERROR((P475-J475)/(O475-I475),""))</f>
        <v/>
      </c>
    </row>
    <row r="476">
      <c r="A476" s="36" t="n"/>
      <c r="B476" s="32" t="n"/>
      <c r="C476" s="37" t="n"/>
      <c r="D476" s="31" t="n"/>
      <c r="E476" s="32" t="n"/>
      <c r="F476" s="32" t="n"/>
      <c r="G476" s="32" t="n"/>
      <c r="H476" s="36" t="n"/>
      <c r="I476" s="31" t="n"/>
      <c r="J476" s="38" t="n"/>
      <c r="K476" s="32" t="n"/>
      <c r="L476" s="34">
        <f>IF(OR(A476="",D476=""),"",IF(D476&gt;Config!$B$5,0,DATEDIF(D476,Config!$B$5,"m")))</f>
        <v/>
      </c>
      <c r="M476" s="39">
        <f>IF(A476="","",IF(K476&lt;&gt;"",K476,IF(OR(C476="",D476=""),"Sem dados",IFERROR(IF(C476="M",INDEX(Config!$B$11:$B$14,MATCH(L476,Config!$A$11:$A$14,1)),IF(C476="F",INDEX(Config!$C$11:$C$14,MATCH(L476,Config!$A$11:$A$14,1)),"Sem dados")),"Verificar"))))</f>
        <v/>
      </c>
      <c r="N476" s="39">
        <f>IF(A476="","",IF(COUNTIFS('Movimentações'!$C$6:$C$1505,A476,'Movimentações'!$B$6:$B$1505,"Venda")&gt;0,"Vendido",IF(COUNTIFS('Movimentações'!$C$6:$C$1505,A476,'Movimentações'!$B$6:$B$1505,"Morte")&gt;0,"Morto","Ativo")))</f>
        <v/>
      </c>
      <c r="O476" s="40">
        <f>IF(A476="","",IF(COUNTIF('Pesagens'!$B$6:$B$2005,A476)=0,"",SUMPRODUCT(MAX(('Pesagens'!$B$6:$B$2005=A476)*'Pesagens'!$A$6:$A$2005))))</f>
        <v/>
      </c>
      <c r="P476" s="41">
        <f>IF(A476="","",IF(O476="",IF(J476="","",J476),IFERROR(AVERAGEIFS('Pesagens'!$C$6:$C$2005,'Pesagens'!$B$6:$B$2005,A476,'Pesagens'!$A$6:$A$2005,O476),"")))</f>
        <v/>
      </c>
      <c r="Q476" s="42">
        <f>IF(OR(A476="",O476="",I476="",J476=""),"",IFERROR((P476-J476)/(O476-I476),""))</f>
        <v/>
      </c>
    </row>
    <row r="477">
      <c r="A477" s="36" t="n"/>
      <c r="B477" s="32" t="n"/>
      <c r="C477" s="37" t="n"/>
      <c r="D477" s="31" t="n"/>
      <c r="E477" s="32" t="n"/>
      <c r="F477" s="32" t="n"/>
      <c r="G477" s="32" t="n"/>
      <c r="H477" s="36" t="n"/>
      <c r="I477" s="31" t="n"/>
      <c r="J477" s="38" t="n"/>
      <c r="K477" s="32" t="n"/>
      <c r="L477" s="34">
        <f>IF(OR(A477="",D477=""),"",IF(D477&gt;Config!$B$5,0,DATEDIF(D477,Config!$B$5,"m")))</f>
        <v/>
      </c>
      <c r="M477" s="39">
        <f>IF(A477="","",IF(K477&lt;&gt;"",K477,IF(OR(C477="",D477=""),"Sem dados",IFERROR(IF(C477="M",INDEX(Config!$B$11:$B$14,MATCH(L477,Config!$A$11:$A$14,1)),IF(C477="F",INDEX(Config!$C$11:$C$14,MATCH(L477,Config!$A$11:$A$14,1)),"Sem dados")),"Verificar"))))</f>
        <v/>
      </c>
      <c r="N477" s="39">
        <f>IF(A477="","",IF(COUNTIFS('Movimentações'!$C$6:$C$1505,A477,'Movimentações'!$B$6:$B$1505,"Venda")&gt;0,"Vendido",IF(COUNTIFS('Movimentações'!$C$6:$C$1505,A477,'Movimentações'!$B$6:$B$1505,"Morte")&gt;0,"Morto","Ativo")))</f>
        <v/>
      </c>
      <c r="O477" s="40">
        <f>IF(A477="","",IF(COUNTIF('Pesagens'!$B$6:$B$2005,A477)=0,"",SUMPRODUCT(MAX(('Pesagens'!$B$6:$B$2005=A477)*'Pesagens'!$A$6:$A$2005))))</f>
        <v/>
      </c>
      <c r="P477" s="41">
        <f>IF(A477="","",IF(O477="",IF(J477="","",J477),IFERROR(AVERAGEIFS('Pesagens'!$C$6:$C$2005,'Pesagens'!$B$6:$B$2005,A477,'Pesagens'!$A$6:$A$2005,O477),"")))</f>
        <v/>
      </c>
      <c r="Q477" s="42">
        <f>IF(OR(A477="",O477="",I477="",J477=""),"",IFERROR((P477-J477)/(O477-I477),""))</f>
        <v/>
      </c>
    </row>
    <row r="478">
      <c r="A478" s="36" t="n"/>
      <c r="B478" s="32" t="n"/>
      <c r="C478" s="37" t="n"/>
      <c r="D478" s="31" t="n"/>
      <c r="E478" s="32" t="n"/>
      <c r="F478" s="32" t="n"/>
      <c r="G478" s="32" t="n"/>
      <c r="H478" s="36" t="n"/>
      <c r="I478" s="31" t="n"/>
      <c r="J478" s="38" t="n"/>
      <c r="K478" s="32" t="n"/>
      <c r="L478" s="34">
        <f>IF(OR(A478="",D478=""),"",IF(D478&gt;Config!$B$5,0,DATEDIF(D478,Config!$B$5,"m")))</f>
        <v/>
      </c>
      <c r="M478" s="39">
        <f>IF(A478="","",IF(K478&lt;&gt;"",K478,IF(OR(C478="",D478=""),"Sem dados",IFERROR(IF(C478="M",INDEX(Config!$B$11:$B$14,MATCH(L478,Config!$A$11:$A$14,1)),IF(C478="F",INDEX(Config!$C$11:$C$14,MATCH(L478,Config!$A$11:$A$14,1)),"Sem dados")),"Verificar"))))</f>
        <v/>
      </c>
      <c r="N478" s="39">
        <f>IF(A478="","",IF(COUNTIFS('Movimentações'!$C$6:$C$1505,A478,'Movimentações'!$B$6:$B$1505,"Venda")&gt;0,"Vendido",IF(COUNTIFS('Movimentações'!$C$6:$C$1505,A478,'Movimentações'!$B$6:$B$1505,"Morte")&gt;0,"Morto","Ativo")))</f>
        <v/>
      </c>
      <c r="O478" s="40">
        <f>IF(A478="","",IF(COUNTIF('Pesagens'!$B$6:$B$2005,A478)=0,"",SUMPRODUCT(MAX(('Pesagens'!$B$6:$B$2005=A478)*'Pesagens'!$A$6:$A$2005))))</f>
        <v/>
      </c>
      <c r="P478" s="41">
        <f>IF(A478="","",IF(O478="",IF(J478="","",J478),IFERROR(AVERAGEIFS('Pesagens'!$C$6:$C$2005,'Pesagens'!$B$6:$B$2005,A478,'Pesagens'!$A$6:$A$2005,O478),"")))</f>
        <v/>
      </c>
      <c r="Q478" s="42">
        <f>IF(OR(A478="",O478="",I478="",J478=""),"",IFERROR((P478-J478)/(O478-I478),""))</f>
        <v/>
      </c>
    </row>
    <row r="479">
      <c r="A479" s="36" t="n"/>
      <c r="B479" s="32" t="n"/>
      <c r="C479" s="37" t="n"/>
      <c r="D479" s="31" t="n"/>
      <c r="E479" s="32" t="n"/>
      <c r="F479" s="32" t="n"/>
      <c r="G479" s="32" t="n"/>
      <c r="H479" s="36" t="n"/>
      <c r="I479" s="31" t="n"/>
      <c r="J479" s="38" t="n"/>
      <c r="K479" s="32" t="n"/>
      <c r="L479" s="34">
        <f>IF(OR(A479="",D479=""),"",IF(D479&gt;Config!$B$5,0,DATEDIF(D479,Config!$B$5,"m")))</f>
        <v/>
      </c>
      <c r="M479" s="39">
        <f>IF(A479="","",IF(K479&lt;&gt;"",K479,IF(OR(C479="",D479=""),"Sem dados",IFERROR(IF(C479="M",INDEX(Config!$B$11:$B$14,MATCH(L479,Config!$A$11:$A$14,1)),IF(C479="F",INDEX(Config!$C$11:$C$14,MATCH(L479,Config!$A$11:$A$14,1)),"Sem dados")),"Verificar"))))</f>
        <v/>
      </c>
      <c r="N479" s="39">
        <f>IF(A479="","",IF(COUNTIFS('Movimentações'!$C$6:$C$1505,A479,'Movimentações'!$B$6:$B$1505,"Venda")&gt;0,"Vendido",IF(COUNTIFS('Movimentações'!$C$6:$C$1505,A479,'Movimentações'!$B$6:$B$1505,"Morte")&gt;0,"Morto","Ativo")))</f>
        <v/>
      </c>
      <c r="O479" s="40">
        <f>IF(A479="","",IF(COUNTIF('Pesagens'!$B$6:$B$2005,A479)=0,"",SUMPRODUCT(MAX(('Pesagens'!$B$6:$B$2005=A479)*'Pesagens'!$A$6:$A$2005))))</f>
        <v/>
      </c>
      <c r="P479" s="41">
        <f>IF(A479="","",IF(O479="",IF(J479="","",J479),IFERROR(AVERAGEIFS('Pesagens'!$C$6:$C$2005,'Pesagens'!$B$6:$B$2005,A479,'Pesagens'!$A$6:$A$2005,O479),"")))</f>
        <v/>
      </c>
      <c r="Q479" s="42">
        <f>IF(OR(A479="",O479="",I479="",J479=""),"",IFERROR((P479-J479)/(O479-I479),""))</f>
        <v/>
      </c>
    </row>
    <row r="480">
      <c r="A480" s="36" t="n"/>
      <c r="B480" s="32" t="n"/>
      <c r="C480" s="37" t="n"/>
      <c r="D480" s="31" t="n"/>
      <c r="E480" s="32" t="n"/>
      <c r="F480" s="32" t="n"/>
      <c r="G480" s="32" t="n"/>
      <c r="H480" s="36" t="n"/>
      <c r="I480" s="31" t="n"/>
      <c r="J480" s="38" t="n"/>
      <c r="K480" s="32" t="n"/>
      <c r="L480" s="34">
        <f>IF(OR(A480="",D480=""),"",IF(D480&gt;Config!$B$5,0,DATEDIF(D480,Config!$B$5,"m")))</f>
        <v/>
      </c>
      <c r="M480" s="39">
        <f>IF(A480="","",IF(K480&lt;&gt;"",K480,IF(OR(C480="",D480=""),"Sem dados",IFERROR(IF(C480="M",INDEX(Config!$B$11:$B$14,MATCH(L480,Config!$A$11:$A$14,1)),IF(C480="F",INDEX(Config!$C$11:$C$14,MATCH(L480,Config!$A$11:$A$14,1)),"Sem dados")),"Verificar"))))</f>
        <v/>
      </c>
      <c r="N480" s="39">
        <f>IF(A480="","",IF(COUNTIFS('Movimentações'!$C$6:$C$1505,A480,'Movimentações'!$B$6:$B$1505,"Venda")&gt;0,"Vendido",IF(COUNTIFS('Movimentações'!$C$6:$C$1505,A480,'Movimentações'!$B$6:$B$1505,"Morte")&gt;0,"Morto","Ativo")))</f>
        <v/>
      </c>
      <c r="O480" s="40">
        <f>IF(A480="","",IF(COUNTIF('Pesagens'!$B$6:$B$2005,A480)=0,"",SUMPRODUCT(MAX(('Pesagens'!$B$6:$B$2005=A480)*'Pesagens'!$A$6:$A$2005))))</f>
        <v/>
      </c>
      <c r="P480" s="41">
        <f>IF(A480="","",IF(O480="",IF(J480="","",J480),IFERROR(AVERAGEIFS('Pesagens'!$C$6:$C$2005,'Pesagens'!$B$6:$B$2005,A480,'Pesagens'!$A$6:$A$2005,O480),"")))</f>
        <v/>
      </c>
      <c r="Q480" s="42">
        <f>IF(OR(A480="",O480="",I480="",J480=""),"",IFERROR((P480-J480)/(O480-I480),""))</f>
        <v/>
      </c>
    </row>
    <row r="481">
      <c r="A481" s="36" t="n"/>
      <c r="B481" s="32" t="n"/>
      <c r="C481" s="37" t="n"/>
      <c r="D481" s="31" t="n"/>
      <c r="E481" s="32" t="n"/>
      <c r="F481" s="32" t="n"/>
      <c r="G481" s="32" t="n"/>
      <c r="H481" s="36" t="n"/>
      <c r="I481" s="31" t="n"/>
      <c r="J481" s="38" t="n"/>
      <c r="K481" s="32" t="n"/>
      <c r="L481" s="34">
        <f>IF(OR(A481="",D481=""),"",IF(D481&gt;Config!$B$5,0,DATEDIF(D481,Config!$B$5,"m")))</f>
        <v/>
      </c>
      <c r="M481" s="39">
        <f>IF(A481="","",IF(K481&lt;&gt;"",K481,IF(OR(C481="",D481=""),"Sem dados",IFERROR(IF(C481="M",INDEX(Config!$B$11:$B$14,MATCH(L481,Config!$A$11:$A$14,1)),IF(C481="F",INDEX(Config!$C$11:$C$14,MATCH(L481,Config!$A$11:$A$14,1)),"Sem dados")),"Verificar"))))</f>
        <v/>
      </c>
      <c r="N481" s="39">
        <f>IF(A481="","",IF(COUNTIFS('Movimentações'!$C$6:$C$1505,A481,'Movimentações'!$B$6:$B$1505,"Venda")&gt;0,"Vendido",IF(COUNTIFS('Movimentações'!$C$6:$C$1505,A481,'Movimentações'!$B$6:$B$1505,"Morte")&gt;0,"Morto","Ativo")))</f>
        <v/>
      </c>
      <c r="O481" s="40">
        <f>IF(A481="","",IF(COUNTIF('Pesagens'!$B$6:$B$2005,A481)=0,"",SUMPRODUCT(MAX(('Pesagens'!$B$6:$B$2005=A481)*'Pesagens'!$A$6:$A$2005))))</f>
        <v/>
      </c>
      <c r="P481" s="41">
        <f>IF(A481="","",IF(O481="",IF(J481="","",J481),IFERROR(AVERAGEIFS('Pesagens'!$C$6:$C$2005,'Pesagens'!$B$6:$B$2005,A481,'Pesagens'!$A$6:$A$2005,O481),"")))</f>
        <v/>
      </c>
      <c r="Q481" s="42">
        <f>IF(OR(A481="",O481="",I481="",J481=""),"",IFERROR((P481-J481)/(O481-I481),""))</f>
        <v/>
      </c>
    </row>
    <row r="482">
      <c r="A482" s="36" t="n"/>
      <c r="B482" s="32" t="n"/>
      <c r="C482" s="37" t="n"/>
      <c r="D482" s="31" t="n"/>
      <c r="E482" s="32" t="n"/>
      <c r="F482" s="32" t="n"/>
      <c r="G482" s="32" t="n"/>
      <c r="H482" s="36" t="n"/>
      <c r="I482" s="31" t="n"/>
      <c r="J482" s="38" t="n"/>
      <c r="K482" s="32" t="n"/>
      <c r="L482" s="34">
        <f>IF(OR(A482="",D482=""),"",IF(D482&gt;Config!$B$5,0,DATEDIF(D482,Config!$B$5,"m")))</f>
        <v/>
      </c>
      <c r="M482" s="39">
        <f>IF(A482="","",IF(K482&lt;&gt;"",K482,IF(OR(C482="",D482=""),"Sem dados",IFERROR(IF(C482="M",INDEX(Config!$B$11:$B$14,MATCH(L482,Config!$A$11:$A$14,1)),IF(C482="F",INDEX(Config!$C$11:$C$14,MATCH(L482,Config!$A$11:$A$14,1)),"Sem dados")),"Verificar"))))</f>
        <v/>
      </c>
      <c r="N482" s="39">
        <f>IF(A482="","",IF(COUNTIFS('Movimentações'!$C$6:$C$1505,A482,'Movimentações'!$B$6:$B$1505,"Venda")&gt;0,"Vendido",IF(COUNTIFS('Movimentações'!$C$6:$C$1505,A482,'Movimentações'!$B$6:$B$1505,"Morte")&gt;0,"Morto","Ativo")))</f>
        <v/>
      </c>
      <c r="O482" s="40">
        <f>IF(A482="","",IF(COUNTIF('Pesagens'!$B$6:$B$2005,A482)=0,"",SUMPRODUCT(MAX(('Pesagens'!$B$6:$B$2005=A482)*'Pesagens'!$A$6:$A$2005))))</f>
        <v/>
      </c>
      <c r="P482" s="41">
        <f>IF(A482="","",IF(O482="",IF(J482="","",J482),IFERROR(AVERAGEIFS('Pesagens'!$C$6:$C$2005,'Pesagens'!$B$6:$B$2005,A482,'Pesagens'!$A$6:$A$2005,O482),"")))</f>
        <v/>
      </c>
      <c r="Q482" s="42">
        <f>IF(OR(A482="",O482="",I482="",J482=""),"",IFERROR((P482-J482)/(O482-I482),""))</f>
        <v/>
      </c>
    </row>
    <row r="483">
      <c r="A483" s="36" t="n"/>
      <c r="B483" s="32" t="n"/>
      <c r="C483" s="37" t="n"/>
      <c r="D483" s="31" t="n"/>
      <c r="E483" s="32" t="n"/>
      <c r="F483" s="32" t="n"/>
      <c r="G483" s="32" t="n"/>
      <c r="H483" s="36" t="n"/>
      <c r="I483" s="31" t="n"/>
      <c r="J483" s="38" t="n"/>
      <c r="K483" s="32" t="n"/>
      <c r="L483" s="34">
        <f>IF(OR(A483="",D483=""),"",IF(D483&gt;Config!$B$5,0,DATEDIF(D483,Config!$B$5,"m")))</f>
        <v/>
      </c>
      <c r="M483" s="39">
        <f>IF(A483="","",IF(K483&lt;&gt;"",K483,IF(OR(C483="",D483=""),"Sem dados",IFERROR(IF(C483="M",INDEX(Config!$B$11:$B$14,MATCH(L483,Config!$A$11:$A$14,1)),IF(C483="F",INDEX(Config!$C$11:$C$14,MATCH(L483,Config!$A$11:$A$14,1)),"Sem dados")),"Verificar"))))</f>
        <v/>
      </c>
      <c r="N483" s="39">
        <f>IF(A483="","",IF(COUNTIFS('Movimentações'!$C$6:$C$1505,A483,'Movimentações'!$B$6:$B$1505,"Venda")&gt;0,"Vendido",IF(COUNTIFS('Movimentações'!$C$6:$C$1505,A483,'Movimentações'!$B$6:$B$1505,"Morte")&gt;0,"Morto","Ativo")))</f>
        <v/>
      </c>
      <c r="O483" s="40">
        <f>IF(A483="","",IF(COUNTIF('Pesagens'!$B$6:$B$2005,A483)=0,"",SUMPRODUCT(MAX(('Pesagens'!$B$6:$B$2005=A483)*'Pesagens'!$A$6:$A$2005))))</f>
        <v/>
      </c>
      <c r="P483" s="41">
        <f>IF(A483="","",IF(O483="",IF(J483="","",J483),IFERROR(AVERAGEIFS('Pesagens'!$C$6:$C$2005,'Pesagens'!$B$6:$B$2005,A483,'Pesagens'!$A$6:$A$2005,O483),"")))</f>
        <v/>
      </c>
      <c r="Q483" s="42">
        <f>IF(OR(A483="",O483="",I483="",J483=""),"",IFERROR((P483-J483)/(O483-I483),""))</f>
        <v/>
      </c>
    </row>
    <row r="484">
      <c r="A484" s="36" t="n"/>
      <c r="B484" s="32" t="n"/>
      <c r="C484" s="37" t="n"/>
      <c r="D484" s="31" t="n"/>
      <c r="E484" s="32" t="n"/>
      <c r="F484" s="32" t="n"/>
      <c r="G484" s="32" t="n"/>
      <c r="H484" s="36" t="n"/>
      <c r="I484" s="31" t="n"/>
      <c r="J484" s="38" t="n"/>
      <c r="K484" s="32" t="n"/>
      <c r="L484" s="34">
        <f>IF(OR(A484="",D484=""),"",IF(D484&gt;Config!$B$5,0,DATEDIF(D484,Config!$B$5,"m")))</f>
        <v/>
      </c>
      <c r="M484" s="39">
        <f>IF(A484="","",IF(K484&lt;&gt;"",K484,IF(OR(C484="",D484=""),"Sem dados",IFERROR(IF(C484="M",INDEX(Config!$B$11:$B$14,MATCH(L484,Config!$A$11:$A$14,1)),IF(C484="F",INDEX(Config!$C$11:$C$14,MATCH(L484,Config!$A$11:$A$14,1)),"Sem dados")),"Verificar"))))</f>
        <v/>
      </c>
      <c r="N484" s="39">
        <f>IF(A484="","",IF(COUNTIFS('Movimentações'!$C$6:$C$1505,A484,'Movimentações'!$B$6:$B$1505,"Venda")&gt;0,"Vendido",IF(COUNTIFS('Movimentações'!$C$6:$C$1505,A484,'Movimentações'!$B$6:$B$1505,"Morte")&gt;0,"Morto","Ativo")))</f>
        <v/>
      </c>
      <c r="O484" s="40">
        <f>IF(A484="","",IF(COUNTIF('Pesagens'!$B$6:$B$2005,A484)=0,"",SUMPRODUCT(MAX(('Pesagens'!$B$6:$B$2005=A484)*'Pesagens'!$A$6:$A$2005))))</f>
        <v/>
      </c>
      <c r="P484" s="41">
        <f>IF(A484="","",IF(O484="",IF(J484="","",J484),IFERROR(AVERAGEIFS('Pesagens'!$C$6:$C$2005,'Pesagens'!$B$6:$B$2005,A484,'Pesagens'!$A$6:$A$2005,O484),"")))</f>
        <v/>
      </c>
      <c r="Q484" s="42">
        <f>IF(OR(A484="",O484="",I484="",J484=""),"",IFERROR((P484-J484)/(O484-I484),""))</f>
        <v/>
      </c>
    </row>
    <row r="485">
      <c r="A485" s="36" t="n"/>
      <c r="B485" s="32" t="n"/>
      <c r="C485" s="37" t="n"/>
      <c r="D485" s="31" t="n"/>
      <c r="E485" s="32" t="n"/>
      <c r="F485" s="32" t="n"/>
      <c r="G485" s="32" t="n"/>
      <c r="H485" s="36" t="n"/>
      <c r="I485" s="31" t="n"/>
      <c r="J485" s="38" t="n"/>
      <c r="K485" s="32" t="n"/>
      <c r="L485" s="34">
        <f>IF(OR(A485="",D485=""),"",IF(D485&gt;Config!$B$5,0,DATEDIF(D485,Config!$B$5,"m")))</f>
        <v/>
      </c>
      <c r="M485" s="39">
        <f>IF(A485="","",IF(K485&lt;&gt;"",K485,IF(OR(C485="",D485=""),"Sem dados",IFERROR(IF(C485="M",INDEX(Config!$B$11:$B$14,MATCH(L485,Config!$A$11:$A$14,1)),IF(C485="F",INDEX(Config!$C$11:$C$14,MATCH(L485,Config!$A$11:$A$14,1)),"Sem dados")),"Verificar"))))</f>
        <v/>
      </c>
      <c r="N485" s="39">
        <f>IF(A485="","",IF(COUNTIFS('Movimentações'!$C$6:$C$1505,A485,'Movimentações'!$B$6:$B$1505,"Venda")&gt;0,"Vendido",IF(COUNTIFS('Movimentações'!$C$6:$C$1505,A485,'Movimentações'!$B$6:$B$1505,"Morte")&gt;0,"Morto","Ativo")))</f>
        <v/>
      </c>
      <c r="O485" s="40">
        <f>IF(A485="","",IF(COUNTIF('Pesagens'!$B$6:$B$2005,A485)=0,"",SUMPRODUCT(MAX(('Pesagens'!$B$6:$B$2005=A485)*'Pesagens'!$A$6:$A$2005))))</f>
        <v/>
      </c>
      <c r="P485" s="41">
        <f>IF(A485="","",IF(O485="",IF(J485="","",J485),IFERROR(AVERAGEIFS('Pesagens'!$C$6:$C$2005,'Pesagens'!$B$6:$B$2005,A485,'Pesagens'!$A$6:$A$2005,O485),"")))</f>
        <v/>
      </c>
      <c r="Q485" s="42">
        <f>IF(OR(A485="",O485="",I485="",J485=""),"",IFERROR((P485-J485)/(O485-I485),""))</f>
        <v/>
      </c>
    </row>
    <row r="486">
      <c r="A486" s="36" t="n"/>
      <c r="B486" s="32" t="n"/>
      <c r="C486" s="37" t="n"/>
      <c r="D486" s="31" t="n"/>
      <c r="E486" s="32" t="n"/>
      <c r="F486" s="32" t="n"/>
      <c r="G486" s="32" t="n"/>
      <c r="H486" s="36" t="n"/>
      <c r="I486" s="31" t="n"/>
      <c r="J486" s="38" t="n"/>
      <c r="K486" s="32" t="n"/>
      <c r="L486" s="34">
        <f>IF(OR(A486="",D486=""),"",IF(D486&gt;Config!$B$5,0,DATEDIF(D486,Config!$B$5,"m")))</f>
        <v/>
      </c>
      <c r="M486" s="39">
        <f>IF(A486="","",IF(K486&lt;&gt;"",K486,IF(OR(C486="",D486=""),"Sem dados",IFERROR(IF(C486="M",INDEX(Config!$B$11:$B$14,MATCH(L486,Config!$A$11:$A$14,1)),IF(C486="F",INDEX(Config!$C$11:$C$14,MATCH(L486,Config!$A$11:$A$14,1)),"Sem dados")),"Verificar"))))</f>
        <v/>
      </c>
      <c r="N486" s="39">
        <f>IF(A486="","",IF(COUNTIFS('Movimentações'!$C$6:$C$1505,A486,'Movimentações'!$B$6:$B$1505,"Venda")&gt;0,"Vendido",IF(COUNTIFS('Movimentações'!$C$6:$C$1505,A486,'Movimentações'!$B$6:$B$1505,"Morte")&gt;0,"Morto","Ativo")))</f>
        <v/>
      </c>
      <c r="O486" s="40">
        <f>IF(A486="","",IF(COUNTIF('Pesagens'!$B$6:$B$2005,A486)=0,"",SUMPRODUCT(MAX(('Pesagens'!$B$6:$B$2005=A486)*'Pesagens'!$A$6:$A$2005))))</f>
        <v/>
      </c>
      <c r="P486" s="41">
        <f>IF(A486="","",IF(O486="",IF(J486="","",J486),IFERROR(AVERAGEIFS('Pesagens'!$C$6:$C$2005,'Pesagens'!$B$6:$B$2005,A486,'Pesagens'!$A$6:$A$2005,O486),"")))</f>
        <v/>
      </c>
      <c r="Q486" s="42">
        <f>IF(OR(A486="",O486="",I486="",J486=""),"",IFERROR((P486-J486)/(O486-I486),""))</f>
        <v/>
      </c>
    </row>
    <row r="487">
      <c r="A487" s="36" t="n"/>
      <c r="B487" s="32" t="n"/>
      <c r="C487" s="37" t="n"/>
      <c r="D487" s="31" t="n"/>
      <c r="E487" s="32" t="n"/>
      <c r="F487" s="32" t="n"/>
      <c r="G487" s="32" t="n"/>
      <c r="H487" s="36" t="n"/>
      <c r="I487" s="31" t="n"/>
      <c r="J487" s="38" t="n"/>
      <c r="K487" s="32" t="n"/>
      <c r="L487" s="34">
        <f>IF(OR(A487="",D487=""),"",IF(D487&gt;Config!$B$5,0,DATEDIF(D487,Config!$B$5,"m")))</f>
        <v/>
      </c>
      <c r="M487" s="39">
        <f>IF(A487="","",IF(K487&lt;&gt;"",K487,IF(OR(C487="",D487=""),"Sem dados",IFERROR(IF(C487="M",INDEX(Config!$B$11:$B$14,MATCH(L487,Config!$A$11:$A$14,1)),IF(C487="F",INDEX(Config!$C$11:$C$14,MATCH(L487,Config!$A$11:$A$14,1)),"Sem dados")),"Verificar"))))</f>
        <v/>
      </c>
      <c r="N487" s="39">
        <f>IF(A487="","",IF(COUNTIFS('Movimentações'!$C$6:$C$1505,A487,'Movimentações'!$B$6:$B$1505,"Venda")&gt;0,"Vendido",IF(COUNTIFS('Movimentações'!$C$6:$C$1505,A487,'Movimentações'!$B$6:$B$1505,"Morte")&gt;0,"Morto","Ativo")))</f>
        <v/>
      </c>
      <c r="O487" s="40">
        <f>IF(A487="","",IF(COUNTIF('Pesagens'!$B$6:$B$2005,A487)=0,"",SUMPRODUCT(MAX(('Pesagens'!$B$6:$B$2005=A487)*'Pesagens'!$A$6:$A$2005))))</f>
        <v/>
      </c>
      <c r="P487" s="41">
        <f>IF(A487="","",IF(O487="",IF(J487="","",J487),IFERROR(AVERAGEIFS('Pesagens'!$C$6:$C$2005,'Pesagens'!$B$6:$B$2005,A487,'Pesagens'!$A$6:$A$2005,O487),"")))</f>
        <v/>
      </c>
      <c r="Q487" s="42">
        <f>IF(OR(A487="",O487="",I487="",J487=""),"",IFERROR((P487-J487)/(O487-I487),""))</f>
        <v/>
      </c>
    </row>
    <row r="488">
      <c r="A488" s="36" t="n"/>
      <c r="B488" s="32" t="n"/>
      <c r="C488" s="37" t="n"/>
      <c r="D488" s="31" t="n"/>
      <c r="E488" s="32" t="n"/>
      <c r="F488" s="32" t="n"/>
      <c r="G488" s="32" t="n"/>
      <c r="H488" s="36" t="n"/>
      <c r="I488" s="31" t="n"/>
      <c r="J488" s="38" t="n"/>
      <c r="K488" s="32" t="n"/>
      <c r="L488" s="34">
        <f>IF(OR(A488="",D488=""),"",IF(D488&gt;Config!$B$5,0,DATEDIF(D488,Config!$B$5,"m")))</f>
        <v/>
      </c>
      <c r="M488" s="39">
        <f>IF(A488="","",IF(K488&lt;&gt;"",K488,IF(OR(C488="",D488=""),"Sem dados",IFERROR(IF(C488="M",INDEX(Config!$B$11:$B$14,MATCH(L488,Config!$A$11:$A$14,1)),IF(C488="F",INDEX(Config!$C$11:$C$14,MATCH(L488,Config!$A$11:$A$14,1)),"Sem dados")),"Verificar"))))</f>
        <v/>
      </c>
      <c r="N488" s="39">
        <f>IF(A488="","",IF(COUNTIFS('Movimentações'!$C$6:$C$1505,A488,'Movimentações'!$B$6:$B$1505,"Venda")&gt;0,"Vendido",IF(COUNTIFS('Movimentações'!$C$6:$C$1505,A488,'Movimentações'!$B$6:$B$1505,"Morte")&gt;0,"Morto","Ativo")))</f>
        <v/>
      </c>
      <c r="O488" s="40">
        <f>IF(A488="","",IF(COUNTIF('Pesagens'!$B$6:$B$2005,A488)=0,"",SUMPRODUCT(MAX(('Pesagens'!$B$6:$B$2005=A488)*'Pesagens'!$A$6:$A$2005))))</f>
        <v/>
      </c>
      <c r="P488" s="41">
        <f>IF(A488="","",IF(O488="",IF(J488="","",J488),IFERROR(AVERAGEIFS('Pesagens'!$C$6:$C$2005,'Pesagens'!$B$6:$B$2005,A488,'Pesagens'!$A$6:$A$2005,O488),"")))</f>
        <v/>
      </c>
      <c r="Q488" s="42">
        <f>IF(OR(A488="",O488="",I488="",J488=""),"",IFERROR((P488-J488)/(O488-I488),""))</f>
        <v/>
      </c>
    </row>
    <row r="489">
      <c r="A489" s="36" t="n"/>
      <c r="B489" s="32" t="n"/>
      <c r="C489" s="37" t="n"/>
      <c r="D489" s="31" t="n"/>
      <c r="E489" s="32" t="n"/>
      <c r="F489" s="32" t="n"/>
      <c r="G489" s="32" t="n"/>
      <c r="H489" s="36" t="n"/>
      <c r="I489" s="31" t="n"/>
      <c r="J489" s="38" t="n"/>
      <c r="K489" s="32" t="n"/>
      <c r="L489" s="34">
        <f>IF(OR(A489="",D489=""),"",IF(D489&gt;Config!$B$5,0,DATEDIF(D489,Config!$B$5,"m")))</f>
        <v/>
      </c>
      <c r="M489" s="39">
        <f>IF(A489="","",IF(K489&lt;&gt;"",K489,IF(OR(C489="",D489=""),"Sem dados",IFERROR(IF(C489="M",INDEX(Config!$B$11:$B$14,MATCH(L489,Config!$A$11:$A$14,1)),IF(C489="F",INDEX(Config!$C$11:$C$14,MATCH(L489,Config!$A$11:$A$14,1)),"Sem dados")),"Verificar"))))</f>
        <v/>
      </c>
      <c r="N489" s="39">
        <f>IF(A489="","",IF(COUNTIFS('Movimentações'!$C$6:$C$1505,A489,'Movimentações'!$B$6:$B$1505,"Venda")&gt;0,"Vendido",IF(COUNTIFS('Movimentações'!$C$6:$C$1505,A489,'Movimentações'!$B$6:$B$1505,"Morte")&gt;0,"Morto","Ativo")))</f>
        <v/>
      </c>
      <c r="O489" s="40">
        <f>IF(A489="","",IF(COUNTIF('Pesagens'!$B$6:$B$2005,A489)=0,"",SUMPRODUCT(MAX(('Pesagens'!$B$6:$B$2005=A489)*'Pesagens'!$A$6:$A$2005))))</f>
        <v/>
      </c>
      <c r="P489" s="41">
        <f>IF(A489="","",IF(O489="",IF(J489="","",J489),IFERROR(AVERAGEIFS('Pesagens'!$C$6:$C$2005,'Pesagens'!$B$6:$B$2005,A489,'Pesagens'!$A$6:$A$2005,O489),"")))</f>
        <v/>
      </c>
      <c r="Q489" s="42">
        <f>IF(OR(A489="",O489="",I489="",J489=""),"",IFERROR((P489-J489)/(O489-I489),""))</f>
        <v/>
      </c>
    </row>
    <row r="490">
      <c r="A490" s="36" t="n"/>
      <c r="B490" s="32" t="n"/>
      <c r="C490" s="37" t="n"/>
      <c r="D490" s="31" t="n"/>
      <c r="E490" s="32" t="n"/>
      <c r="F490" s="32" t="n"/>
      <c r="G490" s="32" t="n"/>
      <c r="H490" s="36" t="n"/>
      <c r="I490" s="31" t="n"/>
      <c r="J490" s="38" t="n"/>
      <c r="K490" s="32" t="n"/>
      <c r="L490" s="34">
        <f>IF(OR(A490="",D490=""),"",IF(D490&gt;Config!$B$5,0,DATEDIF(D490,Config!$B$5,"m")))</f>
        <v/>
      </c>
      <c r="M490" s="39">
        <f>IF(A490="","",IF(K490&lt;&gt;"",K490,IF(OR(C490="",D490=""),"Sem dados",IFERROR(IF(C490="M",INDEX(Config!$B$11:$B$14,MATCH(L490,Config!$A$11:$A$14,1)),IF(C490="F",INDEX(Config!$C$11:$C$14,MATCH(L490,Config!$A$11:$A$14,1)),"Sem dados")),"Verificar"))))</f>
        <v/>
      </c>
      <c r="N490" s="39">
        <f>IF(A490="","",IF(COUNTIFS('Movimentações'!$C$6:$C$1505,A490,'Movimentações'!$B$6:$B$1505,"Venda")&gt;0,"Vendido",IF(COUNTIFS('Movimentações'!$C$6:$C$1505,A490,'Movimentações'!$B$6:$B$1505,"Morte")&gt;0,"Morto","Ativo")))</f>
        <v/>
      </c>
      <c r="O490" s="40">
        <f>IF(A490="","",IF(COUNTIF('Pesagens'!$B$6:$B$2005,A490)=0,"",SUMPRODUCT(MAX(('Pesagens'!$B$6:$B$2005=A490)*'Pesagens'!$A$6:$A$2005))))</f>
        <v/>
      </c>
      <c r="P490" s="41">
        <f>IF(A490="","",IF(O490="",IF(J490="","",J490),IFERROR(AVERAGEIFS('Pesagens'!$C$6:$C$2005,'Pesagens'!$B$6:$B$2005,A490,'Pesagens'!$A$6:$A$2005,O490),"")))</f>
        <v/>
      </c>
      <c r="Q490" s="42">
        <f>IF(OR(A490="",O490="",I490="",J490=""),"",IFERROR((P490-J490)/(O490-I490),""))</f>
        <v/>
      </c>
    </row>
    <row r="491">
      <c r="A491" s="36" t="n"/>
      <c r="B491" s="32" t="n"/>
      <c r="C491" s="37" t="n"/>
      <c r="D491" s="31" t="n"/>
      <c r="E491" s="32" t="n"/>
      <c r="F491" s="32" t="n"/>
      <c r="G491" s="32" t="n"/>
      <c r="H491" s="36" t="n"/>
      <c r="I491" s="31" t="n"/>
      <c r="J491" s="38" t="n"/>
      <c r="K491" s="32" t="n"/>
      <c r="L491" s="34">
        <f>IF(OR(A491="",D491=""),"",IF(D491&gt;Config!$B$5,0,DATEDIF(D491,Config!$B$5,"m")))</f>
        <v/>
      </c>
      <c r="M491" s="39">
        <f>IF(A491="","",IF(K491&lt;&gt;"",K491,IF(OR(C491="",D491=""),"Sem dados",IFERROR(IF(C491="M",INDEX(Config!$B$11:$B$14,MATCH(L491,Config!$A$11:$A$14,1)),IF(C491="F",INDEX(Config!$C$11:$C$14,MATCH(L491,Config!$A$11:$A$14,1)),"Sem dados")),"Verificar"))))</f>
        <v/>
      </c>
      <c r="N491" s="39">
        <f>IF(A491="","",IF(COUNTIFS('Movimentações'!$C$6:$C$1505,A491,'Movimentações'!$B$6:$B$1505,"Venda")&gt;0,"Vendido",IF(COUNTIFS('Movimentações'!$C$6:$C$1505,A491,'Movimentações'!$B$6:$B$1505,"Morte")&gt;0,"Morto","Ativo")))</f>
        <v/>
      </c>
      <c r="O491" s="40">
        <f>IF(A491="","",IF(COUNTIF('Pesagens'!$B$6:$B$2005,A491)=0,"",SUMPRODUCT(MAX(('Pesagens'!$B$6:$B$2005=A491)*'Pesagens'!$A$6:$A$2005))))</f>
        <v/>
      </c>
      <c r="P491" s="41">
        <f>IF(A491="","",IF(O491="",IF(J491="","",J491),IFERROR(AVERAGEIFS('Pesagens'!$C$6:$C$2005,'Pesagens'!$B$6:$B$2005,A491,'Pesagens'!$A$6:$A$2005,O491),"")))</f>
        <v/>
      </c>
      <c r="Q491" s="42">
        <f>IF(OR(A491="",O491="",I491="",J491=""),"",IFERROR((P491-J491)/(O491-I491),""))</f>
        <v/>
      </c>
    </row>
    <row r="492">
      <c r="A492" s="36" t="n"/>
      <c r="B492" s="32" t="n"/>
      <c r="C492" s="37" t="n"/>
      <c r="D492" s="31" t="n"/>
      <c r="E492" s="32" t="n"/>
      <c r="F492" s="32" t="n"/>
      <c r="G492" s="32" t="n"/>
      <c r="H492" s="36" t="n"/>
      <c r="I492" s="31" t="n"/>
      <c r="J492" s="38" t="n"/>
      <c r="K492" s="32" t="n"/>
      <c r="L492" s="34">
        <f>IF(OR(A492="",D492=""),"",IF(D492&gt;Config!$B$5,0,DATEDIF(D492,Config!$B$5,"m")))</f>
        <v/>
      </c>
      <c r="M492" s="39">
        <f>IF(A492="","",IF(K492&lt;&gt;"",K492,IF(OR(C492="",D492=""),"Sem dados",IFERROR(IF(C492="M",INDEX(Config!$B$11:$B$14,MATCH(L492,Config!$A$11:$A$14,1)),IF(C492="F",INDEX(Config!$C$11:$C$14,MATCH(L492,Config!$A$11:$A$14,1)),"Sem dados")),"Verificar"))))</f>
        <v/>
      </c>
      <c r="N492" s="39">
        <f>IF(A492="","",IF(COUNTIFS('Movimentações'!$C$6:$C$1505,A492,'Movimentações'!$B$6:$B$1505,"Venda")&gt;0,"Vendido",IF(COUNTIFS('Movimentações'!$C$6:$C$1505,A492,'Movimentações'!$B$6:$B$1505,"Morte")&gt;0,"Morto","Ativo")))</f>
        <v/>
      </c>
      <c r="O492" s="40">
        <f>IF(A492="","",IF(COUNTIF('Pesagens'!$B$6:$B$2005,A492)=0,"",SUMPRODUCT(MAX(('Pesagens'!$B$6:$B$2005=A492)*'Pesagens'!$A$6:$A$2005))))</f>
        <v/>
      </c>
      <c r="P492" s="41">
        <f>IF(A492="","",IF(O492="",IF(J492="","",J492),IFERROR(AVERAGEIFS('Pesagens'!$C$6:$C$2005,'Pesagens'!$B$6:$B$2005,A492,'Pesagens'!$A$6:$A$2005,O492),"")))</f>
        <v/>
      </c>
      <c r="Q492" s="42">
        <f>IF(OR(A492="",O492="",I492="",J492=""),"",IFERROR((P492-J492)/(O492-I492),""))</f>
        <v/>
      </c>
    </row>
    <row r="493">
      <c r="A493" s="36" t="n"/>
      <c r="B493" s="32" t="n"/>
      <c r="C493" s="37" t="n"/>
      <c r="D493" s="31" t="n"/>
      <c r="E493" s="32" t="n"/>
      <c r="F493" s="32" t="n"/>
      <c r="G493" s="32" t="n"/>
      <c r="H493" s="36" t="n"/>
      <c r="I493" s="31" t="n"/>
      <c r="J493" s="38" t="n"/>
      <c r="K493" s="32" t="n"/>
      <c r="L493" s="34">
        <f>IF(OR(A493="",D493=""),"",IF(D493&gt;Config!$B$5,0,DATEDIF(D493,Config!$B$5,"m")))</f>
        <v/>
      </c>
      <c r="M493" s="39">
        <f>IF(A493="","",IF(K493&lt;&gt;"",K493,IF(OR(C493="",D493=""),"Sem dados",IFERROR(IF(C493="M",INDEX(Config!$B$11:$B$14,MATCH(L493,Config!$A$11:$A$14,1)),IF(C493="F",INDEX(Config!$C$11:$C$14,MATCH(L493,Config!$A$11:$A$14,1)),"Sem dados")),"Verificar"))))</f>
        <v/>
      </c>
      <c r="N493" s="39">
        <f>IF(A493="","",IF(COUNTIFS('Movimentações'!$C$6:$C$1505,A493,'Movimentações'!$B$6:$B$1505,"Venda")&gt;0,"Vendido",IF(COUNTIFS('Movimentações'!$C$6:$C$1505,A493,'Movimentações'!$B$6:$B$1505,"Morte")&gt;0,"Morto","Ativo")))</f>
        <v/>
      </c>
      <c r="O493" s="40">
        <f>IF(A493="","",IF(COUNTIF('Pesagens'!$B$6:$B$2005,A493)=0,"",SUMPRODUCT(MAX(('Pesagens'!$B$6:$B$2005=A493)*'Pesagens'!$A$6:$A$2005))))</f>
        <v/>
      </c>
      <c r="P493" s="41">
        <f>IF(A493="","",IF(O493="",IF(J493="","",J493),IFERROR(AVERAGEIFS('Pesagens'!$C$6:$C$2005,'Pesagens'!$B$6:$B$2005,A493,'Pesagens'!$A$6:$A$2005,O493),"")))</f>
        <v/>
      </c>
      <c r="Q493" s="42">
        <f>IF(OR(A493="",O493="",I493="",J493=""),"",IFERROR((P493-J493)/(O493-I493),""))</f>
        <v/>
      </c>
    </row>
    <row r="494">
      <c r="A494" s="36" t="n"/>
      <c r="B494" s="32" t="n"/>
      <c r="C494" s="37" t="n"/>
      <c r="D494" s="31" t="n"/>
      <c r="E494" s="32" t="n"/>
      <c r="F494" s="32" t="n"/>
      <c r="G494" s="32" t="n"/>
      <c r="H494" s="36" t="n"/>
      <c r="I494" s="31" t="n"/>
      <c r="J494" s="38" t="n"/>
      <c r="K494" s="32" t="n"/>
      <c r="L494" s="34">
        <f>IF(OR(A494="",D494=""),"",IF(D494&gt;Config!$B$5,0,DATEDIF(D494,Config!$B$5,"m")))</f>
        <v/>
      </c>
      <c r="M494" s="39">
        <f>IF(A494="","",IF(K494&lt;&gt;"",K494,IF(OR(C494="",D494=""),"Sem dados",IFERROR(IF(C494="M",INDEX(Config!$B$11:$B$14,MATCH(L494,Config!$A$11:$A$14,1)),IF(C494="F",INDEX(Config!$C$11:$C$14,MATCH(L494,Config!$A$11:$A$14,1)),"Sem dados")),"Verificar"))))</f>
        <v/>
      </c>
      <c r="N494" s="39">
        <f>IF(A494="","",IF(COUNTIFS('Movimentações'!$C$6:$C$1505,A494,'Movimentações'!$B$6:$B$1505,"Venda")&gt;0,"Vendido",IF(COUNTIFS('Movimentações'!$C$6:$C$1505,A494,'Movimentações'!$B$6:$B$1505,"Morte")&gt;0,"Morto","Ativo")))</f>
        <v/>
      </c>
      <c r="O494" s="40">
        <f>IF(A494="","",IF(COUNTIF('Pesagens'!$B$6:$B$2005,A494)=0,"",SUMPRODUCT(MAX(('Pesagens'!$B$6:$B$2005=A494)*'Pesagens'!$A$6:$A$2005))))</f>
        <v/>
      </c>
      <c r="P494" s="41">
        <f>IF(A494="","",IF(O494="",IF(J494="","",J494),IFERROR(AVERAGEIFS('Pesagens'!$C$6:$C$2005,'Pesagens'!$B$6:$B$2005,A494,'Pesagens'!$A$6:$A$2005,O494),"")))</f>
        <v/>
      </c>
      <c r="Q494" s="42">
        <f>IF(OR(A494="",O494="",I494="",J494=""),"",IFERROR((P494-J494)/(O494-I494),""))</f>
        <v/>
      </c>
    </row>
    <row r="495">
      <c r="A495" s="36" t="n"/>
      <c r="B495" s="32" t="n"/>
      <c r="C495" s="37" t="n"/>
      <c r="D495" s="31" t="n"/>
      <c r="E495" s="32" t="n"/>
      <c r="F495" s="32" t="n"/>
      <c r="G495" s="32" t="n"/>
      <c r="H495" s="36" t="n"/>
      <c r="I495" s="31" t="n"/>
      <c r="J495" s="38" t="n"/>
      <c r="K495" s="32" t="n"/>
      <c r="L495" s="34">
        <f>IF(OR(A495="",D495=""),"",IF(D495&gt;Config!$B$5,0,DATEDIF(D495,Config!$B$5,"m")))</f>
        <v/>
      </c>
      <c r="M495" s="39">
        <f>IF(A495="","",IF(K495&lt;&gt;"",K495,IF(OR(C495="",D495=""),"Sem dados",IFERROR(IF(C495="M",INDEX(Config!$B$11:$B$14,MATCH(L495,Config!$A$11:$A$14,1)),IF(C495="F",INDEX(Config!$C$11:$C$14,MATCH(L495,Config!$A$11:$A$14,1)),"Sem dados")),"Verificar"))))</f>
        <v/>
      </c>
      <c r="N495" s="39">
        <f>IF(A495="","",IF(COUNTIFS('Movimentações'!$C$6:$C$1505,A495,'Movimentações'!$B$6:$B$1505,"Venda")&gt;0,"Vendido",IF(COUNTIFS('Movimentações'!$C$6:$C$1505,A495,'Movimentações'!$B$6:$B$1505,"Morte")&gt;0,"Morto","Ativo")))</f>
        <v/>
      </c>
      <c r="O495" s="40">
        <f>IF(A495="","",IF(COUNTIF('Pesagens'!$B$6:$B$2005,A495)=0,"",SUMPRODUCT(MAX(('Pesagens'!$B$6:$B$2005=A495)*'Pesagens'!$A$6:$A$2005))))</f>
        <v/>
      </c>
      <c r="P495" s="41">
        <f>IF(A495="","",IF(O495="",IF(J495="","",J495),IFERROR(AVERAGEIFS('Pesagens'!$C$6:$C$2005,'Pesagens'!$B$6:$B$2005,A495,'Pesagens'!$A$6:$A$2005,O495),"")))</f>
        <v/>
      </c>
      <c r="Q495" s="42">
        <f>IF(OR(A495="",O495="",I495="",J495=""),"",IFERROR((P495-J495)/(O495-I495),""))</f>
        <v/>
      </c>
    </row>
    <row r="496">
      <c r="A496" s="36" t="n"/>
      <c r="B496" s="32" t="n"/>
      <c r="C496" s="37" t="n"/>
      <c r="D496" s="31" t="n"/>
      <c r="E496" s="32" t="n"/>
      <c r="F496" s="32" t="n"/>
      <c r="G496" s="32" t="n"/>
      <c r="H496" s="36" t="n"/>
      <c r="I496" s="31" t="n"/>
      <c r="J496" s="38" t="n"/>
      <c r="K496" s="32" t="n"/>
      <c r="L496" s="34">
        <f>IF(OR(A496="",D496=""),"",IF(D496&gt;Config!$B$5,0,DATEDIF(D496,Config!$B$5,"m")))</f>
        <v/>
      </c>
      <c r="M496" s="39">
        <f>IF(A496="","",IF(K496&lt;&gt;"",K496,IF(OR(C496="",D496=""),"Sem dados",IFERROR(IF(C496="M",INDEX(Config!$B$11:$B$14,MATCH(L496,Config!$A$11:$A$14,1)),IF(C496="F",INDEX(Config!$C$11:$C$14,MATCH(L496,Config!$A$11:$A$14,1)),"Sem dados")),"Verificar"))))</f>
        <v/>
      </c>
      <c r="N496" s="39">
        <f>IF(A496="","",IF(COUNTIFS('Movimentações'!$C$6:$C$1505,A496,'Movimentações'!$B$6:$B$1505,"Venda")&gt;0,"Vendido",IF(COUNTIFS('Movimentações'!$C$6:$C$1505,A496,'Movimentações'!$B$6:$B$1505,"Morte")&gt;0,"Morto","Ativo")))</f>
        <v/>
      </c>
      <c r="O496" s="40">
        <f>IF(A496="","",IF(COUNTIF('Pesagens'!$B$6:$B$2005,A496)=0,"",SUMPRODUCT(MAX(('Pesagens'!$B$6:$B$2005=A496)*'Pesagens'!$A$6:$A$2005))))</f>
        <v/>
      </c>
      <c r="P496" s="41">
        <f>IF(A496="","",IF(O496="",IF(J496="","",J496),IFERROR(AVERAGEIFS('Pesagens'!$C$6:$C$2005,'Pesagens'!$B$6:$B$2005,A496,'Pesagens'!$A$6:$A$2005,O496),"")))</f>
        <v/>
      </c>
      <c r="Q496" s="42">
        <f>IF(OR(A496="",O496="",I496="",J496=""),"",IFERROR((P496-J496)/(O496-I496),""))</f>
        <v/>
      </c>
    </row>
    <row r="497">
      <c r="A497" s="36" t="n"/>
      <c r="B497" s="32" t="n"/>
      <c r="C497" s="37" t="n"/>
      <c r="D497" s="31" t="n"/>
      <c r="E497" s="32" t="n"/>
      <c r="F497" s="32" t="n"/>
      <c r="G497" s="32" t="n"/>
      <c r="H497" s="36" t="n"/>
      <c r="I497" s="31" t="n"/>
      <c r="J497" s="38" t="n"/>
      <c r="K497" s="32" t="n"/>
      <c r="L497" s="34">
        <f>IF(OR(A497="",D497=""),"",IF(D497&gt;Config!$B$5,0,DATEDIF(D497,Config!$B$5,"m")))</f>
        <v/>
      </c>
      <c r="M497" s="39">
        <f>IF(A497="","",IF(K497&lt;&gt;"",K497,IF(OR(C497="",D497=""),"Sem dados",IFERROR(IF(C497="M",INDEX(Config!$B$11:$B$14,MATCH(L497,Config!$A$11:$A$14,1)),IF(C497="F",INDEX(Config!$C$11:$C$14,MATCH(L497,Config!$A$11:$A$14,1)),"Sem dados")),"Verificar"))))</f>
        <v/>
      </c>
      <c r="N497" s="39">
        <f>IF(A497="","",IF(COUNTIFS('Movimentações'!$C$6:$C$1505,A497,'Movimentações'!$B$6:$B$1505,"Venda")&gt;0,"Vendido",IF(COUNTIFS('Movimentações'!$C$6:$C$1505,A497,'Movimentações'!$B$6:$B$1505,"Morte")&gt;0,"Morto","Ativo")))</f>
        <v/>
      </c>
      <c r="O497" s="40">
        <f>IF(A497="","",IF(COUNTIF('Pesagens'!$B$6:$B$2005,A497)=0,"",SUMPRODUCT(MAX(('Pesagens'!$B$6:$B$2005=A497)*'Pesagens'!$A$6:$A$2005))))</f>
        <v/>
      </c>
      <c r="P497" s="41">
        <f>IF(A497="","",IF(O497="",IF(J497="","",J497),IFERROR(AVERAGEIFS('Pesagens'!$C$6:$C$2005,'Pesagens'!$B$6:$B$2005,A497,'Pesagens'!$A$6:$A$2005,O497),"")))</f>
        <v/>
      </c>
      <c r="Q497" s="42">
        <f>IF(OR(A497="",O497="",I497="",J497=""),"",IFERROR((P497-J497)/(O497-I497),""))</f>
        <v/>
      </c>
    </row>
    <row r="498">
      <c r="A498" s="36" t="n"/>
      <c r="B498" s="32" t="n"/>
      <c r="C498" s="37" t="n"/>
      <c r="D498" s="31" t="n"/>
      <c r="E498" s="32" t="n"/>
      <c r="F498" s="32" t="n"/>
      <c r="G498" s="32" t="n"/>
      <c r="H498" s="36" t="n"/>
      <c r="I498" s="31" t="n"/>
      <c r="J498" s="38" t="n"/>
      <c r="K498" s="32" t="n"/>
      <c r="L498" s="34">
        <f>IF(OR(A498="",D498=""),"",IF(D498&gt;Config!$B$5,0,DATEDIF(D498,Config!$B$5,"m")))</f>
        <v/>
      </c>
      <c r="M498" s="39">
        <f>IF(A498="","",IF(K498&lt;&gt;"",K498,IF(OR(C498="",D498=""),"Sem dados",IFERROR(IF(C498="M",INDEX(Config!$B$11:$B$14,MATCH(L498,Config!$A$11:$A$14,1)),IF(C498="F",INDEX(Config!$C$11:$C$14,MATCH(L498,Config!$A$11:$A$14,1)),"Sem dados")),"Verificar"))))</f>
        <v/>
      </c>
      <c r="N498" s="39">
        <f>IF(A498="","",IF(COUNTIFS('Movimentações'!$C$6:$C$1505,A498,'Movimentações'!$B$6:$B$1505,"Venda")&gt;0,"Vendido",IF(COUNTIFS('Movimentações'!$C$6:$C$1505,A498,'Movimentações'!$B$6:$B$1505,"Morte")&gt;0,"Morto","Ativo")))</f>
        <v/>
      </c>
      <c r="O498" s="40">
        <f>IF(A498="","",IF(COUNTIF('Pesagens'!$B$6:$B$2005,A498)=0,"",SUMPRODUCT(MAX(('Pesagens'!$B$6:$B$2005=A498)*'Pesagens'!$A$6:$A$2005))))</f>
        <v/>
      </c>
      <c r="P498" s="41">
        <f>IF(A498="","",IF(O498="",IF(J498="","",J498),IFERROR(AVERAGEIFS('Pesagens'!$C$6:$C$2005,'Pesagens'!$B$6:$B$2005,A498,'Pesagens'!$A$6:$A$2005,O498),"")))</f>
        <v/>
      </c>
      <c r="Q498" s="42">
        <f>IF(OR(A498="",O498="",I498="",J498=""),"",IFERROR((P498-J498)/(O498-I498),""))</f>
        <v/>
      </c>
    </row>
    <row r="499">
      <c r="A499" s="36" t="n"/>
      <c r="B499" s="32" t="n"/>
      <c r="C499" s="37" t="n"/>
      <c r="D499" s="31" t="n"/>
      <c r="E499" s="32" t="n"/>
      <c r="F499" s="32" t="n"/>
      <c r="G499" s="32" t="n"/>
      <c r="H499" s="36" t="n"/>
      <c r="I499" s="31" t="n"/>
      <c r="J499" s="38" t="n"/>
      <c r="K499" s="32" t="n"/>
      <c r="L499" s="34">
        <f>IF(OR(A499="",D499=""),"",IF(D499&gt;Config!$B$5,0,DATEDIF(D499,Config!$B$5,"m")))</f>
        <v/>
      </c>
      <c r="M499" s="39">
        <f>IF(A499="","",IF(K499&lt;&gt;"",K499,IF(OR(C499="",D499=""),"Sem dados",IFERROR(IF(C499="M",INDEX(Config!$B$11:$B$14,MATCH(L499,Config!$A$11:$A$14,1)),IF(C499="F",INDEX(Config!$C$11:$C$14,MATCH(L499,Config!$A$11:$A$14,1)),"Sem dados")),"Verificar"))))</f>
        <v/>
      </c>
      <c r="N499" s="39">
        <f>IF(A499="","",IF(COUNTIFS('Movimentações'!$C$6:$C$1505,A499,'Movimentações'!$B$6:$B$1505,"Venda")&gt;0,"Vendido",IF(COUNTIFS('Movimentações'!$C$6:$C$1505,A499,'Movimentações'!$B$6:$B$1505,"Morte")&gt;0,"Morto","Ativo")))</f>
        <v/>
      </c>
      <c r="O499" s="40">
        <f>IF(A499="","",IF(COUNTIF('Pesagens'!$B$6:$B$2005,A499)=0,"",SUMPRODUCT(MAX(('Pesagens'!$B$6:$B$2005=A499)*'Pesagens'!$A$6:$A$2005))))</f>
        <v/>
      </c>
      <c r="P499" s="41">
        <f>IF(A499="","",IF(O499="",IF(J499="","",J499),IFERROR(AVERAGEIFS('Pesagens'!$C$6:$C$2005,'Pesagens'!$B$6:$B$2005,A499,'Pesagens'!$A$6:$A$2005,O499),"")))</f>
        <v/>
      </c>
      <c r="Q499" s="42">
        <f>IF(OR(A499="",O499="",I499="",J499=""),"",IFERROR((P499-J499)/(O499-I499),""))</f>
        <v/>
      </c>
    </row>
    <row r="500">
      <c r="A500" s="36" t="n"/>
      <c r="B500" s="32" t="n"/>
      <c r="C500" s="37" t="n"/>
      <c r="D500" s="31" t="n"/>
      <c r="E500" s="32" t="n"/>
      <c r="F500" s="32" t="n"/>
      <c r="G500" s="32" t="n"/>
      <c r="H500" s="36" t="n"/>
      <c r="I500" s="31" t="n"/>
      <c r="J500" s="38" t="n"/>
      <c r="K500" s="32" t="n"/>
      <c r="L500" s="34">
        <f>IF(OR(A500="",D500=""),"",IF(D500&gt;Config!$B$5,0,DATEDIF(D500,Config!$B$5,"m")))</f>
        <v/>
      </c>
      <c r="M500" s="39">
        <f>IF(A500="","",IF(K500&lt;&gt;"",K500,IF(OR(C500="",D500=""),"Sem dados",IFERROR(IF(C500="M",INDEX(Config!$B$11:$B$14,MATCH(L500,Config!$A$11:$A$14,1)),IF(C500="F",INDEX(Config!$C$11:$C$14,MATCH(L500,Config!$A$11:$A$14,1)),"Sem dados")),"Verificar"))))</f>
        <v/>
      </c>
      <c r="N500" s="39">
        <f>IF(A500="","",IF(COUNTIFS('Movimentações'!$C$6:$C$1505,A500,'Movimentações'!$B$6:$B$1505,"Venda")&gt;0,"Vendido",IF(COUNTIFS('Movimentações'!$C$6:$C$1505,A500,'Movimentações'!$B$6:$B$1505,"Morte")&gt;0,"Morto","Ativo")))</f>
        <v/>
      </c>
      <c r="O500" s="40">
        <f>IF(A500="","",IF(COUNTIF('Pesagens'!$B$6:$B$2005,A500)=0,"",SUMPRODUCT(MAX(('Pesagens'!$B$6:$B$2005=A500)*'Pesagens'!$A$6:$A$2005))))</f>
        <v/>
      </c>
      <c r="P500" s="41">
        <f>IF(A500="","",IF(O500="",IF(J500="","",J500),IFERROR(AVERAGEIFS('Pesagens'!$C$6:$C$2005,'Pesagens'!$B$6:$B$2005,A500,'Pesagens'!$A$6:$A$2005,O500),"")))</f>
        <v/>
      </c>
      <c r="Q500" s="42">
        <f>IF(OR(A500="",O500="",I500="",J500=""),"",IFERROR((P500-J500)/(O500-I500),""))</f>
        <v/>
      </c>
    </row>
    <row r="501">
      <c r="A501" s="36" t="n"/>
      <c r="B501" s="32" t="n"/>
      <c r="C501" s="37" t="n"/>
      <c r="D501" s="31" t="n"/>
      <c r="E501" s="32" t="n"/>
      <c r="F501" s="32" t="n"/>
      <c r="G501" s="32" t="n"/>
      <c r="H501" s="36" t="n"/>
      <c r="I501" s="31" t="n"/>
      <c r="J501" s="38" t="n"/>
      <c r="K501" s="32" t="n"/>
      <c r="L501" s="34">
        <f>IF(OR(A501="",D501=""),"",IF(D501&gt;Config!$B$5,0,DATEDIF(D501,Config!$B$5,"m")))</f>
        <v/>
      </c>
      <c r="M501" s="39">
        <f>IF(A501="","",IF(K501&lt;&gt;"",K501,IF(OR(C501="",D501=""),"Sem dados",IFERROR(IF(C501="M",INDEX(Config!$B$11:$B$14,MATCH(L501,Config!$A$11:$A$14,1)),IF(C501="F",INDEX(Config!$C$11:$C$14,MATCH(L501,Config!$A$11:$A$14,1)),"Sem dados")),"Verificar"))))</f>
        <v/>
      </c>
      <c r="N501" s="39">
        <f>IF(A501="","",IF(COUNTIFS('Movimentações'!$C$6:$C$1505,A501,'Movimentações'!$B$6:$B$1505,"Venda")&gt;0,"Vendido",IF(COUNTIFS('Movimentações'!$C$6:$C$1505,A501,'Movimentações'!$B$6:$B$1505,"Morte")&gt;0,"Morto","Ativo")))</f>
        <v/>
      </c>
      <c r="O501" s="40">
        <f>IF(A501="","",IF(COUNTIF('Pesagens'!$B$6:$B$2005,A501)=0,"",SUMPRODUCT(MAX(('Pesagens'!$B$6:$B$2005=A501)*'Pesagens'!$A$6:$A$2005))))</f>
        <v/>
      </c>
      <c r="P501" s="41">
        <f>IF(A501="","",IF(O501="",IF(J501="","",J501),IFERROR(AVERAGEIFS('Pesagens'!$C$6:$C$2005,'Pesagens'!$B$6:$B$2005,A501,'Pesagens'!$A$6:$A$2005,O501),"")))</f>
        <v/>
      </c>
      <c r="Q501" s="42">
        <f>IF(OR(A501="",O501="",I501="",J501=""),"",IFERROR((P501-J501)/(O501-I501),""))</f>
        <v/>
      </c>
    </row>
    <row r="502">
      <c r="A502" s="36" t="n"/>
      <c r="B502" s="32" t="n"/>
      <c r="C502" s="37" t="n"/>
      <c r="D502" s="31" t="n"/>
      <c r="E502" s="32" t="n"/>
      <c r="F502" s="32" t="n"/>
      <c r="G502" s="32" t="n"/>
      <c r="H502" s="36" t="n"/>
      <c r="I502" s="31" t="n"/>
      <c r="J502" s="38" t="n"/>
      <c r="K502" s="32" t="n"/>
      <c r="L502" s="34">
        <f>IF(OR(A502="",D502=""),"",IF(D502&gt;Config!$B$5,0,DATEDIF(D502,Config!$B$5,"m")))</f>
        <v/>
      </c>
      <c r="M502" s="39">
        <f>IF(A502="","",IF(K502&lt;&gt;"",K502,IF(OR(C502="",D502=""),"Sem dados",IFERROR(IF(C502="M",INDEX(Config!$B$11:$B$14,MATCH(L502,Config!$A$11:$A$14,1)),IF(C502="F",INDEX(Config!$C$11:$C$14,MATCH(L502,Config!$A$11:$A$14,1)),"Sem dados")),"Verificar"))))</f>
        <v/>
      </c>
      <c r="N502" s="39">
        <f>IF(A502="","",IF(COUNTIFS('Movimentações'!$C$6:$C$1505,A502,'Movimentações'!$B$6:$B$1505,"Venda")&gt;0,"Vendido",IF(COUNTIFS('Movimentações'!$C$6:$C$1505,A502,'Movimentações'!$B$6:$B$1505,"Morte")&gt;0,"Morto","Ativo")))</f>
        <v/>
      </c>
      <c r="O502" s="40">
        <f>IF(A502="","",IF(COUNTIF('Pesagens'!$B$6:$B$2005,A502)=0,"",SUMPRODUCT(MAX(('Pesagens'!$B$6:$B$2005=A502)*'Pesagens'!$A$6:$A$2005))))</f>
        <v/>
      </c>
      <c r="P502" s="41">
        <f>IF(A502="","",IF(O502="",IF(J502="","",J502),IFERROR(AVERAGEIFS('Pesagens'!$C$6:$C$2005,'Pesagens'!$B$6:$B$2005,A502,'Pesagens'!$A$6:$A$2005,O502),"")))</f>
        <v/>
      </c>
      <c r="Q502" s="42">
        <f>IF(OR(A502="",O502="",I502="",J502=""),"",IFERROR((P502-J502)/(O502-I502),""))</f>
        <v/>
      </c>
    </row>
    <row r="503">
      <c r="A503" s="36" t="n"/>
      <c r="B503" s="32" t="n"/>
      <c r="C503" s="37" t="n"/>
      <c r="D503" s="31" t="n"/>
      <c r="E503" s="32" t="n"/>
      <c r="F503" s="32" t="n"/>
      <c r="G503" s="32" t="n"/>
      <c r="H503" s="36" t="n"/>
      <c r="I503" s="31" t="n"/>
      <c r="J503" s="38" t="n"/>
      <c r="K503" s="32" t="n"/>
      <c r="L503" s="34">
        <f>IF(OR(A503="",D503=""),"",IF(D503&gt;Config!$B$5,0,DATEDIF(D503,Config!$B$5,"m")))</f>
        <v/>
      </c>
      <c r="M503" s="39">
        <f>IF(A503="","",IF(K503&lt;&gt;"",K503,IF(OR(C503="",D503=""),"Sem dados",IFERROR(IF(C503="M",INDEX(Config!$B$11:$B$14,MATCH(L503,Config!$A$11:$A$14,1)),IF(C503="F",INDEX(Config!$C$11:$C$14,MATCH(L503,Config!$A$11:$A$14,1)),"Sem dados")),"Verificar"))))</f>
        <v/>
      </c>
      <c r="N503" s="39">
        <f>IF(A503="","",IF(COUNTIFS('Movimentações'!$C$6:$C$1505,A503,'Movimentações'!$B$6:$B$1505,"Venda")&gt;0,"Vendido",IF(COUNTIFS('Movimentações'!$C$6:$C$1505,A503,'Movimentações'!$B$6:$B$1505,"Morte")&gt;0,"Morto","Ativo")))</f>
        <v/>
      </c>
      <c r="O503" s="40">
        <f>IF(A503="","",IF(COUNTIF('Pesagens'!$B$6:$B$2005,A503)=0,"",SUMPRODUCT(MAX(('Pesagens'!$B$6:$B$2005=A503)*'Pesagens'!$A$6:$A$2005))))</f>
        <v/>
      </c>
      <c r="P503" s="41">
        <f>IF(A503="","",IF(O503="",IF(J503="","",J503),IFERROR(AVERAGEIFS('Pesagens'!$C$6:$C$2005,'Pesagens'!$B$6:$B$2005,A503,'Pesagens'!$A$6:$A$2005,O503),"")))</f>
        <v/>
      </c>
      <c r="Q503" s="42">
        <f>IF(OR(A503="",O503="",I503="",J503=""),"",IFERROR((P503-J503)/(O503-I503),""))</f>
        <v/>
      </c>
    </row>
    <row r="504">
      <c r="A504" s="36" t="n"/>
      <c r="B504" s="32" t="n"/>
      <c r="C504" s="37" t="n"/>
      <c r="D504" s="31" t="n"/>
      <c r="E504" s="32" t="n"/>
      <c r="F504" s="32" t="n"/>
      <c r="G504" s="32" t="n"/>
      <c r="H504" s="36" t="n"/>
      <c r="I504" s="31" t="n"/>
      <c r="J504" s="38" t="n"/>
      <c r="K504" s="32" t="n"/>
      <c r="L504" s="34">
        <f>IF(OR(A504="",D504=""),"",IF(D504&gt;Config!$B$5,0,DATEDIF(D504,Config!$B$5,"m")))</f>
        <v/>
      </c>
      <c r="M504" s="39">
        <f>IF(A504="","",IF(K504&lt;&gt;"",K504,IF(OR(C504="",D504=""),"Sem dados",IFERROR(IF(C504="M",INDEX(Config!$B$11:$B$14,MATCH(L504,Config!$A$11:$A$14,1)),IF(C504="F",INDEX(Config!$C$11:$C$14,MATCH(L504,Config!$A$11:$A$14,1)),"Sem dados")),"Verificar"))))</f>
        <v/>
      </c>
      <c r="N504" s="39">
        <f>IF(A504="","",IF(COUNTIFS('Movimentações'!$C$6:$C$1505,A504,'Movimentações'!$B$6:$B$1505,"Venda")&gt;0,"Vendido",IF(COUNTIFS('Movimentações'!$C$6:$C$1505,A504,'Movimentações'!$B$6:$B$1505,"Morte")&gt;0,"Morto","Ativo")))</f>
        <v/>
      </c>
      <c r="O504" s="40">
        <f>IF(A504="","",IF(COUNTIF('Pesagens'!$B$6:$B$2005,A504)=0,"",SUMPRODUCT(MAX(('Pesagens'!$B$6:$B$2005=A504)*'Pesagens'!$A$6:$A$2005))))</f>
        <v/>
      </c>
      <c r="P504" s="41">
        <f>IF(A504="","",IF(O504="",IF(J504="","",J504),IFERROR(AVERAGEIFS('Pesagens'!$C$6:$C$2005,'Pesagens'!$B$6:$B$2005,A504,'Pesagens'!$A$6:$A$2005,O504),"")))</f>
        <v/>
      </c>
      <c r="Q504" s="42">
        <f>IF(OR(A504="",O504="",I504="",J504=""),"",IFERROR((P504-J504)/(O504-I504),""))</f>
        <v/>
      </c>
    </row>
    <row r="505">
      <c r="A505" s="36" t="n"/>
      <c r="B505" s="32" t="n"/>
      <c r="C505" s="37" t="n"/>
      <c r="D505" s="31" t="n"/>
      <c r="E505" s="32" t="n"/>
      <c r="F505" s="32" t="n"/>
      <c r="G505" s="32" t="n"/>
      <c r="H505" s="36" t="n"/>
      <c r="I505" s="31" t="n"/>
      <c r="J505" s="38" t="n"/>
      <c r="K505" s="32" t="n"/>
      <c r="L505" s="34">
        <f>IF(OR(A505="",D505=""),"",IF(D505&gt;Config!$B$5,0,DATEDIF(D505,Config!$B$5,"m")))</f>
        <v/>
      </c>
      <c r="M505" s="39">
        <f>IF(A505="","",IF(K505&lt;&gt;"",K505,IF(OR(C505="",D505=""),"Sem dados",IFERROR(IF(C505="M",INDEX(Config!$B$11:$B$14,MATCH(L505,Config!$A$11:$A$14,1)),IF(C505="F",INDEX(Config!$C$11:$C$14,MATCH(L505,Config!$A$11:$A$14,1)),"Sem dados")),"Verificar"))))</f>
        <v/>
      </c>
      <c r="N505" s="39">
        <f>IF(A505="","",IF(COUNTIFS('Movimentações'!$C$6:$C$1505,A505,'Movimentações'!$B$6:$B$1505,"Venda")&gt;0,"Vendido",IF(COUNTIFS('Movimentações'!$C$6:$C$1505,A505,'Movimentações'!$B$6:$B$1505,"Morte")&gt;0,"Morto","Ativo")))</f>
        <v/>
      </c>
      <c r="O505" s="40">
        <f>IF(A505="","",IF(COUNTIF('Pesagens'!$B$6:$B$2005,A505)=0,"",SUMPRODUCT(MAX(('Pesagens'!$B$6:$B$2005=A505)*'Pesagens'!$A$6:$A$2005))))</f>
        <v/>
      </c>
      <c r="P505" s="41">
        <f>IF(A505="","",IF(O505="",IF(J505="","",J505),IFERROR(AVERAGEIFS('Pesagens'!$C$6:$C$2005,'Pesagens'!$B$6:$B$2005,A505,'Pesagens'!$A$6:$A$2005,O505),"")))</f>
        <v/>
      </c>
      <c r="Q505" s="42">
        <f>IF(OR(A505="",O505="",I505="",J505=""),"",IFERROR((P505-J505)/(O505-I505),""))</f>
        <v/>
      </c>
    </row>
    <row r="506">
      <c r="A506" s="36" t="n"/>
      <c r="B506" s="32" t="n"/>
      <c r="C506" s="37" t="n"/>
      <c r="D506" s="31" t="n"/>
      <c r="E506" s="32" t="n"/>
      <c r="F506" s="32" t="n"/>
      <c r="G506" s="32" t="n"/>
      <c r="H506" s="36" t="n"/>
      <c r="I506" s="31" t="n"/>
      <c r="J506" s="38" t="n"/>
      <c r="K506" s="32" t="n"/>
      <c r="L506" s="34">
        <f>IF(OR(A506="",D506=""),"",IF(D506&gt;Config!$B$5,0,DATEDIF(D506,Config!$B$5,"m")))</f>
        <v/>
      </c>
      <c r="M506" s="39">
        <f>IF(A506="","",IF(K506&lt;&gt;"",K506,IF(OR(C506="",D506=""),"Sem dados",IFERROR(IF(C506="M",INDEX(Config!$B$11:$B$14,MATCH(L506,Config!$A$11:$A$14,1)),IF(C506="F",INDEX(Config!$C$11:$C$14,MATCH(L506,Config!$A$11:$A$14,1)),"Sem dados")),"Verificar"))))</f>
        <v/>
      </c>
      <c r="N506" s="39">
        <f>IF(A506="","",IF(COUNTIFS('Movimentações'!$C$6:$C$1505,A506,'Movimentações'!$B$6:$B$1505,"Venda")&gt;0,"Vendido",IF(COUNTIFS('Movimentações'!$C$6:$C$1505,A506,'Movimentações'!$B$6:$B$1505,"Morte")&gt;0,"Morto","Ativo")))</f>
        <v/>
      </c>
      <c r="O506" s="40">
        <f>IF(A506="","",IF(COUNTIF('Pesagens'!$B$6:$B$2005,A506)=0,"",SUMPRODUCT(MAX(('Pesagens'!$B$6:$B$2005=A506)*'Pesagens'!$A$6:$A$2005))))</f>
        <v/>
      </c>
      <c r="P506" s="41">
        <f>IF(A506="","",IF(O506="",IF(J506="","",J506),IFERROR(AVERAGEIFS('Pesagens'!$C$6:$C$2005,'Pesagens'!$B$6:$B$2005,A506,'Pesagens'!$A$6:$A$2005,O506),"")))</f>
        <v/>
      </c>
      <c r="Q506" s="42">
        <f>IF(OR(A506="",O506="",I506="",J506=""),"",IFERROR((P506-J506)/(O506-I506),""))</f>
        <v/>
      </c>
    </row>
    <row r="507">
      <c r="A507" s="36" t="n"/>
      <c r="B507" s="32" t="n"/>
      <c r="C507" s="37" t="n"/>
      <c r="D507" s="31" t="n"/>
      <c r="E507" s="32" t="n"/>
      <c r="F507" s="32" t="n"/>
      <c r="G507" s="32" t="n"/>
      <c r="H507" s="36" t="n"/>
      <c r="I507" s="31" t="n"/>
      <c r="J507" s="38" t="n"/>
      <c r="K507" s="32" t="n"/>
      <c r="L507" s="34">
        <f>IF(OR(A507="",D507=""),"",IF(D507&gt;Config!$B$5,0,DATEDIF(D507,Config!$B$5,"m")))</f>
        <v/>
      </c>
      <c r="M507" s="39">
        <f>IF(A507="","",IF(K507&lt;&gt;"",K507,IF(OR(C507="",D507=""),"Sem dados",IFERROR(IF(C507="M",INDEX(Config!$B$11:$B$14,MATCH(L507,Config!$A$11:$A$14,1)),IF(C507="F",INDEX(Config!$C$11:$C$14,MATCH(L507,Config!$A$11:$A$14,1)),"Sem dados")),"Verificar"))))</f>
        <v/>
      </c>
      <c r="N507" s="39">
        <f>IF(A507="","",IF(COUNTIFS('Movimentações'!$C$6:$C$1505,A507,'Movimentações'!$B$6:$B$1505,"Venda")&gt;0,"Vendido",IF(COUNTIFS('Movimentações'!$C$6:$C$1505,A507,'Movimentações'!$B$6:$B$1505,"Morte")&gt;0,"Morto","Ativo")))</f>
        <v/>
      </c>
      <c r="O507" s="40">
        <f>IF(A507="","",IF(COUNTIF('Pesagens'!$B$6:$B$2005,A507)=0,"",SUMPRODUCT(MAX(('Pesagens'!$B$6:$B$2005=A507)*'Pesagens'!$A$6:$A$2005))))</f>
        <v/>
      </c>
      <c r="P507" s="41">
        <f>IF(A507="","",IF(O507="",IF(J507="","",J507),IFERROR(AVERAGEIFS('Pesagens'!$C$6:$C$2005,'Pesagens'!$B$6:$B$2005,A507,'Pesagens'!$A$6:$A$2005,O507),"")))</f>
        <v/>
      </c>
      <c r="Q507" s="42">
        <f>IF(OR(A507="",O507="",I507="",J507=""),"",IFERROR((P507-J507)/(O507-I507),""))</f>
        <v/>
      </c>
    </row>
    <row r="508">
      <c r="A508" s="36" t="n"/>
      <c r="B508" s="32" t="n"/>
      <c r="C508" s="37" t="n"/>
      <c r="D508" s="31" t="n"/>
      <c r="E508" s="32" t="n"/>
      <c r="F508" s="32" t="n"/>
      <c r="G508" s="32" t="n"/>
      <c r="H508" s="36" t="n"/>
      <c r="I508" s="31" t="n"/>
      <c r="J508" s="38" t="n"/>
      <c r="K508" s="32" t="n"/>
      <c r="L508" s="34">
        <f>IF(OR(A508="",D508=""),"",IF(D508&gt;Config!$B$5,0,DATEDIF(D508,Config!$B$5,"m")))</f>
        <v/>
      </c>
      <c r="M508" s="39">
        <f>IF(A508="","",IF(K508&lt;&gt;"",K508,IF(OR(C508="",D508=""),"Sem dados",IFERROR(IF(C508="M",INDEX(Config!$B$11:$B$14,MATCH(L508,Config!$A$11:$A$14,1)),IF(C508="F",INDEX(Config!$C$11:$C$14,MATCH(L508,Config!$A$11:$A$14,1)),"Sem dados")),"Verificar"))))</f>
        <v/>
      </c>
      <c r="N508" s="39">
        <f>IF(A508="","",IF(COUNTIFS('Movimentações'!$C$6:$C$1505,A508,'Movimentações'!$B$6:$B$1505,"Venda")&gt;0,"Vendido",IF(COUNTIFS('Movimentações'!$C$6:$C$1505,A508,'Movimentações'!$B$6:$B$1505,"Morte")&gt;0,"Morto","Ativo")))</f>
        <v/>
      </c>
      <c r="O508" s="40">
        <f>IF(A508="","",IF(COUNTIF('Pesagens'!$B$6:$B$2005,A508)=0,"",SUMPRODUCT(MAX(('Pesagens'!$B$6:$B$2005=A508)*'Pesagens'!$A$6:$A$2005))))</f>
        <v/>
      </c>
      <c r="P508" s="41">
        <f>IF(A508="","",IF(O508="",IF(J508="","",J508),IFERROR(AVERAGEIFS('Pesagens'!$C$6:$C$2005,'Pesagens'!$B$6:$B$2005,A508,'Pesagens'!$A$6:$A$2005,O508),"")))</f>
        <v/>
      </c>
      <c r="Q508" s="42">
        <f>IF(OR(A508="",O508="",I508="",J508=""),"",IFERROR((P508-J508)/(O508-I508),""))</f>
        <v/>
      </c>
    </row>
    <row r="509">
      <c r="A509" s="36" t="n"/>
      <c r="B509" s="32" t="n"/>
      <c r="C509" s="37" t="n"/>
      <c r="D509" s="31" t="n"/>
      <c r="E509" s="32" t="n"/>
      <c r="F509" s="32" t="n"/>
      <c r="G509" s="32" t="n"/>
      <c r="H509" s="36" t="n"/>
      <c r="I509" s="31" t="n"/>
      <c r="J509" s="38" t="n"/>
      <c r="K509" s="32" t="n"/>
      <c r="L509" s="34">
        <f>IF(OR(A509="",D509=""),"",IF(D509&gt;Config!$B$5,0,DATEDIF(D509,Config!$B$5,"m")))</f>
        <v/>
      </c>
      <c r="M509" s="39">
        <f>IF(A509="","",IF(K509&lt;&gt;"",K509,IF(OR(C509="",D509=""),"Sem dados",IFERROR(IF(C509="M",INDEX(Config!$B$11:$B$14,MATCH(L509,Config!$A$11:$A$14,1)),IF(C509="F",INDEX(Config!$C$11:$C$14,MATCH(L509,Config!$A$11:$A$14,1)),"Sem dados")),"Verificar"))))</f>
        <v/>
      </c>
      <c r="N509" s="39">
        <f>IF(A509="","",IF(COUNTIFS('Movimentações'!$C$6:$C$1505,A509,'Movimentações'!$B$6:$B$1505,"Venda")&gt;0,"Vendido",IF(COUNTIFS('Movimentações'!$C$6:$C$1505,A509,'Movimentações'!$B$6:$B$1505,"Morte")&gt;0,"Morto","Ativo")))</f>
        <v/>
      </c>
      <c r="O509" s="40">
        <f>IF(A509="","",IF(COUNTIF('Pesagens'!$B$6:$B$2005,A509)=0,"",SUMPRODUCT(MAX(('Pesagens'!$B$6:$B$2005=A509)*'Pesagens'!$A$6:$A$2005))))</f>
        <v/>
      </c>
      <c r="P509" s="41">
        <f>IF(A509="","",IF(O509="",IF(J509="","",J509),IFERROR(AVERAGEIFS('Pesagens'!$C$6:$C$2005,'Pesagens'!$B$6:$B$2005,A509,'Pesagens'!$A$6:$A$2005,O509),"")))</f>
        <v/>
      </c>
      <c r="Q509" s="42">
        <f>IF(OR(A509="",O509="",I509="",J509=""),"",IFERROR((P509-J509)/(O509-I509),""))</f>
        <v/>
      </c>
    </row>
    <row r="510">
      <c r="A510" s="36" t="n"/>
      <c r="B510" s="32" t="n"/>
      <c r="C510" s="37" t="n"/>
      <c r="D510" s="31" t="n"/>
      <c r="E510" s="32" t="n"/>
      <c r="F510" s="32" t="n"/>
      <c r="G510" s="32" t="n"/>
      <c r="H510" s="36" t="n"/>
      <c r="I510" s="31" t="n"/>
      <c r="J510" s="38" t="n"/>
      <c r="K510" s="32" t="n"/>
      <c r="L510" s="34">
        <f>IF(OR(A510="",D510=""),"",IF(D510&gt;Config!$B$5,0,DATEDIF(D510,Config!$B$5,"m")))</f>
        <v/>
      </c>
      <c r="M510" s="39">
        <f>IF(A510="","",IF(K510&lt;&gt;"",K510,IF(OR(C510="",D510=""),"Sem dados",IFERROR(IF(C510="M",INDEX(Config!$B$11:$B$14,MATCH(L510,Config!$A$11:$A$14,1)),IF(C510="F",INDEX(Config!$C$11:$C$14,MATCH(L510,Config!$A$11:$A$14,1)),"Sem dados")),"Verificar"))))</f>
        <v/>
      </c>
      <c r="N510" s="39">
        <f>IF(A510="","",IF(COUNTIFS('Movimentações'!$C$6:$C$1505,A510,'Movimentações'!$B$6:$B$1505,"Venda")&gt;0,"Vendido",IF(COUNTIFS('Movimentações'!$C$6:$C$1505,A510,'Movimentações'!$B$6:$B$1505,"Morte")&gt;0,"Morto","Ativo")))</f>
        <v/>
      </c>
      <c r="O510" s="40">
        <f>IF(A510="","",IF(COUNTIF('Pesagens'!$B$6:$B$2005,A510)=0,"",SUMPRODUCT(MAX(('Pesagens'!$B$6:$B$2005=A510)*'Pesagens'!$A$6:$A$2005))))</f>
        <v/>
      </c>
      <c r="P510" s="41">
        <f>IF(A510="","",IF(O510="",IF(J510="","",J510),IFERROR(AVERAGEIFS('Pesagens'!$C$6:$C$2005,'Pesagens'!$B$6:$B$2005,A510,'Pesagens'!$A$6:$A$2005,O510),"")))</f>
        <v/>
      </c>
      <c r="Q510" s="42">
        <f>IF(OR(A510="",O510="",I510="",J510=""),"",IFERROR((P510-J510)/(O510-I510),""))</f>
        <v/>
      </c>
    </row>
    <row r="511">
      <c r="A511" s="36" t="n"/>
      <c r="B511" s="32" t="n"/>
      <c r="C511" s="37" t="n"/>
      <c r="D511" s="31" t="n"/>
      <c r="E511" s="32" t="n"/>
      <c r="F511" s="32" t="n"/>
      <c r="G511" s="32" t="n"/>
      <c r="H511" s="36" t="n"/>
      <c r="I511" s="31" t="n"/>
      <c r="J511" s="38" t="n"/>
      <c r="K511" s="32" t="n"/>
      <c r="L511" s="34">
        <f>IF(OR(A511="",D511=""),"",IF(D511&gt;Config!$B$5,0,DATEDIF(D511,Config!$B$5,"m")))</f>
        <v/>
      </c>
      <c r="M511" s="39">
        <f>IF(A511="","",IF(K511&lt;&gt;"",K511,IF(OR(C511="",D511=""),"Sem dados",IFERROR(IF(C511="M",INDEX(Config!$B$11:$B$14,MATCH(L511,Config!$A$11:$A$14,1)),IF(C511="F",INDEX(Config!$C$11:$C$14,MATCH(L511,Config!$A$11:$A$14,1)),"Sem dados")),"Verificar"))))</f>
        <v/>
      </c>
      <c r="N511" s="39">
        <f>IF(A511="","",IF(COUNTIFS('Movimentações'!$C$6:$C$1505,A511,'Movimentações'!$B$6:$B$1505,"Venda")&gt;0,"Vendido",IF(COUNTIFS('Movimentações'!$C$6:$C$1505,A511,'Movimentações'!$B$6:$B$1505,"Morte")&gt;0,"Morto","Ativo")))</f>
        <v/>
      </c>
      <c r="O511" s="40">
        <f>IF(A511="","",IF(COUNTIF('Pesagens'!$B$6:$B$2005,A511)=0,"",SUMPRODUCT(MAX(('Pesagens'!$B$6:$B$2005=A511)*'Pesagens'!$A$6:$A$2005))))</f>
        <v/>
      </c>
      <c r="P511" s="41">
        <f>IF(A511="","",IF(O511="",IF(J511="","",J511),IFERROR(AVERAGEIFS('Pesagens'!$C$6:$C$2005,'Pesagens'!$B$6:$B$2005,A511,'Pesagens'!$A$6:$A$2005,O511),"")))</f>
        <v/>
      </c>
      <c r="Q511" s="42">
        <f>IF(OR(A511="",O511="",I511="",J511=""),"",IFERROR((P511-J511)/(O511-I511),""))</f>
        <v/>
      </c>
    </row>
    <row r="512">
      <c r="A512" s="36" t="n"/>
      <c r="B512" s="32" t="n"/>
      <c r="C512" s="37" t="n"/>
      <c r="D512" s="31" t="n"/>
      <c r="E512" s="32" t="n"/>
      <c r="F512" s="32" t="n"/>
      <c r="G512" s="32" t="n"/>
      <c r="H512" s="36" t="n"/>
      <c r="I512" s="31" t="n"/>
      <c r="J512" s="38" t="n"/>
      <c r="K512" s="32" t="n"/>
      <c r="L512" s="34">
        <f>IF(OR(A512="",D512=""),"",IF(D512&gt;Config!$B$5,0,DATEDIF(D512,Config!$B$5,"m")))</f>
        <v/>
      </c>
      <c r="M512" s="39">
        <f>IF(A512="","",IF(K512&lt;&gt;"",K512,IF(OR(C512="",D512=""),"Sem dados",IFERROR(IF(C512="M",INDEX(Config!$B$11:$B$14,MATCH(L512,Config!$A$11:$A$14,1)),IF(C512="F",INDEX(Config!$C$11:$C$14,MATCH(L512,Config!$A$11:$A$14,1)),"Sem dados")),"Verificar"))))</f>
        <v/>
      </c>
      <c r="N512" s="39">
        <f>IF(A512="","",IF(COUNTIFS('Movimentações'!$C$6:$C$1505,A512,'Movimentações'!$B$6:$B$1505,"Venda")&gt;0,"Vendido",IF(COUNTIFS('Movimentações'!$C$6:$C$1505,A512,'Movimentações'!$B$6:$B$1505,"Morte")&gt;0,"Morto","Ativo")))</f>
        <v/>
      </c>
      <c r="O512" s="40">
        <f>IF(A512="","",IF(COUNTIF('Pesagens'!$B$6:$B$2005,A512)=0,"",SUMPRODUCT(MAX(('Pesagens'!$B$6:$B$2005=A512)*'Pesagens'!$A$6:$A$2005))))</f>
        <v/>
      </c>
      <c r="P512" s="41">
        <f>IF(A512="","",IF(O512="",IF(J512="","",J512),IFERROR(AVERAGEIFS('Pesagens'!$C$6:$C$2005,'Pesagens'!$B$6:$B$2005,A512,'Pesagens'!$A$6:$A$2005,O512),"")))</f>
        <v/>
      </c>
      <c r="Q512" s="42">
        <f>IF(OR(A512="",O512="",I512="",J512=""),"",IFERROR((P512-J512)/(O512-I512),""))</f>
        <v/>
      </c>
    </row>
    <row r="513">
      <c r="A513" s="36" t="n"/>
      <c r="B513" s="32" t="n"/>
      <c r="C513" s="37" t="n"/>
      <c r="D513" s="31" t="n"/>
      <c r="E513" s="32" t="n"/>
      <c r="F513" s="32" t="n"/>
      <c r="G513" s="32" t="n"/>
      <c r="H513" s="36" t="n"/>
      <c r="I513" s="31" t="n"/>
      <c r="J513" s="38" t="n"/>
      <c r="K513" s="32" t="n"/>
      <c r="L513" s="34">
        <f>IF(OR(A513="",D513=""),"",IF(D513&gt;Config!$B$5,0,DATEDIF(D513,Config!$B$5,"m")))</f>
        <v/>
      </c>
      <c r="M513" s="39">
        <f>IF(A513="","",IF(K513&lt;&gt;"",K513,IF(OR(C513="",D513=""),"Sem dados",IFERROR(IF(C513="M",INDEX(Config!$B$11:$B$14,MATCH(L513,Config!$A$11:$A$14,1)),IF(C513="F",INDEX(Config!$C$11:$C$14,MATCH(L513,Config!$A$11:$A$14,1)),"Sem dados")),"Verificar"))))</f>
        <v/>
      </c>
      <c r="N513" s="39">
        <f>IF(A513="","",IF(COUNTIFS('Movimentações'!$C$6:$C$1505,A513,'Movimentações'!$B$6:$B$1505,"Venda")&gt;0,"Vendido",IF(COUNTIFS('Movimentações'!$C$6:$C$1505,A513,'Movimentações'!$B$6:$B$1505,"Morte")&gt;0,"Morto","Ativo")))</f>
        <v/>
      </c>
      <c r="O513" s="40">
        <f>IF(A513="","",IF(COUNTIF('Pesagens'!$B$6:$B$2005,A513)=0,"",SUMPRODUCT(MAX(('Pesagens'!$B$6:$B$2005=A513)*'Pesagens'!$A$6:$A$2005))))</f>
        <v/>
      </c>
      <c r="P513" s="41">
        <f>IF(A513="","",IF(O513="",IF(J513="","",J513),IFERROR(AVERAGEIFS('Pesagens'!$C$6:$C$2005,'Pesagens'!$B$6:$B$2005,A513,'Pesagens'!$A$6:$A$2005,O513),"")))</f>
        <v/>
      </c>
      <c r="Q513" s="42">
        <f>IF(OR(A513="",O513="",I513="",J513=""),"",IFERROR((P513-J513)/(O513-I513),""))</f>
        <v/>
      </c>
    </row>
    <row r="514">
      <c r="A514" s="36" t="n"/>
      <c r="B514" s="32" t="n"/>
      <c r="C514" s="37" t="n"/>
      <c r="D514" s="31" t="n"/>
      <c r="E514" s="32" t="n"/>
      <c r="F514" s="32" t="n"/>
      <c r="G514" s="32" t="n"/>
      <c r="H514" s="36" t="n"/>
      <c r="I514" s="31" t="n"/>
      <c r="J514" s="38" t="n"/>
      <c r="K514" s="32" t="n"/>
      <c r="L514" s="34">
        <f>IF(OR(A514="",D514=""),"",IF(D514&gt;Config!$B$5,0,DATEDIF(D514,Config!$B$5,"m")))</f>
        <v/>
      </c>
      <c r="M514" s="39">
        <f>IF(A514="","",IF(K514&lt;&gt;"",K514,IF(OR(C514="",D514=""),"Sem dados",IFERROR(IF(C514="M",INDEX(Config!$B$11:$B$14,MATCH(L514,Config!$A$11:$A$14,1)),IF(C514="F",INDEX(Config!$C$11:$C$14,MATCH(L514,Config!$A$11:$A$14,1)),"Sem dados")),"Verificar"))))</f>
        <v/>
      </c>
      <c r="N514" s="39">
        <f>IF(A514="","",IF(COUNTIFS('Movimentações'!$C$6:$C$1505,A514,'Movimentações'!$B$6:$B$1505,"Venda")&gt;0,"Vendido",IF(COUNTIFS('Movimentações'!$C$6:$C$1505,A514,'Movimentações'!$B$6:$B$1505,"Morte")&gt;0,"Morto","Ativo")))</f>
        <v/>
      </c>
      <c r="O514" s="40">
        <f>IF(A514="","",IF(COUNTIF('Pesagens'!$B$6:$B$2005,A514)=0,"",SUMPRODUCT(MAX(('Pesagens'!$B$6:$B$2005=A514)*'Pesagens'!$A$6:$A$2005))))</f>
        <v/>
      </c>
      <c r="P514" s="41">
        <f>IF(A514="","",IF(O514="",IF(J514="","",J514),IFERROR(AVERAGEIFS('Pesagens'!$C$6:$C$2005,'Pesagens'!$B$6:$B$2005,A514,'Pesagens'!$A$6:$A$2005,O514),"")))</f>
        <v/>
      </c>
      <c r="Q514" s="42">
        <f>IF(OR(A514="",O514="",I514="",J514=""),"",IFERROR((P514-J514)/(O514-I514),""))</f>
        <v/>
      </c>
    </row>
    <row r="515">
      <c r="A515" s="36" t="n"/>
      <c r="B515" s="32" t="n"/>
      <c r="C515" s="37" t="n"/>
      <c r="D515" s="31" t="n"/>
      <c r="E515" s="32" t="n"/>
      <c r="F515" s="32" t="n"/>
      <c r="G515" s="32" t="n"/>
      <c r="H515" s="36" t="n"/>
      <c r="I515" s="31" t="n"/>
      <c r="J515" s="38" t="n"/>
      <c r="K515" s="32" t="n"/>
      <c r="L515" s="34">
        <f>IF(OR(A515="",D515=""),"",IF(D515&gt;Config!$B$5,0,DATEDIF(D515,Config!$B$5,"m")))</f>
        <v/>
      </c>
      <c r="M515" s="39">
        <f>IF(A515="","",IF(K515&lt;&gt;"",K515,IF(OR(C515="",D515=""),"Sem dados",IFERROR(IF(C515="M",INDEX(Config!$B$11:$B$14,MATCH(L515,Config!$A$11:$A$14,1)),IF(C515="F",INDEX(Config!$C$11:$C$14,MATCH(L515,Config!$A$11:$A$14,1)),"Sem dados")),"Verificar"))))</f>
        <v/>
      </c>
      <c r="N515" s="39">
        <f>IF(A515="","",IF(COUNTIFS('Movimentações'!$C$6:$C$1505,A515,'Movimentações'!$B$6:$B$1505,"Venda")&gt;0,"Vendido",IF(COUNTIFS('Movimentações'!$C$6:$C$1505,A515,'Movimentações'!$B$6:$B$1505,"Morte")&gt;0,"Morto","Ativo")))</f>
        <v/>
      </c>
      <c r="O515" s="40">
        <f>IF(A515="","",IF(COUNTIF('Pesagens'!$B$6:$B$2005,A515)=0,"",SUMPRODUCT(MAX(('Pesagens'!$B$6:$B$2005=A515)*'Pesagens'!$A$6:$A$2005))))</f>
        <v/>
      </c>
      <c r="P515" s="41">
        <f>IF(A515="","",IF(O515="",IF(J515="","",J515),IFERROR(AVERAGEIFS('Pesagens'!$C$6:$C$2005,'Pesagens'!$B$6:$B$2005,A515,'Pesagens'!$A$6:$A$2005,O515),"")))</f>
        <v/>
      </c>
      <c r="Q515" s="42">
        <f>IF(OR(A515="",O515="",I515="",J515=""),"",IFERROR((P515-J515)/(O515-I515),""))</f>
        <v/>
      </c>
    </row>
    <row r="516">
      <c r="A516" s="36" t="n"/>
      <c r="B516" s="32" t="n"/>
      <c r="C516" s="37" t="n"/>
      <c r="D516" s="31" t="n"/>
      <c r="E516" s="32" t="n"/>
      <c r="F516" s="32" t="n"/>
      <c r="G516" s="32" t="n"/>
      <c r="H516" s="36" t="n"/>
      <c r="I516" s="31" t="n"/>
      <c r="J516" s="38" t="n"/>
      <c r="K516" s="32" t="n"/>
      <c r="L516" s="34">
        <f>IF(OR(A516="",D516=""),"",IF(D516&gt;Config!$B$5,0,DATEDIF(D516,Config!$B$5,"m")))</f>
        <v/>
      </c>
      <c r="M516" s="39">
        <f>IF(A516="","",IF(K516&lt;&gt;"",K516,IF(OR(C516="",D516=""),"Sem dados",IFERROR(IF(C516="M",INDEX(Config!$B$11:$B$14,MATCH(L516,Config!$A$11:$A$14,1)),IF(C516="F",INDEX(Config!$C$11:$C$14,MATCH(L516,Config!$A$11:$A$14,1)),"Sem dados")),"Verificar"))))</f>
        <v/>
      </c>
      <c r="N516" s="39">
        <f>IF(A516="","",IF(COUNTIFS('Movimentações'!$C$6:$C$1505,A516,'Movimentações'!$B$6:$B$1505,"Venda")&gt;0,"Vendido",IF(COUNTIFS('Movimentações'!$C$6:$C$1505,A516,'Movimentações'!$B$6:$B$1505,"Morte")&gt;0,"Morto","Ativo")))</f>
        <v/>
      </c>
      <c r="O516" s="40">
        <f>IF(A516="","",IF(COUNTIF('Pesagens'!$B$6:$B$2005,A516)=0,"",SUMPRODUCT(MAX(('Pesagens'!$B$6:$B$2005=A516)*'Pesagens'!$A$6:$A$2005))))</f>
        <v/>
      </c>
      <c r="P516" s="41">
        <f>IF(A516="","",IF(O516="",IF(J516="","",J516),IFERROR(AVERAGEIFS('Pesagens'!$C$6:$C$2005,'Pesagens'!$B$6:$B$2005,A516,'Pesagens'!$A$6:$A$2005,O516),"")))</f>
        <v/>
      </c>
      <c r="Q516" s="42">
        <f>IF(OR(A516="",O516="",I516="",J516=""),"",IFERROR((P516-J516)/(O516-I516),""))</f>
        <v/>
      </c>
    </row>
    <row r="517">
      <c r="A517" s="36" t="n"/>
      <c r="B517" s="32" t="n"/>
      <c r="C517" s="37" t="n"/>
      <c r="D517" s="31" t="n"/>
      <c r="E517" s="32" t="n"/>
      <c r="F517" s="32" t="n"/>
      <c r="G517" s="32" t="n"/>
      <c r="H517" s="36" t="n"/>
      <c r="I517" s="31" t="n"/>
      <c r="J517" s="38" t="n"/>
      <c r="K517" s="32" t="n"/>
      <c r="L517" s="34">
        <f>IF(OR(A517="",D517=""),"",IF(D517&gt;Config!$B$5,0,DATEDIF(D517,Config!$B$5,"m")))</f>
        <v/>
      </c>
      <c r="M517" s="39">
        <f>IF(A517="","",IF(K517&lt;&gt;"",K517,IF(OR(C517="",D517=""),"Sem dados",IFERROR(IF(C517="M",INDEX(Config!$B$11:$B$14,MATCH(L517,Config!$A$11:$A$14,1)),IF(C517="F",INDEX(Config!$C$11:$C$14,MATCH(L517,Config!$A$11:$A$14,1)),"Sem dados")),"Verificar"))))</f>
        <v/>
      </c>
      <c r="N517" s="39">
        <f>IF(A517="","",IF(COUNTIFS('Movimentações'!$C$6:$C$1505,A517,'Movimentações'!$B$6:$B$1505,"Venda")&gt;0,"Vendido",IF(COUNTIFS('Movimentações'!$C$6:$C$1505,A517,'Movimentações'!$B$6:$B$1505,"Morte")&gt;0,"Morto","Ativo")))</f>
        <v/>
      </c>
      <c r="O517" s="40">
        <f>IF(A517="","",IF(COUNTIF('Pesagens'!$B$6:$B$2005,A517)=0,"",SUMPRODUCT(MAX(('Pesagens'!$B$6:$B$2005=A517)*'Pesagens'!$A$6:$A$2005))))</f>
        <v/>
      </c>
      <c r="P517" s="41">
        <f>IF(A517="","",IF(O517="",IF(J517="","",J517),IFERROR(AVERAGEIFS('Pesagens'!$C$6:$C$2005,'Pesagens'!$B$6:$B$2005,A517,'Pesagens'!$A$6:$A$2005,O517),"")))</f>
        <v/>
      </c>
      <c r="Q517" s="42">
        <f>IF(OR(A517="",O517="",I517="",J517=""),"",IFERROR((P517-J517)/(O517-I517),""))</f>
        <v/>
      </c>
    </row>
    <row r="518">
      <c r="A518" s="36" t="n"/>
      <c r="B518" s="32" t="n"/>
      <c r="C518" s="37" t="n"/>
      <c r="D518" s="31" t="n"/>
      <c r="E518" s="32" t="n"/>
      <c r="F518" s="32" t="n"/>
      <c r="G518" s="32" t="n"/>
      <c r="H518" s="36" t="n"/>
      <c r="I518" s="31" t="n"/>
      <c r="J518" s="38" t="n"/>
      <c r="K518" s="32" t="n"/>
      <c r="L518" s="34">
        <f>IF(OR(A518="",D518=""),"",IF(D518&gt;Config!$B$5,0,DATEDIF(D518,Config!$B$5,"m")))</f>
        <v/>
      </c>
      <c r="M518" s="39">
        <f>IF(A518="","",IF(K518&lt;&gt;"",K518,IF(OR(C518="",D518=""),"Sem dados",IFERROR(IF(C518="M",INDEX(Config!$B$11:$B$14,MATCH(L518,Config!$A$11:$A$14,1)),IF(C518="F",INDEX(Config!$C$11:$C$14,MATCH(L518,Config!$A$11:$A$14,1)),"Sem dados")),"Verificar"))))</f>
        <v/>
      </c>
      <c r="N518" s="39">
        <f>IF(A518="","",IF(COUNTIFS('Movimentações'!$C$6:$C$1505,A518,'Movimentações'!$B$6:$B$1505,"Venda")&gt;0,"Vendido",IF(COUNTIFS('Movimentações'!$C$6:$C$1505,A518,'Movimentações'!$B$6:$B$1505,"Morte")&gt;0,"Morto","Ativo")))</f>
        <v/>
      </c>
      <c r="O518" s="40">
        <f>IF(A518="","",IF(COUNTIF('Pesagens'!$B$6:$B$2005,A518)=0,"",SUMPRODUCT(MAX(('Pesagens'!$B$6:$B$2005=A518)*'Pesagens'!$A$6:$A$2005))))</f>
        <v/>
      </c>
      <c r="P518" s="41">
        <f>IF(A518="","",IF(O518="",IF(J518="","",J518),IFERROR(AVERAGEIFS('Pesagens'!$C$6:$C$2005,'Pesagens'!$B$6:$B$2005,A518,'Pesagens'!$A$6:$A$2005,O518),"")))</f>
        <v/>
      </c>
      <c r="Q518" s="42">
        <f>IF(OR(A518="",O518="",I518="",J518=""),"",IFERROR((P518-J518)/(O518-I518),""))</f>
        <v/>
      </c>
    </row>
    <row r="519">
      <c r="A519" s="36" t="n"/>
      <c r="B519" s="32" t="n"/>
      <c r="C519" s="37" t="n"/>
      <c r="D519" s="31" t="n"/>
      <c r="E519" s="32" t="n"/>
      <c r="F519" s="32" t="n"/>
      <c r="G519" s="32" t="n"/>
      <c r="H519" s="36" t="n"/>
      <c r="I519" s="31" t="n"/>
      <c r="J519" s="38" t="n"/>
      <c r="K519" s="32" t="n"/>
      <c r="L519" s="34">
        <f>IF(OR(A519="",D519=""),"",IF(D519&gt;Config!$B$5,0,DATEDIF(D519,Config!$B$5,"m")))</f>
        <v/>
      </c>
      <c r="M519" s="39">
        <f>IF(A519="","",IF(K519&lt;&gt;"",K519,IF(OR(C519="",D519=""),"Sem dados",IFERROR(IF(C519="M",INDEX(Config!$B$11:$B$14,MATCH(L519,Config!$A$11:$A$14,1)),IF(C519="F",INDEX(Config!$C$11:$C$14,MATCH(L519,Config!$A$11:$A$14,1)),"Sem dados")),"Verificar"))))</f>
        <v/>
      </c>
      <c r="N519" s="39">
        <f>IF(A519="","",IF(COUNTIFS('Movimentações'!$C$6:$C$1505,A519,'Movimentações'!$B$6:$B$1505,"Venda")&gt;0,"Vendido",IF(COUNTIFS('Movimentações'!$C$6:$C$1505,A519,'Movimentações'!$B$6:$B$1505,"Morte")&gt;0,"Morto","Ativo")))</f>
        <v/>
      </c>
      <c r="O519" s="40">
        <f>IF(A519="","",IF(COUNTIF('Pesagens'!$B$6:$B$2005,A519)=0,"",SUMPRODUCT(MAX(('Pesagens'!$B$6:$B$2005=A519)*'Pesagens'!$A$6:$A$2005))))</f>
        <v/>
      </c>
      <c r="P519" s="41">
        <f>IF(A519="","",IF(O519="",IF(J519="","",J519),IFERROR(AVERAGEIFS('Pesagens'!$C$6:$C$2005,'Pesagens'!$B$6:$B$2005,A519,'Pesagens'!$A$6:$A$2005,O519),"")))</f>
        <v/>
      </c>
      <c r="Q519" s="42">
        <f>IF(OR(A519="",O519="",I519="",J519=""),"",IFERROR((P519-J519)/(O519-I519),""))</f>
        <v/>
      </c>
    </row>
    <row r="520">
      <c r="A520" s="36" t="n"/>
      <c r="B520" s="32" t="n"/>
      <c r="C520" s="37" t="n"/>
      <c r="D520" s="31" t="n"/>
      <c r="E520" s="32" t="n"/>
      <c r="F520" s="32" t="n"/>
      <c r="G520" s="32" t="n"/>
      <c r="H520" s="36" t="n"/>
      <c r="I520" s="31" t="n"/>
      <c r="J520" s="38" t="n"/>
      <c r="K520" s="32" t="n"/>
      <c r="L520" s="34">
        <f>IF(OR(A520="",D520=""),"",IF(D520&gt;Config!$B$5,0,DATEDIF(D520,Config!$B$5,"m")))</f>
        <v/>
      </c>
      <c r="M520" s="39">
        <f>IF(A520="","",IF(K520&lt;&gt;"",K520,IF(OR(C520="",D520=""),"Sem dados",IFERROR(IF(C520="M",INDEX(Config!$B$11:$B$14,MATCH(L520,Config!$A$11:$A$14,1)),IF(C520="F",INDEX(Config!$C$11:$C$14,MATCH(L520,Config!$A$11:$A$14,1)),"Sem dados")),"Verificar"))))</f>
        <v/>
      </c>
      <c r="N520" s="39">
        <f>IF(A520="","",IF(COUNTIFS('Movimentações'!$C$6:$C$1505,A520,'Movimentações'!$B$6:$B$1505,"Venda")&gt;0,"Vendido",IF(COUNTIFS('Movimentações'!$C$6:$C$1505,A520,'Movimentações'!$B$6:$B$1505,"Morte")&gt;0,"Morto","Ativo")))</f>
        <v/>
      </c>
      <c r="O520" s="40">
        <f>IF(A520="","",IF(COUNTIF('Pesagens'!$B$6:$B$2005,A520)=0,"",SUMPRODUCT(MAX(('Pesagens'!$B$6:$B$2005=A520)*'Pesagens'!$A$6:$A$2005))))</f>
        <v/>
      </c>
      <c r="P520" s="41">
        <f>IF(A520="","",IF(O520="",IF(J520="","",J520),IFERROR(AVERAGEIFS('Pesagens'!$C$6:$C$2005,'Pesagens'!$B$6:$B$2005,A520,'Pesagens'!$A$6:$A$2005,O520),"")))</f>
        <v/>
      </c>
      <c r="Q520" s="42">
        <f>IF(OR(A520="",O520="",I520="",J520=""),"",IFERROR((P520-J520)/(O520-I520),""))</f>
        <v/>
      </c>
    </row>
    <row r="521">
      <c r="A521" s="36" t="n"/>
      <c r="B521" s="32" t="n"/>
      <c r="C521" s="37" t="n"/>
      <c r="D521" s="31" t="n"/>
      <c r="E521" s="32" t="n"/>
      <c r="F521" s="32" t="n"/>
      <c r="G521" s="32" t="n"/>
      <c r="H521" s="36" t="n"/>
      <c r="I521" s="31" t="n"/>
      <c r="J521" s="38" t="n"/>
      <c r="K521" s="32" t="n"/>
      <c r="L521" s="34">
        <f>IF(OR(A521="",D521=""),"",IF(D521&gt;Config!$B$5,0,DATEDIF(D521,Config!$B$5,"m")))</f>
        <v/>
      </c>
      <c r="M521" s="39">
        <f>IF(A521="","",IF(K521&lt;&gt;"",K521,IF(OR(C521="",D521=""),"Sem dados",IFERROR(IF(C521="M",INDEX(Config!$B$11:$B$14,MATCH(L521,Config!$A$11:$A$14,1)),IF(C521="F",INDEX(Config!$C$11:$C$14,MATCH(L521,Config!$A$11:$A$14,1)),"Sem dados")),"Verificar"))))</f>
        <v/>
      </c>
      <c r="N521" s="39">
        <f>IF(A521="","",IF(COUNTIFS('Movimentações'!$C$6:$C$1505,A521,'Movimentações'!$B$6:$B$1505,"Venda")&gt;0,"Vendido",IF(COUNTIFS('Movimentações'!$C$6:$C$1505,A521,'Movimentações'!$B$6:$B$1505,"Morte")&gt;0,"Morto","Ativo")))</f>
        <v/>
      </c>
      <c r="O521" s="40">
        <f>IF(A521="","",IF(COUNTIF('Pesagens'!$B$6:$B$2005,A521)=0,"",SUMPRODUCT(MAX(('Pesagens'!$B$6:$B$2005=A521)*'Pesagens'!$A$6:$A$2005))))</f>
        <v/>
      </c>
      <c r="P521" s="41">
        <f>IF(A521="","",IF(O521="",IF(J521="","",J521),IFERROR(AVERAGEIFS('Pesagens'!$C$6:$C$2005,'Pesagens'!$B$6:$B$2005,A521,'Pesagens'!$A$6:$A$2005,O521),"")))</f>
        <v/>
      </c>
      <c r="Q521" s="42">
        <f>IF(OR(A521="",O521="",I521="",J521=""),"",IFERROR((P521-J521)/(O521-I521),""))</f>
        <v/>
      </c>
    </row>
    <row r="522">
      <c r="A522" s="36" t="n"/>
      <c r="B522" s="32" t="n"/>
      <c r="C522" s="37" t="n"/>
      <c r="D522" s="31" t="n"/>
      <c r="E522" s="32" t="n"/>
      <c r="F522" s="32" t="n"/>
      <c r="G522" s="32" t="n"/>
      <c r="H522" s="36" t="n"/>
      <c r="I522" s="31" t="n"/>
      <c r="J522" s="38" t="n"/>
      <c r="K522" s="32" t="n"/>
      <c r="L522" s="34">
        <f>IF(OR(A522="",D522=""),"",IF(D522&gt;Config!$B$5,0,DATEDIF(D522,Config!$B$5,"m")))</f>
        <v/>
      </c>
      <c r="M522" s="39">
        <f>IF(A522="","",IF(K522&lt;&gt;"",K522,IF(OR(C522="",D522=""),"Sem dados",IFERROR(IF(C522="M",INDEX(Config!$B$11:$B$14,MATCH(L522,Config!$A$11:$A$14,1)),IF(C522="F",INDEX(Config!$C$11:$C$14,MATCH(L522,Config!$A$11:$A$14,1)),"Sem dados")),"Verificar"))))</f>
        <v/>
      </c>
      <c r="N522" s="39">
        <f>IF(A522="","",IF(COUNTIFS('Movimentações'!$C$6:$C$1505,A522,'Movimentações'!$B$6:$B$1505,"Venda")&gt;0,"Vendido",IF(COUNTIFS('Movimentações'!$C$6:$C$1505,A522,'Movimentações'!$B$6:$B$1505,"Morte")&gt;0,"Morto","Ativo")))</f>
        <v/>
      </c>
      <c r="O522" s="40">
        <f>IF(A522="","",IF(COUNTIF('Pesagens'!$B$6:$B$2005,A522)=0,"",SUMPRODUCT(MAX(('Pesagens'!$B$6:$B$2005=A522)*'Pesagens'!$A$6:$A$2005))))</f>
        <v/>
      </c>
      <c r="P522" s="41">
        <f>IF(A522="","",IF(O522="",IF(J522="","",J522),IFERROR(AVERAGEIFS('Pesagens'!$C$6:$C$2005,'Pesagens'!$B$6:$B$2005,A522,'Pesagens'!$A$6:$A$2005,O522),"")))</f>
        <v/>
      </c>
      <c r="Q522" s="42">
        <f>IF(OR(A522="",O522="",I522="",J522=""),"",IFERROR((P522-J522)/(O522-I522),""))</f>
        <v/>
      </c>
    </row>
    <row r="523">
      <c r="A523" s="36" t="n"/>
      <c r="B523" s="32" t="n"/>
      <c r="C523" s="37" t="n"/>
      <c r="D523" s="31" t="n"/>
      <c r="E523" s="32" t="n"/>
      <c r="F523" s="32" t="n"/>
      <c r="G523" s="32" t="n"/>
      <c r="H523" s="36" t="n"/>
      <c r="I523" s="31" t="n"/>
      <c r="J523" s="38" t="n"/>
      <c r="K523" s="32" t="n"/>
      <c r="L523" s="34">
        <f>IF(OR(A523="",D523=""),"",IF(D523&gt;Config!$B$5,0,DATEDIF(D523,Config!$B$5,"m")))</f>
        <v/>
      </c>
      <c r="M523" s="39">
        <f>IF(A523="","",IF(K523&lt;&gt;"",K523,IF(OR(C523="",D523=""),"Sem dados",IFERROR(IF(C523="M",INDEX(Config!$B$11:$B$14,MATCH(L523,Config!$A$11:$A$14,1)),IF(C523="F",INDEX(Config!$C$11:$C$14,MATCH(L523,Config!$A$11:$A$14,1)),"Sem dados")),"Verificar"))))</f>
        <v/>
      </c>
      <c r="N523" s="39">
        <f>IF(A523="","",IF(COUNTIFS('Movimentações'!$C$6:$C$1505,A523,'Movimentações'!$B$6:$B$1505,"Venda")&gt;0,"Vendido",IF(COUNTIFS('Movimentações'!$C$6:$C$1505,A523,'Movimentações'!$B$6:$B$1505,"Morte")&gt;0,"Morto","Ativo")))</f>
        <v/>
      </c>
      <c r="O523" s="40">
        <f>IF(A523="","",IF(COUNTIF('Pesagens'!$B$6:$B$2005,A523)=0,"",SUMPRODUCT(MAX(('Pesagens'!$B$6:$B$2005=A523)*'Pesagens'!$A$6:$A$2005))))</f>
        <v/>
      </c>
      <c r="P523" s="41">
        <f>IF(A523="","",IF(O523="",IF(J523="","",J523),IFERROR(AVERAGEIFS('Pesagens'!$C$6:$C$2005,'Pesagens'!$B$6:$B$2005,A523,'Pesagens'!$A$6:$A$2005,O523),"")))</f>
        <v/>
      </c>
      <c r="Q523" s="42">
        <f>IF(OR(A523="",O523="",I523="",J523=""),"",IFERROR((P523-J523)/(O523-I523),""))</f>
        <v/>
      </c>
    </row>
    <row r="524">
      <c r="A524" s="36" t="n"/>
      <c r="B524" s="32" t="n"/>
      <c r="C524" s="37" t="n"/>
      <c r="D524" s="31" t="n"/>
      <c r="E524" s="32" t="n"/>
      <c r="F524" s="32" t="n"/>
      <c r="G524" s="32" t="n"/>
      <c r="H524" s="36" t="n"/>
      <c r="I524" s="31" t="n"/>
      <c r="J524" s="38" t="n"/>
      <c r="K524" s="32" t="n"/>
      <c r="L524" s="34">
        <f>IF(OR(A524="",D524=""),"",IF(D524&gt;Config!$B$5,0,DATEDIF(D524,Config!$B$5,"m")))</f>
        <v/>
      </c>
      <c r="M524" s="39">
        <f>IF(A524="","",IF(K524&lt;&gt;"",K524,IF(OR(C524="",D524=""),"Sem dados",IFERROR(IF(C524="M",INDEX(Config!$B$11:$B$14,MATCH(L524,Config!$A$11:$A$14,1)),IF(C524="F",INDEX(Config!$C$11:$C$14,MATCH(L524,Config!$A$11:$A$14,1)),"Sem dados")),"Verificar"))))</f>
        <v/>
      </c>
      <c r="N524" s="39">
        <f>IF(A524="","",IF(COUNTIFS('Movimentações'!$C$6:$C$1505,A524,'Movimentações'!$B$6:$B$1505,"Venda")&gt;0,"Vendido",IF(COUNTIFS('Movimentações'!$C$6:$C$1505,A524,'Movimentações'!$B$6:$B$1505,"Morte")&gt;0,"Morto","Ativo")))</f>
        <v/>
      </c>
      <c r="O524" s="40">
        <f>IF(A524="","",IF(COUNTIF('Pesagens'!$B$6:$B$2005,A524)=0,"",SUMPRODUCT(MAX(('Pesagens'!$B$6:$B$2005=A524)*'Pesagens'!$A$6:$A$2005))))</f>
        <v/>
      </c>
      <c r="P524" s="41">
        <f>IF(A524="","",IF(O524="",IF(J524="","",J524),IFERROR(AVERAGEIFS('Pesagens'!$C$6:$C$2005,'Pesagens'!$B$6:$B$2005,A524,'Pesagens'!$A$6:$A$2005,O524),"")))</f>
        <v/>
      </c>
      <c r="Q524" s="42">
        <f>IF(OR(A524="",O524="",I524="",J524=""),"",IFERROR((P524-J524)/(O524-I524),""))</f>
        <v/>
      </c>
    </row>
    <row r="525">
      <c r="A525" s="36" t="n"/>
      <c r="B525" s="32" t="n"/>
      <c r="C525" s="37" t="n"/>
      <c r="D525" s="31" t="n"/>
      <c r="E525" s="32" t="n"/>
      <c r="F525" s="32" t="n"/>
      <c r="G525" s="32" t="n"/>
      <c r="H525" s="36" t="n"/>
      <c r="I525" s="31" t="n"/>
      <c r="J525" s="38" t="n"/>
      <c r="K525" s="32" t="n"/>
      <c r="L525" s="34">
        <f>IF(OR(A525="",D525=""),"",IF(D525&gt;Config!$B$5,0,DATEDIF(D525,Config!$B$5,"m")))</f>
        <v/>
      </c>
      <c r="M525" s="39">
        <f>IF(A525="","",IF(K525&lt;&gt;"",K525,IF(OR(C525="",D525=""),"Sem dados",IFERROR(IF(C525="M",INDEX(Config!$B$11:$B$14,MATCH(L525,Config!$A$11:$A$14,1)),IF(C525="F",INDEX(Config!$C$11:$C$14,MATCH(L525,Config!$A$11:$A$14,1)),"Sem dados")),"Verificar"))))</f>
        <v/>
      </c>
      <c r="N525" s="39">
        <f>IF(A525="","",IF(COUNTIFS('Movimentações'!$C$6:$C$1505,A525,'Movimentações'!$B$6:$B$1505,"Venda")&gt;0,"Vendido",IF(COUNTIFS('Movimentações'!$C$6:$C$1505,A525,'Movimentações'!$B$6:$B$1505,"Morte")&gt;0,"Morto","Ativo")))</f>
        <v/>
      </c>
      <c r="O525" s="40">
        <f>IF(A525="","",IF(COUNTIF('Pesagens'!$B$6:$B$2005,A525)=0,"",SUMPRODUCT(MAX(('Pesagens'!$B$6:$B$2005=A525)*'Pesagens'!$A$6:$A$2005))))</f>
        <v/>
      </c>
      <c r="P525" s="41">
        <f>IF(A525="","",IF(O525="",IF(J525="","",J525),IFERROR(AVERAGEIFS('Pesagens'!$C$6:$C$2005,'Pesagens'!$B$6:$B$2005,A525,'Pesagens'!$A$6:$A$2005,O525),"")))</f>
        <v/>
      </c>
      <c r="Q525" s="42">
        <f>IF(OR(A525="",O525="",I525="",J525=""),"",IFERROR((P525-J525)/(O525-I525),""))</f>
        <v/>
      </c>
    </row>
    <row r="526">
      <c r="A526" s="36" t="n"/>
      <c r="B526" s="32" t="n"/>
      <c r="C526" s="37" t="n"/>
      <c r="D526" s="31" t="n"/>
      <c r="E526" s="32" t="n"/>
      <c r="F526" s="32" t="n"/>
      <c r="G526" s="32" t="n"/>
      <c r="H526" s="36" t="n"/>
      <c r="I526" s="31" t="n"/>
      <c r="J526" s="38" t="n"/>
      <c r="K526" s="32" t="n"/>
      <c r="L526" s="34">
        <f>IF(OR(A526="",D526=""),"",IF(D526&gt;Config!$B$5,0,DATEDIF(D526,Config!$B$5,"m")))</f>
        <v/>
      </c>
      <c r="M526" s="39">
        <f>IF(A526="","",IF(K526&lt;&gt;"",K526,IF(OR(C526="",D526=""),"Sem dados",IFERROR(IF(C526="M",INDEX(Config!$B$11:$B$14,MATCH(L526,Config!$A$11:$A$14,1)),IF(C526="F",INDEX(Config!$C$11:$C$14,MATCH(L526,Config!$A$11:$A$14,1)),"Sem dados")),"Verificar"))))</f>
        <v/>
      </c>
      <c r="N526" s="39">
        <f>IF(A526="","",IF(COUNTIFS('Movimentações'!$C$6:$C$1505,A526,'Movimentações'!$B$6:$B$1505,"Venda")&gt;0,"Vendido",IF(COUNTIFS('Movimentações'!$C$6:$C$1505,A526,'Movimentações'!$B$6:$B$1505,"Morte")&gt;0,"Morto","Ativo")))</f>
        <v/>
      </c>
      <c r="O526" s="40">
        <f>IF(A526="","",IF(COUNTIF('Pesagens'!$B$6:$B$2005,A526)=0,"",SUMPRODUCT(MAX(('Pesagens'!$B$6:$B$2005=A526)*'Pesagens'!$A$6:$A$2005))))</f>
        <v/>
      </c>
      <c r="P526" s="41">
        <f>IF(A526="","",IF(O526="",IF(J526="","",J526),IFERROR(AVERAGEIFS('Pesagens'!$C$6:$C$2005,'Pesagens'!$B$6:$B$2005,A526,'Pesagens'!$A$6:$A$2005,O526),"")))</f>
        <v/>
      </c>
      <c r="Q526" s="42">
        <f>IF(OR(A526="",O526="",I526="",J526=""),"",IFERROR((P526-J526)/(O526-I526),""))</f>
        <v/>
      </c>
    </row>
    <row r="527">
      <c r="A527" s="36" t="n"/>
      <c r="B527" s="32" t="n"/>
      <c r="C527" s="37" t="n"/>
      <c r="D527" s="31" t="n"/>
      <c r="E527" s="32" t="n"/>
      <c r="F527" s="32" t="n"/>
      <c r="G527" s="32" t="n"/>
      <c r="H527" s="36" t="n"/>
      <c r="I527" s="31" t="n"/>
      <c r="J527" s="38" t="n"/>
      <c r="K527" s="32" t="n"/>
      <c r="L527" s="34">
        <f>IF(OR(A527="",D527=""),"",IF(D527&gt;Config!$B$5,0,DATEDIF(D527,Config!$B$5,"m")))</f>
        <v/>
      </c>
      <c r="M527" s="39">
        <f>IF(A527="","",IF(K527&lt;&gt;"",K527,IF(OR(C527="",D527=""),"Sem dados",IFERROR(IF(C527="M",INDEX(Config!$B$11:$B$14,MATCH(L527,Config!$A$11:$A$14,1)),IF(C527="F",INDEX(Config!$C$11:$C$14,MATCH(L527,Config!$A$11:$A$14,1)),"Sem dados")),"Verificar"))))</f>
        <v/>
      </c>
      <c r="N527" s="39">
        <f>IF(A527="","",IF(COUNTIFS('Movimentações'!$C$6:$C$1505,A527,'Movimentações'!$B$6:$B$1505,"Venda")&gt;0,"Vendido",IF(COUNTIFS('Movimentações'!$C$6:$C$1505,A527,'Movimentações'!$B$6:$B$1505,"Morte")&gt;0,"Morto","Ativo")))</f>
        <v/>
      </c>
      <c r="O527" s="40">
        <f>IF(A527="","",IF(COUNTIF('Pesagens'!$B$6:$B$2005,A527)=0,"",SUMPRODUCT(MAX(('Pesagens'!$B$6:$B$2005=A527)*'Pesagens'!$A$6:$A$2005))))</f>
        <v/>
      </c>
      <c r="P527" s="41">
        <f>IF(A527="","",IF(O527="",IF(J527="","",J527),IFERROR(AVERAGEIFS('Pesagens'!$C$6:$C$2005,'Pesagens'!$B$6:$B$2005,A527,'Pesagens'!$A$6:$A$2005,O527),"")))</f>
        <v/>
      </c>
      <c r="Q527" s="42">
        <f>IF(OR(A527="",O527="",I527="",J527=""),"",IFERROR((P527-J527)/(O527-I527),""))</f>
        <v/>
      </c>
    </row>
    <row r="528">
      <c r="A528" s="36" t="n"/>
      <c r="B528" s="32" t="n"/>
      <c r="C528" s="37" t="n"/>
      <c r="D528" s="31" t="n"/>
      <c r="E528" s="32" t="n"/>
      <c r="F528" s="32" t="n"/>
      <c r="G528" s="32" t="n"/>
      <c r="H528" s="36" t="n"/>
      <c r="I528" s="31" t="n"/>
      <c r="J528" s="38" t="n"/>
      <c r="K528" s="32" t="n"/>
      <c r="L528" s="34">
        <f>IF(OR(A528="",D528=""),"",IF(D528&gt;Config!$B$5,0,DATEDIF(D528,Config!$B$5,"m")))</f>
        <v/>
      </c>
      <c r="M528" s="39">
        <f>IF(A528="","",IF(K528&lt;&gt;"",K528,IF(OR(C528="",D528=""),"Sem dados",IFERROR(IF(C528="M",INDEX(Config!$B$11:$B$14,MATCH(L528,Config!$A$11:$A$14,1)),IF(C528="F",INDEX(Config!$C$11:$C$14,MATCH(L528,Config!$A$11:$A$14,1)),"Sem dados")),"Verificar"))))</f>
        <v/>
      </c>
      <c r="N528" s="39">
        <f>IF(A528="","",IF(COUNTIFS('Movimentações'!$C$6:$C$1505,A528,'Movimentações'!$B$6:$B$1505,"Venda")&gt;0,"Vendido",IF(COUNTIFS('Movimentações'!$C$6:$C$1505,A528,'Movimentações'!$B$6:$B$1505,"Morte")&gt;0,"Morto","Ativo")))</f>
        <v/>
      </c>
      <c r="O528" s="40">
        <f>IF(A528="","",IF(COUNTIF('Pesagens'!$B$6:$B$2005,A528)=0,"",SUMPRODUCT(MAX(('Pesagens'!$B$6:$B$2005=A528)*'Pesagens'!$A$6:$A$2005))))</f>
        <v/>
      </c>
      <c r="P528" s="41">
        <f>IF(A528="","",IF(O528="",IF(J528="","",J528),IFERROR(AVERAGEIFS('Pesagens'!$C$6:$C$2005,'Pesagens'!$B$6:$B$2005,A528,'Pesagens'!$A$6:$A$2005,O528),"")))</f>
        <v/>
      </c>
      <c r="Q528" s="42">
        <f>IF(OR(A528="",O528="",I528="",J528=""),"",IFERROR((P528-J528)/(O528-I528),""))</f>
        <v/>
      </c>
    </row>
    <row r="529">
      <c r="A529" s="36" t="n"/>
      <c r="B529" s="32" t="n"/>
      <c r="C529" s="37" t="n"/>
      <c r="D529" s="31" t="n"/>
      <c r="E529" s="32" t="n"/>
      <c r="F529" s="32" t="n"/>
      <c r="G529" s="32" t="n"/>
      <c r="H529" s="36" t="n"/>
      <c r="I529" s="31" t="n"/>
      <c r="J529" s="38" t="n"/>
      <c r="K529" s="32" t="n"/>
      <c r="L529" s="34">
        <f>IF(OR(A529="",D529=""),"",IF(D529&gt;Config!$B$5,0,DATEDIF(D529,Config!$B$5,"m")))</f>
        <v/>
      </c>
      <c r="M529" s="39">
        <f>IF(A529="","",IF(K529&lt;&gt;"",K529,IF(OR(C529="",D529=""),"Sem dados",IFERROR(IF(C529="M",INDEX(Config!$B$11:$B$14,MATCH(L529,Config!$A$11:$A$14,1)),IF(C529="F",INDEX(Config!$C$11:$C$14,MATCH(L529,Config!$A$11:$A$14,1)),"Sem dados")),"Verificar"))))</f>
        <v/>
      </c>
      <c r="N529" s="39">
        <f>IF(A529="","",IF(COUNTIFS('Movimentações'!$C$6:$C$1505,A529,'Movimentações'!$B$6:$B$1505,"Venda")&gt;0,"Vendido",IF(COUNTIFS('Movimentações'!$C$6:$C$1505,A529,'Movimentações'!$B$6:$B$1505,"Morte")&gt;0,"Morto","Ativo")))</f>
        <v/>
      </c>
      <c r="O529" s="40">
        <f>IF(A529="","",IF(COUNTIF('Pesagens'!$B$6:$B$2005,A529)=0,"",SUMPRODUCT(MAX(('Pesagens'!$B$6:$B$2005=A529)*'Pesagens'!$A$6:$A$2005))))</f>
        <v/>
      </c>
      <c r="P529" s="41">
        <f>IF(A529="","",IF(O529="",IF(J529="","",J529),IFERROR(AVERAGEIFS('Pesagens'!$C$6:$C$2005,'Pesagens'!$B$6:$B$2005,A529,'Pesagens'!$A$6:$A$2005,O529),"")))</f>
        <v/>
      </c>
      <c r="Q529" s="42">
        <f>IF(OR(A529="",O529="",I529="",J529=""),"",IFERROR((P529-J529)/(O529-I529),""))</f>
        <v/>
      </c>
    </row>
    <row r="530">
      <c r="A530" s="36" t="n"/>
      <c r="B530" s="32" t="n"/>
      <c r="C530" s="37" t="n"/>
      <c r="D530" s="31" t="n"/>
      <c r="E530" s="32" t="n"/>
      <c r="F530" s="32" t="n"/>
      <c r="G530" s="32" t="n"/>
      <c r="H530" s="36" t="n"/>
      <c r="I530" s="31" t="n"/>
      <c r="J530" s="38" t="n"/>
      <c r="K530" s="32" t="n"/>
      <c r="L530" s="34">
        <f>IF(OR(A530="",D530=""),"",IF(D530&gt;Config!$B$5,0,DATEDIF(D530,Config!$B$5,"m")))</f>
        <v/>
      </c>
      <c r="M530" s="39">
        <f>IF(A530="","",IF(K530&lt;&gt;"",K530,IF(OR(C530="",D530=""),"Sem dados",IFERROR(IF(C530="M",INDEX(Config!$B$11:$B$14,MATCH(L530,Config!$A$11:$A$14,1)),IF(C530="F",INDEX(Config!$C$11:$C$14,MATCH(L530,Config!$A$11:$A$14,1)),"Sem dados")),"Verificar"))))</f>
        <v/>
      </c>
      <c r="N530" s="39">
        <f>IF(A530="","",IF(COUNTIFS('Movimentações'!$C$6:$C$1505,A530,'Movimentações'!$B$6:$B$1505,"Venda")&gt;0,"Vendido",IF(COUNTIFS('Movimentações'!$C$6:$C$1505,A530,'Movimentações'!$B$6:$B$1505,"Morte")&gt;0,"Morto","Ativo")))</f>
        <v/>
      </c>
      <c r="O530" s="40">
        <f>IF(A530="","",IF(COUNTIF('Pesagens'!$B$6:$B$2005,A530)=0,"",SUMPRODUCT(MAX(('Pesagens'!$B$6:$B$2005=A530)*'Pesagens'!$A$6:$A$2005))))</f>
        <v/>
      </c>
      <c r="P530" s="41">
        <f>IF(A530="","",IF(O530="",IF(J530="","",J530),IFERROR(AVERAGEIFS('Pesagens'!$C$6:$C$2005,'Pesagens'!$B$6:$B$2005,A530,'Pesagens'!$A$6:$A$2005,O530),"")))</f>
        <v/>
      </c>
      <c r="Q530" s="42">
        <f>IF(OR(A530="",O530="",I530="",J530=""),"",IFERROR((P530-J530)/(O530-I530),""))</f>
        <v/>
      </c>
    </row>
    <row r="531">
      <c r="A531" s="36" t="n"/>
      <c r="B531" s="32" t="n"/>
      <c r="C531" s="37" t="n"/>
      <c r="D531" s="31" t="n"/>
      <c r="E531" s="32" t="n"/>
      <c r="F531" s="32" t="n"/>
      <c r="G531" s="32" t="n"/>
      <c r="H531" s="36" t="n"/>
      <c r="I531" s="31" t="n"/>
      <c r="J531" s="38" t="n"/>
      <c r="K531" s="32" t="n"/>
      <c r="L531" s="34">
        <f>IF(OR(A531="",D531=""),"",IF(D531&gt;Config!$B$5,0,DATEDIF(D531,Config!$B$5,"m")))</f>
        <v/>
      </c>
      <c r="M531" s="39">
        <f>IF(A531="","",IF(K531&lt;&gt;"",K531,IF(OR(C531="",D531=""),"Sem dados",IFERROR(IF(C531="M",INDEX(Config!$B$11:$B$14,MATCH(L531,Config!$A$11:$A$14,1)),IF(C531="F",INDEX(Config!$C$11:$C$14,MATCH(L531,Config!$A$11:$A$14,1)),"Sem dados")),"Verificar"))))</f>
        <v/>
      </c>
      <c r="N531" s="39">
        <f>IF(A531="","",IF(COUNTIFS('Movimentações'!$C$6:$C$1505,A531,'Movimentações'!$B$6:$B$1505,"Venda")&gt;0,"Vendido",IF(COUNTIFS('Movimentações'!$C$6:$C$1505,A531,'Movimentações'!$B$6:$B$1505,"Morte")&gt;0,"Morto","Ativo")))</f>
        <v/>
      </c>
      <c r="O531" s="40">
        <f>IF(A531="","",IF(COUNTIF('Pesagens'!$B$6:$B$2005,A531)=0,"",SUMPRODUCT(MAX(('Pesagens'!$B$6:$B$2005=A531)*'Pesagens'!$A$6:$A$2005))))</f>
        <v/>
      </c>
      <c r="P531" s="41">
        <f>IF(A531="","",IF(O531="",IF(J531="","",J531),IFERROR(AVERAGEIFS('Pesagens'!$C$6:$C$2005,'Pesagens'!$B$6:$B$2005,A531,'Pesagens'!$A$6:$A$2005,O531),"")))</f>
        <v/>
      </c>
      <c r="Q531" s="42">
        <f>IF(OR(A531="",O531="",I531="",J531=""),"",IFERROR((P531-J531)/(O531-I531),""))</f>
        <v/>
      </c>
    </row>
    <row r="532">
      <c r="A532" s="36" t="n"/>
      <c r="B532" s="32" t="n"/>
      <c r="C532" s="37" t="n"/>
      <c r="D532" s="31" t="n"/>
      <c r="E532" s="32" t="n"/>
      <c r="F532" s="32" t="n"/>
      <c r="G532" s="32" t="n"/>
      <c r="H532" s="36" t="n"/>
      <c r="I532" s="31" t="n"/>
      <c r="J532" s="38" t="n"/>
      <c r="K532" s="32" t="n"/>
      <c r="L532" s="34">
        <f>IF(OR(A532="",D532=""),"",IF(D532&gt;Config!$B$5,0,DATEDIF(D532,Config!$B$5,"m")))</f>
        <v/>
      </c>
      <c r="M532" s="39">
        <f>IF(A532="","",IF(K532&lt;&gt;"",K532,IF(OR(C532="",D532=""),"Sem dados",IFERROR(IF(C532="M",INDEX(Config!$B$11:$B$14,MATCH(L532,Config!$A$11:$A$14,1)),IF(C532="F",INDEX(Config!$C$11:$C$14,MATCH(L532,Config!$A$11:$A$14,1)),"Sem dados")),"Verificar"))))</f>
        <v/>
      </c>
      <c r="N532" s="39">
        <f>IF(A532="","",IF(COUNTIFS('Movimentações'!$C$6:$C$1505,A532,'Movimentações'!$B$6:$B$1505,"Venda")&gt;0,"Vendido",IF(COUNTIFS('Movimentações'!$C$6:$C$1505,A532,'Movimentações'!$B$6:$B$1505,"Morte")&gt;0,"Morto","Ativo")))</f>
        <v/>
      </c>
      <c r="O532" s="40">
        <f>IF(A532="","",IF(COUNTIF('Pesagens'!$B$6:$B$2005,A532)=0,"",SUMPRODUCT(MAX(('Pesagens'!$B$6:$B$2005=A532)*'Pesagens'!$A$6:$A$2005))))</f>
        <v/>
      </c>
      <c r="P532" s="41">
        <f>IF(A532="","",IF(O532="",IF(J532="","",J532),IFERROR(AVERAGEIFS('Pesagens'!$C$6:$C$2005,'Pesagens'!$B$6:$B$2005,A532,'Pesagens'!$A$6:$A$2005,O532),"")))</f>
        <v/>
      </c>
      <c r="Q532" s="42">
        <f>IF(OR(A532="",O532="",I532="",J532=""),"",IFERROR((P532-J532)/(O532-I532),""))</f>
        <v/>
      </c>
    </row>
    <row r="533">
      <c r="A533" s="36" t="n"/>
      <c r="B533" s="32" t="n"/>
      <c r="C533" s="37" t="n"/>
      <c r="D533" s="31" t="n"/>
      <c r="E533" s="32" t="n"/>
      <c r="F533" s="32" t="n"/>
      <c r="G533" s="32" t="n"/>
      <c r="H533" s="36" t="n"/>
      <c r="I533" s="31" t="n"/>
      <c r="J533" s="38" t="n"/>
      <c r="K533" s="32" t="n"/>
      <c r="L533" s="34">
        <f>IF(OR(A533="",D533=""),"",IF(D533&gt;Config!$B$5,0,DATEDIF(D533,Config!$B$5,"m")))</f>
        <v/>
      </c>
      <c r="M533" s="39">
        <f>IF(A533="","",IF(K533&lt;&gt;"",K533,IF(OR(C533="",D533=""),"Sem dados",IFERROR(IF(C533="M",INDEX(Config!$B$11:$B$14,MATCH(L533,Config!$A$11:$A$14,1)),IF(C533="F",INDEX(Config!$C$11:$C$14,MATCH(L533,Config!$A$11:$A$14,1)),"Sem dados")),"Verificar"))))</f>
        <v/>
      </c>
      <c r="N533" s="39">
        <f>IF(A533="","",IF(COUNTIFS('Movimentações'!$C$6:$C$1505,A533,'Movimentações'!$B$6:$B$1505,"Venda")&gt;0,"Vendido",IF(COUNTIFS('Movimentações'!$C$6:$C$1505,A533,'Movimentações'!$B$6:$B$1505,"Morte")&gt;0,"Morto","Ativo")))</f>
        <v/>
      </c>
      <c r="O533" s="40">
        <f>IF(A533="","",IF(COUNTIF('Pesagens'!$B$6:$B$2005,A533)=0,"",SUMPRODUCT(MAX(('Pesagens'!$B$6:$B$2005=A533)*'Pesagens'!$A$6:$A$2005))))</f>
        <v/>
      </c>
      <c r="P533" s="41">
        <f>IF(A533="","",IF(O533="",IF(J533="","",J533),IFERROR(AVERAGEIFS('Pesagens'!$C$6:$C$2005,'Pesagens'!$B$6:$B$2005,A533,'Pesagens'!$A$6:$A$2005,O533),"")))</f>
        <v/>
      </c>
      <c r="Q533" s="42">
        <f>IF(OR(A533="",O533="",I533="",J533=""),"",IFERROR((P533-J533)/(O533-I533),""))</f>
        <v/>
      </c>
    </row>
    <row r="534">
      <c r="A534" s="36" t="n"/>
      <c r="B534" s="32" t="n"/>
      <c r="C534" s="37" t="n"/>
      <c r="D534" s="31" t="n"/>
      <c r="E534" s="32" t="n"/>
      <c r="F534" s="32" t="n"/>
      <c r="G534" s="32" t="n"/>
      <c r="H534" s="36" t="n"/>
      <c r="I534" s="31" t="n"/>
      <c r="J534" s="38" t="n"/>
      <c r="K534" s="32" t="n"/>
      <c r="L534" s="34">
        <f>IF(OR(A534="",D534=""),"",IF(D534&gt;Config!$B$5,0,DATEDIF(D534,Config!$B$5,"m")))</f>
        <v/>
      </c>
      <c r="M534" s="39">
        <f>IF(A534="","",IF(K534&lt;&gt;"",K534,IF(OR(C534="",D534=""),"Sem dados",IFERROR(IF(C534="M",INDEX(Config!$B$11:$B$14,MATCH(L534,Config!$A$11:$A$14,1)),IF(C534="F",INDEX(Config!$C$11:$C$14,MATCH(L534,Config!$A$11:$A$14,1)),"Sem dados")),"Verificar"))))</f>
        <v/>
      </c>
      <c r="N534" s="39">
        <f>IF(A534="","",IF(COUNTIFS('Movimentações'!$C$6:$C$1505,A534,'Movimentações'!$B$6:$B$1505,"Venda")&gt;0,"Vendido",IF(COUNTIFS('Movimentações'!$C$6:$C$1505,A534,'Movimentações'!$B$6:$B$1505,"Morte")&gt;0,"Morto","Ativo")))</f>
        <v/>
      </c>
      <c r="O534" s="40">
        <f>IF(A534="","",IF(COUNTIF('Pesagens'!$B$6:$B$2005,A534)=0,"",SUMPRODUCT(MAX(('Pesagens'!$B$6:$B$2005=A534)*'Pesagens'!$A$6:$A$2005))))</f>
        <v/>
      </c>
      <c r="P534" s="41">
        <f>IF(A534="","",IF(O534="",IF(J534="","",J534),IFERROR(AVERAGEIFS('Pesagens'!$C$6:$C$2005,'Pesagens'!$B$6:$B$2005,A534,'Pesagens'!$A$6:$A$2005,O534),"")))</f>
        <v/>
      </c>
      <c r="Q534" s="42">
        <f>IF(OR(A534="",O534="",I534="",J534=""),"",IFERROR((P534-J534)/(O534-I534),""))</f>
        <v/>
      </c>
    </row>
    <row r="535">
      <c r="A535" s="36" t="n"/>
      <c r="B535" s="32" t="n"/>
      <c r="C535" s="37" t="n"/>
      <c r="D535" s="31" t="n"/>
      <c r="E535" s="32" t="n"/>
      <c r="F535" s="32" t="n"/>
      <c r="G535" s="32" t="n"/>
      <c r="H535" s="36" t="n"/>
      <c r="I535" s="31" t="n"/>
      <c r="J535" s="38" t="n"/>
      <c r="K535" s="32" t="n"/>
      <c r="L535" s="34">
        <f>IF(OR(A535="",D535=""),"",IF(D535&gt;Config!$B$5,0,DATEDIF(D535,Config!$B$5,"m")))</f>
        <v/>
      </c>
      <c r="M535" s="39">
        <f>IF(A535="","",IF(K535&lt;&gt;"",K535,IF(OR(C535="",D535=""),"Sem dados",IFERROR(IF(C535="M",INDEX(Config!$B$11:$B$14,MATCH(L535,Config!$A$11:$A$14,1)),IF(C535="F",INDEX(Config!$C$11:$C$14,MATCH(L535,Config!$A$11:$A$14,1)),"Sem dados")),"Verificar"))))</f>
        <v/>
      </c>
      <c r="N535" s="39">
        <f>IF(A535="","",IF(COUNTIFS('Movimentações'!$C$6:$C$1505,A535,'Movimentações'!$B$6:$B$1505,"Venda")&gt;0,"Vendido",IF(COUNTIFS('Movimentações'!$C$6:$C$1505,A535,'Movimentações'!$B$6:$B$1505,"Morte")&gt;0,"Morto","Ativo")))</f>
        <v/>
      </c>
      <c r="O535" s="40">
        <f>IF(A535="","",IF(COUNTIF('Pesagens'!$B$6:$B$2005,A535)=0,"",SUMPRODUCT(MAX(('Pesagens'!$B$6:$B$2005=A535)*'Pesagens'!$A$6:$A$2005))))</f>
        <v/>
      </c>
      <c r="P535" s="41">
        <f>IF(A535="","",IF(O535="",IF(J535="","",J535),IFERROR(AVERAGEIFS('Pesagens'!$C$6:$C$2005,'Pesagens'!$B$6:$B$2005,A535,'Pesagens'!$A$6:$A$2005,O535),"")))</f>
        <v/>
      </c>
      <c r="Q535" s="42">
        <f>IF(OR(A535="",O535="",I535="",J535=""),"",IFERROR((P535-J535)/(O535-I535),""))</f>
        <v/>
      </c>
    </row>
    <row r="536">
      <c r="A536" s="36" t="n"/>
      <c r="B536" s="32" t="n"/>
      <c r="C536" s="37" t="n"/>
      <c r="D536" s="31" t="n"/>
      <c r="E536" s="32" t="n"/>
      <c r="F536" s="32" t="n"/>
      <c r="G536" s="32" t="n"/>
      <c r="H536" s="36" t="n"/>
      <c r="I536" s="31" t="n"/>
      <c r="J536" s="38" t="n"/>
      <c r="K536" s="32" t="n"/>
      <c r="L536" s="34">
        <f>IF(OR(A536="",D536=""),"",IF(D536&gt;Config!$B$5,0,DATEDIF(D536,Config!$B$5,"m")))</f>
        <v/>
      </c>
      <c r="M536" s="39">
        <f>IF(A536="","",IF(K536&lt;&gt;"",K536,IF(OR(C536="",D536=""),"Sem dados",IFERROR(IF(C536="M",INDEX(Config!$B$11:$B$14,MATCH(L536,Config!$A$11:$A$14,1)),IF(C536="F",INDEX(Config!$C$11:$C$14,MATCH(L536,Config!$A$11:$A$14,1)),"Sem dados")),"Verificar"))))</f>
        <v/>
      </c>
      <c r="N536" s="39">
        <f>IF(A536="","",IF(COUNTIFS('Movimentações'!$C$6:$C$1505,A536,'Movimentações'!$B$6:$B$1505,"Venda")&gt;0,"Vendido",IF(COUNTIFS('Movimentações'!$C$6:$C$1505,A536,'Movimentações'!$B$6:$B$1505,"Morte")&gt;0,"Morto","Ativo")))</f>
        <v/>
      </c>
      <c r="O536" s="40">
        <f>IF(A536="","",IF(COUNTIF('Pesagens'!$B$6:$B$2005,A536)=0,"",SUMPRODUCT(MAX(('Pesagens'!$B$6:$B$2005=A536)*'Pesagens'!$A$6:$A$2005))))</f>
        <v/>
      </c>
      <c r="P536" s="41">
        <f>IF(A536="","",IF(O536="",IF(J536="","",J536),IFERROR(AVERAGEIFS('Pesagens'!$C$6:$C$2005,'Pesagens'!$B$6:$B$2005,A536,'Pesagens'!$A$6:$A$2005,O536),"")))</f>
        <v/>
      </c>
      <c r="Q536" s="42">
        <f>IF(OR(A536="",O536="",I536="",J536=""),"",IFERROR((P536-J536)/(O536-I536),""))</f>
        <v/>
      </c>
    </row>
    <row r="537">
      <c r="A537" s="36" t="n"/>
      <c r="B537" s="32" t="n"/>
      <c r="C537" s="37" t="n"/>
      <c r="D537" s="31" t="n"/>
      <c r="E537" s="32" t="n"/>
      <c r="F537" s="32" t="n"/>
      <c r="G537" s="32" t="n"/>
      <c r="H537" s="36" t="n"/>
      <c r="I537" s="31" t="n"/>
      <c r="J537" s="38" t="n"/>
      <c r="K537" s="32" t="n"/>
      <c r="L537" s="34">
        <f>IF(OR(A537="",D537=""),"",IF(D537&gt;Config!$B$5,0,DATEDIF(D537,Config!$B$5,"m")))</f>
        <v/>
      </c>
      <c r="M537" s="39">
        <f>IF(A537="","",IF(K537&lt;&gt;"",K537,IF(OR(C537="",D537=""),"Sem dados",IFERROR(IF(C537="M",INDEX(Config!$B$11:$B$14,MATCH(L537,Config!$A$11:$A$14,1)),IF(C537="F",INDEX(Config!$C$11:$C$14,MATCH(L537,Config!$A$11:$A$14,1)),"Sem dados")),"Verificar"))))</f>
        <v/>
      </c>
      <c r="N537" s="39">
        <f>IF(A537="","",IF(COUNTIFS('Movimentações'!$C$6:$C$1505,A537,'Movimentações'!$B$6:$B$1505,"Venda")&gt;0,"Vendido",IF(COUNTIFS('Movimentações'!$C$6:$C$1505,A537,'Movimentações'!$B$6:$B$1505,"Morte")&gt;0,"Morto","Ativo")))</f>
        <v/>
      </c>
      <c r="O537" s="40">
        <f>IF(A537="","",IF(COUNTIF('Pesagens'!$B$6:$B$2005,A537)=0,"",SUMPRODUCT(MAX(('Pesagens'!$B$6:$B$2005=A537)*'Pesagens'!$A$6:$A$2005))))</f>
        <v/>
      </c>
      <c r="P537" s="41">
        <f>IF(A537="","",IF(O537="",IF(J537="","",J537),IFERROR(AVERAGEIFS('Pesagens'!$C$6:$C$2005,'Pesagens'!$B$6:$B$2005,A537,'Pesagens'!$A$6:$A$2005,O537),"")))</f>
        <v/>
      </c>
      <c r="Q537" s="42">
        <f>IF(OR(A537="",O537="",I537="",J537=""),"",IFERROR((P537-J537)/(O537-I537),""))</f>
        <v/>
      </c>
    </row>
    <row r="538">
      <c r="A538" s="36" t="n"/>
      <c r="B538" s="32" t="n"/>
      <c r="C538" s="37" t="n"/>
      <c r="D538" s="31" t="n"/>
      <c r="E538" s="32" t="n"/>
      <c r="F538" s="32" t="n"/>
      <c r="G538" s="32" t="n"/>
      <c r="H538" s="36" t="n"/>
      <c r="I538" s="31" t="n"/>
      <c r="J538" s="38" t="n"/>
      <c r="K538" s="32" t="n"/>
      <c r="L538" s="34">
        <f>IF(OR(A538="",D538=""),"",IF(D538&gt;Config!$B$5,0,DATEDIF(D538,Config!$B$5,"m")))</f>
        <v/>
      </c>
      <c r="M538" s="39">
        <f>IF(A538="","",IF(K538&lt;&gt;"",K538,IF(OR(C538="",D538=""),"Sem dados",IFERROR(IF(C538="M",INDEX(Config!$B$11:$B$14,MATCH(L538,Config!$A$11:$A$14,1)),IF(C538="F",INDEX(Config!$C$11:$C$14,MATCH(L538,Config!$A$11:$A$14,1)),"Sem dados")),"Verificar"))))</f>
        <v/>
      </c>
      <c r="N538" s="39">
        <f>IF(A538="","",IF(COUNTIFS('Movimentações'!$C$6:$C$1505,A538,'Movimentações'!$B$6:$B$1505,"Venda")&gt;0,"Vendido",IF(COUNTIFS('Movimentações'!$C$6:$C$1505,A538,'Movimentações'!$B$6:$B$1505,"Morte")&gt;0,"Morto","Ativo")))</f>
        <v/>
      </c>
      <c r="O538" s="40">
        <f>IF(A538="","",IF(COUNTIF('Pesagens'!$B$6:$B$2005,A538)=0,"",SUMPRODUCT(MAX(('Pesagens'!$B$6:$B$2005=A538)*'Pesagens'!$A$6:$A$2005))))</f>
        <v/>
      </c>
      <c r="P538" s="41">
        <f>IF(A538="","",IF(O538="",IF(J538="","",J538),IFERROR(AVERAGEIFS('Pesagens'!$C$6:$C$2005,'Pesagens'!$B$6:$B$2005,A538,'Pesagens'!$A$6:$A$2005,O538),"")))</f>
        <v/>
      </c>
      <c r="Q538" s="42">
        <f>IF(OR(A538="",O538="",I538="",J538=""),"",IFERROR((P538-J538)/(O538-I538),""))</f>
        <v/>
      </c>
    </row>
    <row r="539">
      <c r="A539" s="36" t="n"/>
      <c r="B539" s="32" t="n"/>
      <c r="C539" s="37" t="n"/>
      <c r="D539" s="31" t="n"/>
      <c r="E539" s="32" t="n"/>
      <c r="F539" s="32" t="n"/>
      <c r="G539" s="32" t="n"/>
      <c r="H539" s="36" t="n"/>
      <c r="I539" s="31" t="n"/>
      <c r="J539" s="38" t="n"/>
      <c r="K539" s="32" t="n"/>
      <c r="L539" s="34">
        <f>IF(OR(A539="",D539=""),"",IF(D539&gt;Config!$B$5,0,DATEDIF(D539,Config!$B$5,"m")))</f>
        <v/>
      </c>
      <c r="M539" s="39">
        <f>IF(A539="","",IF(K539&lt;&gt;"",K539,IF(OR(C539="",D539=""),"Sem dados",IFERROR(IF(C539="M",INDEX(Config!$B$11:$B$14,MATCH(L539,Config!$A$11:$A$14,1)),IF(C539="F",INDEX(Config!$C$11:$C$14,MATCH(L539,Config!$A$11:$A$14,1)),"Sem dados")),"Verificar"))))</f>
        <v/>
      </c>
      <c r="N539" s="39">
        <f>IF(A539="","",IF(COUNTIFS('Movimentações'!$C$6:$C$1505,A539,'Movimentações'!$B$6:$B$1505,"Venda")&gt;0,"Vendido",IF(COUNTIFS('Movimentações'!$C$6:$C$1505,A539,'Movimentações'!$B$6:$B$1505,"Morte")&gt;0,"Morto","Ativo")))</f>
        <v/>
      </c>
      <c r="O539" s="40">
        <f>IF(A539="","",IF(COUNTIF('Pesagens'!$B$6:$B$2005,A539)=0,"",SUMPRODUCT(MAX(('Pesagens'!$B$6:$B$2005=A539)*'Pesagens'!$A$6:$A$2005))))</f>
        <v/>
      </c>
      <c r="P539" s="41">
        <f>IF(A539="","",IF(O539="",IF(J539="","",J539),IFERROR(AVERAGEIFS('Pesagens'!$C$6:$C$2005,'Pesagens'!$B$6:$B$2005,A539,'Pesagens'!$A$6:$A$2005,O539),"")))</f>
        <v/>
      </c>
      <c r="Q539" s="42">
        <f>IF(OR(A539="",O539="",I539="",J539=""),"",IFERROR((P539-J539)/(O539-I539),""))</f>
        <v/>
      </c>
    </row>
    <row r="540">
      <c r="A540" s="36" t="n"/>
      <c r="B540" s="32" t="n"/>
      <c r="C540" s="37" t="n"/>
      <c r="D540" s="31" t="n"/>
      <c r="E540" s="32" t="n"/>
      <c r="F540" s="32" t="n"/>
      <c r="G540" s="32" t="n"/>
      <c r="H540" s="36" t="n"/>
      <c r="I540" s="31" t="n"/>
      <c r="J540" s="38" t="n"/>
      <c r="K540" s="32" t="n"/>
      <c r="L540" s="34">
        <f>IF(OR(A540="",D540=""),"",IF(D540&gt;Config!$B$5,0,DATEDIF(D540,Config!$B$5,"m")))</f>
        <v/>
      </c>
      <c r="M540" s="39">
        <f>IF(A540="","",IF(K540&lt;&gt;"",K540,IF(OR(C540="",D540=""),"Sem dados",IFERROR(IF(C540="M",INDEX(Config!$B$11:$B$14,MATCH(L540,Config!$A$11:$A$14,1)),IF(C540="F",INDEX(Config!$C$11:$C$14,MATCH(L540,Config!$A$11:$A$14,1)),"Sem dados")),"Verificar"))))</f>
        <v/>
      </c>
      <c r="N540" s="39">
        <f>IF(A540="","",IF(COUNTIFS('Movimentações'!$C$6:$C$1505,A540,'Movimentações'!$B$6:$B$1505,"Venda")&gt;0,"Vendido",IF(COUNTIFS('Movimentações'!$C$6:$C$1505,A540,'Movimentações'!$B$6:$B$1505,"Morte")&gt;0,"Morto","Ativo")))</f>
        <v/>
      </c>
      <c r="O540" s="40">
        <f>IF(A540="","",IF(COUNTIF('Pesagens'!$B$6:$B$2005,A540)=0,"",SUMPRODUCT(MAX(('Pesagens'!$B$6:$B$2005=A540)*'Pesagens'!$A$6:$A$2005))))</f>
        <v/>
      </c>
      <c r="P540" s="41">
        <f>IF(A540="","",IF(O540="",IF(J540="","",J540),IFERROR(AVERAGEIFS('Pesagens'!$C$6:$C$2005,'Pesagens'!$B$6:$B$2005,A540,'Pesagens'!$A$6:$A$2005,O540),"")))</f>
        <v/>
      </c>
      <c r="Q540" s="42">
        <f>IF(OR(A540="",O540="",I540="",J540=""),"",IFERROR((P540-J540)/(O540-I540),""))</f>
        <v/>
      </c>
    </row>
    <row r="541">
      <c r="A541" s="36" t="n"/>
      <c r="B541" s="32" t="n"/>
      <c r="C541" s="37" t="n"/>
      <c r="D541" s="31" t="n"/>
      <c r="E541" s="32" t="n"/>
      <c r="F541" s="32" t="n"/>
      <c r="G541" s="32" t="n"/>
      <c r="H541" s="36" t="n"/>
      <c r="I541" s="31" t="n"/>
      <c r="J541" s="38" t="n"/>
      <c r="K541" s="32" t="n"/>
      <c r="L541" s="34">
        <f>IF(OR(A541="",D541=""),"",IF(D541&gt;Config!$B$5,0,DATEDIF(D541,Config!$B$5,"m")))</f>
        <v/>
      </c>
      <c r="M541" s="39">
        <f>IF(A541="","",IF(K541&lt;&gt;"",K541,IF(OR(C541="",D541=""),"Sem dados",IFERROR(IF(C541="M",INDEX(Config!$B$11:$B$14,MATCH(L541,Config!$A$11:$A$14,1)),IF(C541="F",INDEX(Config!$C$11:$C$14,MATCH(L541,Config!$A$11:$A$14,1)),"Sem dados")),"Verificar"))))</f>
        <v/>
      </c>
      <c r="N541" s="39">
        <f>IF(A541="","",IF(COUNTIFS('Movimentações'!$C$6:$C$1505,A541,'Movimentações'!$B$6:$B$1505,"Venda")&gt;0,"Vendido",IF(COUNTIFS('Movimentações'!$C$6:$C$1505,A541,'Movimentações'!$B$6:$B$1505,"Morte")&gt;0,"Morto","Ativo")))</f>
        <v/>
      </c>
      <c r="O541" s="40">
        <f>IF(A541="","",IF(COUNTIF('Pesagens'!$B$6:$B$2005,A541)=0,"",SUMPRODUCT(MAX(('Pesagens'!$B$6:$B$2005=A541)*'Pesagens'!$A$6:$A$2005))))</f>
        <v/>
      </c>
      <c r="P541" s="41">
        <f>IF(A541="","",IF(O541="",IF(J541="","",J541),IFERROR(AVERAGEIFS('Pesagens'!$C$6:$C$2005,'Pesagens'!$B$6:$B$2005,A541,'Pesagens'!$A$6:$A$2005,O541),"")))</f>
        <v/>
      </c>
      <c r="Q541" s="42">
        <f>IF(OR(A541="",O541="",I541="",J541=""),"",IFERROR((P541-J541)/(O541-I541),""))</f>
        <v/>
      </c>
    </row>
    <row r="542">
      <c r="A542" s="36" t="n"/>
      <c r="B542" s="32" t="n"/>
      <c r="C542" s="37" t="n"/>
      <c r="D542" s="31" t="n"/>
      <c r="E542" s="32" t="n"/>
      <c r="F542" s="32" t="n"/>
      <c r="G542" s="32" t="n"/>
      <c r="H542" s="36" t="n"/>
      <c r="I542" s="31" t="n"/>
      <c r="J542" s="38" t="n"/>
      <c r="K542" s="32" t="n"/>
      <c r="L542" s="34">
        <f>IF(OR(A542="",D542=""),"",IF(D542&gt;Config!$B$5,0,DATEDIF(D542,Config!$B$5,"m")))</f>
        <v/>
      </c>
      <c r="M542" s="39">
        <f>IF(A542="","",IF(K542&lt;&gt;"",K542,IF(OR(C542="",D542=""),"Sem dados",IFERROR(IF(C542="M",INDEX(Config!$B$11:$B$14,MATCH(L542,Config!$A$11:$A$14,1)),IF(C542="F",INDEX(Config!$C$11:$C$14,MATCH(L542,Config!$A$11:$A$14,1)),"Sem dados")),"Verificar"))))</f>
        <v/>
      </c>
      <c r="N542" s="39">
        <f>IF(A542="","",IF(COUNTIFS('Movimentações'!$C$6:$C$1505,A542,'Movimentações'!$B$6:$B$1505,"Venda")&gt;0,"Vendido",IF(COUNTIFS('Movimentações'!$C$6:$C$1505,A542,'Movimentações'!$B$6:$B$1505,"Morte")&gt;0,"Morto","Ativo")))</f>
        <v/>
      </c>
      <c r="O542" s="40">
        <f>IF(A542="","",IF(COUNTIF('Pesagens'!$B$6:$B$2005,A542)=0,"",SUMPRODUCT(MAX(('Pesagens'!$B$6:$B$2005=A542)*'Pesagens'!$A$6:$A$2005))))</f>
        <v/>
      </c>
      <c r="P542" s="41">
        <f>IF(A542="","",IF(O542="",IF(J542="","",J542),IFERROR(AVERAGEIFS('Pesagens'!$C$6:$C$2005,'Pesagens'!$B$6:$B$2005,A542,'Pesagens'!$A$6:$A$2005,O542),"")))</f>
        <v/>
      </c>
      <c r="Q542" s="42">
        <f>IF(OR(A542="",O542="",I542="",J542=""),"",IFERROR((P542-J542)/(O542-I542),""))</f>
        <v/>
      </c>
    </row>
    <row r="543">
      <c r="A543" s="36" t="n"/>
      <c r="B543" s="32" t="n"/>
      <c r="C543" s="37" t="n"/>
      <c r="D543" s="31" t="n"/>
      <c r="E543" s="32" t="n"/>
      <c r="F543" s="32" t="n"/>
      <c r="G543" s="32" t="n"/>
      <c r="H543" s="36" t="n"/>
      <c r="I543" s="31" t="n"/>
      <c r="J543" s="38" t="n"/>
      <c r="K543" s="32" t="n"/>
      <c r="L543" s="34">
        <f>IF(OR(A543="",D543=""),"",IF(D543&gt;Config!$B$5,0,DATEDIF(D543,Config!$B$5,"m")))</f>
        <v/>
      </c>
      <c r="M543" s="39">
        <f>IF(A543="","",IF(K543&lt;&gt;"",K543,IF(OR(C543="",D543=""),"Sem dados",IFERROR(IF(C543="M",INDEX(Config!$B$11:$B$14,MATCH(L543,Config!$A$11:$A$14,1)),IF(C543="F",INDEX(Config!$C$11:$C$14,MATCH(L543,Config!$A$11:$A$14,1)),"Sem dados")),"Verificar"))))</f>
        <v/>
      </c>
      <c r="N543" s="39">
        <f>IF(A543="","",IF(COUNTIFS('Movimentações'!$C$6:$C$1505,A543,'Movimentações'!$B$6:$B$1505,"Venda")&gt;0,"Vendido",IF(COUNTIFS('Movimentações'!$C$6:$C$1505,A543,'Movimentações'!$B$6:$B$1505,"Morte")&gt;0,"Morto","Ativo")))</f>
        <v/>
      </c>
      <c r="O543" s="40">
        <f>IF(A543="","",IF(COUNTIF('Pesagens'!$B$6:$B$2005,A543)=0,"",SUMPRODUCT(MAX(('Pesagens'!$B$6:$B$2005=A543)*'Pesagens'!$A$6:$A$2005))))</f>
        <v/>
      </c>
      <c r="P543" s="41">
        <f>IF(A543="","",IF(O543="",IF(J543="","",J543),IFERROR(AVERAGEIFS('Pesagens'!$C$6:$C$2005,'Pesagens'!$B$6:$B$2005,A543,'Pesagens'!$A$6:$A$2005,O543),"")))</f>
        <v/>
      </c>
      <c r="Q543" s="42">
        <f>IF(OR(A543="",O543="",I543="",J543=""),"",IFERROR((P543-J543)/(O543-I543),""))</f>
        <v/>
      </c>
    </row>
    <row r="544">
      <c r="A544" s="36" t="n"/>
      <c r="B544" s="32" t="n"/>
      <c r="C544" s="37" t="n"/>
      <c r="D544" s="31" t="n"/>
      <c r="E544" s="32" t="n"/>
      <c r="F544" s="32" t="n"/>
      <c r="G544" s="32" t="n"/>
      <c r="H544" s="36" t="n"/>
      <c r="I544" s="31" t="n"/>
      <c r="J544" s="38" t="n"/>
      <c r="K544" s="32" t="n"/>
      <c r="L544" s="34">
        <f>IF(OR(A544="",D544=""),"",IF(D544&gt;Config!$B$5,0,DATEDIF(D544,Config!$B$5,"m")))</f>
        <v/>
      </c>
      <c r="M544" s="39">
        <f>IF(A544="","",IF(K544&lt;&gt;"",K544,IF(OR(C544="",D544=""),"Sem dados",IFERROR(IF(C544="M",INDEX(Config!$B$11:$B$14,MATCH(L544,Config!$A$11:$A$14,1)),IF(C544="F",INDEX(Config!$C$11:$C$14,MATCH(L544,Config!$A$11:$A$14,1)),"Sem dados")),"Verificar"))))</f>
        <v/>
      </c>
      <c r="N544" s="39">
        <f>IF(A544="","",IF(COUNTIFS('Movimentações'!$C$6:$C$1505,A544,'Movimentações'!$B$6:$B$1505,"Venda")&gt;0,"Vendido",IF(COUNTIFS('Movimentações'!$C$6:$C$1505,A544,'Movimentações'!$B$6:$B$1505,"Morte")&gt;0,"Morto","Ativo")))</f>
        <v/>
      </c>
      <c r="O544" s="40">
        <f>IF(A544="","",IF(COUNTIF('Pesagens'!$B$6:$B$2005,A544)=0,"",SUMPRODUCT(MAX(('Pesagens'!$B$6:$B$2005=A544)*'Pesagens'!$A$6:$A$2005))))</f>
        <v/>
      </c>
      <c r="P544" s="41">
        <f>IF(A544="","",IF(O544="",IF(J544="","",J544),IFERROR(AVERAGEIFS('Pesagens'!$C$6:$C$2005,'Pesagens'!$B$6:$B$2005,A544,'Pesagens'!$A$6:$A$2005,O544),"")))</f>
        <v/>
      </c>
      <c r="Q544" s="42">
        <f>IF(OR(A544="",O544="",I544="",J544=""),"",IFERROR((P544-J544)/(O544-I544),""))</f>
        <v/>
      </c>
    </row>
    <row r="545">
      <c r="A545" s="36" t="n"/>
      <c r="B545" s="32" t="n"/>
      <c r="C545" s="37" t="n"/>
      <c r="D545" s="31" t="n"/>
      <c r="E545" s="32" t="n"/>
      <c r="F545" s="32" t="n"/>
      <c r="G545" s="32" t="n"/>
      <c r="H545" s="36" t="n"/>
      <c r="I545" s="31" t="n"/>
      <c r="J545" s="38" t="n"/>
      <c r="K545" s="32" t="n"/>
      <c r="L545" s="34">
        <f>IF(OR(A545="",D545=""),"",IF(D545&gt;Config!$B$5,0,DATEDIF(D545,Config!$B$5,"m")))</f>
        <v/>
      </c>
      <c r="M545" s="39">
        <f>IF(A545="","",IF(K545&lt;&gt;"",K545,IF(OR(C545="",D545=""),"Sem dados",IFERROR(IF(C545="M",INDEX(Config!$B$11:$B$14,MATCH(L545,Config!$A$11:$A$14,1)),IF(C545="F",INDEX(Config!$C$11:$C$14,MATCH(L545,Config!$A$11:$A$14,1)),"Sem dados")),"Verificar"))))</f>
        <v/>
      </c>
      <c r="N545" s="39">
        <f>IF(A545="","",IF(COUNTIFS('Movimentações'!$C$6:$C$1505,A545,'Movimentações'!$B$6:$B$1505,"Venda")&gt;0,"Vendido",IF(COUNTIFS('Movimentações'!$C$6:$C$1505,A545,'Movimentações'!$B$6:$B$1505,"Morte")&gt;0,"Morto","Ativo")))</f>
        <v/>
      </c>
      <c r="O545" s="40">
        <f>IF(A545="","",IF(COUNTIF('Pesagens'!$B$6:$B$2005,A545)=0,"",SUMPRODUCT(MAX(('Pesagens'!$B$6:$B$2005=A545)*'Pesagens'!$A$6:$A$2005))))</f>
        <v/>
      </c>
      <c r="P545" s="41">
        <f>IF(A545="","",IF(O545="",IF(J545="","",J545),IFERROR(AVERAGEIFS('Pesagens'!$C$6:$C$2005,'Pesagens'!$B$6:$B$2005,A545,'Pesagens'!$A$6:$A$2005,O545),"")))</f>
        <v/>
      </c>
      <c r="Q545" s="42">
        <f>IF(OR(A545="",O545="",I545="",J545=""),"",IFERROR((P545-J545)/(O545-I545),""))</f>
        <v/>
      </c>
    </row>
    <row r="546">
      <c r="A546" s="36" t="n"/>
      <c r="B546" s="32" t="n"/>
      <c r="C546" s="37" t="n"/>
      <c r="D546" s="31" t="n"/>
      <c r="E546" s="32" t="n"/>
      <c r="F546" s="32" t="n"/>
      <c r="G546" s="32" t="n"/>
      <c r="H546" s="36" t="n"/>
      <c r="I546" s="31" t="n"/>
      <c r="J546" s="38" t="n"/>
      <c r="K546" s="32" t="n"/>
      <c r="L546" s="34">
        <f>IF(OR(A546="",D546=""),"",IF(D546&gt;Config!$B$5,0,DATEDIF(D546,Config!$B$5,"m")))</f>
        <v/>
      </c>
      <c r="M546" s="39">
        <f>IF(A546="","",IF(K546&lt;&gt;"",K546,IF(OR(C546="",D546=""),"Sem dados",IFERROR(IF(C546="M",INDEX(Config!$B$11:$B$14,MATCH(L546,Config!$A$11:$A$14,1)),IF(C546="F",INDEX(Config!$C$11:$C$14,MATCH(L546,Config!$A$11:$A$14,1)),"Sem dados")),"Verificar"))))</f>
        <v/>
      </c>
      <c r="N546" s="39">
        <f>IF(A546="","",IF(COUNTIFS('Movimentações'!$C$6:$C$1505,A546,'Movimentações'!$B$6:$B$1505,"Venda")&gt;0,"Vendido",IF(COUNTIFS('Movimentações'!$C$6:$C$1505,A546,'Movimentações'!$B$6:$B$1505,"Morte")&gt;0,"Morto","Ativo")))</f>
        <v/>
      </c>
      <c r="O546" s="40">
        <f>IF(A546="","",IF(COUNTIF('Pesagens'!$B$6:$B$2005,A546)=0,"",SUMPRODUCT(MAX(('Pesagens'!$B$6:$B$2005=A546)*'Pesagens'!$A$6:$A$2005))))</f>
        <v/>
      </c>
      <c r="P546" s="41">
        <f>IF(A546="","",IF(O546="",IF(J546="","",J546),IFERROR(AVERAGEIFS('Pesagens'!$C$6:$C$2005,'Pesagens'!$B$6:$B$2005,A546,'Pesagens'!$A$6:$A$2005,O546),"")))</f>
        <v/>
      </c>
      <c r="Q546" s="42">
        <f>IF(OR(A546="",O546="",I546="",J546=""),"",IFERROR((P546-J546)/(O546-I546),""))</f>
        <v/>
      </c>
    </row>
    <row r="547">
      <c r="A547" s="36" t="n"/>
      <c r="B547" s="32" t="n"/>
      <c r="C547" s="37" t="n"/>
      <c r="D547" s="31" t="n"/>
      <c r="E547" s="32" t="n"/>
      <c r="F547" s="32" t="n"/>
      <c r="G547" s="32" t="n"/>
      <c r="H547" s="36" t="n"/>
      <c r="I547" s="31" t="n"/>
      <c r="J547" s="38" t="n"/>
      <c r="K547" s="32" t="n"/>
      <c r="L547" s="34">
        <f>IF(OR(A547="",D547=""),"",IF(D547&gt;Config!$B$5,0,DATEDIF(D547,Config!$B$5,"m")))</f>
        <v/>
      </c>
      <c r="M547" s="39">
        <f>IF(A547="","",IF(K547&lt;&gt;"",K547,IF(OR(C547="",D547=""),"Sem dados",IFERROR(IF(C547="M",INDEX(Config!$B$11:$B$14,MATCH(L547,Config!$A$11:$A$14,1)),IF(C547="F",INDEX(Config!$C$11:$C$14,MATCH(L547,Config!$A$11:$A$14,1)),"Sem dados")),"Verificar"))))</f>
        <v/>
      </c>
      <c r="N547" s="39">
        <f>IF(A547="","",IF(COUNTIFS('Movimentações'!$C$6:$C$1505,A547,'Movimentações'!$B$6:$B$1505,"Venda")&gt;0,"Vendido",IF(COUNTIFS('Movimentações'!$C$6:$C$1505,A547,'Movimentações'!$B$6:$B$1505,"Morte")&gt;0,"Morto","Ativo")))</f>
        <v/>
      </c>
      <c r="O547" s="40">
        <f>IF(A547="","",IF(COUNTIF('Pesagens'!$B$6:$B$2005,A547)=0,"",SUMPRODUCT(MAX(('Pesagens'!$B$6:$B$2005=A547)*'Pesagens'!$A$6:$A$2005))))</f>
        <v/>
      </c>
      <c r="P547" s="41">
        <f>IF(A547="","",IF(O547="",IF(J547="","",J547),IFERROR(AVERAGEIFS('Pesagens'!$C$6:$C$2005,'Pesagens'!$B$6:$B$2005,A547,'Pesagens'!$A$6:$A$2005,O547),"")))</f>
        <v/>
      </c>
      <c r="Q547" s="42">
        <f>IF(OR(A547="",O547="",I547="",J547=""),"",IFERROR((P547-J547)/(O547-I547),""))</f>
        <v/>
      </c>
    </row>
    <row r="548">
      <c r="A548" s="36" t="n"/>
      <c r="B548" s="32" t="n"/>
      <c r="C548" s="37" t="n"/>
      <c r="D548" s="31" t="n"/>
      <c r="E548" s="32" t="n"/>
      <c r="F548" s="32" t="n"/>
      <c r="G548" s="32" t="n"/>
      <c r="H548" s="36" t="n"/>
      <c r="I548" s="31" t="n"/>
      <c r="J548" s="38" t="n"/>
      <c r="K548" s="32" t="n"/>
      <c r="L548" s="34">
        <f>IF(OR(A548="",D548=""),"",IF(D548&gt;Config!$B$5,0,DATEDIF(D548,Config!$B$5,"m")))</f>
        <v/>
      </c>
      <c r="M548" s="39">
        <f>IF(A548="","",IF(K548&lt;&gt;"",K548,IF(OR(C548="",D548=""),"Sem dados",IFERROR(IF(C548="M",INDEX(Config!$B$11:$B$14,MATCH(L548,Config!$A$11:$A$14,1)),IF(C548="F",INDEX(Config!$C$11:$C$14,MATCH(L548,Config!$A$11:$A$14,1)),"Sem dados")),"Verificar"))))</f>
        <v/>
      </c>
      <c r="N548" s="39">
        <f>IF(A548="","",IF(COUNTIFS('Movimentações'!$C$6:$C$1505,A548,'Movimentações'!$B$6:$B$1505,"Venda")&gt;0,"Vendido",IF(COUNTIFS('Movimentações'!$C$6:$C$1505,A548,'Movimentações'!$B$6:$B$1505,"Morte")&gt;0,"Morto","Ativo")))</f>
        <v/>
      </c>
      <c r="O548" s="40">
        <f>IF(A548="","",IF(COUNTIF('Pesagens'!$B$6:$B$2005,A548)=0,"",SUMPRODUCT(MAX(('Pesagens'!$B$6:$B$2005=A548)*'Pesagens'!$A$6:$A$2005))))</f>
        <v/>
      </c>
      <c r="P548" s="41">
        <f>IF(A548="","",IF(O548="",IF(J548="","",J548),IFERROR(AVERAGEIFS('Pesagens'!$C$6:$C$2005,'Pesagens'!$B$6:$B$2005,A548,'Pesagens'!$A$6:$A$2005,O548),"")))</f>
        <v/>
      </c>
      <c r="Q548" s="42">
        <f>IF(OR(A548="",O548="",I548="",J548=""),"",IFERROR((P548-J548)/(O548-I548),""))</f>
        <v/>
      </c>
    </row>
    <row r="549">
      <c r="A549" s="36" t="n"/>
      <c r="B549" s="32" t="n"/>
      <c r="C549" s="37" t="n"/>
      <c r="D549" s="31" t="n"/>
      <c r="E549" s="32" t="n"/>
      <c r="F549" s="32" t="n"/>
      <c r="G549" s="32" t="n"/>
      <c r="H549" s="36" t="n"/>
      <c r="I549" s="31" t="n"/>
      <c r="J549" s="38" t="n"/>
      <c r="K549" s="32" t="n"/>
      <c r="L549" s="34">
        <f>IF(OR(A549="",D549=""),"",IF(D549&gt;Config!$B$5,0,DATEDIF(D549,Config!$B$5,"m")))</f>
        <v/>
      </c>
      <c r="M549" s="39">
        <f>IF(A549="","",IF(K549&lt;&gt;"",K549,IF(OR(C549="",D549=""),"Sem dados",IFERROR(IF(C549="M",INDEX(Config!$B$11:$B$14,MATCH(L549,Config!$A$11:$A$14,1)),IF(C549="F",INDEX(Config!$C$11:$C$14,MATCH(L549,Config!$A$11:$A$14,1)),"Sem dados")),"Verificar"))))</f>
        <v/>
      </c>
      <c r="N549" s="39">
        <f>IF(A549="","",IF(COUNTIFS('Movimentações'!$C$6:$C$1505,A549,'Movimentações'!$B$6:$B$1505,"Venda")&gt;0,"Vendido",IF(COUNTIFS('Movimentações'!$C$6:$C$1505,A549,'Movimentações'!$B$6:$B$1505,"Morte")&gt;0,"Morto","Ativo")))</f>
        <v/>
      </c>
      <c r="O549" s="40">
        <f>IF(A549="","",IF(COUNTIF('Pesagens'!$B$6:$B$2005,A549)=0,"",SUMPRODUCT(MAX(('Pesagens'!$B$6:$B$2005=A549)*'Pesagens'!$A$6:$A$2005))))</f>
        <v/>
      </c>
      <c r="P549" s="41">
        <f>IF(A549="","",IF(O549="",IF(J549="","",J549),IFERROR(AVERAGEIFS('Pesagens'!$C$6:$C$2005,'Pesagens'!$B$6:$B$2005,A549,'Pesagens'!$A$6:$A$2005,O549),"")))</f>
        <v/>
      </c>
      <c r="Q549" s="42">
        <f>IF(OR(A549="",O549="",I549="",J549=""),"",IFERROR((P549-J549)/(O549-I549),""))</f>
        <v/>
      </c>
    </row>
    <row r="550">
      <c r="A550" s="36" t="n"/>
      <c r="B550" s="32" t="n"/>
      <c r="C550" s="37" t="n"/>
      <c r="D550" s="31" t="n"/>
      <c r="E550" s="32" t="n"/>
      <c r="F550" s="32" t="n"/>
      <c r="G550" s="32" t="n"/>
      <c r="H550" s="36" t="n"/>
      <c r="I550" s="31" t="n"/>
      <c r="J550" s="38" t="n"/>
      <c r="K550" s="32" t="n"/>
      <c r="L550" s="34">
        <f>IF(OR(A550="",D550=""),"",IF(D550&gt;Config!$B$5,0,DATEDIF(D550,Config!$B$5,"m")))</f>
        <v/>
      </c>
      <c r="M550" s="39">
        <f>IF(A550="","",IF(K550&lt;&gt;"",K550,IF(OR(C550="",D550=""),"Sem dados",IFERROR(IF(C550="M",INDEX(Config!$B$11:$B$14,MATCH(L550,Config!$A$11:$A$14,1)),IF(C550="F",INDEX(Config!$C$11:$C$14,MATCH(L550,Config!$A$11:$A$14,1)),"Sem dados")),"Verificar"))))</f>
        <v/>
      </c>
      <c r="N550" s="39">
        <f>IF(A550="","",IF(COUNTIFS('Movimentações'!$C$6:$C$1505,A550,'Movimentações'!$B$6:$B$1505,"Venda")&gt;0,"Vendido",IF(COUNTIFS('Movimentações'!$C$6:$C$1505,A550,'Movimentações'!$B$6:$B$1505,"Morte")&gt;0,"Morto","Ativo")))</f>
        <v/>
      </c>
      <c r="O550" s="40">
        <f>IF(A550="","",IF(COUNTIF('Pesagens'!$B$6:$B$2005,A550)=0,"",SUMPRODUCT(MAX(('Pesagens'!$B$6:$B$2005=A550)*'Pesagens'!$A$6:$A$2005))))</f>
        <v/>
      </c>
      <c r="P550" s="41">
        <f>IF(A550="","",IF(O550="",IF(J550="","",J550),IFERROR(AVERAGEIFS('Pesagens'!$C$6:$C$2005,'Pesagens'!$B$6:$B$2005,A550,'Pesagens'!$A$6:$A$2005,O550),"")))</f>
        <v/>
      </c>
      <c r="Q550" s="42">
        <f>IF(OR(A550="",O550="",I550="",J550=""),"",IFERROR((P550-J550)/(O550-I550),""))</f>
        <v/>
      </c>
    </row>
    <row r="551">
      <c r="A551" s="36" t="n"/>
      <c r="B551" s="32" t="n"/>
      <c r="C551" s="37" t="n"/>
      <c r="D551" s="31" t="n"/>
      <c r="E551" s="32" t="n"/>
      <c r="F551" s="32" t="n"/>
      <c r="G551" s="32" t="n"/>
      <c r="H551" s="36" t="n"/>
      <c r="I551" s="31" t="n"/>
      <c r="J551" s="38" t="n"/>
      <c r="K551" s="32" t="n"/>
      <c r="L551" s="34">
        <f>IF(OR(A551="",D551=""),"",IF(D551&gt;Config!$B$5,0,DATEDIF(D551,Config!$B$5,"m")))</f>
        <v/>
      </c>
      <c r="M551" s="39">
        <f>IF(A551="","",IF(K551&lt;&gt;"",K551,IF(OR(C551="",D551=""),"Sem dados",IFERROR(IF(C551="M",INDEX(Config!$B$11:$B$14,MATCH(L551,Config!$A$11:$A$14,1)),IF(C551="F",INDEX(Config!$C$11:$C$14,MATCH(L551,Config!$A$11:$A$14,1)),"Sem dados")),"Verificar"))))</f>
        <v/>
      </c>
      <c r="N551" s="39">
        <f>IF(A551="","",IF(COUNTIFS('Movimentações'!$C$6:$C$1505,A551,'Movimentações'!$B$6:$B$1505,"Venda")&gt;0,"Vendido",IF(COUNTIFS('Movimentações'!$C$6:$C$1505,A551,'Movimentações'!$B$6:$B$1505,"Morte")&gt;0,"Morto","Ativo")))</f>
        <v/>
      </c>
      <c r="O551" s="40">
        <f>IF(A551="","",IF(COUNTIF('Pesagens'!$B$6:$B$2005,A551)=0,"",SUMPRODUCT(MAX(('Pesagens'!$B$6:$B$2005=A551)*'Pesagens'!$A$6:$A$2005))))</f>
        <v/>
      </c>
      <c r="P551" s="41">
        <f>IF(A551="","",IF(O551="",IF(J551="","",J551),IFERROR(AVERAGEIFS('Pesagens'!$C$6:$C$2005,'Pesagens'!$B$6:$B$2005,A551,'Pesagens'!$A$6:$A$2005,O551),"")))</f>
        <v/>
      </c>
      <c r="Q551" s="42">
        <f>IF(OR(A551="",O551="",I551="",J551=""),"",IFERROR((P551-J551)/(O551-I551),""))</f>
        <v/>
      </c>
    </row>
    <row r="552">
      <c r="A552" s="36" t="n"/>
      <c r="B552" s="32" t="n"/>
      <c r="C552" s="37" t="n"/>
      <c r="D552" s="31" t="n"/>
      <c r="E552" s="32" t="n"/>
      <c r="F552" s="32" t="n"/>
      <c r="G552" s="32" t="n"/>
      <c r="H552" s="36" t="n"/>
      <c r="I552" s="31" t="n"/>
      <c r="J552" s="38" t="n"/>
      <c r="K552" s="32" t="n"/>
      <c r="L552" s="34">
        <f>IF(OR(A552="",D552=""),"",IF(D552&gt;Config!$B$5,0,DATEDIF(D552,Config!$B$5,"m")))</f>
        <v/>
      </c>
      <c r="M552" s="39">
        <f>IF(A552="","",IF(K552&lt;&gt;"",K552,IF(OR(C552="",D552=""),"Sem dados",IFERROR(IF(C552="M",INDEX(Config!$B$11:$B$14,MATCH(L552,Config!$A$11:$A$14,1)),IF(C552="F",INDEX(Config!$C$11:$C$14,MATCH(L552,Config!$A$11:$A$14,1)),"Sem dados")),"Verificar"))))</f>
        <v/>
      </c>
      <c r="N552" s="39">
        <f>IF(A552="","",IF(COUNTIFS('Movimentações'!$C$6:$C$1505,A552,'Movimentações'!$B$6:$B$1505,"Venda")&gt;0,"Vendido",IF(COUNTIFS('Movimentações'!$C$6:$C$1505,A552,'Movimentações'!$B$6:$B$1505,"Morte")&gt;0,"Morto","Ativo")))</f>
        <v/>
      </c>
      <c r="O552" s="40">
        <f>IF(A552="","",IF(COUNTIF('Pesagens'!$B$6:$B$2005,A552)=0,"",SUMPRODUCT(MAX(('Pesagens'!$B$6:$B$2005=A552)*'Pesagens'!$A$6:$A$2005))))</f>
        <v/>
      </c>
      <c r="P552" s="41">
        <f>IF(A552="","",IF(O552="",IF(J552="","",J552),IFERROR(AVERAGEIFS('Pesagens'!$C$6:$C$2005,'Pesagens'!$B$6:$B$2005,A552,'Pesagens'!$A$6:$A$2005,O552),"")))</f>
        <v/>
      </c>
      <c r="Q552" s="42">
        <f>IF(OR(A552="",O552="",I552="",J552=""),"",IFERROR((P552-J552)/(O552-I552),""))</f>
        <v/>
      </c>
    </row>
    <row r="553">
      <c r="A553" s="36" t="n"/>
      <c r="B553" s="32" t="n"/>
      <c r="C553" s="37" t="n"/>
      <c r="D553" s="31" t="n"/>
      <c r="E553" s="32" t="n"/>
      <c r="F553" s="32" t="n"/>
      <c r="G553" s="32" t="n"/>
      <c r="H553" s="36" t="n"/>
      <c r="I553" s="31" t="n"/>
      <c r="J553" s="38" t="n"/>
      <c r="K553" s="32" t="n"/>
      <c r="L553" s="34">
        <f>IF(OR(A553="",D553=""),"",IF(D553&gt;Config!$B$5,0,DATEDIF(D553,Config!$B$5,"m")))</f>
        <v/>
      </c>
      <c r="M553" s="39">
        <f>IF(A553="","",IF(K553&lt;&gt;"",K553,IF(OR(C553="",D553=""),"Sem dados",IFERROR(IF(C553="M",INDEX(Config!$B$11:$B$14,MATCH(L553,Config!$A$11:$A$14,1)),IF(C553="F",INDEX(Config!$C$11:$C$14,MATCH(L553,Config!$A$11:$A$14,1)),"Sem dados")),"Verificar"))))</f>
        <v/>
      </c>
      <c r="N553" s="39">
        <f>IF(A553="","",IF(COUNTIFS('Movimentações'!$C$6:$C$1505,A553,'Movimentações'!$B$6:$B$1505,"Venda")&gt;0,"Vendido",IF(COUNTIFS('Movimentações'!$C$6:$C$1505,A553,'Movimentações'!$B$6:$B$1505,"Morte")&gt;0,"Morto","Ativo")))</f>
        <v/>
      </c>
      <c r="O553" s="40">
        <f>IF(A553="","",IF(COUNTIF('Pesagens'!$B$6:$B$2005,A553)=0,"",SUMPRODUCT(MAX(('Pesagens'!$B$6:$B$2005=A553)*'Pesagens'!$A$6:$A$2005))))</f>
        <v/>
      </c>
      <c r="P553" s="41">
        <f>IF(A553="","",IF(O553="",IF(J553="","",J553),IFERROR(AVERAGEIFS('Pesagens'!$C$6:$C$2005,'Pesagens'!$B$6:$B$2005,A553,'Pesagens'!$A$6:$A$2005,O553),"")))</f>
        <v/>
      </c>
      <c r="Q553" s="42">
        <f>IF(OR(A553="",O553="",I553="",J553=""),"",IFERROR((P553-J553)/(O553-I553),""))</f>
        <v/>
      </c>
    </row>
    <row r="554">
      <c r="A554" s="36" t="n"/>
      <c r="B554" s="32" t="n"/>
      <c r="C554" s="37" t="n"/>
      <c r="D554" s="31" t="n"/>
      <c r="E554" s="32" t="n"/>
      <c r="F554" s="32" t="n"/>
      <c r="G554" s="32" t="n"/>
      <c r="H554" s="36" t="n"/>
      <c r="I554" s="31" t="n"/>
      <c r="J554" s="38" t="n"/>
      <c r="K554" s="32" t="n"/>
      <c r="L554" s="34">
        <f>IF(OR(A554="",D554=""),"",IF(D554&gt;Config!$B$5,0,DATEDIF(D554,Config!$B$5,"m")))</f>
        <v/>
      </c>
      <c r="M554" s="39">
        <f>IF(A554="","",IF(K554&lt;&gt;"",K554,IF(OR(C554="",D554=""),"Sem dados",IFERROR(IF(C554="M",INDEX(Config!$B$11:$B$14,MATCH(L554,Config!$A$11:$A$14,1)),IF(C554="F",INDEX(Config!$C$11:$C$14,MATCH(L554,Config!$A$11:$A$14,1)),"Sem dados")),"Verificar"))))</f>
        <v/>
      </c>
      <c r="N554" s="39">
        <f>IF(A554="","",IF(COUNTIFS('Movimentações'!$C$6:$C$1505,A554,'Movimentações'!$B$6:$B$1505,"Venda")&gt;0,"Vendido",IF(COUNTIFS('Movimentações'!$C$6:$C$1505,A554,'Movimentações'!$B$6:$B$1505,"Morte")&gt;0,"Morto","Ativo")))</f>
        <v/>
      </c>
      <c r="O554" s="40">
        <f>IF(A554="","",IF(COUNTIF('Pesagens'!$B$6:$B$2005,A554)=0,"",SUMPRODUCT(MAX(('Pesagens'!$B$6:$B$2005=A554)*'Pesagens'!$A$6:$A$2005))))</f>
        <v/>
      </c>
      <c r="P554" s="41">
        <f>IF(A554="","",IF(O554="",IF(J554="","",J554),IFERROR(AVERAGEIFS('Pesagens'!$C$6:$C$2005,'Pesagens'!$B$6:$B$2005,A554,'Pesagens'!$A$6:$A$2005,O554),"")))</f>
        <v/>
      </c>
      <c r="Q554" s="42">
        <f>IF(OR(A554="",O554="",I554="",J554=""),"",IFERROR((P554-J554)/(O554-I554),""))</f>
        <v/>
      </c>
    </row>
    <row r="555">
      <c r="A555" s="36" t="n"/>
      <c r="B555" s="32" t="n"/>
      <c r="C555" s="37" t="n"/>
      <c r="D555" s="31" t="n"/>
      <c r="E555" s="32" t="n"/>
      <c r="F555" s="32" t="n"/>
      <c r="G555" s="32" t="n"/>
      <c r="H555" s="36" t="n"/>
      <c r="I555" s="31" t="n"/>
      <c r="J555" s="38" t="n"/>
      <c r="K555" s="32" t="n"/>
      <c r="L555" s="34">
        <f>IF(OR(A555="",D555=""),"",IF(D555&gt;Config!$B$5,0,DATEDIF(D555,Config!$B$5,"m")))</f>
        <v/>
      </c>
      <c r="M555" s="39">
        <f>IF(A555="","",IF(K555&lt;&gt;"",K555,IF(OR(C555="",D555=""),"Sem dados",IFERROR(IF(C555="M",INDEX(Config!$B$11:$B$14,MATCH(L555,Config!$A$11:$A$14,1)),IF(C555="F",INDEX(Config!$C$11:$C$14,MATCH(L555,Config!$A$11:$A$14,1)),"Sem dados")),"Verificar"))))</f>
        <v/>
      </c>
      <c r="N555" s="39">
        <f>IF(A555="","",IF(COUNTIFS('Movimentações'!$C$6:$C$1505,A555,'Movimentações'!$B$6:$B$1505,"Venda")&gt;0,"Vendido",IF(COUNTIFS('Movimentações'!$C$6:$C$1505,A555,'Movimentações'!$B$6:$B$1505,"Morte")&gt;0,"Morto","Ativo")))</f>
        <v/>
      </c>
      <c r="O555" s="40">
        <f>IF(A555="","",IF(COUNTIF('Pesagens'!$B$6:$B$2005,A555)=0,"",SUMPRODUCT(MAX(('Pesagens'!$B$6:$B$2005=A555)*'Pesagens'!$A$6:$A$2005))))</f>
        <v/>
      </c>
      <c r="P555" s="41">
        <f>IF(A555="","",IF(O555="",IF(J555="","",J555),IFERROR(AVERAGEIFS('Pesagens'!$C$6:$C$2005,'Pesagens'!$B$6:$B$2005,A555,'Pesagens'!$A$6:$A$2005,O555),"")))</f>
        <v/>
      </c>
      <c r="Q555" s="42">
        <f>IF(OR(A555="",O555="",I555="",J555=""),"",IFERROR((P555-J555)/(O555-I555),""))</f>
        <v/>
      </c>
    </row>
    <row r="556">
      <c r="A556" s="36" t="n"/>
      <c r="B556" s="32" t="n"/>
      <c r="C556" s="37" t="n"/>
      <c r="D556" s="31" t="n"/>
      <c r="E556" s="32" t="n"/>
      <c r="F556" s="32" t="n"/>
      <c r="G556" s="32" t="n"/>
      <c r="H556" s="36" t="n"/>
      <c r="I556" s="31" t="n"/>
      <c r="J556" s="38" t="n"/>
      <c r="K556" s="32" t="n"/>
      <c r="L556" s="34">
        <f>IF(OR(A556="",D556=""),"",IF(D556&gt;Config!$B$5,0,DATEDIF(D556,Config!$B$5,"m")))</f>
        <v/>
      </c>
      <c r="M556" s="39">
        <f>IF(A556="","",IF(K556&lt;&gt;"",K556,IF(OR(C556="",D556=""),"Sem dados",IFERROR(IF(C556="M",INDEX(Config!$B$11:$B$14,MATCH(L556,Config!$A$11:$A$14,1)),IF(C556="F",INDEX(Config!$C$11:$C$14,MATCH(L556,Config!$A$11:$A$14,1)),"Sem dados")),"Verificar"))))</f>
        <v/>
      </c>
      <c r="N556" s="39">
        <f>IF(A556="","",IF(COUNTIFS('Movimentações'!$C$6:$C$1505,A556,'Movimentações'!$B$6:$B$1505,"Venda")&gt;0,"Vendido",IF(COUNTIFS('Movimentações'!$C$6:$C$1505,A556,'Movimentações'!$B$6:$B$1505,"Morte")&gt;0,"Morto","Ativo")))</f>
        <v/>
      </c>
      <c r="O556" s="40">
        <f>IF(A556="","",IF(COUNTIF('Pesagens'!$B$6:$B$2005,A556)=0,"",SUMPRODUCT(MAX(('Pesagens'!$B$6:$B$2005=A556)*'Pesagens'!$A$6:$A$2005))))</f>
        <v/>
      </c>
      <c r="P556" s="41">
        <f>IF(A556="","",IF(O556="",IF(J556="","",J556),IFERROR(AVERAGEIFS('Pesagens'!$C$6:$C$2005,'Pesagens'!$B$6:$B$2005,A556,'Pesagens'!$A$6:$A$2005,O556),"")))</f>
        <v/>
      </c>
      <c r="Q556" s="42">
        <f>IF(OR(A556="",O556="",I556="",J556=""),"",IFERROR((P556-J556)/(O556-I556),""))</f>
        <v/>
      </c>
    </row>
    <row r="557">
      <c r="A557" s="36" t="n"/>
      <c r="B557" s="32" t="n"/>
      <c r="C557" s="37" t="n"/>
      <c r="D557" s="31" t="n"/>
      <c r="E557" s="32" t="n"/>
      <c r="F557" s="32" t="n"/>
      <c r="G557" s="32" t="n"/>
      <c r="H557" s="36" t="n"/>
      <c r="I557" s="31" t="n"/>
      <c r="J557" s="38" t="n"/>
      <c r="K557" s="32" t="n"/>
      <c r="L557" s="34">
        <f>IF(OR(A557="",D557=""),"",IF(D557&gt;Config!$B$5,0,DATEDIF(D557,Config!$B$5,"m")))</f>
        <v/>
      </c>
      <c r="M557" s="39">
        <f>IF(A557="","",IF(K557&lt;&gt;"",K557,IF(OR(C557="",D557=""),"Sem dados",IFERROR(IF(C557="M",INDEX(Config!$B$11:$B$14,MATCH(L557,Config!$A$11:$A$14,1)),IF(C557="F",INDEX(Config!$C$11:$C$14,MATCH(L557,Config!$A$11:$A$14,1)),"Sem dados")),"Verificar"))))</f>
        <v/>
      </c>
      <c r="N557" s="39">
        <f>IF(A557="","",IF(COUNTIFS('Movimentações'!$C$6:$C$1505,A557,'Movimentações'!$B$6:$B$1505,"Venda")&gt;0,"Vendido",IF(COUNTIFS('Movimentações'!$C$6:$C$1505,A557,'Movimentações'!$B$6:$B$1505,"Morte")&gt;0,"Morto","Ativo")))</f>
        <v/>
      </c>
      <c r="O557" s="40">
        <f>IF(A557="","",IF(COUNTIF('Pesagens'!$B$6:$B$2005,A557)=0,"",SUMPRODUCT(MAX(('Pesagens'!$B$6:$B$2005=A557)*'Pesagens'!$A$6:$A$2005))))</f>
        <v/>
      </c>
      <c r="P557" s="41">
        <f>IF(A557="","",IF(O557="",IF(J557="","",J557),IFERROR(AVERAGEIFS('Pesagens'!$C$6:$C$2005,'Pesagens'!$B$6:$B$2005,A557,'Pesagens'!$A$6:$A$2005,O557),"")))</f>
        <v/>
      </c>
      <c r="Q557" s="42">
        <f>IF(OR(A557="",O557="",I557="",J557=""),"",IFERROR((P557-J557)/(O557-I557),""))</f>
        <v/>
      </c>
    </row>
    <row r="558">
      <c r="A558" s="36" t="n"/>
      <c r="B558" s="32" t="n"/>
      <c r="C558" s="37" t="n"/>
      <c r="D558" s="31" t="n"/>
      <c r="E558" s="32" t="n"/>
      <c r="F558" s="32" t="n"/>
      <c r="G558" s="32" t="n"/>
      <c r="H558" s="36" t="n"/>
      <c r="I558" s="31" t="n"/>
      <c r="J558" s="38" t="n"/>
      <c r="K558" s="32" t="n"/>
      <c r="L558" s="34">
        <f>IF(OR(A558="",D558=""),"",IF(D558&gt;Config!$B$5,0,DATEDIF(D558,Config!$B$5,"m")))</f>
        <v/>
      </c>
      <c r="M558" s="39">
        <f>IF(A558="","",IF(K558&lt;&gt;"",K558,IF(OR(C558="",D558=""),"Sem dados",IFERROR(IF(C558="M",INDEX(Config!$B$11:$B$14,MATCH(L558,Config!$A$11:$A$14,1)),IF(C558="F",INDEX(Config!$C$11:$C$14,MATCH(L558,Config!$A$11:$A$14,1)),"Sem dados")),"Verificar"))))</f>
        <v/>
      </c>
      <c r="N558" s="39">
        <f>IF(A558="","",IF(COUNTIFS('Movimentações'!$C$6:$C$1505,A558,'Movimentações'!$B$6:$B$1505,"Venda")&gt;0,"Vendido",IF(COUNTIFS('Movimentações'!$C$6:$C$1505,A558,'Movimentações'!$B$6:$B$1505,"Morte")&gt;0,"Morto","Ativo")))</f>
        <v/>
      </c>
      <c r="O558" s="40">
        <f>IF(A558="","",IF(COUNTIF('Pesagens'!$B$6:$B$2005,A558)=0,"",SUMPRODUCT(MAX(('Pesagens'!$B$6:$B$2005=A558)*'Pesagens'!$A$6:$A$2005))))</f>
        <v/>
      </c>
      <c r="P558" s="41">
        <f>IF(A558="","",IF(O558="",IF(J558="","",J558),IFERROR(AVERAGEIFS('Pesagens'!$C$6:$C$2005,'Pesagens'!$B$6:$B$2005,A558,'Pesagens'!$A$6:$A$2005,O558),"")))</f>
        <v/>
      </c>
      <c r="Q558" s="42">
        <f>IF(OR(A558="",O558="",I558="",J558=""),"",IFERROR((P558-J558)/(O558-I558),""))</f>
        <v/>
      </c>
    </row>
    <row r="559">
      <c r="A559" s="36" t="n"/>
      <c r="B559" s="32" t="n"/>
      <c r="C559" s="37" t="n"/>
      <c r="D559" s="31" t="n"/>
      <c r="E559" s="32" t="n"/>
      <c r="F559" s="32" t="n"/>
      <c r="G559" s="32" t="n"/>
      <c r="H559" s="36" t="n"/>
      <c r="I559" s="31" t="n"/>
      <c r="J559" s="38" t="n"/>
      <c r="K559" s="32" t="n"/>
      <c r="L559" s="34">
        <f>IF(OR(A559="",D559=""),"",IF(D559&gt;Config!$B$5,0,DATEDIF(D559,Config!$B$5,"m")))</f>
        <v/>
      </c>
      <c r="M559" s="39">
        <f>IF(A559="","",IF(K559&lt;&gt;"",K559,IF(OR(C559="",D559=""),"Sem dados",IFERROR(IF(C559="M",INDEX(Config!$B$11:$B$14,MATCH(L559,Config!$A$11:$A$14,1)),IF(C559="F",INDEX(Config!$C$11:$C$14,MATCH(L559,Config!$A$11:$A$14,1)),"Sem dados")),"Verificar"))))</f>
        <v/>
      </c>
      <c r="N559" s="39">
        <f>IF(A559="","",IF(COUNTIFS('Movimentações'!$C$6:$C$1505,A559,'Movimentações'!$B$6:$B$1505,"Venda")&gt;0,"Vendido",IF(COUNTIFS('Movimentações'!$C$6:$C$1505,A559,'Movimentações'!$B$6:$B$1505,"Morte")&gt;0,"Morto","Ativo")))</f>
        <v/>
      </c>
      <c r="O559" s="40">
        <f>IF(A559="","",IF(COUNTIF('Pesagens'!$B$6:$B$2005,A559)=0,"",SUMPRODUCT(MAX(('Pesagens'!$B$6:$B$2005=A559)*'Pesagens'!$A$6:$A$2005))))</f>
        <v/>
      </c>
      <c r="P559" s="41">
        <f>IF(A559="","",IF(O559="",IF(J559="","",J559),IFERROR(AVERAGEIFS('Pesagens'!$C$6:$C$2005,'Pesagens'!$B$6:$B$2005,A559,'Pesagens'!$A$6:$A$2005,O559),"")))</f>
        <v/>
      </c>
      <c r="Q559" s="42">
        <f>IF(OR(A559="",O559="",I559="",J559=""),"",IFERROR((P559-J559)/(O559-I559),""))</f>
        <v/>
      </c>
    </row>
    <row r="560">
      <c r="A560" s="36" t="n"/>
      <c r="B560" s="32" t="n"/>
      <c r="C560" s="37" t="n"/>
      <c r="D560" s="31" t="n"/>
      <c r="E560" s="32" t="n"/>
      <c r="F560" s="32" t="n"/>
      <c r="G560" s="32" t="n"/>
      <c r="H560" s="36" t="n"/>
      <c r="I560" s="31" t="n"/>
      <c r="J560" s="38" t="n"/>
      <c r="K560" s="32" t="n"/>
      <c r="L560" s="34">
        <f>IF(OR(A560="",D560=""),"",IF(D560&gt;Config!$B$5,0,DATEDIF(D560,Config!$B$5,"m")))</f>
        <v/>
      </c>
      <c r="M560" s="39">
        <f>IF(A560="","",IF(K560&lt;&gt;"",K560,IF(OR(C560="",D560=""),"Sem dados",IFERROR(IF(C560="M",INDEX(Config!$B$11:$B$14,MATCH(L560,Config!$A$11:$A$14,1)),IF(C560="F",INDEX(Config!$C$11:$C$14,MATCH(L560,Config!$A$11:$A$14,1)),"Sem dados")),"Verificar"))))</f>
        <v/>
      </c>
      <c r="N560" s="39">
        <f>IF(A560="","",IF(COUNTIFS('Movimentações'!$C$6:$C$1505,A560,'Movimentações'!$B$6:$B$1505,"Venda")&gt;0,"Vendido",IF(COUNTIFS('Movimentações'!$C$6:$C$1505,A560,'Movimentações'!$B$6:$B$1505,"Morte")&gt;0,"Morto","Ativo")))</f>
        <v/>
      </c>
      <c r="O560" s="40">
        <f>IF(A560="","",IF(COUNTIF('Pesagens'!$B$6:$B$2005,A560)=0,"",SUMPRODUCT(MAX(('Pesagens'!$B$6:$B$2005=A560)*'Pesagens'!$A$6:$A$2005))))</f>
        <v/>
      </c>
      <c r="P560" s="41">
        <f>IF(A560="","",IF(O560="",IF(J560="","",J560),IFERROR(AVERAGEIFS('Pesagens'!$C$6:$C$2005,'Pesagens'!$B$6:$B$2005,A560,'Pesagens'!$A$6:$A$2005,O560),"")))</f>
        <v/>
      </c>
      <c r="Q560" s="42">
        <f>IF(OR(A560="",O560="",I560="",J560=""),"",IFERROR((P560-J560)/(O560-I560),""))</f>
        <v/>
      </c>
    </row>
    <row r="561">
      <c r="A561" s="36" t="n"/>
      <c r="B561" s="32" t="n"/>
      <c r="C561" s="37" t="n"/>
      <c r="D561" s="31" t="n"/>
      <c r="E561" s="32" t="n"/>
      <c r="F561" s="32" t="n"/>
      <c r="G561" s="32" t="n"/>
      <c r="H561" s="36" t="n"/>
      <c r="I561" s="31" t="n"/>
      <c r="J561" s="38" t="n"/>
      <c r="K561" s="32" t="n"/>
      <c r="L561" s="34">
        <f>IF(OR(A561="",D561=""),"",IF(D561&gt;Config!$B$5,0,DATEDIF(D561,Config!$B$5,"m")))</f>
        <v/>
      </c>
      <c r="M561" s="39">
        <f>IF(A561="","",IF(K561&lt;&gt;"",K561,IF(OR(C561="",D561=""),"Sem dados",IFERROR(IF(C561="M",INDEX(Config!$B$11:$B$14,MATCH(L561,Config!$A$11:$A$14,1)),IF(C561="F",INDEX(Config!$C$11:$C$14,MATCH(L561,Config!$A$11:$A$14,1)),"Sem dados")),"Verificar"))))</f>
        <v/>
      </c>
      <c r="N561" s="39">
        <f>IF(A561="","",IF(COUNTIFS('Movimentações'!$C$6:$C$1505,A561,'Movimentações'!$B$6:$B$1505,"Venda")&gt;0,"Vendido",IF(COUNTIFS('Movimentações'!$C$6:$C$1505,A561,'Movimentações'!$B$6:$B$1505,"Morte")&gt;0,"Morto","Ativo")))</f>
        <v/>
      </c>
      <c r="O561" s="40">
        <f>IF(A561="","",IF(COUNTIF('Pesagens'!$B$6:$B$2005,A561)=0,"",SUMPRODUCT(MAX(('Pesagens'!$B$6:$B$2005=A561)*'Pesagens'!$A$6:$A$2005))))</f>
        <v/>
      </c>
      <c r="P561" s="41">
        <f>IF(A561="","",IF(O561="",IF(J561="","",J561),IFERROR(AVERAGEIFS('Pesagens'!$C$6:$C$2005,'Pesagens'!$B$6:$B$2005,A561,'Pesagens'!$A$6:$A$2005,O561),"")))</f>
        <v/>
      </c>
      <c r="Q561" s="42">
        <f>IF(OR(A561="",O561="",I561="",J561=""),"",IFERROR((P561-J561)/(O561-I561),""))</f>
        <v/>
      </c>
    </row>
    <row r="562">
      <c r="A562" s="36" t="n"/>
      <c r="B562" s="32" t="n"/>
      <c r="C562" s="37" t="n"/>
      <c r="D562" s="31" t="n"/>
      <c r="E562" s="32" t="n"/>
      <c r="F562" s="32" t="n"/>
      <c r="G562" s="32" t="n"/>
      <c r="H562" s="36" t="n"/>
      <c r="I562" s="31" t="n"/>
      <c r="J562" s="38" t="n"/>
      <c r="K562" s="32" t="n"/>
      <c r="L562" s="34">
        <f>IF(OR(A562="",D562=""),"",IF(D562&gt;Config!$B$5,0,DATEDIF(D562,Config!$B$5,"m")))</f>
        <v/>
      </c>
      <c r="M562" s="39">
        <f>IF(A562="","",IF(K562&lt;&gt;"",K562,IF(OR(C562="",D562=""),"Sem dados",IFERROR(IF(C562="M",INDEX(Config!$B$11:$B$14,MATCH(L562,Config!$A$11:$A$14,1)),IF(C562="F",INDEX(Config!$C$11:$C$14,MATCH(L562,Config!$A$11:$A$14,1)),"Sem dados")),"Verificar"))))</f>
        <v/>
      </c>
      <c r="N562" s="39">
        <f>IF(A562="","",IF(COUNTIFS('Movimentações'!$C$6:$C$1505,A562,'Movimentações'!$B$6:$B$1505,"Venda")&gt;0,"Vendido",IF(COUNTIFS('Movimentações'!$C$6:$C$1505,A562,'Movimentações'!$B$6:$B$1505,"Morte")&gt;0,"Morto","Ativo")))</f>
        <v/>
      </c>
      <c r="O562" s="40">
        <f>IF(A562="","",IF(COUNTIF('Pesagens'!$B$6:$B$2005,A562)=0,"",SUMPRODUCT(MAX(('Pesagens'!$B$6:$B$2005=A562)*'Pesagens'!$A$6:$A$2005))))</f>
        <v/>
      </c>
      <c r="P562" s="41">
        <f>IF(A562="","",IF(O562="",IF(J562="","",J562),IFERROR(AVERAGEIFS('Pesagens'!$C$6:$C$2005,'Pesagens'!$B$6:$B$2005,A562,'Pesagens'!$A$6:$A$2005,O562),"")))</f>
        <v/>
      </c>
      <c r="Q562" s="42">
        <f>IF(OR(A562="",O562="",I562="",J562=""),"",IFERROR((P562-J562)/(O562-I562),""))</f>
        <v/>
      </c>
    </row>
    <row r="563">
      <c r="A563" s="36" t="n"/>
      <c r="B563" s="32" t="n"/>
      <c r="C563" s="37" t="n"/>
      <c r="D563" s="31" t="n"/>
      <c r="E563" s="32" t="n"/>
      <c r="F563" s="32" t="n"/>
      <c r="G563" s="32" t="n"/>
      <c r="H563" s="36" t="n"/>
      <c r="I563" s="31" t="n"/>
      <c r="J563" s="38" t="n"/>
      <c r="K563" s="32" t="n"/>
      <c r="L563" s="34">
        <f>IF(OR(A563="",D563=""),"",IF(D563&gt;Config!$B$5,0,DATEDIF(D563,Config!$B$5,"m")))</f>
        <v/>
      </c>
      <c r="M563" s="39">
        <f>IF(A563="","",IF(K563&lt;&gt;"",K563,IF(OR(C563="",D563=""),"Sem dados",IFERROR(IF(C563="M",INDEX(Config!$B$11:$B$14,MATCH(L563,Config!$A$11:$A$14,1)),IF(C563="F",INDEX(Config!$C$11:$C$14,MATCH(L563,Config!$A$11:$A$14,1)),"Sem dados")),"Verificar"))))</f>
        <v/>
      </c>
      <c r="N563" s="39">
        <f>IF(A563="","",IF(COUNTIFS('Movimentações'!$C$6:$C$1505,A563,'Movimentações'!$B$6:$B$1505,"Venda")&gt;0,"Vendido",IF(COUNTIFS('Movimentações'!$C$6:$C$1505,A563,'Movimentações'!$B$6:$B$1505,"Morte")&gt;0,"Morto","Ativo")))</f>
        <v/>
      </c>
      <c r="O563" s="40">
        <f>IF(A563="","",IF(COUNTIF('Pesagens'!$B$6:$B$2005,A563)=0,"",SUMPRODUCT(MAX(('Pesagens'!$B$6:$B$2005=A563)*'Pesagens'!$A$6:$A$2005))))</f>
        <v/>
      </c>
      <c r="P563" s="41">
        <f>IF(A563="","",IF(O563="",IF(J563="","",J563),IFERROR(AVERAGEIFS('Pesagens'!$C$6:$C$2005,'Pesagens'!$B$6:$B$2005,A563,'Pesagens'!$A$6:$A$2005,O563),"")))</f>
        <v/>
      </c>
      <c r="Q563" s="42">
        <f>IF(OR(A563="",O563="",I563="",J563=""),"",IFERROR((P563-J563)/(O563-I563),""))</f>
        <v/>
      </c>
    </row>
    <row r="564">
      <c r="A564" s="36" t="n"/>
      <c r="B564" s="32" t="n"/>
      <c r="C564" s="37" t="n"/>
      <c r="D564" s="31" t="n"/>
      <c r="E564" s="32" t="n"/>
      <c r="F564" s="32" t="n"/>
      <c r="G564" s="32" t="n"/>
      <c r="H564" s="36" t="n"/>
      <c r="I564" s="31" t="n"/>
      <c r="J564" s="38" t="n"/>
      <c r="K564" s="32" t="n"/>
      <c r="L564" s="34">
        <f>IF(OR(A564="",D564=""),"",IF(D564&gt;Config!$B$5,0,DATEDIF(D564,Config!$B$5,"m")))</f>
        <v/>
      </c>
      <c r="M564" s="39">
        <f>IF(A564="","",IF(K564&lt;&gt;"",K564,IF(OR(C564="",D564=""),"Sem dados",IFERROR(IF(C564="M",INDEX(Config!$B$11:$B$14,MATCH(L564,Config!$A$11:$A$14,1)),IF(C564="F",INDEX(Config!$C$11:$C$14,MATCH(L564,Config!$A$11:$A$14,1)),"Sem dados")),"Verificar"))))</f>
        <v/>
      </c>
      <c r="N564" s="39">
        <f>IF(A564="","",IF(COUNTIFS('Movimentações'!$C$6:$C$1505,A564,'Movimentações'!$B$6:$B$1505,"Venda")&gt;0,"Vendido",IF(COUNTIFS('Movimentações'!$C$6:$C$1505,A564,'Movimentações'!$B$6:$B$1505,"Morte")&gt;0,"Morto","Ativo")))</f>
        <v/>
      </c>
      <c r="O564" s="40">
        <f>IF(A564="","",IF(COUNTIF('Pesagens'!$B$6:$B$2005,A564)=0,"",SUMPRODUCT(MAX(('Pesagens'!$B$6:$B$2005=A564)*'Pesagens'!$A$6:$A$2005))))</f>
        <v/>
      </c>
      <c r="P564" s="41">
        <f>IF(A564="","",IF(O564="",IF(J564="","",J564),IFERROR(AVERAGEIFS('Pesagens'!$C$6:$C$2005,'Pesagens'!$B$6:$B$2005,A564,'Pesagens'!$A$6:$A$2005,O564),"")))</f>
        <v/>
      </c>
      <c r="Q564" s="42">
        <f>IF(OR(A564="",O564="",I564="",J564=""),"",IFERROR((P564-J564)/(O564-I564),""))</f>
        <v/>
      </c>
    </row>
    <row r="565">
      <c r="A565" s="36" t="n"/>
      <c r="B565" s="32" t="n"/>
      <c r="C565" s="37" t="n"/>
      <c r="D565" s="31" t="n"/>
      <c r="E565" s="32" t="n"/>
      <c r="F565" s="32" t="n"/>
      <c r="G565" s="32" t="n"/>
      <c r="H565" s="36" t="n"/>
      <c r="I565" s="31" t="n"/>
      <c r="J565" s="38" t="n"/>
      <c r="K565" s="32" t="n"/>
      <c r="L565" s="34">
        <f>IF(OR(A565="",D565=""),"",IF(D565&gt;Config!$B$5,0,DATEDIF(D565,Config!$B$5,"m")))</f>
        <v/>
      </c>
      <c r="M565" s="39">
        <f>IF(A565="","",IF(K565&lt;&gt;"",K565,IF(OR(C565="",D565=""),"Sem dados",IFERROR(IF(C565="M",INDEX(Config!$B$11:$B$14,MATCH(L565,Config!$A$11:$A$14,1)),IF(C565="F",INDEX(Config!$C$11:$C$14,MATCH(L565,Config!$A$11:$A$14,1)),"Sem dados")),"Verificar"))))</f>
        <v/>
      </c>
      <c r="N565" s="39">
        <f>IF(A565="","",IF(COUNTIFS('Movimentações'!$C$6:$C$1505,A565,'Movimentações'!$B$6:$B$1505,"Venda")&gt;0,"Vendido",IF(COUNTIFS('Movimentações'!$C$6:$C$1505,A565,'Movimentações'!$B$6:$B$1505,"Morte")&gt;0,"Morto","Ativo")))</f>
        <v/>
      </c>
      <c r="O565" s="40">
        <f>IF(A565="","",IF(COUNTIF('Pesagens'!$B$6:$B$2005,A565)=0,"",SUMPRODUCT(MAX(('Pesagens'!$B$6:$B$2005=A565)*'Pesagens'!$A$6:$A$2005))))</f>
        <v/>
      </c>
      <c r="P565" s="41">
        <f>IF(A565="","",IF(O565="",IF(J565="","",J565),IFERROR(AVERAGEIFS('Pesagens'!$C$6:$C$2005,'Pesagens'!$B$6:$B$2005,A565,'Pesagens'!$A$6:$A$2005,O565),"")))</f>
        <v/>
      </c>
      <c r="Q565" s="42">
        <f>IF(OR(A565="",O565="",I565="",J565=""),"",IFERROR((P565-J565)/(O565-I565),""))</f>
        <v/>
      </c>
    </row>
    <row r="566">
      <c r="A566" s="36" t="n"/>
      <c r="B566" s="32" t="n"/>
      <c r="C566" s="37" t="n"/>
      <c r="D566" s="31" t="n"/>
      <c r="E566" s="32" t="n"/>
      <c r="F566" s="32" t="n"/>
      <c r="G566" s="32" t="n"/>
      <c r="H566" s="36" t="n"/>
      <c r="I566" s="31" t="n"/>
      <c r="J566" s="38" t="n"/>
      <c r="K566" s="32" t="n"/>
      <c r="L566" s="34">
        <f>IF(OR(A566="",D566=""),"",IF(D566&gt;Config!$B$5,0,DATEDIF(D566,Config!$B$5,"m")))</f>
        <v/>
      </c>
      <c r="M566" s="39">
        <f>IF(A566="","",IF(K566&lt;&gt;"",K566,IF(OR(C566="",D566=""),"Sem dados",IFERROR(IF(C566="M",INDEX(Config!$B$11:$B$14,MATCH(L566,Config!$A$11:$A$14,1)),IF(C566="F",INDEX(Config!$C$11:$C$14,MATCH(L566,Config!$A$11:$A$14,1)),"Sem dados")),"Verificar"))))</f>
        <v/>
      </c>
      <c r="N566" s="39">
        <f>IF(A566="","",IF(COUNTIFS('Movimentações'!$C$6:$C$1505,A566,'Movimentações'!$B$6:$B$1505,"Venda")&gt;0,"Vendido",IF(COUNTIFS('Movimentações'!$C$6:$C$1505,A566,'Movimentações'!$B$6:$B$1505,"Morte")&gt;0,"Morto","Ativo")))</f>
        <v/>
      </c>
      <c r="O566" s="40">
        <f>IF(A566="","",IF(COUNTIF('Pesagens'!$B$6:$B$2005,A566)=0,"",SUMPRODUCT(MAX(('Pesagens'!$B$6:$B$2005=A566)*'Pesagens'!$A$6:$A$2005))))</f>
        <v/>
      </c>
      <c r="P566" s="41">
        <f>IF(A566="","",IF(O566="",IF(J566="","",J566),IFERROR(AVERAGEIFS('Pesagens'!$C$6:$C$2005,'Pesagens'!$B$6:$B$2005,A566,'Pesagens'!$A$6:$A$2005,O566),"")))</f>
        <v/>
      </c>
      <c r="Q566" s="42">
        <f>IF(OR(A566="",O566="",I566="",J566=""),"",IFERROR((P566-J566)/(O566-I566),""))</f>
        <v/>
      </c>
    </row>
    <row r="567">
      <c r="A567" s="36" t="n"/>
      <c r="B567" s="32" t="n"/>
      <c r="C567" s="37" t="n"/>
      <c r="D567" s="31" t="n"/>
      <c r="E567" s="32" t="n"/>
      <c r="F567" s="32" t="n"/>
      <c r="G567" s="32" t="n"/>
      <c r="H567" s="36" t="n"/>
      <c r="I567" s="31" t="n"/>
      <c r="J567" s="38" t="n"/>
      <c r="K567" s="32" t="n"/>
      <c r="L567" s="34">
        <f>IF(OR(A567="",D567=""),"",IF(D567&gt;Config!$B$5,0,DATEDIF(D567,Config!$B$5,"m")))</f>
        <v/>
      </c>
      <c r="M567" s="39">
        <f>IF(A567="","",IF(K567&lt;&gt;"",K567,IF(OR(C567="",D567=""),"Sem dados",IFERROR(IF(C567="M",INDEX(Config!$B$11:$B$14,MATCH(L567,Config!$A$11:$A$14,1)),IF(C567="F",INDEX(Config!$C$11:$C$14,MATCH(L567,Config!$A$11:$A$14,1)),"Sem dados")),"Verificar"))))</f>
        <v/>
      </c>
      <c r="N567" s="39">
        <f>IF(A567="","",IF(COUNTIFS('Movimentações'!$C$6:$C$1505,A567,'Movimentações'!$B$6:$B$1505,"Venda")&gt;0,"Vendido",IF(COUNTIFS('Movimentações'!$C$6:$C$1505,A567,'Movimentações'!$B$6:$B$1505,"Morte")&gt;0,"Morto","Ativo")))</f>
        <v/>
      </c>
      <c r="O567" s="40">
        <f>IF(A567="","",IF(COUNTIF('Pesagens'!$B$6:$B$2005,A567)=0,"",SUMPRODUCT(MAX(('Pesagens'!$B$6:$B$2005=A567)*'Pesagens'!$A$6:$A$2005))))</f>
        <v/>
      </c>
      <c r="P567" s="41">
        <f>IF(A567="","",IF(O567="",IF(J567="","",J567),IFERROR(AVERAGEIFS('Pesagens'!$C$6:$C$2005,'Pesagens'!$B$6:$B$2005,A567,'Pesagens'!$A$6:$A$2005,O567),"")))</f>
        <v/>
      </c>
      <c r="Q567" s="42">
        <f>IF(OR(A567="",O567="",I567="",J567=""),"",IFERROR((P567-J567)/(O567-I567),""))</f>
        <v/>
      </c>
    </row>
    <row r="568">
      <c r="A568" s="36" t="n"/>
      <c r="B568" s="32" t="n"/>
      <c r="C568" s="37" t="n"/>
      <c r="D568" s="31" t="n"/>
      <c r="E568" s="32" t="n"/>
      <c r="F568" s="32" t="n"/>
      <c r="G568" s="32" t="n"/>
      <c r="H568" s="36" t="n"/>
      <c r="I568" s="31" t="n"/>
      <c r="J568" s="38" t="n"/>
      <c r="K568" s="32" t="n"/>
      <c r="L568" s="34">
        <f>IF(OR(A568="",D568=""),"",IF(D568&gt;Config!$B$5,0,DATEDIF(D568,Config!$B$5,"m")))</f>
        <v/>
      </c>
      <c r="M568" s="39">
        <f>IF(A568="","",IF(K568&lt;&gt;"",K568,IF(OR(C568="",D568=""),"Sem dados",IFERROR(IF(C568="M",INDEX(Config!$B$11:$B$14,MATCH(L568,Config!$A$11:$A$14,1)),IF(C568="F",INDEX(Config!$C$11:$C$14,MATCH(L568,Config!$A$11:$A$14,1)),"Sem dados")),"Verificar"))))</f>
        <v/>
      </c>
      <c r="N568" s="39">
        <f>IF(A568="","",IF(COUNTIFS('Movimentações'!$C$6:$C$1505,A568,'Movimentações'!$B$6:$B$1505,"Venda")&gt;0,"Vendido",IF(COUNTIFS('Movimentações'!$C$6:$C$1505,A568,'Movimentações'!$B$6:$B$1505,"Morte")&gt;0,"Morto","Ativo")))</f>
        <v/>
      </c>
      <c r="O568" s="40">
        <f>IF(A568="","",IF(COUNTIF('Pesagens'!$B$6:$B$2005,A568)=0,"",SUMPRODUCT(MAX(('Pesagens'!$B$6:$B$2005=A568)*'Pesagens'!$A$6:$A$2005))))</f>
        <v/>
      </c>
      <c r="P568" s="41">
        <f>IF(A568="","",IF(O568="",IF(J568="","",J568),IFERROR(AVERAGEIFS('Pesagens'!$C$6:$C$2005,'Pesagens'!$B$6:$B$2005,A568,'Pesagens'!$A$6:$A$2005,O568),"")))</f>
        <v/>
      </c>
      <c r="Q568" s="42">
        <f>IF(OR(A568="",O568="",I568="",J568=""),"",IFERROR((P568-J568)/(O568-I568),""))</f>
        <v/>
      </c>
    </row>
    <row r="569">
      <c r="A569" s="36" t="n"/>
      <c r="B569" s="32" t="n"/>
      <c r="C569" s="37" t="n"/>
      <c r="D569" s="31" t="n"/>
      <c r="E569" s="32" t="n"/>
      <c r="F569" s="32" t="n"/>
      <c r="G569" s="32" t="n"/>
      <c r="H569" s="36" t="n"/>
      <c r="I569" s="31" t="n"/>
      <c r="J569" s="38" t="n"/>
      <c r="K569" s="32" t="n"/>
      <c r="L569" s="34">
        <f>IF(OR(A569="",D569=""),"",IF(D569&gt;Config!$B$5,0,DATEDIF(D569,Config!$B$5,"m")))</f>
        <v/>
      </c>
      <c r="M569" s="39">
        <f>IF(A569="","",IF(K569&lt;&gt;"",K569,IF(OR(C569="",D569=""),"Sem dados",IFERROR(IF(C569="M",INDEX(Config!$B$11:$B$14,MATCH(L569,Config!$A$11:$A$14,1)),IF(C569="F",INDEX(Config!$C$11:$C$14,MATCH(L569,Config!$A$11:$A$14,1)),"Sem dados")),"Verificar"))))</f>
        <v/>
      </c>
      <c r="N569" s="39">
        <f>IF(A569="","",IF(COUNTIFS('Movimentações'!$C$6:$C$1505,A569,'Movimentações'!$B$6:$B$1505,"Venda")&gt;0,"Vendido",IF(COUNTIFS('Movimentações'!$C$6:$C$1505,A569,'Movimentações'!$B$6:$B$1505,"Morte")&gt;0,"Morto","Ativo")))</f>
        <v/>
      </c>
      <c r="O569" s="40">
        <f>IF(A569="","",IF(COUNTIF('Pesagens'!$B$6:$B$2005,A569)=0,"",SUMPRODUCT(MAX(('Pesagens'!$B$6:$B$2005=A569)*'Pesagens'!$A$6:$A$2005))))</f>
        <v/>
      </c>
      <c r="P569" s="41">
        <f>IF(A569="","",IF(O569="",IF(J569="","",J569),IFERROR(AVERAGEIFS('Pesagens'!$C$6:$C$2005,'Pesagens'!$B$6:$B$2005,A569,'Pesagens'!$A$6:$A$2005,O569),"")))</f>
        <v/>
      </c>
      <c r="Q569" s="42">
        <f>IF(OR(A569="",O569="",I569="",J569=""),"",IFERROR((P569-J569)/(O569-I569),""))</f>
        <v/>
      </c>
    </row>
    <row r="570">
      <c r="A570" s="36" t="n"/>
      <c r="B570" s="32" t="n"/>
      <c r="C570" s="37" t="n"/>
      <c r="D570" s="31" t="n"/>
      <c r="E570" s="32" t="n"/>
      <c r="F570" s="32" t="n"/>
      <c r="G570" s="32" t="n"/>
      <c r="H570" s="36" t="n"/>
      <c r="I570" s="31" t="n"/>
      <c r="J570" s="38" t="n"/>
      <c r="K570" s="32" t="n"/>
      <c r="L570" s="34">
        <f>IF(OR(A570="",D570=""),"",IF(D570&gt;Config!$B$5,0,DATEDIF(D570,Config!$B$5,"m")))</f>
        <v/>
      </c>
      <c r="M570" s="39">
        <f>IF(A570="","",IF(K570&lt;&gt;"",K570,IF(OR(C570="",D570=""),"Sem dados",IFERROR(IF(C570="M",INDEX(Config!$B$11:$B$14,MATCH(L570,Config!$A$11:$A$14,1)),IF(C570="F",INDEX(Config!$C$11:$C$14,MATCH(L570,Config!$A$11:$A$14,1)),"Sem dados")),"Verificar"))))</f>
        <v/>
      </c>
      <c r="N570" s="39">
        <f>IF(A570="","",IF(COUNTIFS('Movimentações'!$C$6:$C$1505,A570,'Movimentações'!$B$6:$B$1505,"Venda")&gt;0,"Vendido",IF(COUNTIFS('Movimentações'!$C$6:$C$1505,A570,'Movimentações'!$B$6:$B$1505,"Morte")&gt;0,"Morto","Ativo")))</f>
        <v/>
      </c>
      <c r="O570" s="40">
        <f>IF(A570="","",IF(COUNTIF('Pesagens'!$B$6:$B$2005,A570)=0,"",SUMPRODUCT(MAX(('Pesagens'!$B$6:$B$2005=A570)*'Pesagens'!$A$6:$A$2005))))</f>
        <v/>
      </c>
      <c r="P570" s="41">
        <f>IF(A570="","",IF(O570="",IF(J570="","",J570),IFERROR(AVERAGEIFS('Pesagens'!$C$6:$C$2005,'Pesagens'!$B$6:$B$2005,A570,'Pesagens'!$A$6:$A$2005,O570),"")))</f>
        <v/>
      </c>
      <c r="Q570" s="42">
        <f>IF(OR(A570="",O570="",I570="",J570=""),"",IFERROR((P570-J570)/(O570-I570),""))</f>
        <v/>
      </c>
    </row>
    <row r="571">
      <c r="A571" s="36" t="n"/>
      <c r="B571" s="32" t="n"/>
      <c r="C571" s="37" t="n"/>
      <c r="D571" s="31" t="n"/>
      <c r="E571" s="32" t="n"/>
      <c r="F571" s="32" t="n"/>
      <c r="G571" s="32" t="n"/>
      <c r="H571" s="36" t="n"/>
      <c r="I571" s="31" t="n"/>
      <c r="J571" s="38" t="n"/>
      <c r="K571" s="32" t="n"/>
      <c r="L571" s="34">
        <f>IF(OR(A571="",D571=""),"",IF(D571&gt;Config!$B$5,0,DATEDIF(D571,Config!$B$5,"m")))</f>
        <v/>
      </c>
      <c r="M571" s="39">
        <f>IF(A571="","",IF(K571&lt;&gt;"",K571,IF(OR(C571="",D571=""),"Sem dados",IFERROR(IF(C571="M",INDEX(Config!$B$11:$B$14,MATCH(L571,Config!$A$11:$A$14,1)),IF(C571="F",INDEX(Config!$C$11:$C$14,MATCH(L571,Config!$A$11:$A$14,1)),"Sem dados")),"Verificar"))))</f>
        <v/>
      </c>
      <c r="N571" s="39">
        <f>IF(A571="","",IF(COUNTIFS('Movimentações'!$C$6:$C$1505,A571,'Movimentações'!$B$6:$B$1505,"Venda")&gt;0,"Vendido",IF(COUNTIFS('Movimentações'!$C$6:$C$1505,A571,'Movimentações'!$B$6:$B$1505,"Morte")&gt;0,"Morto","Ativo")))</f>
        <v/>
      </c>
      <c r="O571" s="40">
        <f>IF(A571="","",IF(COUNTIF('Pesagens'!$B$6:$B$2005,A571)=0,"",SUMPRODUCT(MAX(('Pesagens'!$B$6:$B$2005=A571)*'Pesagens'!$A$6:$A$2005))))</f>
        <v/>
      </c>
      <c r="P571" s="41">
        <f>IF(A571="","",IF(O571="",IF(J571="","",J571),IFERROR(AVERAGEIFS('Pesagens'!$C$6:$C$2005,'Pesagens'!$B$6:$B$2005,A571,'Pesagens'!$A$6:$A$2005,O571),"")))</f>
        <v/>
      </c>
      <c r="Q571" s="42">
        <f>IF(OR(A571="",O571="",I571="",J571=""),"",IFERROR((P571-J571)/(O571-I571),""))</f>
        <v/>
      </c>
    </row>
    <row r="572">
      <c r="A572" s="36" t="n"/>
      <c r="B572" s="32" t="n"/>
      <c r="C572" s="37" t="n"/>
      <c r="D572" s="31" t="n"/>
      <c r="E572" s="32" t="n"/>
      <c r="F572" s="32" t="n"/>
      <c r="G572" s="32" t="n"/>
      <c r="H572" s="36" t="n"/>
      <c r="I572" s="31" t="n"/>
      <c r="J572" s="38" t="n"/>
      <c r="K572" s="32" t="n"/>
      <c r="L572" s="34">
        <f>IF(OR(A572="",D572=""),"",IF(D572&gt;Config!$B$5,0,DATEDIF(D572,Config!$B$5,"m")))</f>
        <v/>
      </c>
      <c r="M572" s="39">
        <f>IF(A572="","",IF(K572&lt;&gt;"",K572,IF(OR(C572="",D572=""),"Sem dados",IFERROR(IF(C572="M",INDEX(Config!$B$11:$B$14,MATCH(L572,Config!$A$11:$A$14,1)),IF(C572="F",INDEX(Config!$C$11:$C$14,MATCH(L572,Config!$A$11:$A$14,1)),"Sem dados")),"Verificar"))))</f>
        <v/>
      </c>
      <c r="N572" s="39">
        <f>IF(A572="","",IF(COUNTIFS('Movimentações'!$C$6:$C$1505,A572,'Movimentações'!$B$6:$B$1505,"Venda")&gt;0,"Vendido",IF(COUNTIFS('Movimentações'!$C$6:$C$1505,A572,'Movimentações'!$B$6:$B$1505,"Morte")&gt;0,"Morto","Ativo")))</f>
        <v/>
      </c>
      <c r="O572" s="40">
        <f>IF(A572="","",IF(COUNTIF('Pesagens'!$B$6:$B$2005,A572)=0,"",SUMPRODUCT(MAX(('Pesagens'!$B$6:$B$2005=A572)*'Pesagens'!$A$6:$A$2005))))</f>
        <v/>
      </c>
      <c r="P572" s="41">
        <f>IF(A572="","",IF(O572="",IF(J572="","",J572),IFERROR(AVERAGEIFS('Pesagens'!$C$6:$C$2005,'Pesagens'!$B$6:$B$2005,A572,'Pesagens'!$A$6:$A$2005,O572),"")))</f>
        <v/>
      </c>
      <c r="Q572" s="42">
        <f>IF(OR(A572="",O572="",I572="",J572=""),"",IFERROR((P572-J572)/(O572-I572),""))</f>
        <v/>
      </c>
    </row>
    <row r="573">
      <c r="A573" s="36" t="n"/>
      <c r="B573" s="32" t="n"/>
      <c r="C573" s="37" t="n"/>
      <c r="D573" s="31" t="n"/>
      <c r="E573" s="32" t="n"/>
      <c r="F573" s="32" t="n"/>
      <c r="G573" s="32" t="n"/>
      <c r="H573" s="36" t="n"/>
      <c r="I573" s="31" t="n"/>
      <c r="J573" s="38" t="n"/>
      <c r="K573" s="32" t="n"/>
      <c r="L573" s="34">
        <f>IF(OR(A573="",D573=""),"",IF(D573&gt;Config!$B$5,0,DATEDIF(D573,Config!$B$5,"m")))</f>
        <v/>
      </c>
      <c r="M573" s="39">
        <f>IF(A573="","",IF(K573&lt;&gt;"",K573,IF(OR(C573="",D573=""),"Sem dados",IFERROR(IF(C573="M",INDEX(Config!$B$11:$B$14,MATCH(L573,Config!$A$11:$A$14,1)),IF(C573="F",INDEX(Config!$C$11:$C$14,MATCH(L573,Config!$A$11:$A$14,1)),"Sem dados")),"Verificar"))))</f>
        <v/>
      </c>
      <c r="N573" s="39">
        <f>IF(A573="","",IF(COUNTIFS('Movimentações'!$C$6:$C$1505,A573,'Movimentações'!$B$6:$B$1505,"Venda")&gt;0,"Vendido",IF(COUNTIFS('Movimentações'!$C$6:$C$1505,A573,'Movimentações'!$B$6:$B$1505,"Morte")&gt;0,"Morto","Ativo")))</f>
        <v/>
      </c>
      <c r="O573" s="40">
        <f>IF(A573="","",IF(COUNTIF('Pesagens'!$B$6:$B$2005,A573)=0,"",SUMPRODUCT(MAX(('Pesagens'!$B$6:$B$2005=A573)*'Pesagens'!$A$6:$A$2005))))</f>
        <v/>
      </c>
      <c r="P573" s="41">
        <f>IF(A573="","",IF(O573="",IF(J573="","",J573),IFERROR(AVERAGEIFS('Pesagens'!$C$6:$C$2005,'Pesagens'!$B$6:$B$2005,A573,'Pesagens'!$A$6:$A$2005,O573),"")))</f>
        <v/>
      </c>
      <c r="Q573" s="42">
        <f>IF(OR(A573="",O573="",I573="",J573=""),"",IFERROR((P573-J573)/(O573-I573),""))</f>
        <v/>
      </c>
    </row>
    <row r="574">
      <c r="A574" s="36" t="n"/>
      <c r="B574" s="32" t="n"/>
      <c r="C574" s="37" t="n"/>
      <c r="D574" s="31" t="n"/>
      <c r="E574" s="32" t="n"/>
      <c r="F574" s="32" t="n"/>
      <c r="G574" s="32" t="n"/>
      <c r="H574" s="36" t="n"/>
      <c r="I574" s="31" t="n"/>
      <c r="J574" s="38" t="n"/>
      <c r="K574" s="32" t="n"/>
      <c r="L574" s="34">
        <f>IF(OR(A574="",D574=""),"",IF(D574&gt;Config!$B$5,0,DATEDIF(D574,Config!$B$5,"m")))</f>
        <v/>
      </c>
      <c r="M574" s="39">
        <f>IF(A574="","",IF(K574&lt;&gt;"",K574,IF(OR(C574="",D574=""),"Sem dados",IFERROR(IF(C574="M",INDEX(Config!$B$11:$B$14,MATCH(L574,Config!$A$11:$A$14,1)),IF(C574="F",INDEX(Config!$C$11:$C$14,MATCH(L574,Config!$A$11:$A$14,1)),"Sem dados")),"Verificar"))))</f>
        <v/>
      </c>
      <c r="N574" s="39">
        <f>IF(A574="","",IF(COUNTIFS('Movimentações'!$C$6:$C$1505,A574,'Movimentações'!$B$6:$B$1505,"Venda")&gt;0,"Vendido",IF(COUNTIFS('Movimentações'!$C$6:$C$1505,A574,'Movimentações'!$B$6:$B$1505,"Morte")&gt;0,"Morto","Ativo")))</f>
        <v/>
      </c>
      <c r="O574" s="40">
        <f>IF(A574="","",IF(COUNTIF('Pesagens'!$B$6:$B$2005,A574)=0,"",SUMPRODUCT(MAX(('Pesagens'!$B$6:$B$2005=A574)*'Pesagens'!$A$6:$A$2005))))</f>
        <v/>
      </c>
      <c r="P574" s="41">
        <f>IF(A574="","",IF(O574="",IF(J574="","",J574),IFERROR(AVERAGEIFS('Pesagens'!$C$6:$C$2005,'Pesagens'!$B$6:$B$2005,A574,'Pesagens'!$A$6:$A$2005,O574),"")))</f>
        <v/>
      </c>
      <c r="Q574" s="42">
        <f>IF(OR(A574="",O574="",I574="",J574=""),"",IFERROR((P574-J574)/(O574-I574),""))</f>
        <v/>
      </c>
    </row>
    <row r="575">
      <c r="A575" s="36" t="n"/>
      <c r="B575" s="32" t="n"/>
      <c r="C575" s="37" t="n"/>
      <c r="D575" s="31" t="n"/>
      <c r="E575" s="32" t="n"/>
      <c r="F575" s="32" t="n"/>
      <c r="G575" s="32" t="n"/>
      <c r="H575" s="36" t="n"/>
      <c r="I575" s="31" t="n"/>
      <c r="J575" s="38" t="n"/>
      <c r="K575" s="32" t="n"/>
      <c r="L575" s="34">
        <f>IF(OR(A575="",D575=""),"",IF(D575&gt;Config!$B$5,0,DATEDIF(D575,Config!$B$5,"m")))</f>
        <v/>
      </c>
      <c r="M575" s="39">
        <f>IF(A575="","",IF(K575&lt;&gt;"",K575,IF(OR(C575="",D575=""),"Sem dados",IFERROR(IF(C575="M",INDEX(Config!$B$11:$B$14,MATCH(L575,Config!$A$11:$A$14,1)),IF(C575="F",INDEX(Config!$C$11:$C$14,MATCH(L575,Config!$A$11:$A$14,1)),"Sem dados")),"Verificar"))))</f>
        <v/>
      </c>
      <c r="N575" s="39">
        <f>IF(A575="","",IF(COUNTIFS('Movimentações'!$C$6:$C$1505,A575,'Movimentações'!$B$6:$B$1505,"Venda")&gt;0,"Vendido",IF(COUNTIFS('Movimentações'!$C$6:$C$1505,A575,'Movimentações'!$B$6:$B$1505,"Morte")&gt;0,"Morto","Ativo")))</f>
        <v/>
      </c>
      <c r="O575" s="40">
        <f>IF(A575="","",IF(COUNTIF('Pesagens'!$B$6:$B$2005,A575)=0,"",SUMPRODUCT(MAX(('Pesagens'!$B$6:$B$2005=A575)*'Pesagens'!$A$6:$A$2005))))</f>
        <v/>
      </c>
      <c r="P575" s="41">
        <f>IF(A575="","",IF(O575="",IF(J575="","",J575),IFERROR(AVERAGEIFS('Pesagens'!$C$6:$C$2005,'Pesagens'!$B$6:$B$2005,A575,'Pesagens'!$A$6:$A$2005,O575),"")))</f>
        <v/>
      </c>
      <c r="Q575" s="42">
        <f>IF(OR(A575="",O575="",I575="",J575=""),"",IFERROR((P575-J575)/(O575-I575),""))</f>
        <v/>
      </c>
    </row>
    <row r="576">
      <c r="A576" s="36" t="n"/>
      <c r="B576" s="32" t="n"/>
      <c r="C576" s="37" t="n"/>
      <c r="D576" s="31" t="n"/>
      <c r="E576" s="32" t="n"/>
      <c r="F576" s="32" t="n"/>
      <c r="G576" s="32" t="n"/>
      <c r="H576" s="36" t="n"/>
      <c r="I576" s="31" t="n"/>
      <c r="J576" s="38" t="n"/>
      <c r="K576" s="32" t="n"/>
      <c r="L576" s="34">
        <f>IF(OR(A576="",D576=""),"",IF(D576&gt;Config!$B$5,0,DATEDIF(D576,Config!$B$5,"m")))</f>
        <v/>
      </c>
      <c r="M576" s="39">
        <f>IF(A576="","",IF(K576&lt;&gt;"",K576,IF(OR(C576="",D576=""),"Sem dados",IFERROR(IF(C576="M",INDEX(Config!$B$11:$B$14,MATCH(L576,Config!$A$11:$A$14,1)),IF(C576="F",INDEX(Config!$C$11:$C$14,MATCH(L576,Config!$A$11:$A$14,1)),"Sem dados")),"Verificar"))))</f>
        <v/>
      </c>
      <c r="N576" s="39">
        <f>IF(A576="","",IF(COUNTIFS('Movimentações'!$C$6:$C$1505,A576,'Movimentações'!$B$6:$B$1505,"Venda")&gt;0,"Vendido",IF(COUNTIFS('Movimentações'!$C$6:$C$1505,A576,'Movimentações'!$B$6:$B$1505,"Morte")&gt;0,"Morto","Ativo")))</f>
        <v/>
      </c>
      <c r="O576" s="40">
        <f>IF(A576="","",IF(COUNTIF('Pesagens'!$B$6:$B$2005,A576)=0,"",SUMPRODUCT(MAX(('Pesagens'!$B$6:$B$2005=A576)*'Pesagens'!$A$6:$A$2005))))</f>
        <v/>
      </c>
      <c r="P576" s="41">
        <f>IF(A576="","",IF(O576="",IF(J576="","",J576),IFERROR(AVERAGEIFS('Pesagens'!$C$6:$C$2005,'Pesagens'!$B$6:$B$2005,A576,'Pesagens'!$A$6:$A$2005,O576),"")))</f>
        <v/>
      </c>
      <c r="Q576" s="42">
        <f>IF(OR(A576="",O576="",I576="",J576=""),"",IFERROR((P576-J576)/(O576-I576),""))</f>
        <v/>
      </c>
    </row>
    <row r="577">
      <c r="A577" s="36" t="n"/>
      <c r="B577" s="32" t="n"/>
      <c r="C577" s="37" t="n"/>
      <c r="D577" s="31" t="n"/>
      <c r="E577" s="32" t="n"/>
      <c r="F577" s="32" t="n"/>
      <c r="G577" s="32" t="n"/>
      <c r="H577" s="36" t="n"/>
      <c r="I577" s="31" t="n"/>
      <c r="J577" s="38" t="n"/>
      <c r="K577" s="32" t="n"/>
      <c r="L577" s="34">
        <f>IF(OR(A577="",D577=""),"",IF(D577&gt;Config!$B$5,0,DATEDIF(D577,Config!$B$5,"m")))</f>
        <v/>
      </c>
      <c r="M577" s="39">
        <f>IF(A577="","",IF(K577&lt;&gt;"",K577,IF(OR(C577="",D577=""),"Sem dados",IFERROR(IF(C577="M",INDEX(Config!$B$11:$B$14,MATCH(L577,Config!$A$11:$A$14,1)),IF(C577="F",INDEX(Config!$C$11:$C$14,MATCH(L577,Config!$A$11:$A$14,1)),"Sem dados")),"Verificar"))))</f>
        <v/>
      </c>
      <c r="N577" s="39">
        <f>IF(A577="","",IF(COUNTIFS('Movimentações'!$C$6:$C$1505,A577,'Movimentações'!$B$6:$B$1505,"Venda")&gt;0,"Vendido",IF(COUNTIFS('Movimentações'!$C$6:$C$1505,A577,'Movimentações'!$B$6:$B$1505,"Morte")&gt;0,"Morto","Ativo")))</f>
        <v/>
      </c>
      <c r="O577" s="40">
        <f>IF(A577="","",IF(COUNTIF('Pesagens'!$B$6:$B$2005,A577)=0,"",SUMPRODUCT(MAX(('Pesagens'!$B$6:$B$2005=A577)*'Pesagens'!$A$6:$A$2005))))</f>
        <v/>
      </c>
      <c r="P577" s="41">
        <f>IF(A577="","",IF(O577="",IF(J577="","",J577),IFERROR(AVERAGEIFS('Pesagens'!$C$6:$C$2005,'Pesagens'!$B$6:$B$2005,A577,'Pesagens'!$A$6:$A$2005,O577),"")))</f>
        <v/>
      </c>
      <c r="Q577" s="42">
        <f>IF(OR(A577="",O577="",I577="",J577=""),"",IFERROR((P577-J577)/(O577-I577),""))</f>
        <v/>
      </c>
    </row>
    <row r="578">
      <c r="A578" s="36" t="n"/>
      <c r="B578" s="32" t="n"/>
      <c r="C578" s="37" t="n"/>
      <c r="D578" s="31" t="n"/>
      <c r="E578" s="32" t="n"/>
      <c r="F578" s="32" t="n"/>
      <c r="G578" s="32" t="n"/>
      <c r="H578" s="36" t="n"/>
      <c r="I578" s="31" t="n"/>
      <c r="J578" s="38" t="n"/>
      <c r="K578" s="32" t="n"/>
      <c r="L578" s="34">
        <f>IF(OR(A578="",D578=""),"",IF(D578&gt;Config!$B$5,0,DATEDIF(D578,Config!$B$5,"m")))</f>
        <v/>
      </c>
      <c r="M578" s="39">
        <f>IF(A578="","",IF(K578&lt;&gt;"",K578,IF(OR(C578="",D578=""),"Sem dados",IFERROR(IF(C578="M",INDEX(Config!$B$11:$B$14,MATCH(L578,Config!$A$11:$A$14,1)),IF(C578="F",INDEX(Config!$C$11:$C$14,MATCH(L578,Config!$A$11:$A$14,1)),"Sem dados")),"Verificar"))))</f>
        <v/>
      </c>
      <c r="N578" s="39">
        <f>IF(A578="","",IF(COUNTIFS('Movimentações'!$C$6:$C$1505,A578,'Movimentações'!$B$6:$B$1505,"Venda")&gt;0,"Vendido",IF(COUNTIFS('Movimentações'!$C$6:$C$1505,A578,'Movimentações'!$B$6:$B$1505,"Morte")&gt;0,"Morto","Ativo")))</f>
        <v/>
      </c>
      <c r="O578" s="40">
        <f>IF(A578="","",IF(COUNTIF('Pesagens'!$B$6:$B$2005,A578)=0,"",SUMPRODUCT(MAX(('Pesagens'!$B$6:$B$2005=A578)*'Pesagens'!$A$6:$A$2005))))</f>
        <v/>
      </c>
      <c r="P578" s="41">
        <f>IF(A578="","",IF(O578="",IF(J578="","",J578),IFERROR(AVERAGEIFS('Pesagens'!$C$6:$C$2005,'Pesagens'!$B$6:$B$2005,A578,'Pesagens'!$A$6:$A$2005,O578),"")))</f>
        <v/>
      </c>
      <c r="Q578" s="42">
        <f>IF(OR(A578="",O578="",I578="",J578=""),"",IFERROR((P578-J578)/(O578-I578),""))</f>
        <v/>
      </c>
    </row>
    <row r="579">
      <c r="A579" s="36" t="n"/>
      <c r="B579" s="32" t="n"/>
      <c r="C579" s="37" t="n"/>
      <c r="D579" s="31" t="n"/>
      <c r="E579" s="32" t="n"/>
      <c r="F579" s="32" t="n"/>
      <c r="G579" s="32" t="n"/>
      <c r="H579" s="36" t="n"/>
      <c r="I579" s="31" t="n"/>
      <c r="J579" s="38" t="n"/>
      <c r="K579" s="32" t="n"/>
      <c r="L579" s="34">
        <f>IF(OR(A579="",D579=""),"",IF(D579&gt;Config!$B$5,0,DATEDIF(D579,Config!$B$5,"m")))</f>
        <v/>
      </c>
      <c r="M579" s="39">
        <f>IF(A579="","",IF(K579&lt;&gt;"",K579,IF(OR(C579="",D579=""),"Sem dados",IFERROR(IF(C579="M",INDEX(Config!$B$11:$B$14,MATCH(L579,Config!$A$11:$A$14,1)),IF(C579="F",INDEX(Config!$C$11:$C$14,MATCH(L579,Config!$A$11:$A$14,1)),"Sem dados")),"Verificar"))))</f>
        <v/>
      </c>
      <c r="N579" s="39">
        <f>IF(A579="","",IF(COUNTIFS('Movimentações'!$C$6:$C$1505,A579,'Movimentações'!$B$6:$B$1505,"Venda")&gt;0,"Vendido",IF(COUNTIFS('Movimentações'!$C$6:$C$1505,A579,'Movimentações'!$B$6:$B$1505,"Morte")&gt;0,"Morto","Ativo")))</f>
        <v/>
      </c>
      <c r="O579" s="40">
        <f>IF(A579="","",IF(COUNTIF('Pesagens'!$B$6:$B$2005,A579)=0,"",SUMPRODUCT(MAX(('Pesagens'!$B$6:$B$2005=A579)*'Pesagens'!$A$6:$A$2005))))</f>
        <v/>
      </c>
      <c r="P579" s="41">
        <f>IF(A579="","",IF(O579="",IF(J579="","",J579),IFERROR(AVERAGEIFS('Pesagens'!$C$6:$C$2005,'Pesagens'!$B$6:$B$2005,A579,'Pesagens'!$A$6:$A$2005,O579),"")))</f>
        <v/>
      </c>
      <c r="Q579" s="42">
        <f>IF(OR(A579="",O579="",I579="",J579=""),"",IFERROR((P579-J579)/(O579-I579),""))</f>
        <v/>
      </c>
    </row>
    <row r="580">
      <c r="A580" s="36" t="n"/>
      <c r="B580" s="32" t="n"/>
      <c r="C580" s="37" t="n"/>
      <c r="D580" s="31" t="n"/>
      <c r="E580" s="32" t="n"/>
      <c r="F580" s="32" t="n"/>
      <c r="G580" s="32" t="n"/>
      <c r="H580" s="36" t="n"/>
      <c r="I580" s="31" t="n"/>
      <c r="J580" s="38" t="n"/>
      <c r="K580" s="32" t="n"/>
      <c r="L580" s="34">
        <f>IF(OR(A580="",D580=""),"",IF(D580&gt;Config!$B$5,0,DATEDIF(D580,Config!$B$5,"m")))</f>
        <v/>
      </c>
      <c r="M580" s="39">
        <f>IF(A580="","",IF(K580&lt;&gt;"",K580,IF(OR(C580="",D580=""),"Sem dados",IFERROR(IF(C580="M",INDEX(Config!$B$11:$B$14,MATCH(L580,Config!$A$11:$A$14,1)),IF(C580="F",INDEX(Config!$C$11:$C$14,MATCH(L580,Config!$A$11:$A$14,1)),"Sem dados")),"Verificar"))))</f>
        <v/>
      </c>
      <c r="N580" s="39">
        <f>IF(A580="","",IF(COUNTIFS('Movimentações'!$C$6:$C$1505,A580,'Movimentações'!$B$6:$B$1505,"Venda")&gt;0,"Vendido",IF(COUNTIFS('Movimentações'!$C$6:$C$1505,A580,'Movimentações'!$B$6:$B$1505,"Morte")&gt;0,"Morto","Ativo")))</f>
        <v/>
      </c>
      <c r="O580" s="40">
        <f>IF(A580="","",IF(COUNTIF('Pesagens'!$B$6:$B$2005,A580)=0,"",SUMPRODUCT(MAX(('Pesagens'!$B$6:$B$2005=A580)*'Pesagens'!$A$6:$A$2005))))</f>
        <v/>
      </c>
      <c r="P580" s="41">
        <f>IF(A580="","",IF(O580="",IF(J580="","",J580),IFERROR(AVERAGEIFS('Pesagens'!$C$6:$C$2005,'Pesagens'!$B$6:$B$2005,A580,'Pesagens'!$A$6:$A$2005,O580),"")))</f>
        <v/>
      </c>
      <c r="Q580" s="42">
        <f>IF(OR(A580="",O580="",I580="",J580=""),"",IFERROR((P580-J580)/(O580-I580),""))</f>
        <v/>
      </c>
    </row>
    <row r="581">
      <c r="A581" s="36" t="n"/>
      <c r="B581" s="32" t="n"/>
      <c r="C581" s="37" t="n"/>
      <c r="D581" s="31" t="n"/>
      <c r="E581" s="32" t="n"/>
      <c r="F581" s="32" t="n"/>
      <c r="G581" s="32" t="n"/>
      <c r="H581" s="36" t="n"/>
      <c r="I581" s="31" t="n"/>
      <c r="J581" s="38" t="n"/>
      <c r="K581" s="32" t="n"/>
      <c r="L581" s="34">
        <f>IF(OR(A581="",D581=""),"",IF(D581&gt;Config!$B$5,0,DATEDIF(D581,Config!$B$5,"m")))</f>
        <v/>
      </c>
      <c r="M581" s="39">
        <f>IF(A581="","",IF(K581&lt;&gt;"",K581,IF(OR(C581="",D581=""),"Sem dados",IFERROR(IF(C581="M",INDEX(Config!$B$11:$B$14,MATCH(L581,Config!$A$11:$A$14,1)),IF(C581="F",INDEX(Config!$C$11:$C$14,MATCH(L581,Config!$A$11:$A$14,1)),"Sem dados")),"Verificar"))))</f>
        <v/>
      </c>
      <c r="N581" s="39">
        <f>IF(A581="","",IF(COUNTIFS('Movimentações'!$C$6:$C$1505,A581,'Movimentações'!$B$6:$B$1505,"Venda")&gt;0,"Vendido",IF(COUNTIFS('Movimentações'!$C$6:$C$1505,A581,'Movimentações'!$B$6:$B$1505,"Morte")&gt;0,"Morto","Ativo")))</f>
        <v/>
      </c>
      <c r="O581" s="40">
        <f>IF(A581="","",IF(COUNTIF('Pesagens'!$B$6:$B$2005,A581)=0,"",SUMPRODUCT(MAX(('Pesagens'!$B$6:$B$2005=A581)*'Pesagens'!$A$6:$A$2005))))</f>
        <v/>
      </c>
      <c r="P581" s="41">
        <f>IF(A581="","",IF(O581="",IF(J581="","",J581),IFERROR(AVERAGEIFS('Pesagens'!$C$6:$C$2005,'Pesagens'!$B$6:$B$2005,A581,'Pesagens'!$A$6:$A$2005,O581),"")))</f>
        <v/>
      </c>
      <c r="Q581" s="42">
        <f>IF(OR(A581="",O581="",I581="",J581=""),"",IFERROR((P581-J581)/(O581-I581),""))</f>
        <v/>
      </c>
    </row>
    <row r="582">
      <c r="A582" s="36" t="n"/>
      <c r="B582" s="32" t="n"/>
      <c r="C582" s="37" t="n"/>
      <c r="D582" s="31" t="n"/>
      <c r="E582" s="32" t="n"/>
      <c r="F582" s="32" t="n"/>
      <c r="G582" s="32" t="n"/>
      <c r="H582" s="36" t="n"/>
      <c r="I582" s="31" t="n"/>
      <c r="J582" s="38" t="n"/>
      <c r="K582" s="32" t="n"/>
      <c r="L582" s="34">
        <f>IF(OR(A582="",D582=""),"",IF(D582&gt;Config!$B$5,0,DATEDIF(D582,Config!$B$5,"m")))</f>
        <v/>
      </c>
      <c r="M582" s="39">
        <f>IF(A582="","",IF(K582&lt;&gt;"",K582,IF(OR(C582="",D582=""),"Sem dados",IFERROR(IF(C582="M",INDEX(Config!$B$11:$B$14,MATCH(L582,Config!$A$11:$A$14,1)),IF(C582="F",INDEX(Config!$C$11:$C$14,MATCH(L582,Config!$A$11:$A$14,1)),"Sem dados")),"Verificar"))))</f>
        <v/>
      </c>
      <c r="N582" s="39">
        <f>IF(A582="","",IF(COUNTIFS('Movimentações'!$C$6:$C$1505,A582,'Movimentações'!$B$6:$B$1505,"Venda")&gt;0,"Vendido",IF(COUNTIFS('Movimentações'!$C$6:$C$1505,A582,'Movimentações'!$B$6:$B$1505,"Morte")&gt;0,"Morto","Ativo")))</f>
        <v/>
      </c>
      <c r="O582" s="40">
        <f>IF(A582="","",IF(COUNTIF('Pesagens'!$B$6:$B$2005,A582)=0,"",SUMPRODUCT(MAX(('Pesagens'!$B$6:$B$2005=A582)*'Pesagens'!$A$6:$A$2005))))</f>
        <v/>
      </c>
      <c r="P582" s="41">
        <f>IF(A582="","",IF(O582="",IF(J582="","",J582),IFERROR(AVERAGEIFS('Pesagens'!$C$6:$C$2005,'Pesagens'!$B$6:$B$2005,A582,'Pesagens'!$A$6:$A$2005,O582),"")))</f>
        <v/>
      </c>
      <c r="Q582" s="42">
        <f>IF(OR(A582="",O582="",I582="",J582=""),"",IFERROR((P582-J582)/(O582-I582),""))</f>
        <v/>
      </c>
    </row>
    <row r="583">
      <c r="A583" s="36" t="n"/>
      <c r="B583" s="32" t="n"/>
      <c r="C583" s="37" t="n"/>
      <c r="D583" s="31" t="n"/>
      <c r="E583" s="32" t="n"/>
      <c r="F583" s="32" t="n"/>
      <c r="G583" s="32" t="n"/>
      <c r="H583" s="36" t="n"/>
      <c r="I583" s="31" t="n"/>
      <c r="J583" s="38" t="n"/>
      <c r="K583" s="32" t="n"/>
      <c r="L583" s="34">
        <f>IF(OR(A583="",D583=""),"",IF(D583&gt;Config!$B$5,0,DATEDIF(D583,Config!$B$5,"m")))</f>
        <v/>
      </c>
      <c r="M583" s="39">
        <f>IF(A583="","",IF(K583&lt;&gt;"",K583,IF(OR(C583="",D583=""),"Sem dados",IFERROR(IF(C583="M",INDEX(Config!$B$11:$B$14,MATCH(L583,Config!$A$11:$A$14,1)),IF(C583="F",INDEX(Config!$C$11:$C$14,MATCH(L583,Config!$A$11:$A$14,1)),"Sem dados")),"Verificar"))))</f>
        <v/>
      </c>
      <c r="N583" s="39">
        <f>IF(A583="","",IF(COUNTIFS('Movimentações'!$C$6:$C$1505,A583,'Movimentações'!$B$6:$B$1505,"Venda")&gt;0,"Vendido",IF(COUNTIFS('Movimentações'!$C$6:$C$1505,A583,'Movimentações'!$B$6:$B$1505,"Morte")&gt;0,"Morto","Ativo")))</f>
        <v/>
      </c>
      <c r="O583" s="40">
        <f>IF(A583="","",IF(COUNTIF('Pesagens'!$B$6:$B$2005,A583)=0,"",SUMPRODUCT(MAX(('Pesagens'!$B$6:$B$2005=A583)*'Pesagens'!$A$6:$A$2005))))</f>
        <v/>
      </c>
      <c r="P583" s="41">
        <f>IF(A583="","",IF(O583="",IF(J583="","",J583),IFERROR(AVERAGEIFS('Pesagens'!$C$6:$C$2005,'Pesagens'!$B$6:$B$2005,A583,'Pesagens'!$A$6:$A$2005,O583),"")))</f>
        <v/>
      </c>
      <c r="Q583" s="42">
        <f>IF(OR(A583="",O583="",I583="",J583=""),"",IFERROR((P583-J583)/(O583-I583),""))</f>
        <v/>
      </c>
    </row>
    <row r="584">
      <c r="A584" s="36" t="n"/>
      <c r="B584" s="32" t="n"/>
      <c r="C584" s="37" t="n"/>
      <c r="D584" s="31" t="n"/>
      <c r="E584" s="32" t="n"/>
      <c r="F584" s="32" t="n"/>
      <c r="G584" s="32" t="n"/>
      <c r="H584" s="36" t="n"/>
      <c r="I584" s="31" t="n"/>
      <c r="J584" s="38" t="n"/>
      <c r="K584" s="32" t="n"/>
      <c r="L584" s="34">
        <f>IF(OR(A584="",D584=""),"",IF(D584&gt;Config!$B$5,0,DATEDIF(D584,Config!$B$5,"m")))</f>
        <v/>
      </c>
      <c r="M584" s="39">
        <f>IF(A584="","",IF(K584&lt;&gt;"",K584,IF(OR(C584="",D584=""),"Sem dados",IFERROR(IF(C584="M",INDEX(Config!$B$11:$B$14,MATCH(L584,Config!$A$11:$A$14,1)),IF(C584="F",INDEX(Config!$C$11:$C$14,MATCH(L584,Config!$A$11:$A$14,1)),"Sem dados")),"Verificar"))))</f>
        <v/>
      </c>
      <c r="N584" s="39">
        <f>IF(A584="","",IF(COUNTIFS('Movimentações'!$C$6:$C$1505,A584,'Movimentações'!$B$6:$B$1505,"Venda")&gt;0,"Vendido",IF(COUNTIFS('Movimentações'!$C$6:$C$1505,A584,'Movimentações'!$B$6:$B$1505,"Morte")&gt;0,"Morto","Ativo")))</f>
        <v/>
      </c>
      <c r="O584" s="40">
        <f>IF(A584="","",IF(COUNTIF('Pesagens'!$B$6:$B$2005,A584)=0,"",SUMPRODUCT(MAX(('Pesagens'!$B$6:$B$2005=A584)*'Pesagens'!$A$6:$A$2005))))</f>
        <v/>
      </c>
      <c r="P584" s="41">
        <f>IF(A584="","",IF(O584="",IF(J584="","",J584),IFERROR(AVERAGEIFS('Pesagens'!$C$6:$C$2005,'Pesagens'!$B$6:$B$2005,A584,'Pesagens'!$A$6:$A$2005,O584),"")))</f>
        <v/>
      </c>
      <c r="Q584" s="42">
        <f>IF(OR(A584="",O584="",I584="",J584=""),"",IFERROR((P584-J584)/(O584-I584),""))</f>
        <v/>
      </c>
    </row>
    <row r="585">
      <c r="A585" s="36" t="n"/>
      <c r="B585" s="32" t="n"/>
      <c r="C585" s="37" t="n"/>
      <c r="D585" s="31" t="n"/>
      <c r="E585" s="32" t="n"/>
      <c r="F585" s="32" t="n"/>
      <c r="G585" s="32" t="n"/>
      <c r="H585" s="36" t="n"/>
      <c r="I585" s="31" t="n"/>
      <c r="J585" s="38" t="n"/>
      <c r="K585" s="32" t="n"/>
      <c r="L585" s="34">
        <f>IF(OR(A585="",D585=""),"",IF(D585&gt;Config!$B$5,0,DATEDIF(D585,Config!$B$5,"m")))</f>
        <v/>
      </c>
      <c r="M585" s="39">
        <f>IF(A585="","",IF(K585&lt;&gt;"",K585,IF(OR(C585="",D585=""),"Sem dados",IFERROR(IF(C585="M",INDEX(Config!$B$11:$B$14,MATCH(L585,Config!$A$11:$A$14,1)),IF(C585="F",INDEX(Config!$C$11:$C$14,MATCH(L585,Config!$A$11:$A$14,1)),"Sem dados")),"Verificar"))))</f>
        <v/>
      </c>
      <c r="N585" s="39">
        <f>IF(A585="","",IF(COUNTIFS('Movimentações'!$C$6:$C$1505,A585,'Movimentações'!$B$6:$B$1505,"Venda")&gt;0,"Vendido",IF(COUNTIFS('Movimentações'!$C$6:$C$1505,A585,'Movimentações'!$B$6:$B$1505,"Morte")&gt;0,"Morto","Ativo")))</f>
        <v/>
      </c>
      <c r="O585" s="40">
        <f>IF(A585="","",IF(COUNTIF('Pesagens'!$B$6:$B$2005,A585)=0,"",SUMPRODUCT(MAX(('Pesagens'!$B$6:$B$2005=A585)*'Pesagens'!$A$6:$A$2005))))</f>
        <v/>
      </c>
      <c r="P585" s="41">
        <f>IF(A585="","",IF(O585="",IF(J585="","",J585),IFERROR(AVERAGEIFS('Pesagens'!$C$6:$C$2005,'Pesagens'!$B$6:$B$2005,A585,'Pesagens'!$A$6:$A$2005,O585),"")))</f>
        <v/>
      </c>
      <c r="Q585" s="42">
        <f>IF(OR(A585="",O585="",I585="",J585=""),"",IFERROR((P585-J585)/(O585-I585),""))</f>
        <v/>
      </c>
    </row>
    <row r="586">
      <c r="A586" s="36" t="n"/>
      <c r="B586" s="32" t="n"/>
      <c r="C586" s="37" t="n"/>
      <c r="D586" s="31" t="n"/>
      <c r="E586" s="32" t="n"/>
      <c r="F586" s="32" t="n"/>
      <c r="G586" s="32" t="n"/>
      <c r="H586" s="36" t="n"/>
      <c r="I586" s="31" t="n"/>
      <c r="J586" s="38" t="n"/>
      <c r="K586" s="32" t="n"/>
      <c r="L586" s="34">
        <f>IF(OR(A586="",D586=""),"",IF(D586&gt;Config!$B$5,0,DATEDIF(D586,Config!$B$5,"m")))</f>
        <v/>
      </c>
      <c r="M586" s="39">
        <f>IF(A586="","",IF(K586&lt;&gt;"",K586,IF(OR(C586="",D586=""),"Sem dados",IFERROR(IF(C586="M",INDEX(Config!$B$11:$B$14,MATCH(L586,Config!$A$11:$A$14,1)),IF(C586="F",INDEX(Config!$C$11:$C$14,MATCH(L586,Config!$A$11:$A$14,1)),"Sem dados")),"Verificar"))))</f>
        <v/>
      </c>
      <c r="N586" s="39">
        <f>IF(A586="","",IF(COUNTIFS('Movimentações'!$C$6:$C$1505,A586,'Movimentações'!$B$6:$B$1505,"Venda")&gt;0,"Vendido",IF(COUNTIFS('Movimentações'!$C$6:$C$1505,A586,'Movimentações'!$B$6:$B$1505,"Morte")&gt;0,"Morto","Ativo")))</f>
        <v/>
      </c>
      <c r="O586" s="40">
        <f>IF(A586="","",IF(COUNTIF('Pesagens'!$B$6:$B$2005,A586)=0,"",SUMPRODUCT(MAX(('Pesagens'!$B$6:$B$2005=A586)*'Pesagens'!$A$6:$A$2005))))</f>
        <v/>
      </c>
      <c r="P586" s="41">
        <f>IF(A586="","",IF(O586="",IF(J586="","",J586),IFERROR(AVERAGEIFS('Pesagens'!$C$6:$C$2005,'Pesagens'!$B$6:$B$2005,A586,'Pesagens'!$A$6:$A$2005,O586),"")))</f>
        <v/>
      </c>
      <c r="Q586" s="42">
        <f>IF(OR(A586="",O586="",I586="",J586=""),"",IFERROR((P586-J586)/(O586-I586),""))</f>
        <v/>
      </c>
    </row>
    <row r="587">
      <c r="A587" s="36" t="n"/>
      <c r="B587" s="32" t="n"/>
      <c r="C587" s="37" t="n"/>
      <c r="D587" s="31" t="n"/>
      <c r="E587" s="32" t="n"/>
      <c r="F587" s="32" t="n"/>
      <c r="G587" s="32" t="n"/>
      <c r="H587" s="36" t="n"/>
      <c r="I587" s="31" t="n"/>
      <c r="J587" s="38" t="n"/>
      <c r="K587" s="32" t="n"/>
      <c r="L587" s="34">
        <f>IF(OR(A587="",D587=""),"",IF(D587&gt;Config!$B$5,0,DATEDIF(D587,Config!$B$5,"m")))</f>
        <v/>
      </c>
      <c r="M587" s="39">
        <f>IF(A587="","",IF(K587&lt;&gt;"",K587,IF(OR(C587="",D587=""),"Sem dados",IFERROR(IF(C587="M",INDEX(Config!$B$11:$B$14,MATCH(L587,Config!$A$11:$A$14,1)),IF(C587="F",INDEX(Config!$C$11:$C$14,MATCH(L587,Config!$A$11:$A$14,1)),"Sem dados")),"Verificar"))))</f>
        <v/>
      </c>
      <c r="N587" s="39">
        <f>IF(A587="","",IF(COUNTIFS('Movimentações'!$C$6:$C$1505,A587,'Movimentações'!$B$6:$B$1505,"Venda")&gt;0,"Vendido",IF(COUNTIFS('Movimentações'!$C$6:$C$1505,A587,'Movimentações'!$B$6:$B$1505,"Morte")&gt;0,"Morto","Ativo")))</f>
        <v/>
      </c>
      <c r="O587" s="40">
        <f>IF(A587="","",IF(COUNTIF('Pesagens'!$B$6:$B$2005,A587)=0,"",SUMPRODUCT(MAX(('Pesagens'!$B$6:$B$2005=A587)*'Pesagens'!$A$6:$A$2005))))</f>
        <v/>
      </c>
      <c r="P587" s="41">
        <f>IF(A587="","",IF(O587="",IF(J587="","",J587),IFERROR(AVERAGEIFS('Pesagens'!$C$6:$C$2005,'Pesagens'!$B$6:$B$2005,A587,'Pesagens'!$A$6:$A$2005,O587),"")))</f>
        <v/>
      </c>
      <c r="Q587" s="42">
        <f>IF(OR(A587="",O587="",I587="",J587=""),"",IFERROR((P587-J587)/(O587-I587),""))</f>
        <v/>
      </c>
    </row>
    <row r="588">
      <c r="A588" s="36" t="n"/>
      <c r="B588" s="32" t="n"/>
      <c r="C588" s="37" t="n"/>
      <c r="D588" s="31" t="n"/>
      <c r="E588" s="32" t="n"/>
      <c r="F588" s="32" t="n"/>
      <c r="G588" s="32" t="n"/>
      <c r="H588" s="36" t="n"/>
      <c r="I588" s="31" t="n"/>
      <c r="J588" s="38" t="n"/>
      <c r="K588" s="32" t="n"/>
      <c r="L588" s="34">
        <f>IF(OR(A588="",D588=""),"",IF(D588&gt;Config!$B$5,0,DATEDIF(D588,Config!$B$5,"m")))</f>
        <v/>
      </c>
      <c r="M588" s="39">
        <f>IF(A588="","",IF(K588&lt;&gt;"",K588,IF(OR(C588="",D588=""),"Sem dados",IFERROR(IF(C588="M",INDEX(Config!$B$11:$B$14,MATCH(L588,Config!$A$11:$A$14,1)),IF(C588="F",INDEX(Config!$C$11:$C$14,MATCH(L588,Config!$A$11:$A$14,1)),"Sem dados")),"Verificar"))))</f>
        <v/>
      </c>
      <c r="N588" s="39">
        <f>IF(A588="","",IF(COUNTIFS('Movimentações'!$C$6:$C$1505,A588,'Movimentações'!$B$6:$B$1505,"Venda")&gt;0,"Vendido",IF(COUNTIFS('Movimentações'!$C$6:$C$1505,A588,'Movimentações'!$B$6:$B$1505,"Morte")&gt;0,"Morto","Ativo")))</f>
        <v/>
      </c>
      <c r="O588" s="40">
        <f>IF(A588="","",IF(COUNTIF('Pesagens'!$B$6:$B$2005,A588)=0,"",SUMPRODUCT(MAX(('Pesagens'!$B$6:$B$2005=A588)*'Pesagens'!$A$6:$A$2005))))</f>
        <v/>
      </c>
      <c r="P588" s="41">
        <f>IF(A588="","",IF(O588="",IF(J588="","",J588),IFERROR(AVERAGEIFS('Pesagens'!$C$6:$C$2005,'Pesagens'!$B$6:$B$2005,A588,'Pesagens'!$A$6:$A$2005,O588),"")))</f>
        <v/>
      </c>
      <c r="Q588" s="42">
        <f>IF(OR(A588="",O588="",I588="",J588=""),"",IFERROR((P588-J588)/(O588-I588),""))</f>
        <v/>
      </c>
    </row>
    <row r="589">
      <c r="A589" s="36" t="n"/>
      <c r="B589" s="32" t="n"/>
      <c r="C589" s="37" t="n"/>
      <c r="D589" s="31" t="n"/>
      <c r="E589" s="32" t="n"/>
      <c r="F589" s="32" t="n"/>
      <c r="G589" s="32" t="n"/>
      <c r="H589" s="36" t="n"/>
      <c r="I589" s="31" t="n"/>
      <c r="J589" s="38" t="n"/>
      <c r="K589" s="32" t="n"/>
      <c r="L589" s="34">
        <f>IF(OR(A589="",D589=""),"",IF(D589&gt;Config!$B$5,0,DATEDIF(D589,Config!$B$5,"m")))</f>
        <v/>
      </c>
      <c r="M589" s="39">
        <f>IF(A589="","",IF(K589&lt;&gt;"",K589,IF(OR(C589="",D589=""),"Sem dados",IFERROR(IF(C589="M",INDEX(Config!$B$11:$B$14,MATCH(L589,Config!$A$11:$A$14,1)),IF(C589="F",INDEX(Config!$C$11:$C$14,MATCH(L589,Config!$A$11:$A$14,1)),"Sem dados")),"Verificar"))))</f>
        <v/>
      </c>
      <c r="N589" s="39">
        <f>IF(A589="","",IF(COUNTIFS('Movimentações'!$C$6:$C$1505,A589,'Movimentações'!$B$6:$B$1505,"Venda")&gt;0,"Vendido",IF(COUNTIFS('Movimentações'!$C$6:$C$1505,A589,'Movimentações'!$B$6:$B$1505,"Morte")&gt;0,"Morto","Ativo")))</f>
        <v/>
      </c>
      <c r="O589" s="40">
        <f>IF(A589="","",IF(COUNTIF('Pesagens'!$B$6:$B$2005,A589)=0,"",SUMPRODUCT(MAX(('Pesagens'!$B$6:$B$2005=A589)*'Pesagens'!$A$6:$A$2005))))</f>
        <v/>
      </c>
      <c r="P589" s="41">
        <f>IF(A589="","",IF(O589="",IF(J589="","",J589),IFERROR(AVERAGEIFS('Pesagens'!$C$6:$C$2005,'Pesagens'!$B$6:$B$2005,A589,'Pesagens'!$A$6:$A$2005,O589),"")))</f>
        <v/>
      </c>
      <c r="Q589" s="42">
        <f>IF(OR(A589="",O589="",I589="",J589=""),"",IFERROR((P589-J589)/(O589-I589),""))</f>
        <v/>
      </c>
    </row>
    <row r="590">
      <c r="A590" s="36" t="n"/>
      <c r="B590" s="32" t="n"/>
      <c r="C590" s="37" t="n"/>
      <c r="D590" s="31" t="n"/>
      <c r="E590" s="32" t="n"/>
      <c r="F590" s="32" t="n"/>
      <c r="G590" s="32" t="n"/>
      <c r="H590" s="36" t="n"/>
      <c r="I590" s="31" t="n"/>
      <c r="J590" s="38" t="n"/>
      <c r="K590" s="32" t="n"/>
      <c r="L590" s="34">
        <f>IF(OR(A590="",D590=""),"",IF(D590&gt;Config!$B$5,0,DATEDIF(D590,Config!$B$5,"m")))</f>
        <v/>
      </c>
      <c r="M590" s="39">
        <f>IF(A590="","",IF(K590&lt;&gt;"",K590,IF(OR(C590="",D590=""),"Sem dados",IFERROR(IF(C590="M",INDEX(Config!$B$11:$B$14,MATCH(L590,Config!$A$11:$A$14,1)),IF(C590="F",INDEX(Config!$C$11:$C$14,MATCH(L590,Config!$A$11:$A$14,1)),"Sem dados")),"Verificar"))))</f>
        <v/>
      </c>
      <c r="N590" s="39">
        <f>IF(A590="","",IF(COUNTIFS('Movimentações'!$C$6:$C$1505,A590,'Movimentações'!$B$6:$B$1505,"Venda")&gt;0,"Vendido",IF(COUNTIFS('Movimentações'!$C$6:$C$1505,A590,'Movimentações'!$B$6:$B$1505,"Morte")&gt;0,"Morto","Ativo")))</f>
        <v/>
      </c>
      <c r="O590" s="40">
        <f>IF(A590="","",IF(COUNTIF('Pesagens'!$B$6:$B$2005,A590)=0,"",SUMPRODUCT(MAX(('Pesagens'!$B$6:$B$2005=A590)*'Pesagens'!$A$6:$A$2005))))</f>
        <v/>
      </c>
      <c r="P590" s="41">
        <f>IF(A590="","",IF(O590="",IF(J590="","",J590),IFERROR(AVERAGEIFS('Pesagens'!$C$6:$C$2005,'Pesagens'!$B$6:$B$2005,A590,'Pesagens'!$A$6:$A$2005,O590),"")))</f>
        <v/>
      </c>
      <c r="Q590" s="42">
        <f>IF(OR(A590="",O590="",I590="",J590=""),"",IFERROR((P590-J590)/(O590-I590),""))</f>
        <v/>
      </c>
    </row>
    <row r="591">
      <c r="A591" s="36" t="n"/>
      <c r="B591" s="32" t="n"/>
      <c r="C591" s="37" t="n"/>
      <c r="D591" s="31" t="n"/>
      <c r="E591" s="32" t="n"/>
      <c r="F591" s="32" t="n"/>
      <c r="G591" s="32" t="n"/>
      <c r="H591" s="36" t="n"/>
      <c r="I591" s="31" t="n"/>
      <c r="J591" s="38" t="n"/>
      <c r="K591" s="32" t="n"/>
      <c r="L591" s="34">
        <f>IF(OR(A591="",D591=""),"",IF(D591&gt;Config!$B$5,0,DATEDIF(D591,Config!$B$5,"m")))</f>
        <v/>
      </c>
      <c r="M591" s="39">
        <f>IF(A591="","",IF(K591&lt;&gt;"",K591,IF(OR(C591="",D591=""),"Sem dados",IFERROR(IF(C591="M",INDEX(Config!$B$11:$B$14,MATCH(L591,Config!$A$11:$A$14,1)),IF(C591="F",INDEX(Config!$C$11:$C$14,MATCH(L591,Config!$A$11:$A$14,1)),"Sem dados")),"Verificar"))))</f>
        <v/>
      </c>
      <c r="N591" s="39">
        <f>IF(A591="","",IF(COUNTIFS('Movimentações'!$C$6:$C$1505,A591,'Movimentações'!$B$6:$B$1505,"Venda")&gt;0,"Vendido",IF(COUNTIFS('Movimentações'!$C$6:$C$1505,A591,'Movimentações'!$B$6:$B$1505,"Morte")&gt;0,"Morto","Ativo")))</f>
        <v/>
      </c>
      <c r="O591" s="40">
        <f>IF(A591="","",IF(COUNTIF('Pesagens'!$B$6:$B$2005,A591)=0,"",SUMPRODUCT(MAX(('Pesagens'!$B$6:$B$2005=A591)*'Pesagens'!$A$6:$A$2005))))</f>
        <v/>
      </c>
      <c r="P591" s="41">
        <f>IF(A591="","",IF(O591="",IF(J591="","",J591),IFERROR(AVERAGEIFS('Pesagens'!$C$6:$C$2005,'Pesagens'!$B$6:$B$2005,A591,'Pesagens'!$A$6:$A$2005,O591),"")))</f>
        <v/>
      </c>
      <c r="Q591" s="42">
        <f>IF(OR(A591="",O591="",I591="",J591=""),"",IFERROR((P591-J591)/(O591-I591),""))</f>
        <v/>
      </c>
    </row>
    <row r="592">
      <c r="A592" s="36" t="n"/>
      <c r="B592" s="32" t="n"/>
      <c r="C592" s="37" t="n"/>
      <c r="D592" s="31" t="n"/>
      <c r="E592" s="32" t="n"/>
      <c r="F592" s="32" t="n"/>
      <c r="G592" s="32" t="n"/>
      <c r="H592" s="36" t="n"/>
      <c r="I592" s="31" t="n"/>
      <c r="J592" s="38" t="n"/>
      <c r="K592" s="32" t="n"/>
      <c r="L592" s="34">
        <f>IF(OR(A592="",D592=""),"",IF(D592&gt;Config!$B$5,0,DATEDIF(D592,Config!$B$5,"m")))</f>
        <v/>
      </c>
      <c r="M592" s="39">
        <f>IF(A592="","",IF(K592&lt;&gt;"",K592,IF(OR(C592="",D592=""),"Sem dados",IFERROR(IF(C592="M",INDEX(Config!$B$11:$B$14,MATCH(L592,Config!$A$11:$A$14,1)),IF(C592="F",INDEX(Config!$C$11:$C$14,MATCH(L592,Config!$A$11:$A$14,1)),"Sem dados")),"Verificar"))))</f>
        <v/>
      </c>
      <c r="N592" s="39">
        <f>IF(A592="","",IF(COUNTIFS('Movimentações'!$C$6:$C$1505,A592,'Movimentações'!$B$6:$B$1505,"Venda")&gt;0,"Vendido",IF(COUNTIFS('Movimentações'!$C$6:$C$1505,A592,'Movimentações'!$B$6:$B$1505,"Morte")&gt;0,"Morto","Ativo")))</f>
        <v/>
      </c>
      <c r="O592" s="40">
        <f>IF(A592="","",IF(COUNTIF('Pesagens'!$B$6:$B$2005,A592)=0,"",SUMPRODUCT(MAX(('Pesagens'!$B$6:$B$2005=A592)*'Pesagens'!$A$6:$A$2005))))</f>
        <v/>
      </c>
      <c r="P592" s="41">
        <f>IF(A592="","",IF(O592="",IF(J592="","",J592),IFERROR(AVERAGEIFS('Pesagens'!$C$6:$C$2005,'Pesagens'!$B$6:$B$2005,A592,'Pesagens'!$A$6:$A$2005,O592),"")))</f>
        <v/>
      </c>
      <c r="Q592" s="42">
        <f>IF(OR(A592="",O592="",I592="",J592=""),"",IFERROR((P592-J592)/(O592-I592),""))</f>
        <v/>
      </c>
    </row>
    <row r="593">
      <c r="A593" s="36" t="n"/>
      <c r="B593" s="32" t="n"/>
      <c r="C593" s="37" t="n"/>
      <c r="D593" s="31" t="n"/>
      <c r="E593" s="32" t="n"/>
      <c r="F593" s="32" t="n"/>
      <c r="G593" s="32" t="n"/>
      <c r="H593" s="36" t="n"/>
      <c r="I593" s="31" t="n"/>
      <c r="J593" s="38" t="n"/>
      <c r="K593" s="32" t="n"/>
      <c r="L593" s="34">
        <f>IF(OR(A593="",D593=""),"",IF(D593&gt;Config!$B$5,0,DATEDIF(D593,Config!$B$5,"m")))</f>
        <v/>
      </c>
      <c r="M593" s="39">
        <f>IF(A593="","",IF(K593&lt;&gt;"",K593,IF(OR(C593="",D593=""),"Sem dados",IFERROR(IF(C593="M",INDEX(Config!$B$11:$B$14,MATCH(L593,Config!$A$11:$A$14,1)),IF(C593="F",INDEX(Config!$C$11:$C$14,MATCH(L593,Config!$A$11:$A$14,1)),"Sem dados")),"Verificar"))))</f>
        <v/>
      </c>
      <c r="N593" s="39">
        <f>IF(A593="","",IF(COUNTIFS('Movimentações'!$C$6:$C$1505,A593,'Movimentações'!$B$6:$B$1505,"Venda")&gt;0,"Vendido",IF(COUNTIFS('Movimentações'!$C$6:$C$1505,A593,'Movimentações'!$B$6:$B$1505,"Morte")&gt;0,"Morto","Ativo")))</f>
        <v/>
      </c>
      <c r="O593" s="40">
        <f>IF(A593="","",IF(COUNTIF('Pesagens'!$B$6:$B$2005,A593)=0,"",SUMPRODUCT(MAX(('Pesagens'!$B$6:$B$2005=A593)*'Pesagens'!$A$6:$A$2005))))</f>
        <v/>
      </c>
      <c r="P593" s="41">
        <f>IF(A593="","",IF(O593="",IF(J593="","",J593),IFERROR(AVERAGEIFS('Pesagens'!$C$6:$C$2005,'Pesagens'!$B$6:$B$2005,A593,'Pesagens'!$A$6:$A$2005,O593),"")))</f>
        <v/>
      </c>
      <c r="Q593" s="42">
        <f>IF(OR(A593="",O593="",I593="",J593=""),"",IFERROR((P593-J593)/(O593-I593),""))</f>
        <v/>
      </c>
    </row>
    <row r="594">
      <c r="A594" s="36" t="n"/>
      <c r="B594" s="32" t="n"/>
      <c r="C594" s="37" t="n"/>
      <c r="D594" s="31" t="n"/>
      <c r="E594" s="32" t="n"/>
      <c r="F594" s="32" t="n"/>
      <c r="G594" s="32" t="n"/>
      <c r="H594" s="36" t="n"/>
      <c r="I594" s="31" t="n"/>
      <c r="J594" s="38" t="n"/>
      <c r="K594" s="32" t="n"/>
      <c r="L594" s="34">
        <f>IF(OR(A594="",D594=""),"",IF(D594&gt;Config!$B$5,0,DATEDIF(D594,Config!$B$5,"m")))</f>
        <v/>
      </c>
      <c r="M594" s="39">
        <f>IF(A594="","",IF(K594&lt;&gt;"",K594,IF(OR(C594="",D594=""),"Sem dados",IFERROR(IF(C594="M",INDEX(Config!$B$11:$B$14,MATCH(L594,Config!$A$11:$A$14,1)),IF(C594="F",INDEX(Config!$C$11:$C$14,MATCH(L594,Config!$A$11:$A$14,1)),"Sem dados")),"Verificar"))))</f>
        <v/>
      </c>
      <c r="N594" s="39">
        <f>IF(A594="","",IF(COUNTIFS('Movimentações'!$C$6:$C$1505,A594,'Movimentações'!$B$6:$B$1505,"Venda")&gt;0,"Vendido",IF(COUNTIFS('Movimentações'!$C$6:$C$1505,A594,'Movimentações'!$B$6:$B$1505,"Morte")&gt;0,"Morto","Ativo")))</f>
        <v/>
      </c>
      <c r="O594" s="40">
        <f>IF(A594="","",IF(COUNTIF('Pesagens'!$B$6:$B$2005,A594)=0,"",SUMPRODUCT(MAX(('Pesagens'!$B$6:$B$2005=A594)*'Pesagens'!$A$6:$A$2005))))</f>
        <v/>
      </c>
      <c r="P594" s="41">
        <f>IF(A594="","",IF(O594="",IF(J594="","",J594),IFERROR(AVERAGEIFS('Pesagens'!$C$6:$C$2005,'Pesagens'!$B$6:$B$2005,A594,'Pesagens'!$A$6:$A$2005,O594),"")))</f>
        <v/>
      </c>
      <c r="Q594" s="42">
        <f>IF(OR(A594="",O594="",I594="",J594=""),"",IFERROR((P594-J594)/(O594-I594),""))</f>
        <v/>
      </c>
    </row>
    <row r="595">
      <c r="A595" s="36" t="n"/>
      <c r="B595" s="32" t="n"/>
      <c r="C595" s="37" t="n"/>
      <c r="D595" s="31" t="n"/>
      <c r="E595" s="32" t="n"/>
      <c r="F595" s="32" t="n"/>
      <c r="G595" s="32" t="n"/>
      <c r="H595" s="36" t="n"/>
      <c r="I595" s="31" t="n"/>
      <c r="J595" s="38" t="n"/>
      <c r="K595" s="32" t="n"/>
      <c r="L595" s="34">
        <f>IF(OR(A595="",D595=""),"",IF(D595&gt;Config!$B$5,0,DATEDIF(D595,Config!$B$5,"m")))</f>
        <v/>
      </c>
      <c r="M595" s="39">
        <f>IF(A595="","",IF(K595&lt;&gt;"",K595,IF(OR(C595="",D595=""),"Sem dados",IFERROR(IF(C595="M",INDEX(Config!$B$11:$B$14,MATCH(L595,Config!$A$11:$A$14,1)),IF(C595="F",INDEX(Config!$C$11:$C$14,MATCH(L595,Config!$A$11:$A$14,1)),"Sem dados")),"Verificar"))))</f>
        <v/>
      </c>
      <c r="N595" s="39">
        <f>IF(A595="","",IF(COUNTIFS('Movimentações'!$C$6:$C$1505,A595,'Movimentações'!$B$6:$B$1505,"Venda")&gt;0,"Vendido",IF(COUNTIFS('Movimentações'!$C$6:$C$1505,A595,'Movimentações'!$B$6:$B$1505,"Morte")&gt;0,"Morto","Ativo")))</f>
        <v/>
      </c>
      <c r="O595" s="40">
        <f>IF(A595="","",IF(COUNTIF('Pesagens'!$B$6:$B$2005,A595)=0,"",SUMPRODUCT(MAX(('Pesagens'!$B$6:$B$2005=A595)*'Pesagens'!$A$6:$A$2005))))</f>
        <v/>
      </c>
      <c r="P595" s="41">
        <f>IF(A595="","",IF(O595="",IF(J595="","",J595),IFERROR(AVERAGEIFS('Pesagens'!$C$6:$C$2005,'Pesagens'!$B$6:$B$2005,A595,'Pesagens'!$A$6:$A$2005,O595),"")))</f>
        <v/>
      </c>
      <c r="Q595" s="42">
        <f>IF(OR(A595="",O595="",I595="",J595=""),"",IFERROR((P595-J595)/(O595-I595),""))</f>
        <v/>
      </c>
    </row>
    <row r="596">
      <c r="A596" s="36" t="n"/>
      <c r="B596" s="32" t="n"/>
      <c r="C596" s="37" t="n"/>
      <c r="D596" s="31" t="n"/>
      <c r="E596" s="32" t="n"/>
      <c r="F596" s="32" t="n"/>
      <c r="G596" s="32" t="n"/>
      <c r="H596" s="36" t="n"/>
      <c r="I596" s="31" t="n"/>
      <c r="J596" s="38" t="n"/>
      <c r="K596" s="32" t="n"/>
      <c r="L596" s="34">
        <f>IF(OR(A596="",D596=""),"",IF(D596&gt;Config!$B$5,0,DATEDIF(D596,Config!$B$5,"m")))</f>
        <v/>
      </c>
      <c r="M596" s="39">
        <f>IF(A596="","",IF(K596&lt;&gt;"",K596,IF(OR(C596="",D596=""),"Sem dados",IFERROR(IF(C596="M",INDEX(Config!$B$11:$B$14,MATCH(L596,Config!$A$11:$A$14,1)),IF(C596="F",INDEX(Config!$C$11:$C$14,MATCH(L596,Config!$A$11:$A$14,1)),"Sem dados")),"Verificar"))))</f>
        <v/>
      </c>
      <c r="N596" s="39">
        <f>IF(A596="","",IF(COUNTIFS('Movimentações'!$C$6:$C$1505,A596,'Movimentações'!$B$6:$B$1505,"Venda")&gt;0,"Vendido",IF(COUNTIFS('Movimentações'!$C$6:$C$1505,A596,'Movimentações'!$B$6:$B$1505,"Morte")&gt;0,"Morto","Ativo")))</f>
        <v/>
      </c>
      <c r="O596" s="40">
        <f>IF(A596="","",IF(COUNTIF('Pesagens'!$B$6:$B$2005,A596)=0,"",SUMPRODUCT(MAX(('Pesagens'!$B$6:$B$2005=A596)*'Pesagens'!$A$6:$A$2005))))</f>
        <v/>
      </c>
      <c r="P596" s="41">
        <f>IF(A596="","",IF(O596="",IF(J596="","",J596),IFERROR(AVERAGEIFS('Pesagens'!$C$6:$C$2005,'Pesagens'!$B$6:$B$2005,A596,'Pesagens'!$A$6:$A$2005,O596),"")))</f>
        <v/>
      </c>
      <c r="Q596" s="42">
        <f>IF(OR(A596="",O596="",I596="",J596=""),"",IFERROR((P596-J596)/(O596-I596),""))</f>
        <v/>
      </c>
    </row>
    <row r="597">
      <c r="A597" s="36" t="n"/>
      <c r="B597" s="32" t="n"/>
      <c r="C597" s="37" t="n"/>
      <c r="D597" s="31" t="n"/>
      <c r="E597" s="32" t="n"/>
      <c r="F597" s="32" t="n"/>
      <c r="G597" s="32" t="n"/>
      <c r="H597" s="36" t="n"/>
      <c r="I597" s="31" t="n"/>
      <c r="J597" s="38" t="n"/>
      <c r="K597" s="32" t="n"/>
      <c r="L597" s="34">
        <f>IF(OR(A597="",D597=""),"",IF(D597&gt;Config!$B$5,0,DATEDIF(D597,Config!$B$5,"m")))</f>
        <v/>
      </c>
      <c r="M597" s="39">
        <f>IF(A597="","",IF(K597&lt;&gt;"",K597,IF(OR(C597="",D597=""),"Sem dados",IFERROR(IF(C597="M",INDEX(Config!$B$11:$B$14,MATCH(L597,Config!$A$11:$A$14,1)),IF(C597="F",INDEX(Config!$C$11:$C$14,MATCH(L597,Config!$A$11:$A$14,1)),"Sem dados")),"Verificar"))))</f>
        <v/>
      </c>
      <c r="N597" s="39">
        <f>IF(A597="","",IF(COUNTIFS('Movimentações'!$C$6:$C$1505,A597,'Movimentações'!$B$6:$B$1505,"Venda")&gt;0,"Vendido",IF(COUNTIFS('Movimentações'!$C$6:$C$1505,A597,'Movimentações'!$B$6:$B$1505,"Morte")&gt;0,"Morto","Ativo")))</f>
        <v/>
      </c>
      <c r="O597" s="40">
        <f>IF(A597="","",IF(COUNTIF('Pesagens'!$B$6:$B$2005,A597)=0,"",SUMPRODUCT(MAX(('Pesagens'!$B$6:$B$2005=A597)*'Pesagens'!$A$6:$A$2005))))</f>
        <v/>
      </c>
      <c r="P597" s="41">
        <f>IF(A597="","",IF(O597="",IF(J597="","",J597),IFERROR(AVERAGEIFS('Pesagens'!$C$6:$C$2005,'Pesagens'!$B$6:$B$2005,A597,'Pesagens'!$A$6:$A$2005,O597),"")))</f>
        <v/>
      </c>
      <c r="Q597" s="42">
        <f>IF(OR(A597="",O597="",I597="",J597=""),"",IFERROR((P597-J597)/(O597-I597),""))</f>
        <v/>
      </c>
    </row>
    <row r="598">
      <c r="A598" s="36" t="n"/>
      <c r="B598" s="32" t="n"/>
      <c r="C598" s="37" t="n"/>
      <c r="D598" s="31" t="n"/>
      <c r="E598" s="32" t="n"/>
      <c r="F598" s="32" t="n"/>
      <c r="G598" s="32" t="n"/>
      <c r="H598" s="36" t="n"/>
      <c r="I598" s="31" t="n"/>
      <c r="J598" s="38" t="n"/>
      <c r="K598" s="32" t="n"/>
      <c r="L598" s="34">
        <f>IF(OR(A598="",D598=""),"",IF(D598&gt;Config!$B$5,0,DATEDIF(D598,Config!$B$5,"m")))</f>
        <v/>
      </c>
      <c r="M598" s="39">
        <f>IF(A598="","",IF(K598&lt;&gt;"",K598,IF(OR(C598="",D598=""),"Sem dados",IFERROR(IF(C598="M",INDEX(Config!$B$11:$B$14,MATCH(L598,Config!$A$11:$A$14,1)),IF(C598="F",INDEX(Config!$C$11:$C$14,MATCH(L598,Config!$A$11:$A$14,1)),"Sem dados")),"Verificar"))))</f>
        <v/>
      </c>
      <c r="N598" s="39">
        <f>IF(A598="","",IF(COUNTIFS('Movimentações'!$C$6:$C$1505,A598,'Movimentações'!$B$6:$B$1505,"Venda")&gt;0,"Vendido",IF(COUNTIFS('Movimentações'!$C$6:$C$1505,A598,'Movimentações'!$B$6:$B$1505,"Morte")&gt;0,"Morto","Ativo")))</f>
        <v/>
      </c>
      <c r="O598" s="40">
        <f>IF(A598="","",IF(COUNTIF('Pesagens'!$B$6:$B$2005,A598)=0,"",SUMPRODUCT(MAX(('Pesagens'!$B$6:$B$2005=A598)*'Pesagens'!$A$6:$A$2005))))</f>
        <v/>
      </c>
      <c r="P598" s="41">
        <f>IF(A598="","",IF(O598="",IF(J598="","",J598),IFERROR(AVERAGEIFS('Pesagens'!$C$6:$C$2005,'Pesagens'!$B$6:$B$2005,A598,'Pesagens'!$A$6:$A$2005,O598),"")))</f>
        <v/>
      </c>
      <c r="Q598" s="42">
        <f>IF(OR(A598="",O598="",I598="",J598=""),"",IFERROR((P598-J598)/(O598-I598),""))</f>
        <v/>
      </c>
    </row>
    <row r="599">
      <c r="A599" s="36" t="n"/>
      <c r="B599" s="32" t="n"/>
      <c r="C599" s="37" t="n"/>
      <c r="D599" s="31" t="n"/>
      <c r="E599" s="32" t="n"/>
      <c r="F599" s="32" t="n"/>
      <c r="G599" s="32" t="n"/>
      <c r="H599" s="36" t="n"/>
      <c r="I599" s="31" t="n"/>
      <c r="J599" s="38" t="n"/>
      <c r="K599" s="32" t="n"/>
      <c r="L599" s="34">
        <f>IF(OR(A599="",D599=""),"",IF(D599&gt;Config!$B$5,0,DATEDIF(D599,Config!$B$5,"m")))</f>
        <v/>
      </c>
      <c r="M599" s="39">
        <f>IF(A599="","",IF(K599&lt;&gt;"",K599,IF(OR(C599="",D599=""),"Sem dados",IFERROR(IF(C599="M",INDEX(Config!$B$11:$B$14,MATCH(L599,Config!$A$11:$A$14,1)),IF(C599="F",INDEX(Config!$C$11:$C$14,MATCH(L599,Config!$A$11:$A$14,1)),"Sem dados")),"Verificar"))))</f>
        <v/>
      </c>
      <c r="N599" s="39">
        <f>IF(A599="","",IF(COUNTIFS('Movimentações'!$C$6:$C$1505,A599,'Movimentações'!$B$6:$B$1505,"Venda")&gt;0,"Vendido",IF(COUNTIFS('Movimentações'!$C$6:$C$1505,A599,'Movimentações'!$B$6:$B$1505,"Morte")&gt;0,"Morto","Ativo")))</f>
        <v/>
      </c>
      <c r="O599" s="40">
        <f>IF(A599="","",IF(COUNTIF('Pesagens'!$B$6:$B$2005,A599)=0,"",SUMPRODUCT(MAX(('Pesagens'!$B$6:$B$2005=A599)*'Pesagens'!$A$6:$A$2005))))</f>
        <v/>
      </c>
      <c r="P599" s="41">
        <f>IF(A599="","",IF(O599="",IF(J599="","",J599),IFERROR(AVERAGEIFS('Pesagens'!$C$6:$C$2005,'Pesagens'!$B$6:$B$2005,A599,'Pesagens'!$A$6:$A$2005,O599),"")))</f>
        <v/>
      </c>
      <c r="Q599" s="42">
        <f>IF(OR(A599="",O599="",I599="",J599=""),"",IFERROR((P599-J599)/(O599-I599),""))</f>
        <v/>
      </c>
    </row>
    <row r="600">
      <c r="A600" s="36" t="n"/>
      <c r="B600" s="32" t="n"/>
      <c r="C600" s="37" t="n"/>
      <c r="D600" s="31" t="n"/>
      <c r="E600" s="32" t="n"/>
      <c r="F600" s="32" t="n"/>
      <c r="G600" s="32" t="n"/>
      <c r="H600" s="36" t="n"/>
      <c r="I600" s="31" t="n"/>
      <c r="J600" s="38" t="n"/>
      <c r="K600" s="32" t="n"/>
      <c r="L600" s="34">
        <f>IF(OR(A600="",D600=""),"",IF(D600&gt;Config!$B$5,0,DATEDIF(D600,Config!$B$5,"m")))</f>
        <v/>
      </c>
      <c r="M600" s="39">
        <f>IF(A600="","",IF(K600&lt;&gt;"",K600,IF(OR(C600="",D600=""),"Sem dados",IFERROR(IF(C600="M",INDEX(Config!$B$11:$B$14,MATCH(L600,Config!$A$11:$A$14,1)),IF(C600="F",INDEX(Config!$C$11:$C$14,MATCH(L600,Config!$A$11:$A$14,1)),"Sem dados")),"Verificar"))))</f>
        <v/>
      </c>
      <c r="N600" s="39">
        <f>IF(A600="","",IF(COUNTIFS('Movimentações'!$C$6:$C$1505,A600,'Movimentações'!$B$6:$B$1505,"Venda")&gt;0,"Vendido",IF(COUNTIFS('Movimentações'!$C$6:$C$1505,A600,'Movimentações'!$B$6:$B$1505,"Morte")&gt;0,"Morto","Ativo")))</f>
        <v/>
      </c>
      <c r="O600" s="40">
        <f>IF(A600="","",IF(COUNTIF('Pesagens'!$B$6:$B$2005,A600)=0,"",SUMPRODUCT(MAX(('Pesagens'!$B$6:$B$2005=A600)*'Pesagens'!$A$6:$A$2005))))</f>
        <v/>
      </c>
      <c r="P600" s="41">
        <f>IF(A600="","",IF(O600="",IF(J600="","",J600),IFERROR(AVERAGEIFS('Pesagens'!$C$6:$C$2005,'Pesagens'!$B$6:$B$2005,A600,'Pesagens'!$A$6:$A$2005,O600),"")))</f>
        <v/>
      </c>
      <c r="Q600" s="42">
        <f>IF(OR(A600="",O600="",I600="",J600=""),"",IFERROR((P600-J600)/(O600-I600),""))</f>
        <v/>
      </c>
    </row>
    <row r="601">
      <c r="A601" s="36" t="n"/>
      <c r="B601" s="32" t="n"/>
      <c r="C601" s="37" t="n"/>
      <c r="D601" s="31" t="n"/>
      <c r="E601" s="32" t="n"/>
      <c r="F601" s="32" t="n"/>
      <c r="G601" s="32" t="n"/>
      <c r="H601" s="36" t="n"/>
      <c r="I601" s="31" t="n"/>
      <c r="J601" s="38" t="n"/>
      <c r="K601" s="32" t="n"/>
      <c r="L601" s="34">
        <f>IF(OR(A601="",D601=""),"",IF(D601&gt;Config!$B$5,0,DATEDIF(D601,Config!$B$5,"m")))</f>
        <v/>
      </c>
      <c r="M601" s="39">
        <f>IF(A601="","",IF(K601&lt;&gt;"",K601,IF(OR(C601="",D601=""),"Sem dados",IFERROR(IF(C601="M",INDEX(Config!$B$11:$B$14,MATCH(L601,Config!$A$11:$A$14,1)),IF(C601="F",INDEX(Config!$C$11:$C$14,MATCH(L601,Config!$A$11:$A$14,1)),"Sem dados")),"Verificar"))))</f>
        <v/>
      </c>
      <c r="N601" s="39">
        <f>IF(A601="","",IF(COUNTIFS('Movimentações'!$C$6:$C$1505,A601,'Movimentações'!$B$6:$B$1505,"Venda")&gt;0,"Vendido",IF(COUNTIFS('Movimentações'!$C$6:$C$1505,A601,'Movimentações'!$B$6:$B$1505,"Morte")&gt;0,"Morto","Ativo")))</f>
        <v/>
      </c>
      <c r="O601" s="40">
        <f>IF(A601="","",IF(COUNTIF('Pesagens'!$B$6:$B$2005,A601)=0,"",SUMPRODUCT(MAX(('Pesagens'!$B$6:$B$2005=A601)*'Pesagens'!$A$6:$A$2005))))</f>
        <v/>
      </c>
      <c r="P601" s="41">
        <f>IF(A601="","",IF(O601="",IF(J601="","",J601),IFERROR(AVERAGEIFS('Pesagens'!$C$6:$C$2005,'Pesagens'!$B$6:$B$2005,A601,'Pesagens'!$A$6:$A$2005,O601),"")))</f>
        <v/>
      </c>
      <c r="Q601" s="42">
        <f>IF(OR(A601="",O601="",I601="",J601=""),"",IFERROR((P601-J601)/(O601-I601),""))</f>
        <v/>
      </c>
    </row>
    <row r="602">
      <c r="A602" s="36" t="n"/>
      <c r="B602" s="32" t="n"/>
      <c r="C602" s="37" t="n"/>
      <c r="D602" s="31" t="n"/>
      <c r="E602" s="32" t="n"/>
      <c r="F602" s="32" t="n"/>
      <c r="G602" s="32" t="n"/>
      <c r="H602" s="36" t="n"/>
      <c r="I602" s="31" t="n"/>
      <c r="J602" s="38" t="n"/>
      <c r="K602" s="32" t="n"/>
      <c r="L602" s="34">
        <f>IF(OR(A602="",D602=""),"",IF(D602&gt;Config!$B$5,0,DATEDIF(D602,Config!$B$5,"m")))</f>
        <v/>
      </c>
      <c r="M602" s="39">
        <f>IF(A602="","",IF(K602&lt;&gt;"",K602,IF(OR(C602="",D602=""),"Sem dados",IFERROR(IF(C602="M",INDEX(Config!$B$11:$B$14,MATCH(L602,Config!$A$11:$A$14,1)),IF(C602="F",INDEX(Config!$C$11:$C$14,MATCH(L602,Config!$A$11:$A$14,1)),"Sem dados")),"Verificar"))))</f>
        <v/>
      </c>
      <c r="N602" s="39">
        <f>IF(A602="","",IF(COUNTIFS('Movimentações'!$C$6:$C$1505,A602,'Movimentações'!$B$6:$B$1505,"Venda")&gt;0,"Vendido",IF(COUNTIFS('Movimentações'!$C$6:$C$1505,A602,'Movimentações'!$B$6:$B$1505,"Morte")&gt;0,"Morto","Ativo")))</f>
        <v/>
      </c>
      <c r="O602" s="40">
        <f>IF(A602="","",IF(COUNTIF('Pesagens'!$B$6:$B$2005,A602)=0,"",SUMPRODUCT(MAX(('Pesagens'!$B$6:$B$2005=A602)*'Pesagens'!$A$6:$A$2005))))</f>
        <v/>
      </c>
      <c r="P602" s="41">
        <f>IF(A602="","",IF(O602="",IF(J602="","",J602),IFERROR(AVERAGEIFS('Pesagens'!$C$6:$C$2005,'Pesagens'!$B$6:$B$2005,A602,'Pesagens'!$A$6:$A$2005,O602),"")))</f>
        <v/>
      </c>
      <c r="Q602" s="42">
        <f>IF(OR(A602="",O602="",I602="",J602=""),"",IFERROR((P602-J602)/(O602-I602),""))</f>
        <v/>
      </c>
    </row>
    <row r="603">
      <c r="A603" s="36" t="n"/>
      <c r="B603" s="32" t="n"/>
      <c r="C603" s="37" t="n"/>
      <c r="D603" s="31" t="n"/>
      <c r="E603" s="32" t="n"/>
      <c r="F603" s="32" t="n"/>
      <c r="G603" s="32" t="n"/>
      <c r="H603" s="36" t="n"/>
      <c r="I603" s="31" t="n"/>
      <c r="J603" s="38" t="n"/>
      <c r="K603" s="32" t="n"/>
      <c r="L603" s="34">
        <f>IF(OR(A603="",D603=""),"",IF(D603&gt;Config!$B$5,0,DATEDIF(D603,Config!$B$5,"m")))</f>
        <v/>
      </c>
      <c r="M603" s="39">
        <f>IF(A603="","",IF(K603&lt;&gt;"",K603,IF(OR(C603="",D603=""),"Sem dados",IFERROR(IF(C603="M",INDEX(Config!$B$11:$B$14,MATCH(L603,Config!$A$11:$A$14,1)),IF(C603="F",INDEX(Config!$C$11:$C$14,MATCH(L603,Config!$A$11:$A$14,1)),"Sem dados")),"Verificar"))))</f>
        <v/>
      </c>
      <c r="N603" s="39">
        <f>IF(A603="","",IF(COUNTIFS('Movimentações'!$C$6:$C$1505,A603,'Movimentações'!$B$6:$B$1505,"Venda")&gt;0,"Vendido",IF(COUNTIFS('Movimentações'!$C$6:$C$1505,A603,'Movimentações'!$B$6:$B$1505,"Morte")&gt;0,"Morto","Ativo")))</f>
        <v/>
      </c>
      <c r="O603" s="40">
        <f>IF(A603="","",IF(COUNTIF('Pesagens'!$B$6:$B$2005,A603)=0,"",SUMPRODUCT(MAX(('Pesagens'!$B$6:$B$2005=A603)*'Pesagens'!$A$6:$A$2005))))</f>
        <v/>
      </c>
      <c r="P603" s="41">
        <f>IF(A603="","",IF(O603="",IF(J603="","",J603),IFERROR(AVERAGEIFS('Pesagens'!$C$6:$C$2005,'Pesagens'!$B$6:$B$2005,A603,'Pesagens'!$A$6:$A$2005,O603),"")))</f>
        <v/>
      </c>
      <c r="Q603" s="42">
        <f>IF(OR(A603="",O603="",I603="",J603=""),"",IFERROR((P603-J603)/(O603-I603),""))</f>
        <v/>
      </c>
    </row>
    <row r="604">
      <c r="A604" s="36" t="n"/>
      <c r="B604" s="32" t="n"/>
      <c r="C604" s="37" t="n"/>
      <c r="D604" s="31" t="n"/>
      <c r="E604" s="32" t="n"/>
      <c r="F604" s="32" t="n"/>
      <c r="G604" s="32" t="n"/>
      <c r="H604" s="36" t="n"/>
      <c r="I604" s="31" t="n"/>
      <c r="J604" s="38" t="n"/>
      <c r="K604" s="32" t="n"/>
      <c r="L604" s="34">
        <f>IF(OR(A604="",D604=""),"",IF(D604&gt;Config!$B$5,0,DATEDIF(D604,Config!$B$5,"m")))</f>
        <v/>
      </c>
      <c r="M604" s="39">
        <f>IF(A604="","",IF(K604&lt;&gt;"",K604,IF(OR(C604="",D604=""),"Sem dados",IFERROR(IF(C604="M",INDEX(Config!$B$11:$B$14,MATCH(L604,Config!$A$11:$A$14,1)),IF(C604="F",INDEX(Config!$C$11:$C$14,MATCH(L604,Config!$A$11:$A$14,1)),"Sem dados")),"Verificar"))))</f>
        <v/>
      </c>
      <c r="N604" s="39">
        <f>IF(A604="","",IF(COUNTIFS('Movimentações'!$C$6:$C$1505,A604,'Movimentações'!$B$6:$B$1505,"Venda")&gt;0,"Vendido",IF(COUNTIFS('Movimentações'!$C$6:$C$1505,A604,'Movimentações'!$B$6:$B$1505,"Morte")&gt;0,"Morto","Ativo")))</f>
        <v/>
      </c>
      <c r="O604" s="40">
        <f>IF(A604="","",IF(COUNTIF('Pesagens'!$B$6:$B$2005,A604)=0,"",SUMPRODUCT(MAX(('Pesagens'!$B$6:$B$2005=A604)*'Pesagens'!$A$6:$A$2005))))</f>
        <v/>
      </c>
      <c r="P604" s="41">
        <f>IF(A604="","",IF(O604="",IF(J604="","",J604),IFERROR(AVERAGEIFS('Pesagens'!$C$6:$C$2005,'Pesagens'!$B$6:$B$2005,A604,'Pesagens'!$A$6:$A$2005,O604),"")))</f>
        <v/>
      </c>
      <c r="Q604" s="42">
        <f>IF(OR(A604="",O604="",I604="",J604=""),"",IFERROR((P604-J604)/(O604-I604),""))</f>
        <v/>
      </c>
    </row>
    <row r="605">
      <c r="A605" s="36" t="n"/>
      <c r="B605" s="32" t="n"/>
      <c r="C605" s="37" t="n"/>
      <c r="D605" s="31" t="n"/>
      <c r="E605" s="32" t="n"/>
      <c r="F605" s="32" t="n"/>
      <c r="G605" s="32" t="n"/>
      <c r="H605" s="36" t="n"/>
      <c r="I605" s="31" t="n"/>
      <c r="J605" s="38" t="n"/>
      <c r="K605" s="32" t="n"/>
      <c r="L605" s="34">
        <f>IF(OR(A605="",D605=""),"",IF(D605&gt;Config!$B$5,0,DATEDIF(D605,Config!$B$5,"m")))</f>
        <v/>
      </c>
      <c r="M605" s="39">
        <f>IF(A605="","",IF(K605&lt;&gt;"",K605,IF(OR(C605="",D605=""),"Sem dados",IFERROR(IF(C605="M",INDEX(Config!$B$11:$B$14,MATCH(L605,Config!$A$11:$A$14,1)),IF(C605="F",INDEX(Config!$C$11:$C$14,MATCH(L605,Config!$A$11:$A$14,1)),"Sem dados")),"Verificar"))))</f>
        <v/>
      </c>
      <c r="N605" s="39">
        <f>IF(A605="","",IF(COUNTIFS('Movimentações'!$C$6:$C$1505,A605,'Movimentações'!$B$6:$B$1505,"Venda")&gt;0,"Vendido",IF(COUNTIFS('Movimentações'!$C$6:$C$1505,A605,'Movimentações'!$B$6:$B$1505,"Morte")&gt;0,"Morto","Ativo")))</f>
        <v/>
      </c>
      <c r="O605" s="40">
        <f>IF(A605="","",IF(COUNTIF('Pesagens'!$B$6:$B$2005,A605)=0,"",SUMPRODUCT(MAX(('Pesagens'!$B$6:$B$2005=A605)*'Pesagens'!$A$6:$A$2005))))</f>
        <v/>
      </c>
      <c r="P605" s="41">
        <f>IF(A605="","",IF(O605="",IF(J605="","",J605),IFERROR(AVERAGEIFS('Pesagens'!$C$6:$C$2005,'Pesagens'!$B$6:$B$2005,A605,'Pesagens'!$A$6:$A$2005,O605),"")))</f>
        <v/>
      </c>
      <c r="Q605" s="42">
        <f>IF(OR(A605="",O605="",I605="",J605=""),"",IFERROR((P605-J605)/(O605-I605),""))</f>
        <v/>
      </c>
    </row>
    <row r="606">
      <c r="A606" s="36" t="n"/>
      <c r="B606" s="32" t="n"/>
      <c r="C606" s="37" t="n"/>
      <c r="D606" s="31" t="n"/>
      <c r="E606" s="32" t="n"/>
      <c r="F606" s="32" t="n"/>
      <c r="G606" s="32" t="n"/>
      <c r="H606" s="36" t="n"/>
      <c r="I606" s="31" t="n"/>
      <c r="J606" s="38" t="n"/>
      <c r="K606" s="32" t="n"/>
      <c r="L606" s="34">
        <f>IF(OR(A606="",D606=""),"",IF(D606&gt;Config!$B$5,0,DATEDIF(D606,Config!$B$5,"m")))</f>
        <v/>
      </c>
      <c r="M606" s="39">
        <f>IF(A606="","",IF(K606&lt;&gt;"",K606,IF(OR(C606="",D606=""),"Sem dados",IFERROR(IF(C606="M",INDEX(Config!$B$11:$B$14,MATCH(L606,Config!$A$11:$A$14,1)),IF(C606="F",INDEX(Config!$C$11:$C$14,MATCH(L606,Config!$A$11:$A$14,1)),"Sem dados")),"Verificar"))))</f>
        <v/>
      </c>
      <c r="N606" s="39">
        <f>IF(A606="","",IF(COUNTIFS('Movimentações'!$C$6:$C$1505,A606,'Movimentações'!$B$6:$B$1505,"Venda")&gt;0,"Vendido",IF(COUNTIFS('Movimentações'!$C$6:$C$1505,A606,'Movimentações'!$B$6:$B$1505,"Morte")&gt;0,"Morto","Ativo")))</f>
        <v/>
      </c>
      <c r="O606" s="40">
        <f>IF(A606="","",IF(COUNTIF('Pesagens'!$B$6:$B$2005,A606)=0,"",SUMPRODUCT(MAX(('Pesagens'!$B$6:$B$2005=A606)*'Pesagens'!$A$6:$A$2005))))</f>
        <v/>
      </c>
      <c r="P606" s="41">
        <f>IF(A606="","",IF(O606="",IF(J606="","",J606),IFERROR(AVERAGEIFS('Pesagens'!$C$6:$C$2005,'Pesagens'!$B$6:$B$2005,A606,'Pesagens'!$A$6:$A$2005,O606),"")))</f>
        <v/>
      </c>
      <c r="Q606" s="42">
        <f>IF(OR(A606="",O606="",I606="",J606=""),"",IFERROR((P606-J606)/(O606-I606),""))</f>
        <v/>
      </c>
    </row>
    <row r="607">
      <c r="A607" s="36" t="n"/>
      <c r="B607" s="32" t="n"/>
      <c r="C607" s="37" t="n"/>
      <c r="D607" s="31" t="n"/>
      <c r="E607" s="32" t="n"/>
      <c r="F607" s="32" t="n"/>
      <c r="G607" s="32" t="n"/>
      <c r="H607" s="36" t="n"/>
      <c r="I607" s="31" t="n"/>
      <c r="J607" s="38" t="n"/>
      <c r="K607" s="32" t="n"/>
      <c r="L607" s="34">
        <f>IF(OR(A607="",D607=""),"",IF(D607&gt;Config!$B$5,0,DATEDIF(D607,Config!$B$5,"m")))</f>
        <v/>
      </c>
      <c r="M607" s="39">
        <f>IF(A607="","",IF(K607&lt;&gt;"",K607,IF(OR(C607="",D607=""),"Sem dados",IFERROR(IF(C607="M",INDEX(Config!$B$11:$B$14,MATCH(L607,Config!$A$11:$A$14,1)),IF(C607="F",INDEX(Config!$C$11:$C$14,MATCH(L607,Config!$A$11:$A$14,1)),"Sem dados")),"Verificar"))))</f>
        <v/>
      </c>
      <c r="N607" s="39">
        <f>IF(A607="","",IF(COUNTIFS('Movimentações'!$C$6:$C$1505,A607,'Movimentações'!$B$6:$B$1505,"Venda")&gt;0,"Vendido",IF(COUNTIFS('Movimentações'!$C$6:$C$1505,A607,'Movimentações'!$B$6:$B$1505,"Morte")&gt;0,"Morto","Ativo")))</f>
        <v/>
      </c>
      <c r="O607" s="40">
        <f>IF(A607="","",IF(COUNTIF('Pesagens'!$B$6:$B$2005,A607)=0,"",SUMPRODUCT(MAX(('Pesagens'!$B$6:$B$2005=A607)*'Pesagens'!$A$6:$A$2005))))</f>
        <v/>
      </c>
      <c r="P607" s="41">
        <f>IF(A607="","",IF(O607="",IF(J607="","",J607),IFERROR(AVERAGEIFS('Pesagens'!$C$6:$C$2005,'Pesagens'!$B$6:$B$2005,A607,'Pesagens'!$A$6:$A$2005,O607),"")))</f>
        <v/>
      </c>
      <c r="Q607" s="42">
        <f>IF(OR(A607="",O607="",I607="",J607=""),"",IFERROR((P607-J607)/(O607-I607),""))</f>
        <v/>
      </c>
    </row>
    <row r="608">
      <c r="A608" s="36" t="n"/>
      <c r="B608" s="32" t="n"/>
      <c r="C608" s="37" t="n"/>
      <c r="D608" s="31" t="n"/>
      <c r="E608" s="32" t="n"/>
      <c r="F608" s="32" t="n"/>
      <c r="G608" s="32" t="n"/>
      <c r="H608" s="36" t="n"/>
      <c r="I608" s="31" t="n"/>
      <c r="J608" s="38" t="n"/>
      <c r="K608" s="32" t="n"/>
      <c r="L608" s="34">
        <f>IF(OR(A608="",D608=""),"",IF(D608&gt;Config!$B$5,0,DATEDIF(D608,Config!$B$5,"m")))</f>
        <v/>
      </c>
      <c r="M608" s="39">
        <f>IF(A608="","",IF(K608&lt;&gt;"",K608,IF(OR(C608="",D608=""),"Sem dados",IFERROR(IF(C608="M",INDEX(Config!$B$11:$B$14,MATCH(L608,Config!$A$11:$A$14,1)),IF(C608="F",INDEX(Config!$C$11:$C$14,MATCH(L608,Config!$A$11:$A$14,1)),"Sem dados")),"Verificar"))))</f>
        <v/>
      </c>
      <c r="N608" s="39">
        <f>IF(A608="","",IF(COUNTIFS('Movimentações'!$C$6:$C$1505,A608,'Movimentações'!$B$6:$B$1505,"Venda")&gt;0,"Vendido",IF(COUNTIFS('Movimentações'!$C$6:$C$1505,A608,'Movimentações'!$B$6:$B$1505,"Morte")&gt;0,"Morto","Ativo")))</f>
        <v/>
      </c>
      <c r="O608" s="40">
        <f>IF(A608="","",IF(COUNTIF('Pesagens'!$B$6:$B$2005,A608)=0,"",SUMPRODUCT(MAX(('Pesagens'!$B$6:$B$2005=A608)*'Pesagens'!$A$6:$A$2005))))</f>
        <v/>
      </c>
      <c r="P608" s="41">
        <f>IF(A608="","",IF(O608="",IF(J608="","",J608),IFERROR(AVERAGEIFS('Pesagens'!$C$6:$C$2005,'Pesagens'!$B$6:$B$2005,A608,'Pesagens'!$A$6:$A$2005,O608),"")))</f>
        <v/>
      </c>
      <c r="Q608" s="42">
        <f>IF(OR(A608="",O608="",I608="",J608=""),"",IFERROR((P608-J608)/(O608-I608),""))</f>
        <v/>
      </c>
    </row>
    <row r="609">
      <c r="A609" s="36" t="n"/>
      <c r="B609" s="32" t="n"/>
      <c r="C609" s="37" t="n"/>
      <c r="D609" s="31" t="n"/>
      <c r="E609" s="32" t="n"/>
      <c r="F609" s="32" t="n"/>
      <c r="G609" s="32" t="n"/>
      <c r="H609" s="36" t="n"/>
      <c r="I609" s="31" t="n"/>
      <c r="J609" s="38" t="n"/>
      <c r="K609" s="32" t="n"/>
      <c r="L609" s="34">
        <f>IF(OR(A609="",D609=""),"",IF(D609&gt;Config!$B$5,0,DATEDIF(D609,Config!$B$5,"m")))</f>
        <v/>
      </c>
      <c r="M609" s="39">
        <f>IF(A609="","",IF(K609&lt;&gt;"",K609,IF(OR(C609="",D609=""),"Sem dados",IFERROR(IF(C609="M",INDEX(Config!$B$11:$B$14,MATCH(L609,Config!$A$11:$A$14,1)),IF(C609="F",INDEX(Config!$C$11:$C$14,MATCH(L609,Config!$A$11:$A$14,1)),"Sem dados")),"Verificar"))))</f>
        <v/>
      </c>
      <c r="N609" s="39">
        <f>IF(A609="","",IF(COUNTIFS('Movimentações'!$C$6:$C$1505,A609,'Movimentações'!$B$6:$B$1505,"Venda")&gt;0,"Vendido",IF(COUNTIFS('Movimentações'!$C$6:$C$1505,A609,'Movimentações'!$B$6:$B$1505,"Morte")&gt;0,"Morto","Ativo")))</f>
        <v/>
      </c>
      <c r="O609" s="40">
        <f>IF(A609="","",IF(COUNTIF('Pesagens'!$B$6:$B$2005,A609)=0,"",SUMPRODUCT(MAX(('Pesagens'!$B$6:$B$2005=A609)*'Pesagens'!$A$6:$A$2005))))</f>
        <v/>
      </c>
      <c r="P609" s="41">
        <f>IF(A609="","",IF(O609="",IF(J609="","",J609),IFERROR(AVERAGEIFS('Pesagens'!$C$6:$C$2005,'Pesagens'!$B$6:$B$2005,A609,'Pesagens'!$A$6:$A$2005,O609),"")))</f>
        <v/>
      </c>
      <c r="Q609" s="42">
        <f>IF(OR(A609="",O609="",I609="",J609=""),"",IFERROR((P609-J609)/(O609-I609),""))</f>
        <v/>
      </c>
    </row>
    <row r="610">
      <c r="A610" s="36" t="n"/>
      <c r="B610" s="32" t="n"/>
      <c r="C610" s="37" t="n"/>
      <c r="D610" s="31" t="n"/>
      <c r="E610" s="32" t="n"/>
      <c r="F610" s="32" t="n"/>
      <c r="G610" s="32" t="n"/>
      <c r="H610" s="36" t="n"/>
      <c r="I610" s="31" t="n"/>
      <c r="J610" s="38" t="n"/>
      <c r="K610" s="32" t="n"/>
      <c r="L610" s="34">
        <f>IF(OR(A610="",D610=""),"",IF(D610&gt;Config!$B$5,0,DATEDIF(D610,Config!$B$5,"m")))</f>
        <v/>
      </c>
      <c r="M610" s="39">
        <f>IF(A610="","",IF(K610&lt;&gt;"",K610,IF(OR(C610="",D610=""),"Sem dados",IFERROR(IF(C610="M",INDEX(Config!$B$11:$B$14,MATCH(L610,Config!$A$11:$A$14,1)),IF(C610="F",INDEX(Config!$C$11:$C$14,MATCH(L610,Config!$A$11:$A$14,1)),"Sem dados")),"Verificar"))))</f>
        <v/>
      </c>
      <c r="N610" s="39">
        <f>IF(A610="","",IF(COUNTIFS('Movimentações'!$C$6:$C$1505,A610,'Movimentações'!$B$6:$B$1505,"Venda")&gt;0,"Vendido",IF(COUNTIFS('Movimentações'!$C$6:$C$1505,A610,'Movimentações'!$B$6:$B$1505,"Morte")&gt;0,"Morto","Ativo")))</f>
        <v/>
      </c>
      <c r="O610" s="40">
        <f>IF(A610="","",IF(COUNTIF('Pesagens'!$B$6:$B$2005,A610)=0,"",SUMPRODUCT(MAX(('Pesagens'!$B$6:$B$2005=A610)*'Pesagens'!$A$6:$A$2005))))</f>
        <v/>
      </c>
      <c r="P610" s="41">
        <f>IF(A610="","",IF(O610="",IF(J610="","",J610),IFERROR(AVERAGEIFS('Pesagens'!$C$6:$C$2005,'Pesagens'!$B$6:$B$2005,A610,'Pesagens'!$A$6:$A$2005,O610),"")))</f>
        <v/>
      </c>
      <c r="Q610" s="42">
        <f>IF(OR(A610="",O610="",I610="",J610=""),"",IFERROR((P610-J610)/(O610-I610),""))</f>
        <v/>
      </c>
    </row>
    <row r="611">
      <c r="A611" s="36" t="n"/>
      <c r="B611" s="32" t="n"/>
      <c r="C611" s="37" t="n"/>
      <c r="D611" s="31" t="n"/>
      <c r="E611" s="32" t="n"/>
      <c r="F611" s="32" t="n"/>
      <c r="G611" s="32" t="n"/>
      <c r="H611" s="36" t="n"/>
      <c r="I611" s="31" t="n"/>
      <c r="J611" s="38" t="n"/>
      <c r="K611" s="32" t="n"/>
      <c r="L611" s="34">
        <f>IF(OR(A611="",D611=""),"",IF(D611&gt;Config!$B$5,0,DATEDIF(D611,Config!$B$5,"m")))</f>
        <v/>
      </c>
      <c r="M611" s="39">
        <f>IF(A611="","",IF(K611&lt;&gt;"",K611,IF(OR(C611="",D611=""),"Sem dados",IFERROR(IF(C611="M",INDEX(Config!$B$11:$B$14,MATCH(L611,Config!$A$11:$A$14,1)),IF(C611="F",INDEX(Config!$C$11:$C$14,MATCH(L611,Config!$A$11:$A$14,1)),"Sem dados")),"Verificar"))))</f>
        <v/>
      </c>
      <c r="N611" s="39">
        <f>IF(A611="","",IF(COUNTIFS('Movimentações'!$C$6:$C$1505,A611,'Movimentações'!$B$6:$B$1505,"Venda")&gt;0,"Vendido",IF(COUNTIFS('Movimentações'!$C$6:$C$1505,A611,'Movimentações'!$B$6:$B$1505,"Morte")&gt;0,"Morto","Ativo")))</f>
        <v/>
      </c>
      <c r="O611" s="40">
        <f>IF(A611="","",IF(COUNTIF('Pesagens'!$B$6:$B$2005,A611)=0,"",SUMPRODUCT(MAX(('Pesagens'!$B$6:$B$2005=A611)*'Pesagens'!$A$6:$A$2005))))</f>
        <v/>
      </c>
      <c r="P611" s="41">
        <f>IF(A611="","",IF(O611="",IF(J611="","",J611),IFERROR(AVERAGEIFS('Pesagens'!$C$6:$C$2005,'Pesagens'!$B$6:$B$2005,A611,'Pesagens'!$A$6:$A$2005,O611),"")))</f>
        <v/>
      </c>
      <c r="Q611" s="42">
        <f>IF(OR(A611="",O611="",I611="",J611=""),"",IFERROR((P611-J611)/(O611-I611),""))</f>
        <v/>
      </c>
    </row>
    <row r="612">
      <c r="A612" s="36" t="n"/>
      <c r="B612" s="32" t="n"/>
      <c r="C612" s="37" t="n"/>
      <c r="D612" s="31" t="n"/>
      <c r="E612" s="32" t="n"/>
      <c r="F612" s="32" t="n"/>
      <c r="G612" s="32" t="n"/>
      <c r="H612" s="36" t="n"/>
      <c r="I612" s="31" t="n"/>
      <c r="J612" s="38" t="n"/>
      <c r="K612" s="32" t="n"/>
      <c r="L612" s="34">
        <f>IF(OR(A612="",D612=""),"",IF(D612&gt;Config!$B$5,0,DATEDIF(D612,Config!$B$5,"m")))</f>
        <v/>
      </c>
      <c r="M612" s="39">
        <f>IF(A612="","",IF(K612&lt;&gt;"",K612,IF(OR(C612="",D612=""),"Sem dados",IFERROR(IF(C612="M",INDEX(Config!$B$11:$B$14,MATCH(L612,Config!$A$11:$A$14,1)),IF(C612="F",INDEX(Config!$C$11:$C$14,MATCH(L612,Config!$A$11:$A$14,1)),"Sem dados")),"Verificar"))))</f>
        <v/>
      </c>
      <c r="N612" s="39">
        <f>IF(A612="","",IF(COUNTIFS('Movimentações'!$C$6:$C$1505,A612,'Movimentações'!$B$6:$B$1505,"Venda")&gt;0,"Vendido",IF(COUNTIFS('Movimentações'!$C$6:$C$1505,A612,'Movimentações'!$B$6:$B$1505,"Morte")&gt;0,"Morto","Ativo")))</f>
        <v/>
      </c>
      <c r="O612" s="40">
        <f>IF(A612="","",IF(COUNTIF('Pesagens'!$B$6:$B$2005,A612)=0,"",SUMPRODUCT(MAX(('Pesagens'!$B$6:$B$2005=A612)*'Pesagens'!$A$6:$A$2005))))</f>
        <v/>
      </c>
      <c r="P612" s="41">
        <f>IF(A612="","",IF(O612="",IF(J612="","",J612),IFERROR(AVERAGEIFS('Pesagens'!$C$6:$C$2005,'Pesagens'!$B$6:$B$2005,A612,'Pesagens'!$A$6:$A$2005,O612),"")))</f>
        <v/>
      </c>
      <c r="Q612" s="42">
        <f>IF(OR(A612="",O612="",I612="",J612=""),"",IFERROR((P612-J612)/(O612-I612),""))</f>
        <v/>
      </c>
    </row>
    <row r="613">
      <c r="A613" s="36" t="n"/>
      <c r="B613" s="32" t="n"/>
      <c r="C613" s="37" t="n"/>
      <c r="D613" s="31" t="n"/>
      <c r="E613" s="32" t="n"/>
      <c r="F613" s="32" t="n"/>
      <c r="G613" s="32" t="n"/>
      <c r="H613" s="36" t="n"/>
      <c r="I613" s="31" t="n"/>
      <c r="J613" s="38" t="n"/>
      <c r="K613" s="32" t="n"/>
      <c r="L613" s="34">
        <f>IF(OR(A613="",D613=""),"",IF(D613&gt;Config!$B$5,0,DATEDIF(D613,Config!$B$5,"m")))</f>
        <v/>
      </c>
      <c r="M613" s="39">
        <f>IF(A613="","",IF(K613&lt;&gt;"",K613,IF(OR(C613="",D613=""),"Sem dados",IFERROR(IF(C613="M",INDEX(Config!$B$11:$B$14,MATCH(L613,Config!$A$11:$A$14,1)),IF(C613="F",INDEX(Config!$C$11:$C$14,MATCH(L613,Config!$A$11:$A$14,1)),"Sem dados")),"Verificar"))))</f>
        <v/>
      </c>
      <c r="N613" s="39">
        <f>IF(A613="","",IF(COUNTIFS('Movimentações'!$C$6:$C$1505,A613,'Movimentações'!$B$6:$B$1505,"Venda")&gt;0,"Vendido",IF(COUNTIFS('Movimentações'!$C$6:$C$1505,A613,'Movimentações'!$B$6:$B$1505,"Morte")&gt;0,"Morto","Ativo")))</f>
        <v/>
      </c>
      <c r="O613" s="40">
        <f>IF(A613="","",IF(COUNTIF('Pesagens'!$B$6:$B$2005,A613)=0,"",SUMPRODUCT(MAX(('Pesagens'!$B$6:$B$2005=A613)*'Pesagens'!$A$6:$A$2005))))</f>
        <v/>
      </c>
      <c r="P613" s="41">
        <f>IF(A613="","",IF(O613="",IF(J613="","",J613),IFERROR(AVERAGEIFS('Pesagens'!$C$6:$C$2005,'Pesagens'!$B$6:$B$2005,A613,'Pesagens'!$A$6:$A$2005,O613),"")))</f>
        <v/>
      </c>
      <c r="Q613" s="42">
        <f>IF(OR(A613="",O613="",I613="",J613=""),"",IFERROR((P613-J613)/(O613-I613),""))</f>
        <v/>
      </c>
    </row>
    <row r="614">
      <c r="A614" s="36" t="n"/>
      <c r="B614" s="32" t="n"/>
      <c r="C614" s="37" t="n"/>
      <c r="D614" s="31" t="n"/>
      <c r="E614" s="32" t="n"/>
      <c r="F614" s="32" t="n"/>
      <c r="G614" s="32" t="n"/>
      <c r="H614" s="36" t="n"/>
      <c r="I614" s="31" t="n"/>
      <c r="J614" s="38" t="n"/>
      <c r="K614" s="32" t="n"/>
      <c r="L614" s="34">
        <f>IF(OR(A614="",D614=""),"",IF(D614&gt;Config!$B$5,0,DATEDIF(D614,Config!$B$5,"m")))</f>
        <v/>
      </c>
      <c r="M614" s="39">
        <f>IF(A614="","",IF(K614&lt;&gt;"",K614,IF(OR(C614="",D614=""),"Sem dados",IFERROR(IF(C614="M",INDEX(Config!$B$11:$B$14,MATCH(L614,Config!$A$11:$A$14,1)),IF(C614="F",INDEX(Config!$C$11:$C$14,MATCH(L614,Config!$A$11:$A$14,1)),"Sem dados")),"Verificar"))))</f>
        <v/>
      </c>
      <c r="N614" s="39">
        <f>IF(A614="","",IF(COUNTIFS('Movimentações'!$C$6:$C$1505,A614,'Movimentações'!$B$6:$B$1505,"Venda")&gt;0,"Vendido",IF(COUNTIFS('Movimentações'!$C$6:$C$1505,A614,'Movimentações'!$B$6:$B$1505,"Morte")&gt;0,"Morto","Ativo")))</f>
        <v/>
      </c>
      <c r="O614" s="40">
        <f>IF(A614="","",IF(COUNTIF('Pesagens'!$B$6:$B$2005,A614)=0,"",SUMPRODUCT(MAX(('Pesagens'!$B$6:$B$2005=A614)*'Pesagens'!$A$6:$A$2005))))</f>
        <v/>
      </c>
      <c r="P614" s="41">
        <f>IF(A614="","",IF(O614="",IF(J614="","",J614),IFERROR(AVERAGEIFS('Pesagens'!$C$6:$C$2005,'Pesagens'!$B$6:$B$2005,A614,'Pesagens'!$A$6:$A$2005,O614),"")))</f>
        <v/>
      </c>
      <c r="Q614" s="42">
        <f>IF(OR(A614="",O614="",I614="",J614=""),"",IFERROR((P614-J614)/(O614-I614),""))</f>
        <v/>
      </c>
    </row>
    <row r="615">
      <c r="A615" s="36" t="n"/>
      <c r="B615" s="32" t="n"/>
      <c r="C615" s="37" t="n"/>
      <c r="D615" s="31" t="n"/>
      <c r="E615" s="32" t="n"/>
      <c r="F615" s="32" t="n"/>
      <c r="G615" s="32" t="n"/>
      <c r="H615" s="36" t="n"/>
      <c r="I615" s="31" t="n"/>
      <c r="J615" s="38" t="n"/>
      <c r="K615" s="32" t="n"/>
      <c r="L615" s="34">
        <f>IF(OR(A615="",D615=""),"",IF(D615&gt;Config!$B$5,0,DATEDIF(D615,Config!$B$5,"m")))</f>
        <v/>
      </c>
      <c r="M615" s="39">
        <f>IF(A615="","",IF(K615&lt;&gt;"",K615,IF(OR(C615="",D615=""),"Sem dados",IFERROR(IF(C615="M",INDEX(Config!$B$11:$B$14,MATCH(L615,Config!$A$11:$A$14,1)),IF(C615="F",INDEX(Config!$C$11:$C$14,MATCH(L615,Config!$A$11:$A$14,1)),"Sem dados")),"Verificar"))))</f>
        <v/>
      </c>
      <c r="N615" s="39">
        <f>IF(A615="","",IF(COUNTIFS('Movimentações'!$C$6:$C$1505,A615,'Movimentações'!$B$6:$B$1505,"Venda")&gt;0,"Vendido",IF(COUNTIFS('Movimentações'!$C$6:$C$1505,A615,'Movimentações'!$B$6:$B$1505,"Morte")&gt;0,"Morto","Ativo")))</f>
        <v/>
      </c>
      <c r="O615" s="40">
        <f>IF(A615="","",IF(COUNTIF('Pesagens'!$B$6:$B$2005,A615)=0,"",SUMPRODUCT(MAX(('Pesagens'!$B$6:$B$2005=A615)*'Pesagens'!$A$6:$A$2005))))</f>
        <v/>
      </c>
      <c r="P615" s="41">
        <f>IF(A615="","",IF(O615="",IF(J615="","",J615),IFERROR(AVERAGEIFS('Pesagens'!$C$6:$C$2005,'Pesagens'!$B$6:$B$2005,A615,'Pesagens'!$A$6:$A$2005,O615),"")))</f>
        <v/>
      </c>
      <c r="Q615" s="42">
        <f>IF(OR(A615="",O615="",I615="",J615=""),"",IFERROR((P615-J615)/(O615-I615),""))</f>
        <v/>
      </c>
    </row>
    <row r="616">
      <c r="A616" s="36" t="n"/>
      <c r="B616" s="32" t="n"/>
      <c r="C616" s="37" t="n"/>
      <c r="D616" s="31" t="n"/>
      <c r="E616" s="32" t="n"/>
      <c r="F616" s="32" t="n"/>
      <c r="G616" s="32" t="n"/>
      <c r="H616" s="36" t="n"/>
      <c r="I616" s="31" t="n"/>
      <c r="J616" s="38" t="n"/>
      <c r="K616" s="32" t="n"/>
      <c r="L616" s="34">
        <f>IF(OR(A616="",D616=""),"",IF(D616&gt;Config!$B$5,0,DATEDIF(D616,Config!$B$5,"m")))</f>
        <v/>
      </c>
      <c r="M616" s="39">
        <f>IF(A616="","",IF(K616&lt;&gt;"",K616,IF(OR(C616="",D616=""),"Sem dados",IFERROR(IF(C616="M",INDEX(Config!$B$11:$B$14,MATCH(L616,Config!$A$11:$A$14,1)),IF(C616="F",INDEX(Config!$C$11:$C$14,MATCH(L616,Config!$A$11:$A$14,1)),"Sem dados")),"Verificar"))))</f>
        <v/>
      </c>
      <c r="N616" s="39">
        <f>IF(A616="","",IF(COUNTIFS('Movimentações'!$C$6:$C$1505,A616,'Movimentações'!$B$6:$B$1505,"Venda")&gt;0,"Vendido",IF(COUNTIFS('Movimentações'!$C$6:$C$1505,A616,'Movimentações'!$B$6:$B$1505,"Morte")&gt;0,"Morto","Ativo")))</f>
        <v/>
      </c>
      <c r="O616" s="40">
        <f>IF(A616="","",IF(COUNTIF('Pesagens'!$B$6:$B$2005,A616)=0,"",SUMPRODUCT(MAX(('Pesagens'!$B$6:$B$2005=A616)*'Pesagens'!$A$6:$A$2005))))</f>
        <v/>
      </c>
      <c r="P616" s="41">
        <f>IF(A616="","",IF(O616="",IF(J616="","",J616),IFERROR(AVERAGEIFS('Pesagens'!$C$6:$C$2005,'Pesagens'!$B$6:$B$2005,A616,'Pesagens'!$A$6:$A$2005,O616),"")))</f>
        <v/>
      </c>
      <c r="Q616" s="42">
        <f>IF(OR(A616="",O616="",I616="",J616=""),"",IFERROR((P616-J616)/(O616-I616),""))</f>
        <v/>
      </c>
    </row>
    <row r="617">
      <c r="A617" s="36" t="n"/>
      <c r="B617" s="32" t="n"/>
      <c r="C617" s="37" t="n"/>
      <c r="D617" s="31" t="n"/>
      <c r="E617" s="32" t="n"/>
      <c r="F617" s="32" t="n"/>
      <c r="G617" s="32" t="n"/>
      <c r="H617" s="36" t="n"/>
      <c r="I617" s="31" t="n"/>
      <c r="J617" s="38" t="n"/>
      <c r="K617" s="32" t="n"/>
      <c r="L617" s="34">
        <f>IF(OR(A617="",D617=""),"",IF(D617&gt;Config!$B$5,0,DATEDIF(D617,Config!$B$5,"m")))</f>
        <v/>
      </c>
      <c r="M617" s="39">
        <f>IF(A617="","",IF(K617&lt;&gt;"",K617,IF(OR(C617="",D617=""),"Sem dados",IFERROR(IF(C617="M",INDEX(Config!$B$11:$B$14,MATCH(L617,Config!$A$11:$A$14,1)),IF(C617="F",INDEX(Config!$C$11:$C$14,MATCH(L617,Config!$A$11:$A$14,1)),"Sem dados")),"Verificar"))))</f>
        <v/>
      </c>
      <c r="N617" s="39">
        <f>IF(A617="","",IF(COUNTIFS('Movimentações'!$C$6:$C$1505,A617,'Movimentações'!$B$6:$B$1505,"Venda")&gt;0,"Vendido",IF(COUNTIFS('Movimentações'!$C$6:$C$1505,A617,'Movimentações'!$B$6:$B$1505,"Morte")&gt;0,"Morto","Ativo")))</f>
        <v/>
      </c>
      <c r="O617" s="40">
        <f>IF(A617="","",IF(COUNTIF('Pesagens'!$B$6:$B$2005,A617)=0,"",SUMPRODUCT(MAX(('Pesagens'!$B$6:$B$2005=A617)*'Pesagens'!$A$6:$A$2005))))</f>
        <v/>
      </c>
      <c r="P617" s="41">
        <f>IF(A617="","",IF(O617="",IF(J617="","",J617),IFERROR(AVERAGEIFS('Pesagens'!$C$6:$C$2005,'Pesagens'!$B$6:$B$2005,A617,'Pesagens'!$A$6:$A$2005,O617),"")))</f>
        <v/>
      </c>
      <c r="Q617" s="42">
        <f>IF(OR(A617="",O617="",I617="",J617=""),"",IFERROR((P617-J617)/(O617-I617),""))</f>
        <v/>
      </c>
    </row>
    <row r="618">
      <c r="A618" s="36" t="n"/>
      <c r="B618" s="32" t="n"/>
      <c r="C618" s="37" t="n"/>
      <c r="D618" s="31" t="n"/>
      <c r="E618" s="32" t="n"/>
      <c r="F618" s="32" t="n"/>
      <c r="G618" s="32" t="n"/>
      <c r="H618" s="36" t="n"/>
      <c r="I618" s="31" t="n"/>
      <c r="J618" s="38" t="n"/>
      <c r="K618" s="32" t="n"/>
      <c r="L618" s="34">
        <f>IF(OR(A618="",D618=""),"",IF(D618&gt;Config!$B$5,0,DATEDIF(D618,Config!$B$5,"m")))</f>
        <v/>
      </c>
      <c r="M618" s="39">
        <f>IF(A618="","",IF(K618&lt;&gt;"",K618,IF(OR(C618="",D618=""),"Sem dados",IFERROR(IF(C618="M",INDEX(Config!$B$11:$B$14,MATCH(L618,Config!$A$11:$A$14,1)),IF(C618="F",INDEX(Config!$C$11:$C$14,MATCH(L618,Config!$A$11:$A$14,1)),"Sem dados")),"Verificar"))))</f>
        <v/>
      </c>
      <c r="N618" s="39">
        <f>IF(A618="","",IF(COUNTIFS('Movimentações'!$C$6:$C$1505,A618,'Movimentações'!$B$6:$B$1505,"Venda")&gt;0,"Vendido",IF(COUNTIFS('Movimentações'!$C$6:$C$1505,A618,'Movimentações'!$B$6:$B$1505,"Morte")&gt;0,"Morto","Ativo")))</f>
        <v/>
      </c>
      <c r="O618" s="40">
        <f>IF(A618="","",IF(COUNTIF('Pesagens'!$B$6:$B$2005,A618)=0,"",SUMPRODUCT(MAX(('Pesagens'!$B$6:$B$2005=A618)*'Pesagens'!$A$6:$A$2005))))</f>
        <v/>
      </c>
      <c r="P618" s="41">
        <f>IF(A618="","",IF(O618="",IF(J618="","",J618),IFERROR(AVERAGEIFS('Pesagens'!$C$6:$C$2005,'Pesagens'!$B$6:$B$2005,A618,'Pesagens'!$A$6:$A$2005,O618),"")))</f>
        <v/>
      </c>
      <c r="Q618" s="42">
        <f>IF(OR(A618="",O618="",I618="",J618=""),"",IFERROR((P618-J618)/(O618-I618),""))</f>
        <v/>
      </c>
    </row>
    <row r="619">
      <c r="A619" s="36" t="n"/>
      <c r="B619" s="32" t="n"/>
      <c r="C619" s="37" t="n"/>
      <c r="D619" s="31" t="n"/>
      <c r="E619" s="32" t="n"/>
      <c r="F619" s="32" t="n"/>
      <c r="G619" s="32" t="n"/>
      <c r="H619" s="36" t="n"/>
      <c r="I619" s="31" t="n"/>
      <c r="J619" s="38" t="n"/>
      <c r="K619" s="32" t="n"/>
      <c r="L619" s="34">
        <f>IF(OR(A619="",D619=""),"",IF(D619&gt;Config!$B$5,0,DATEDIF(D619,Config!$B$5,"m")))</f>
        <v/>
      </c>
      <c r="M619" s="39">
        <f>IF(A619="","",IF(K619&lt;&gt;"",K619,IF(OR(C619="",D619=""),"Sem dados",IFERROR(IF(C619="M",INDEX(Config!$B$11:$B$14,MATCH(L619,Config!$A$11:$A$14,1)),IF(C619="F",INDEX(Config!$C$11:$C$14,MATCH(L619,Config!$A$11:$A$14,1)),"Sem dados")),"Verificar"))))</f>
        <v/>
      </c>
      <c r="N619" s="39">
        <f>IF(A619="","",IF(COUNTIFS('Movimentações'!$C$6:$C$1505,A619,'Movimentações'!$B$6:$B$1505,"Venda")&gt;0,"Vendido",IF(COUNTIFS('Movimentações'!$C$6:$C$1505,A619,'Movimentações'!$B$6:$B$1505,"Morte")&gt;0,"Morto","Ativo")))</f>
        <v/>
      </c>
      <c r="O619" s="40">
        <f>IF(A619="","",IF(COUNTIF('Pesagens'!$B$6:$B$2005,A619)=0,"",SUMPRODUCT(MAX(('Pesagens'!$B$6:$B$2005=A619)*'Pesagens'!$A$6:$A$2005))))</f>
        <v/>
      </c>
      <c r="P619" s="41">
        <f>IF(A619="","",IF(O619="",IF(J619="","",J619),IFERROR(AVERAGEIFS('Pesagens'!$C$6:$C$2005,'Pesagens'!$B$6:$B$2005,A619,'Pesagens'!$A$6:$A$2005,O619),"")))</f>
        <v/>
      </c>
      <c r="Q619" s="42">
        <f>IF(OR(A619="",O619="",I619="",J619=""),"",IFERROR((P619-J619)/(O619-I619),""))</f>
        <v/>
      </c>
    </row>
    <row r="620">
      <c r="A620" s="36" t="n"/>
      <c r="B620" s="32" t="n"/>
      <c r="C620" s="37" t="n"/>
      <c r="D620" s="31" t="n"/>
      <c r="E620" s="32" t="n"/>
      <c r="F620" s="32" t="n"/>
      <c r="G620" s="32" t="n"/>
      <c r="H620" s="36" t="n"/>
      <c r="I620" s="31" t="n"/>
      <c r="J620" s="38" t="n"/>
      <c r="K620" s="32" t="n"/>
      <c r="L620" s="34">
        <f>IF(OR(A620="",D620=""),"",IF(D620&gt;Config!$B$5,0,DATEDIF(D620,Config!$B$5,"m")))</f>
        <v/>
      </c>
      <c r="M620" s="39">
        <f>IF(A620="","",IF(K620&lt;&gt;"",K620,IF(OR(C620="",D620=""),"Sem dados",IFERROR(IF(C620="M",INDEX(Config!$B$11:$B$14,MATCH(L620,Config!$A$11:$A$14,1)),IF(C620="F",INDEX(Config!$C$11:$C$14,MATCH(L620,Config!$A$11:$A$14,1)),"Sem dados")),"Verificar"))))</f>
        <v/>
      </c>
      <c r="N620" s="39">
        <f>IF(A620="","",IF(COUNTIFS('Movimentações'!$C$6:$C$1505,A620,'Movimentações'!$B$6:$B$1505,"Venda")&gt;0,"Vendido",IF(COUNTIFS('Movimentações'!$C$6:$C$1505,A620,'Movimentações'!$B$6:$B$1505,"Morte")&gt;0,"Morto","Ativo")))</f>
        <v/>
      </c>
      <c r="O620" s="40">
        <f>IF(A620="","",IF(COUNTIF('Pesagens'!$B$6:$B$2005,A620)=0,"",SUMPRODUCT(MAX(('Pesagens'!$B$6:$B$2005=A620)*'Pesagens'!$A$6:$A$2005))))</f>
        <v/>
      </c>
      <c r="P620" s="41">
        <f>IF(A620="","",IF(O620="",IF(J620="","",J620),IFERROR(AVERAGEIFS('Pesagens'!$C$6:$C$2005,'Pesagens'!$B$6:$B$2005,A620,'Pesagens'!$A$6:$A$2005,O620),"")))</f>
        <v/>
      </c>
      <c r="Q620" s="42">
        <f>IF(OR(A620="",O620="",I620="",J620=""),"",IFERROR((P620-J620)/(O620-I620),""))</f>
        <v/>
      </c>
    </row>
    <row r="621">
      <c r="A621" s="36" t="n"/>
      <c r="B621" s="32" t="n"/>
      <c r="C621" s="37" t="n"/>
      <c r="D621" s="31" t="n"/>
      <c r="E621" s="32" t="n"/>
      <c r="F621" s="32" t="n"/>
      <c r="G621" s="32" t="n"/>
      <c r="H621" s="36" t="n"/>
      <c r="I621" s="31" t="n"/>
      <c r="J621" s="38" t="n"/>
      <c r="K621" s="32" t="n"/>
      <c r="L621" s="34">
        <f>IF(OR(A621="",D621=""),"",IF(D621&gt;Config!$B$5,0,DATEDIF(D621,Config!$B$5,"m")))</f>
        <v/>
      </c>
      <c r="M621" s="39">
        <f>IF(A621="","",IF(K621&lt;&gt;"",K621,IF(OR(C621="",D621=""),"Sem dados",IFERROR(IF(C621="M",INDEX(Config!$B$11:$B$14,MATCH(L621,Config!$A$11:$A$14,1)),IF(C621="F",INDEX(Config!$C$11:$C$14,MATCH(L621,Config!$A$11:$A$14,1)),"Sem dados")),"Verificar"))))</f>
        <v/>
      </c>
      <c r="N621" s="39">
        <f>IF(A621="","",IF(COUNTIFS('Movimentações'!$C$6:$C$1505,A621,'Movimentações'!$B$6:$B$1505,"Venda")&gt;0,"Vendido",IF(COUNTIFS('Movimentações'!$C$6:$C$1505,A621,'Movimentações'!$B$6:$B$1505,"Morte")&gt;0,"Morto","Ativo")))</f>
        <v/>
      </c>
      <c r="O621" s="40">
        <f>IF(A621="","",IF(COUNTIF('Pesagens'!$B$6:$B$2005,A621)=0,"",SUMPRODUCT(MAX(('Pesagens'!$B$6:$B$2005=A621)*'Pesagens'!$A$6:$A$2005))))</f>
        <v/>
      </c>
      <c r="P621" s="41">
        <f>IF(A621="","",IF(O621="",IF(J621="","",J621),IFERROR(AVERAGEIFS('Pesagens'!$C$6:$C$2005,'Pesagens'!$B$6:$B$2005,A621,'Pesagens'!$A$6:$A$2005,O621),"")))</f>
        <v/>
      </c>
      <c r="Q621" s="42">
        <f>IF(OR(A621="",O621="",I621="",J621=""),"",IFERROR((P621-J621)/(O621-I621),""))</f>
        <v/>
      </c>
    </row>
    <row r="622">
      <c r="A622" s="36" t="n"/>
      <c r="B622" s="32" t="n"/>
      <c r="C622" s="37" t="n"/>
      <c r="D622" s="31" t="n"/>
      <c r="E622" s="32" t="n"/>
      <c r="F622" s="32" t="n"/>
      <c r="G622" s="32" t="n"/>
      <c r="H622" s="36" t="n"/>
      <c r="I622" s="31" t="n"/>
      <c r="J622" s="38" t="n"/>
      <c r="K622" s="32" t="n"/>
      <c r="L622" s="34">
        <f>IF(OR(A622="",D622=""),"",IF(D622&gt;Config!$B$5,0,DATEDIF(D622,Config!$B$5,"m")))</f>
        <v/>
      </c>
      <c r="M622" s="39">
        <f>IF(A622="","",IF(K622&lt;&gt;"",K622,IF(OR(C622="",D622=""),"Sem dados",IFERROR(IF(C622="M",INDEX(Config!$B$11:$B$14,MATCH(L622,Config!$A$11:$A$14,1)),IF(C622="F",INDEX(Config!$C$11:$C$14,MATCH(L622,Config!$A$11:$A$14,1)),"Sem dados")),"Verificar"))))</f>
        <v/>
      </c>
      <c r="N622" s="39">
        <f>IF(A622="","",IF(COUNTIFS('Movimentações'!$C$6:$C$1505,A622,'Movimentações'!$B$6:$B$1505,"Venda")&gt;0,"Vendido",IF(COUNTIFS('Movimentações'!$C$6:$C$1505,A622,'Movimentações'!$B$6:$B$1505,"Morte")&gt;0,"Morto","Ativo")))</f>
        <v/>
      </c>
      <c r="O622" s="40">
        <f>IF(A622="","",IF(COUNTIF('Pesagens'!$B$6:$B$2005,A622)=0,"",SUMPRODUCT(MAX(('Pesagens'!$B$6:$B$2005=A622)*'Pesagens'!$A$6:$A$2005))))</f>
        <v/>
      </c>
      <c r="P622" s="41">
        <f>IF(A622="","",IF(O622="",IF(J622="","",J622),IFERROR(AVERAGEIFS('Pesagens'!$C$6:$C$2005,'Pesagens'!$B$6:$B$2005,A622,'Pesagens'!$A$6:$A$2005,O622),"")))</f>
        <v/>
      </c>
      <c r="Q622" s="42">
        <f>IF(OR(A622="",O622="",I622="",J622=""),"",IFERROR((P622-J622)/(O622-I622),""))</f>
        <v/>
      </c>
    </row>
    <row r="623">
      <c r="A623" s="36" t="n"/>
      <c r="B623" s="32" t="n"/>
      <c r="C623" s="37" t="n"/>
      <c r="D623" s="31" t="n"/>
      <c r="E623" s="32" t="n"/>
      <c r="F623" s="32" t="n"/>
      <c r="G623" s="32" t="n"/>
      <c r="H623" s="36" t="n"/>
      <c r="I623" s="31" t="n"/>
      <c r="J623" s="38" t="n"/>
      <c r="K623" s="32" t="n"/>
      <c r="L623" s="34">
        <f>IF(OR(A623="",D623=""),"",IF(D623&gt;Config!$B$5,0,DATEDIF(D623,Config!$B$5,"m")))</f>
        <v/>
      </c>
      <c r="M623" s="39">
        <f>IF(A623="","",IF(K623&lt;&gt;"",K623,IF(OR(C623="",D623=""),"Sem dados",IFERROR(IF(C623="M",INDEX(Config!$B$11:$B$14,MATCH(L623,Config!$A$11:$A$14,1)),IF(C623="F",INDEX(Config!$C$11:$C$14,MATCH(L623,Config!$A$11:$A$14,1)),"Sem dados")),"Verificar"))))</f>
        <v/>
      </c>
      <c r="N623" s="39">
        <f>IF(A623="","",IF(COUNTIFS('Movimentações'!$C$6:$C$1505,A623,'Movimentações'!$B$6:$B$1505,"Venda")&gt;0,"Vendido",IF(COUNTIFS('Movimentações'!$C$6:$C$1505,A623,'Movimentações'!$B$6:$B$1505,"Morte")&gt;0,"Morto","Ativo")))</f>
        <v/>
      </c>
      <c r="O623" s="40">
        <f>IF(A623="","",IF(COUNTIF('Pesagens'!$B$6:$B$2005,A623)=0,"",SUMPRODUCT(MAX(('Pesagens'!$B$6:$B$2005=A623)*'Pesagens'!$A$6:$A$2005))))</f>
        <v/>
      </c>
      <c r="P623" s="41">
        <f>IF(A623="","",IF(O623="",IF(J623="","",J623),IFERROR(AVERAGEIFS('Pesagens'!$C$6:$C$2005,'Pesagens'!$B$6:$B$2005,A623,'Pesagens'!$A$6:$A$2005,O623),"")))</f>
        <v/>
      </c>
      <c r="Q623" s="42">
        <f>IF(OR(A623="",O623="",I623="",J623=""),"",IFERROR((P623-J623)/(O623-I623),""))</f>
        <v/>
      </c>
    </row>
    <row r="624">
      <c r="A624" s="36" t="n"/>
      <c r="B624" s="32" t="n"/>
      <c r="C624" s="37" t="n"/>
      <c r="D624" s="31" t="n"/>
      <c r="E624" s="32" t="n"/>
      <c r="F624" s="32" t="n"/>
      <c r="G624" s="32" t="n"/>
      <c r="H624" s="36" t="n"/>
      <c r="I624" s="31" t="n"/>
      <c r="J624" s="38" t="n"/>
      <c r="K624" s="32" t="n"/>
      <c r="L624" s="34">
        <f>IF(OR(A624="",D624=""),"",IF(D624&gt;Config!$B$5,0,DATEDIF(D624,Config!$B$5,"m")))</f>
        <v/>
      </c>
      <c r="M624" s="39">
        <f>IF(A624="","",IF(K624&lt;&gt;"",K624,IF(OR(C624="",D624=""),"Sem dados",IFERROR(IF(C624="M",INDEX(Config!$B$11:$B$14,MATCH(L624,Config!$A$11:$A$14,1)),IF(C624="F",INDEX(Config!$C$11:$C$14,MATCH(L624,Config!$A$11:$A$14,1)),"Sem dados")),"Verificar"))))</f>
        <v/>
      </c>
      <c r="N624" s="39">
        <f>IF(A624="","",IF(COUNTIFS('Movimentações'!$C$6:$C$1505,A624,'Movimentações'!$B$6:$B$1505,"Venda")&gt;0,"Vendido",IF(COUNTIFS('Movimentações'!$C$6:$C$1505,A624,'Movimentações'!$B$6:$B$1505,"Morte")&gt;0,"Morto","Ativo")))</f>
        <v/>
      </c>
      <c r="O624" s="40">
        <f>IF(A624="","",IF(COUNTIF('Pesagens'!$B$6:$B$2005,A624)=0,"",SUMPRODUCT(MAX(('Pesagens'!$B$6:$B$2005=A624)*'Pesagens'!$A$6:$A$2005))))</f>
        <v/>
      </c>
      <c r="P624" s="41">
        <f>IF(A624="","",IF(O624="",IF(J624="","",J624),IFERROR(AVERAGEIFS('Pesagens'!$C$6:$C$2005,'Pesagens'!$B$6:$B$2005,A624,'Pesagens'!$A$6:$A$2005,O624),"")))</f>
        <v/>
      </c>
      <c r="Q624" s="42">
        <f>IF(OR(A624="",O624="",I624="",J624=""),"",IFERROR((P624-J624)/(O624-I624),""))</f>
        <v/>
      </c>
    </row>
    <row r="625">
      <c r="A625" s="36" t="n"/>
      <c r="B625" s="32" t="n"/>
      <c r="C625" s="37" t="n"/>
      <c r="D625" s="31" t="n"/>
      <c r="E625" s="32" t="n"/>
      <c r="F625" s="32" t="n"/>
      <c r="G625" s="32" t="n"/>
      <c r="H625" s="36" t="n"/>
      <c r="I625" s="31" t="n"/>
      <c r="J625" s="38" t="n"/>
      <c r="K625" s="32" t="n"/>
      <c r="L625" s="34">
        <f>IF(OR(A625="",D625=""),"",IF(D625&gt;Config!$B$5,0,DATEDIF(D625,Config!$B$5,"m")))</f>
        <v/>
      </c>
      <c r="M625" s="39">
        <f>IF(A625="","",IF(K625&lt;&gt;"",K625,IF(OR(C625="",D625=""),"Sem dados",IFERROR(IF(C625="M",INDEX(Config!$B$11:$B$14,MATCH(L625,Config!$A$11:$A$14,1)),IF(C625="F",INDEX(Config!$C$11:$C$14,MATCH(L625,Config!$A$11:$A$14,1)),"Sem dados")),"Verificar"))))</f>
        <v/>
      </c>
      <c r="N625" s="39">
        <f>IF(A625="","",IF(COUNTIFS('Movimentações'!$C$6:$C$1505,A625,'Movimentações'!$B$6:$B$1505,"Venda")&gt;0,"Vendido",IF(COUNTIFS('Movimentações'!$C$6:$C$1505,A625,'Movimentações'!$B$6:$B$1505,"Morte")&gt;0,"Morto","Ativo")))</f>
        <v/>
      </c>
      <c r="O625" s="40">
        <f>IF(A625="","",IF(COUNTIF('Pesagens'!$B$6:$B$2005,A625)=0,"",SUMPRODUCT(MAX(('Pesagens'!$B$6:$B$2005=A625)*'Pesagens'!$A$6:$A$2005))))</f>
        <v/>
      </c>
      <c r="P625" s="41">
        <f>IF(A625="","",IF(O625="",IF(J625="","",J625),IFERROR(AVERAGEIFS('Pesagens'!$C$6:$C$2005,'Pesagens'!$B$6:$B$2005,A625,'Pesagens'!$A$6:$A$2005,O625),"")))</f>
        <v/>
      </c>
      <c r="Q625" s="42">
        <f>IF(OR(A625="",O625="",I625="",J625=""),"",IFERROR((P625-J625)/(O625-I625),""))</f>
        <v/>
      </c>
    </row>
    <row r="626">
      <c r="A626" s="36" t="n"/>
      <c r="B626" s="32" t="n"/>
      <c r="C626" s="37" t="n"/>
      <c r="D626" s="31" t="n"/>
      <c r="E626" s="32" t="n"/>
      <c r="F626" s="32" t="n"/>
      <c r="G626" s="32" t="n"/>
      <c r="H626" s="36" t="n"/>
      <c r="I626" s="31" t="n"/>
      <c r="J626" s="38" t="n"/>
      <c r="K626" s="32" t="n"/>
      <c r="L626" s="34">
        <f>IF(OR(A626="",D626=""),"",IF(D626&gt;Config!$B$5,0,DATEDIF(D626,Config!$B$5,"m")))</f>
        <v/>
      </c>
      <c r="M626" s="39">
        <f>IF(A626="","",IF(K626&lt;&gt;"",K626,IF(OR(C626="",D626=""),"Sem dados",IFERROR(IF(C626="M",INDEX(Config!$B$11:$B$14,MATCH(L626,Config!$A$11:$A$14,1)),IF(C626="F",INDEX(Config!$C$11:$C$14,MATCH(L626,Config!$A$11:$A$14,1)),"Sem dados")),"Verificar"))))</f>
        <v/>
      </c>
      <c r="N626" s="39">
        <f>IF(A626="","",IF(COUNTIFS('Movimentações'!$C$6:$C$1505,A626,'Movimentações'!$B$6:$B$1505,"Venda")&gt;0,"Vendido",IF(COUNTIFS('Movimentações'!$C$6:$C$1505,A626,'Movimentações'!$B$6:$B$1505,"Morte")&gt;0,"Morto","Ativo")))</f>
        <v/>
      </c>
      <c r="O626" s="40">
        <f>IF(A626="","",IF(COUNTIF('Pesagens'!$B$6:$B$2005,A626)=0,"",SUMPRODUCT(MAX(('Pesagens'!$B$6:$B$2005=A626)*'Pesagens'!$A$6:$A$2005))))</f>
        <v/>
      </c>
      <c r="P626" s="41">
        <f>IF(A626="","",IF(O626="",IF(J626="","",J626),IFERROR(AVERAGEIFS('Pesagens'!$C$6:$C$2005,'Pesagens'!$B$6:$B$2005,A626,'Pesagens'!$A$6:$A$2005,O626),"")))</f>
        <v/>
      </c>
      <c r="Q626" s="42">
        <f>IF(OR(A626="",O626="",I626="",J626=""),"",IFERROR((P626-J626)/(O626-I626),""))</f>
        <v/>
      </c>
    </row>
    <row r="627">
      <c r="A627" s="36" t="n"/>
      <c r="B627" s="32" t="n"/>
      <c r="C627" s="37" t="n"/>
      <c r="D627" s="31" t="n"/>
      <c r="E627" s="32" t="n"/>
      <c r="F627" s="32" t="n"/>
      <c r="G627" s="32" t="n"/>
      <c r="H627" s="36" t="n"/>
      <c r="I627" s="31" t="n"/>
      <c r="J627" s="38" t="n"/>
      <c r="K627" s="32" t="n"/>
      <c r="L627" s="34">
        <f>IF(OR(A627="",D627=""),"",IF(D627&gt;Config!$B$5,0,DATEDIF(D627,Config!$B$5,"m")))</f>
        <v/>
      </c>
      <c r="M627" s="39">
        <f>IF(A627="","",IF(K627&lt;&gt;"",K627,IF(OR(C627="",D627=""),"Sem dados",IFERROR(IF(C627="M",INDEX(Config!$B$11:$B$14,MATCH(L627,Config!$A$11:$A$14,1)),IF(C627="F",INDEX(Config!$C$11:$C$14,MATCH(L627,Config!$A$11:$A$14,1)),"Sem dados")),"Verificar"))))</f>
        <v/>
      </c>
      <c r="N627" s="39">
        <f>IF(A627="","",IF(COUNTIFS('Movimentações'!$C$6:$C$1505,A627,'Movimentações'!$B$6:$B$1505,"Venda")&gt;0,"Vendido",IF(COUNTIFS('Movimentações'!$C$6:$C$1505,A627,'Movimentações'!$B$6:$B$1505,"Morte")&gt;0,"Morto","Ativo")))</f>
        <v/>
      </c>
      <c r="O627" s="40">
        <f>IF(A627="","",IF(COUNTIF('Pesagens'!$B$6:$B$2005,A627)=0,"",SUMPRODUCT(MAX(('Pesagens'!$B$6:$B$2005=A627)*'Pesagens'!$A$6:$A$2005))))</f>
        <v/>
      </c>
      <c r="P627" s="41">
        <f>IF(A627="","",IF(O627="",IF(J627="","",J627),IFERROR(AVERAGEIFS('Pesagens'!$C$6:$C$2005,'Pesagens'!$B$6:$B$2005,A627,'Pesagens'!$A$6:$A$2005,O627),"")))</f>
        <v/>
      </c>
      <c r="Q627" s="42">
        <f>IF(OR(A627="",O627="",I627="",J627=""),"",IFERROR((P627-J627)/(O627-I627),""))</f>
        <v/>
      </c>
    </row>
    <row r="628">
      <c r="A628" s="36" t="n"/>
      <c r="B628" s="32" t="n"/>
      <c r="C628" s="37" t="n"/>
      <c r="D628" s="31" t="n"/>
      <c r="E628" s="32" t="n"/>
      <c r="F628" s="32" t="n"/>
      <c r="G628" s="32" t="n"/>
      <c r="H628" s="36" t="n"/>
      <c r="I628" s="31" t="n"/>
      <c r="J628" s="38" t="n"/>
      <c r="K628" s="32" t="n"/>
      <c r="L628" s="34">
        <f>IF(OR(A628="",D628=""),"",IF(D628&gt;Config!$B$5,0,DATEDIF(D628,Config!$B$5,"m")))</f>
        <v/>
      </c>
      <c r="M628" s="39">
        <f>IF(A628="","",IF(K628&lt;&gt;"",K628,IF(OR(C628="",D628=""),"Sem dados",IFERROR(IF(C628="M",INDEX(Config!$B$11:$B$14,MATCH(L628,Config!$A$11:$A$14,1)),IF(C628="F",INDEX(Config!$C$11:$C$14,MATCH(L628,Config!$A$11:$A$14,1)),"Sem dados")),"Verificar"))))</f>
        <v/>
      </c>
      <c r="N628" s="39">
        <f>IF(A628="","",IF(COUNTIFS('Movimentações'!$C$6:$C$1505,A628,'Movimentações'!$B$6:$B$1505,"Venda")&gt;0,"Vendido",IF(COUNTIFS('Movimentações'!$C$6:$C$1505,A628,'Movimentações'!$B$6:$B$1505,"Morte")&gt;0,"Morto","Ativo")))</f>
        <v/>
      </c>
      <c r="O628" s="40">
        <f>IF(A628="","",IF(COUNTIF('Pesagens'!$B$6:$B$2005,A628)=0,"",SUMPRODUCT(MAX(('Pesagens'!$B$6:$B$2005=A628)*'Pesagens'!$A$6:$A$2005))))</f>
        <v/>
      </c>
      <c r="P628" s="41">
        <f>IF(A628="","",IF(O628="",IF(J628="","",J628),IFERROR(AVERAGEIFS('Pesagens'!$C$6:$C$2005,'Pesagens'!$B$6:$B$2005,A628,'Pesagens'!$A$6:$A$2005,O628),"")))</f>
        <v/>
      </c>
      <c r="Q628" s="42">
        <f>IF(OR(A628="",O628="",I628="",J628=""),"",IFERROR((P628-J628)/(O628-I628),""))</f>
        <v/>
      </c>
    </row>
    <row r="629">
      <c r="A629" s="36" t="n"/>
      <c r="B629" s="32" t="n"/>
      <c r="C629" s="37" t="n"/>
      <c r="D629" s="31" t="n"/>
      <c r="E629" s="32" t="n"/>
      <c r="F629" s="32" t="n"/>
      <c r="G629" s="32" t="n"/>
      <c r="H629" s="36" t="n"/>
      <c r="I629" s="31" t="n"/>
      <c r="J629" s="38" t="n"/>
      <c r="K629" s="32" t="n"/>
      <c r="L629" s="34">
        <f>IF(OR(A629="",D629=""),"",IF(D629&gt;Config!$B$5,0,DATEDIF(D629,Config!$B$5,"m")))</f>
        <v/>
      </c>
      <c r="M629" s="39">
        <f>IF(A629="","",IF(K629&lt;&gt;"",K629,IF(OR(C629="",D629=""),"Sem dados",IFERROR(IF(C629="M",INDEX(Config!$B$11:$B$14,MATCH(L629,Config!$A$11:$A$14,1)),IF(C629="F",INDEX(Config!$C$11:$C$14,MATCH(L629,Config!$A$11:$A$14,1)),"Sem dados")),"Verificar"))))</f>
        <v/>
      </c>
      <c r="N629" s="39">
        <f>IF(A629="","",IF(COUNTIFS('Movimentações'!$C$6:$C$1505,A629,'Movimentações'!$B$6:$B$1505,"Venda")&gt;0,"Vendido",IF(COUNTIFS('Movimentações'!$C$6:$C$1505,A629,'Movimentações'!$B$6:$B$1505,"Morte")&gt;0,"Morto","Ativo")))</f>
        <v/>
      </c>
      <c r="O629" s="40">
        <f>IF(A629="","",IF(COUNTIF('Pesagens'!$B$6:$B$2005,A629)=0,"",SUMPRODUCT(MAX(('Pesagens'!$B$6:$B$2005=A629)*'Pesagens'!$A$6:$A$2005))))</f>
        <v/>
      </c>
      <c r="P629" s="41">
        <f>IF(A629="","",IF(O629="",IF(J629="","",J629),IFERROR(AVERAGEIFS('Pesagens'!$C$6:$C$2005,'Pesagens'!$B$6:$B$2005,A629,'Pesagens'!$A$6:$A$2005,O629),"")))</f>
        <v/>
      </c>
      <c r="Q629" s="42">
        <f>IF(OR(A629="",O629="",I629="",J629=""),"",IFERROR((P629-J629)/(O629-I629),""))</f>
        <v/>
      </c>
    </row>
    <row r="630">
      <c r="A630" s="36" t="n"/>
      <c r="B630" s="32" t="n"/>
      <c r="C630" s="37" t="n"/>
      <c r="D630" s="31" t="n"/>
      <c r="E630" s="32" t="n"/>
      <c r="F630" s="32" t="n"/>
      <c r="G630" s="32" t="n"/>
      <c r="H630" s="36" t="n"/>
      <c r="I630" s="31" t="n"/>
      <c r="J630" s="38" t="n"/>
      <c r="K630" s="32" t="n"/>
      <c r="L630" s="34">
        <f>IF(OR(A630="",D630=""),"",IF(D630&gt;Config!$B$5,0,DATEDIF(D630,Config!$B$5,"m")))</f>
        <v/>
      </c>
      <c r="M630" s="39">
        <f>IF(A630="","",IF(K630&lt;&gt;"",K630,IF(OR(C630="",D630=""),"Sem dados",IFERROR(IF(C630="M",INDEX(Config!$B$11:$B$14,MATCH(L630,Config!$A$11:$A$14,1)),IF(C630="F",INDEX(Config!$C$11:$C$14,MATCH(L630,Config!$A$11:$A$14,1)),"Sem dados")),"Verificar"))))</f>
        <v/>
      </c>
      <c r="N630" s="39">
        <f>IF(A630="","",IF(COUNTIFS('Movimentações'!$C$6:$C$1505,A630,'Movimentações'!$B$6:$B$1505,"Venda")&gt;0,"Vendido",IF(COUNTIFS('Movimentações'!$C$6:$C$1505,A630,'Movimentações'!$B$6:$B$1505,"Morte")&gt;0,"Morto","Ativo")))</f>
        <v/>
      </c>
      <c r="O630" s="40">
        <f>IF(A630="","",IF(COUNTIF('Pesagens'!$B$6:$B$2005,A630)=0,"",SUMPRODUCT(MAX(('Pesagens'!$B$6:$B$2005=A630)*'Pesagens'!$A$6:$A$2005))))</f>
        <v/>
      </c>
      <c r="P630" s="41">
        <f>IF(A630="","",IF(O630="",IF(J630="","",J630),IFERROR(AVERAGEIFS('Pesagens'!$C$6:$C$2005,'Pesagens'!$B$6:$B$2005,A630,'Pesagens'!$A$6:$A$2005,O630),"")))</f>
        <v/>
      </c>
      <c r="Q630" s="42">
        <f>IF(OR(A630="",O630="",I630="",J630=""),"",IFERROR((P630-J630)/(O630-I630),""))</f>
        <v/>
      </c>
    </row>
    <row r="631">
      <c r="A631" s="36" t="n"/>
      <c r="B631" s="32" t="n"/>
      <c r="C631" s="37" t="n"/>
      <c r="D631" s="31" t="n"/>
      <c r="E631" s="32" t="n"/>
      <c r="F631" s="32" t="n"/>
      <c r="G631" s="32" t="n"/>
      <c r="H631" s="36" t="n"/>
      <c r="I631" s="31" t="n"/>
      <c r="J631" s="38" t="n"/>
      <c r="K631" s="32" t="n"/>
      <c r="L631" s="34">
        <f>IF(OR(A631="",D631=""),"",IF(D631&gt;Config!$B$5,0,DATEDIF(D631,Config!$B$5,"m")))</f>
        <v/>
      </c>
      <c r="M631" s="39">
        <f>IF(A631="","",IF(K631&lt;&gt;"",K631,IF(OR(C631="",D631=""),"Sem dados",IFERROR(IF(C631="M",INDEX(Config!$B$11:$B$14,MATCH(L631,Config!$A$11:$A$14,1)),IF(C631="F",INDEX(Config!$C$11:$C$14,MATCH(L631,Config!$A$11:$A$14,1)),"Sem dados")),"Verificar"))))</f>
        <v/>
      </c>
      <c r="N631" s="39">
        <f>IF(A631="","",IF(COUNTIFS('Movimentações'!$C$6:$C$1505,A631,'Movimentações'!$B$6:$B$1505,"Venda")&gt;0,"Vendido",IF(COUNTIFS('Movimentações'!$C$6:$C$1505,A631,'Movimentações'!$B$6:$B$1505,"Morte")&gt;0,"Morto","Ativo")))</f>
        <v/>
      </c>
      <c r="O631" s="40">
        <f>IF(A631="","",IF(COUNTIF('Pesagens'!$B$6:$B$2005,A631)=0,"",SUMPRODUCT(MAX(('Pesagens'!$B$6:$B$2005=A631)*'Pesagens'!$A$6:$A$2005))))</f>
        <v/>
      </c>
      <c r="P631" s="41">
        <f>IF(A631="","",IF(O631="",IF(J631="","",J631),IFERROR(AVERAGEIFS('Pesagens'!$C$6:$C$2005,'Pesagens'!$B$6:$B$2005,A631,'Pesagens'!$A$6:$A$2005,O631),"")))</f>
        <v/>
      </c>
      <c r="Q631" s="42">
        <f>IF(OR(A631="",O631="",I631="",J631=""),"",IFERROR((P631-J631)/(O631-I631),""))</f>
        <v/>
      </c>
    </row>
    <row r="632">
      <c r="A632" s="36" t="n"/>
      <c r="B632" s="32" t="n"/>
      <c r="C632" s="37" t="n"/>
      <c r="D632" s="31" t="n"/>
      <c r="E632" s="32" t="n"/>
      <c r="F632" s="32" t="n"/>
      <c r="G632" s="32" t="n"/>
      <c r="H632" s="36" t="n"/>
      <c r="I632" s="31" t="n"/>
      <c r="J632" s="38" t="n"/>
      <c r="K632" s="32" t="n"/>
      <c r="L632" s="34">
        <f>IF(OR(A632="",D632=""),"",IF(D632&gt;Config!$B$5,0,DATEDIF(D632,Config!$B$5,"m")))</f>
        <v/>
      </c>
      <c r="M632" s="39">
        <f>IF(A632="","",IF(K632&lt;&gt;"",K632,IF(OR(C632="",D632=""),"Sem dados",IFERROR(IF(C632="M",INDEX(Config!$B$11:$B$14,MATCH(L632,Config!$A$11:$A$14,1)),IF(C632="F",INDEX(Config!$C$11:$C$14,MATCH(L632,Config!$A$11:$A$14,1)),"Sem dados")),"Verificar"))))</f>
        <v/>
      </c>
      <c r="N632" s="39">
        <f>IF(A632="","",IF(COUNTIFS('Movimentações'!$C$6:$C$1505,A632,'Movimentações'!$B$6:$B$1505,"Venda")&gt;0,"Vendido",IF(COUNTIFS('Movimentações'!$C$6:$C$1505,A632,'Movimentações'!$B$6:$B$1505,"Morte")&gt;0,"Morto","Ativo")))</f>
        <v/>
      </c>
      <c r="O632" s="40">
        <f>IF(A632="","",IF(COUNTIF('Pesagens'!$B$6:$B$2005,A632)=0,"",SUMPRODUCT(MAX(('Pesagens'!$B$6:$B$2005=A632)*'Pesagens'!$A$6:$A$2005))))</f>
        <v/>
      </c>
      <c r="P632" s="41">
        <f>IF(A632="","",IF(O632="",IF(J632="","",J632),IFERROR(AVERAGEIFS('Pesagens'!$C$6:$C$2005,'Pesagens'!$B$6:$B$2005,A632,'Pesagens'!$A$6:$A$2005,O632),"")))</f>
        <v/>
      </c>
      <c r="Q632" s="42">
        <f>IF(OR(A632="",O632="",I632="",J632=""),"",IFERROR((P632-J632)/(O632-I632),""))</f>
        <v/>
      </c>
    </row>
    <row r="633">
      <c r="A633" s="36" t="n"/>
      <c r="B633" s="32" t="n"/>
      <c r="C633" s="37" t="n"/>
      <c r="D633" s="31" t="n"/>
      <c r="E633" s="32" t="n"/>
      <c r="F633" s="32" t="n"/>
      <c r="G633" s="32" t="n"/>
      <c r="H633" s="36" t="n"/>
      <c r="I633" s="31" t="n"/>
      <c r="J633" s="38" t="n"/>
      <c r="K633" s="32" t="n"/>
      <c r="L633" s="34">
        <f>IF(OR(A633="",D633=""),"",IF(D633&gt;Config!$B$5,0,DATEDIF(D633,Config!$B$5,"m")))</f>
        <v/>
      </c>
      <c r="M633" s="39">
        <f>IF(A633="","",IF(K633&lt;&gt;"",K633,IF(OR(C633="",D633=""),"Sem dados",IFERROR(IF(C633="M",INDEX(Config!$B$11:$B$14,MATCH(L633,Config!$A$11:$A$14,1)),IF(C633="F",INDEX(Config!$C$11:$C$14,MATCH(L633,Config!$A$11:$A$14,1)),"Sem dados")),"Verificar"))))</f>
        <v/>
      </c>
      <c r="N633" s="39">
        <f>IF(A633="","",IF(COUNTIFS('Movimentações'!$C$6:$C$1505,A633,'Movimentações'!$B$6:$B$1505,"Venda")&gt;0,"Vendido",IF(COUNTIFS('Movimentações'!$C$6:$C$1505,A633,'Movimentações'!$B$6:$B$1505,"Morte")&gt;0,"Morto","Ativo")))</f>
        <v/>
      </c>
      <c r="O633" s="40">
        <f>IF(A633="","",IF(COUNTIF('Pesagens'!$B$6:$B$2005,A633)=0,"",SUMPRODUCT(MAX(('Pesagens'!$B$6:$B$2005=A633)*'Pesagens'!$A$6:$A$2005))))</f>
        <v/>
      </c>
      <c r="P633" s="41">
        <f>IF(A633="","",IF(O633="",IF(J633="","",J633),IFERROR(AVERAGEIFS('Pesagens'!$C$6:$C$2005,'Pesagens'!$B$6:$B$2005,A633,'Pesagens'!$A$6:$A$2005,O633),"")))</f>
        <v/>
      </c>
      <c r="Q633" s="42">
        <f>IF(OR(A633="",O633="",I633="",J633=""),"",IFERROR((P633-J633)/(O633-I633),""))</f>
        <v/>
      </c>
    </row>
    <row r="634">
      <c r="A634" s="36" t="n"/>
      <c r="B634" s="32" t="n"/>
      <c r="C634" s="37" t="n"/>
      <c r="D634" s="31" t="n"/>
      <c r="E634" s="32" t="n"/>
      <c r="F634" s="32" t="n"/>
      <c r="G634" s="32" t="n"/>
      <c r="H634" s="36" t="n"/>
      <c r="I634" s="31" t="n"/>
      <c r="J634" s="38" t="n"/>
      <c r="K634" s="32" t="n"/>
      <c r="L634" s="34">
        <f>IF(OR(A634="",D634=""),"",IF(D634&gt;Config!$B$5,0,DATEDIF(D634,Config!$B$5,"m")))</f>
        <v/>
      </c>
      <c r="M634" s="39">
        <f>IF(A634="","",IF(K634&lt;&gt;"",K634,IF(OR(C634="",D634=""),"Sem dados",IFERROR(IF(C634="M",INDEX(Config!$B$11:$B$14,MATCH(L634,Config!$A$11:$A$14,1)),IF(C634="F",INDEX(Config!$C$11:$C$14,MATCH(L634,Config!$A$11:$A$14,1)),"Sem dados")),"Verificar"))))</f>
        <v/>
      </c>
      <c r="N634" s="39">
        <f>IF(A634="","",IF(COUNTIFS('Movimentações'!$C$6:$C$1505,A634,'Movimentações'!$B$6:$B$1505,"Venda")&gt;0,"Vendido",IF(COUNTIFS('Movimentações'!$C$6:$C$1505,A634,'Movimentações'!$B$6:$B$1505,"Morte")&gt;0,"Morto","Ativo")))</f>
        <v/>
      </c>
      <c r="O634" s="40">
        <f>IF(A634="","",IF(COUNTIF('Pesagens'!$B$6:$B$2005,A634)=0,"",SUMPRODUCT(MAX(('Pesagens'!$B$6:$B$2005=A634)*'Pesagens'!$A$6:$A$2005))))</f>
        <v/>
      </c>
      <c r="P634" s="41">
        <f>IF(A634="","",IF(O634="",IF(J634="","",J634),IFERROR(AVERAGEIFS('Pesagens'!$C$6:$C$2005,'Pesagens'!$B$6:$B$2005,A634,'Pesagens'!$A$6:$A$2005,O634),"")))</f>
        <v/>
      </c>
      <c r="Q634" s="42">
        <f>IF(OR(A634="",O634="",I634="",J634=""),"",IFERROR((P634-J634)/(O634-I634),""))</f>
        <v/>
      </c>
    </row>
    <row r="635">
      <c r="A635" s="36" t="n"/>
      <c r="B635" s="32" t="n"/>
      <c r="C635" s="37" t="n"/>
      <c r="D635" s="31" t="n"/>
      <c r="E635" s="32" t="n"/>
      <c r="F635" s="32" t="n"/>
      <c r="G635" s="32" t="n"/>
      <c r="H635" s="36" t="n"/>
      <c r="I635" s="31" t="n"/>
      <c r="J635" s="38" t="n"/>
      <c r="K635" s="32" t="n"/>
      <c r="L635" s="34">
        <f>IF(OR(A635="",D635=""),"",IF(D635&gt;Config!$B$5,0,DATEDIF(D635,Config!$B$5,"m")))</f>
        <v/>
      </c>
      <c r="M635" s="39">
        <f>IF(A635="","",IF(K635&lt;&gt;"",K635,IF(OR(C635="",D635=""),"Sem dados",IFERROR(IF(C635="M",INDEX(Config!$B$11:$B$14,MATCH(L635,Config!$A$11:$A$14,1)),IF(C635="F",INDEX(Config!$C$11:$C$14,MATCH(L635,Config!$A$11:$A$14,1)),"Sem dados")),"Verificar"))))</f>
        <v/>
      </c>
      <c r="N635" s="39">
        <f>IF(A635="","",IF(COUNTIFS('Movimentações'!$C$6:$C$1505,A635,'Movimentações'!$B$6:$B$1505,"Venda")&gt;0,"Vendido",IF(COUNTIFS('Movimentações'!$C$6:$C$1505,A635,'Movimentações'!$B$6:$B$1505,"Morte")&gt;0,"Morto","Ativo")))</f>
        <v/>
      </c>
      <c r="O635" s="40">
        <f>IF(A635="","",IF(COUNTIF('Pesagens'!$B$6:$B$2005,A635)=0,"",SUMPRODUCT(MAX(('Pesagens'!$B$6:$B$2005=A635)*'Pesagens'!$A$6:$A$2005))))</f>
        <v/>
      </c>
      <c r="P635" s="41">
        <f>IF(A635="","",IF(O635="",IF(J635="","",J635),IFERROR(AVERAGEIFS('Pesagens'!$C$6:$C$2005,'Pesagens'!$B$6:$B$2005,A635,'Pesagens'!$A$6:$A$2005,O635),"")))</f>
        <v/>
      </c>
      <c r="Q635" s="42">
        <f>IF(OR(A635="",O635="",I635="",J635=""),"",IFERROR((P635-J635)/(O635-I635),""))</f>
        <v/>
      </c>
    </row>
    <row r="636">
      <c r="A636" s="36" t="n"/>
      <c r="B636" s="32" t="n"/>
      <c r="C636" s="37" t="n"/>
      <c r="D636" s="31" t="n"/>
      <c r="E636" s="32" t="n"/>
      <c r="F636" s="32" t="n"/>
      <c r="G636" s="32" t="n"/>
      <c r="H636" s="36" t="n"/>
      <c r="I636" s="31" t="n"/>
      <c r="J636" s="38" t="n"/>
      <c r="K636" s="32" t="n"/>
      <c r="L636" s="34">
        <f>IF(OR(A636="",D636=""),"",IF(D636&gt;Config!$B$5,0,DATEDIF(D636,Config!$B$5,"m")))</f>
        <v/>
      </c>
      <c r="M636" s="39">
        <f>IF(A636="","",IF(K636&lt;&gt;"",K636,IF(OR(C636="",D636=""),"Sem dados",IFERROR(IF(C636="M",INDEX(Config!$B$11:$B$14,MATCH(L636,Config!$A$11:$A$14,1)),IF(C636="F",INDEX(Config!$C$11:$C$14,MATCH(L636,Config!$A$11:$A$14,1)),"Sem dados")),"Verificar"))))</f>
        <v/>
      </c>
      <c r="N636" s="39">
        <f>IF(A636="","",IF(COUNTIFS('Movimentações'!$C$6:$C$1505,A636,'Movimentações'!$B$6:$B$1505,"Venda")&gt;0,"Vendido",IF(COUNTIFS('Movimentações'!$C$6:$C$1505,A636,'Movimentações'!$B$6:$B$1505,"Morte")&gt;0,"Morto","Ativo")))</f>
        <v/>
      </c>
      <c r="O636" s="40">
        <f>IF(A636="","",IF(COUNTIF('Pesagens'!$B$6:$B$2005,A636)=0,"",SUMPRODUCT(MAX(('Pesagens'!$B$6:$B$2005=A636)*'Pesagens'!$A$6:$A$2005))))</f>
        <v/>
      </c>
      <c r="P636" s="41">
        <f>IF(A636="","",IF(O636="",IF(J636="","",J636),IFERROR(AVERAGEIFS('Pesagens'!$C$6:$C$2005,'Pesagens'!$B$6:$B$2005,A636,'Pesagens'!$A$6:$A$2005,O636),"")))</f>
        <v/>
      </c>
      <c r="Q636" s="42">
        <f>IF(OR(A636="",O636="",I636="",J636=""),"",IFERROR((P636-J636)/(O636-I636),""))</f>
        <v/>
      </c>
    </row>
    <row r="637">
      <c r="A637" s="36" t="n"/>
      <c r="B637" s="32" t="n"/>
      <c r="C637" s="37" t="n"/>
      <c r="D637" s="31" t="n"/>
      <c r="E637" s="32" t="n"/>
      <c r="F637" s="32" t="n"/>
      <c r="G637" s="32" t="n"/>
      <c r="H637" s="36" t="n"/>
      <c r="I637" s="31" t="n"/>
      <c r="J637" s="38" t="n"/>
      <c r="K637" s="32" t="n"/>
      <c r="L637" s="34">
        <f>IF(OR(A637="",D637=""),"",IF(D637&gt;Config!$B$5,0,DATEDIF(D637,Config!$B$5,"m")))</f>
        <v/>
      </c>
      <c r="M637" s="39">
        <f>IF(A637="","",IF(K637&lt;&gt;"",K637,IF(OR(C637="",D637=""),"Sem dados",IFERROR(IF(C637="M",INDEX(Config!$B$11:$B$14,MATCH(L637,Config!$A$11:$A$14,1)),IF(C637="F",INDEX(Config!$C$11:$C$14,MATCH(L637,Config!$A$11:$A$14,1)),"Sem dados")),"Verificar"))))</f>
        <v/>
      </c>
      <c r="N637" s="39">
        <f>IF(A637="","",IF(COUNTIFS('Movimentações'!$C$6:$C$1505,A637,'Movimentações'!$B$6:$B$1505,"Venda")&gt;0,"Vendido",IF(COUNTIFS('Movimentações'!$C$6:$C$1505,A637,'Movimentações'!$B$6:$B$1505,"Morte")&gt;0,"Morto","Ativo")))</f>
        <v/>
      </c>
      <c r="O637" s="40">
        <f>IF(A637="","",IF(COUNTIF('Pesagens'!$B$6:$B$2005,A637)=0,"",SUMPRODUCT(MAX(('Pesagens'!$B$6:$B$2005=A637)*'Pesagens'!$A$6:$A$2005))))</f>
        <v/>
      </c>
      <c r="P637" s="41">
        <f>IF(A637="","",IF(O637="",IF(J637="","",J637),IFERROR(AVERAGEIFS('Pesagens'!$C$6:$C$2005,'Pesagens'!$B$6:$B$2005,A637,'Pesagens'!$A$6:$A$2005,O637),"")))</f>
        <v/>
      </c>
      <c r="Q637" s="42">
        <f>IF(OR(A637="",O637="",I637="",J637=""),"",IFERROR((P637-J637)/(O637-I637),""))</f>
        <v/>
      </c>
    </row>
    <row r="638">
      <c r="A638" s="36" t="n"/>
      <c r="B638" s="32" t="n"/>
      <c r="C638" s="37" t="n"/>
      <c r="D638" s="31" t="n"/>
      <c r="E638" s="32" t="n"/>
      <c r="F638" s="32" t="n"/>
      <c r="G638" s="32" t="n"/>
      <c r="H638" s="36" t="n"/>
      <c r="I638" s="31" t="n"/>
      <c r="J638" s="38" t="n"/>
      <c r="K638" s="32" t="n"/>
      <c r="L638" s="34">
        <f>IF(OR(A638="",D638=""),"",IF(D638&gt;Config!$B$5,0,DATEDIF(D638,Config!$B$5,"m")))</f>
        <v/>
      </c>
      <c r="M638" s="39">
        <f>IF(A638="","",IF(K638&lt;&gt;"",K638,IF(OR(C638="",D638=""),"Sem dados",IFERROR(IF(C638="M",INDEX(Config!$B$11:$B$14,MATCH(L638,Config!$A$11:$A$14,1)),IF(C638="F",INDEX(Config!$C$11:$C$14,MATCH(L638,Config!$A$11:$A$14,1)),"Sem dados")),"Verificar"))))</f>
        <v/>
      </c>
      <c r="N638" s="39">
        <f>IF(A638="","",IF(COUNTIFS('Movimentações'!$C$6:$C$1505,A638,'Movimentações'!$B$6:$B$1505,"Venda")&gt;0,"Vendido",IF(COUNTIFS('Movimentações'!$C$6:$C$1505,A638,'Movimentações'!$B$6:$B$1505,"Morte")&gt;0,"Morto","Ativo")))</f>
        <v/>
      </c>
      <c r="O638" s="40">
        <f>IF(A638="","",IF(COUNTIF('Pesagens'!$B$6:$B$2005,A638)=0,"",SUMPRODUCT(MAX(('Pesagens'!$B$6:$B$2005=A638)*'Pesagens'!$A$6:$A$2005))))</f>
        <v/>
      </c>
      <c r="P638" s="41">
        <f>IF(A638="","",IF(O638="",IF(J638="","",J638),IFERROR(AVERAGEIFS('Pesagens'!$C$6:$C$2005,'Pesagens'!$B$6:$B$2005,A638,'Pesagens'!$A$6:$A$2005,O638),"")))</f>
        <v/>
      </c>
      <c r="Q638" s="42">
        <f>IF(OR(A638="",O638="",I638="",J638=""),"",IFERROR((P638-J638)/(O638-I638),""))</f>
        <v/>
      </c>
    </row>
    <row r="639">
      <c r="A639" s="36" t="n"/>
      <c r="B639" s="32" t="n"/>
      <c r="C639" s="37" t="n"/>
      <c r="D639" s="31" t="n"/>
      <c r="E639" s="32" t="n"/>
      <c r="F639" s="32" t="n"/>
      <c r="G639" s="32" t="n"/>
      <c r="H639" s="36" t="n"/>
      <c r="I639" s="31" t="n"/>
      <c r="J639" s="38" t="n"/>
      <c r="K639" s="32" t="n"/>
      <c r="L639" s="34">
        <f>IF(OR(A639="",D639=""),"",IF(D639&gt;Config!$B$5,0,DATEDIF(D639,Config!$B$5,"m")))</f>
        <v/>
      </c>
      <c r="M639" s="39">
        <f>IF(A639="","",IF(K639&lt;&gt;"",K639,IF(OR(C639="",D639=""),"Sem dados",IFERROR(IF(C639="M",INDEX(Config!$B$11:$B$14,MATCH(L639,Config!$A$11:$A$14,1)),IF(C639="F",INDEX(Config!$C$11:$C$14,MATCH(L639,Config!$A$11:$A$14,1)),"Sem dados")),"Verificar"))))</f>
        <v/>
      </c>
      <c r="N639" s="39">
        <f>IF(A639="","",IF(COUNTIFS('Movimentações'!$C$6:$C$1505,A639,'Movimentações'!$B$6:$B$1505,"Venda")&gt;0,"Vendido",IF(COUNTIFS('Movimentações'!$C$6:$C$1505,A639,'Movimentações'!$B$6:$B$1505,"Morte")&gt;0,"Morto","Ativo")))</f>
        <v/>
      </c>
      <c r="O639" s="40">
        <f>IF(A639="","",IF(COUNTIF('Pesagens'!$B$6:$B$2005,A639)=0,"",SUMPRODUCT(MAX(('Pesagens'!$B$6:$B$2005=A639)*'Pesagens'!$A$6:$A$2005))))</f>
        <v/>
      </c>
      <c r="P639" s="41">
        <f>IF(A639="","",IF(O639="",IF(J639="","",J639),IFERROR(AVERAGEIFS('Pesagens'!$C$6:$C$2005,'Pesagens'!$B$6:$B$2005,A639,'Pesagens'!$A$6:$A$2005,O639),"")))</f>
        <v/>
      </c>
      <c r="Q639" s="42">
        <f>IF(OR(A639="",O639="",I639="",J639=""),"",IFERROR((P639-J639)/(O639-I639),""))</f>
        <v/>
      </c>
    </row>
    <row r="640">
      <c r="A640" s="36" t="n"/>
      <c r="B640" s="32" t="n"/>
      <c r="C640" s="37" t="n"/>
      <c r="D640" s="31" t="n"/>
      <c r="E640" s="32" t="n"/>
      <c r="F640" s="32" t="n"/>
      <c r="G640" s="32" t="n"/>
      <c r="H640" s="36" t="n"/>
      <c r="I640" s="31" t="n"/>
      <c r="J640" s="38" t="n"/>
      <c r="K640" s="32" t="n"/>
      <c r="L640" s="34">
        <f>IF(OR(A640="",D640=""),"",IF(D640&gt;Config!$B$5,0,DATEDIF(D640,Config!$B$5,"m")))</f>
        <v/>
      </c>
      <c r="M640" s="39">
        <f>IF(A640="","",IF(K640&lt;&gt;"",K640,IF(OR(C640="",D640=""),"Sem dados",IFERROR(IF(C640="M",INDEX(Config!$B$11:$B$14,MATCH(L640,Config!$A$11:$A$14,1)),IF(C640="F",INDEX(Config!$C$11:$C$14,MATCH(L640,Config!$A$11:$A$14,1)),"Sem dados")),"Verificar"))))</f>
        <v/>
      </c>
      <c r="N640" s="39">
        <f>IF(A640="","",IF(COUNTIFS('Movimentações'!$C$6:$C$1505,A640,'Movimentações'!$B$6:$B$1505,"Venda")&gt;0,"Vendido",IF(COUNTIFS('Movimentações'!$C$6:$C$1505,A640,'Movimentações'!$B$6:$B$1505,"Morte")&gt;0,"Morto","Ativo")))</f>
        <v/>
      </c>
      <c r="O640" s="40">
        <f>IF(A640="","",IF(COUNTIF('Pesagens'!$B$6:$B$2005,A640)=0,"",SUMPRODUCT(MAX(('Pesagens'!$B$6:$B$2005=A640)*'Pesagens'!$A$6:$A$2005))))</f>
        <v/>
      </c>
      <c r="P640" s="41">
        <f>IF(A640="","",IF(O640="",IF(J640="","",J640),IFERROR(AVERAGEIFS('Pesagens'!$C$6:$C$2005,'Pesagens'!$B$6:$B$2005,A640,'Pesagens'!$A$6:$A$2005,O640),"")))</f>
        <v/>
      </c>
      <c r="Q640" s="42">
        <f>IF(OR(A640="",O640="",I640="",J640=""),"",IFERROR((P640-J640)/(O640-I640),""))</f>
        <v/>
      </c>
    </row>
    <row r="641">
      <c r="A641" s="36" t="n"/>
      <c r="B641" s="32" t="n"/>
      <c r="C641" s="37" t="n"/>
      <c r="D641" s="31" t="n"/>
      <c r="E641" s="32" t="n"/>
      <c r="F641" s="32" t="n"/>
      <c r="G641" s="32" t="n"/>
      <c r="H641" s="36" t="n"/>
      <c r="I641" s="31" t="n"/>
      <c r="J641" s="38" t="n"/>
      <c r="K641" s="32" t="n"/>
      <c r="L641" s="34">
        <f>IF(OR(A641="",D641=""),"",IF(D641&gt;Config!$B$5,0,DATEDIF(D641,Config!$B$5,"m")))</f>
        <v/>
      </c>
      <c r="M641" s="39">
        <f>IF(A641="","",IF(K641&lt;&gt;"",K641,IF(OR(C641="",D641=""),"Sem dados",IFERROR(IF(C641="M",INDEX(Config!$B$11:$B$14,MATCH(L641,Config!$A$11:$A$14,1)),IF(C641="F",INDEX(Config!$C$11:$C$14,MATCH(L641,Config!$A$11:$A$14,1)),"Sem dados")),"Verificar"))))</f>
        <v/>
      </c>
      <c r="N641" s="39">
        <f>IF(A641="","",IF(COUNTIFS('Movimentações'!$C$6:$C$1505,A641,'Movimentações'!$B$6:$B$1505,"Venda")&gt;0,"Vendido",IF(COUNTIFS('Movimentações'!$C$6:$C$1505,A641,'Movimentações'!$B$6:$B$1505,"Morte")&gt;0,"Morto","Ativo")))</f>
        <v/>
      </c>
      <c r="O641" s="40">
        <f>IF(A641="","",IF(COUNTIF('Pesagens'!$B$6:$B$2005,A641)=0,"",SUMPRODUCT(MAX(('Pesagens'!$B$6:$B$2005=A641)*'Pesagens'!$A$6:$A$2005))))</f>
        <v/>
      </c>
      <c r="P641" s="41">
        <f>IF(A641="","",IF(O641="",IF(J641="","",J641),IFERROR(AVERAGEIFS('Pesagens'!$C$6:$C$2005,'Pesagens'!$B$6:$B$2005,A641,'Pesagens'!$A$6:$A$2005,O641),"")))</f>
        <v/>
      </c>
      <c r="Q641" s="42">
        <f>IF(OR(A641="",O641="",I641="",J641=""),"",IFERROR((P641-J641)/(O641-I641),""))</f>
        <v/>
      </c>
    </row>
    <row r="642">
      <c r="A642" s="36" t="n"/>
      <c r="B642" s="32" t="n"/>
      <c r="C642" s="37" t="n"/>
      <c r="D642" s="31" t="n"/>
      <c r="E642" s="32" t="n"/>
      <c r="F642" s="32" t="n"/>
      <c r="G642" s="32" t="n"/>
      <c r="H642" s="36" t="n"/>
      <c r="I642" s="31" t="n"/>
      <c r="J642" s="38" t="n"/>
      <c r="K642" s="32" t="n"/>
      <c r="L642" s="34">
        <f>IF(OR(A642="",D642=""),"",IF(D642&gt;Config!$B$5,0,DATEDIF(D642,Config!$B$5,"m")))</f>
        <v/>
      </c>
      <c r="M642" s="39">
        <f>IF(A642="","",IF(K642&lt;&gt;"",K642,IF(OR(C642="",D642=""),"Sem dados",IFERROR(IF(C642="M",INDEX(Config!$B$11:$B$14,MATCH(L642,Config!$A$11:$A$14,1)),IF(C642="F",INDEX(Config!$C$11:$C$14,MATCH(L642,Config!$A$11:$A$14,1)),"Sem dados")),"Verificar"))))</f>
        <v/>
      </c>
      <c r="N642" s="39">
        <f>IF(A642="","",IF(COUNTIFS('Movimentações'!$C$6:$C$1505,A642,'Movimentações'!$B$6:$B$1505,"Venda")&gt;0,"Vendido",IF(COUNTIFS('Movimentações'!$C$6:$C$1505,A642,'Movimentações'!$B$6:$B$1505,"Morte")&gt;0,"Morto","Ativo")))</f>
        <v/>
      </c>
      <c r="O642" s="40">
        <f>IF(A642="","",IF(COUNTIF('Pesagens'!$B$6:$B$2005,A642)=0,"",SUMPRODUCT(MAX(('Pesagens'!$B$6:$B$2005=A642)*'Pesagens'!$A$6:$A$2005))))</f>
        <v/>
      </c>
      <c r="P642" s="41">
        <f>IF(A642="","",IF(O642="",IF(J642="","",J642),IFERROR(AVERAGEIFS('Pesagens'!$C$6:$C$2005,'Pesagens'!$B$6:$B$2005,A642,'Pesagens'!$A$6:$A$2005,O642),"")))</f>
        <v/>
      </c>
      <c r="Q642" s="42">
        <f>IF(OR(A642="",O642="",I642="",J642=""),"",IFERROR((P642-J642)/(O642-I642),""))</f>
        <v/>
      </c>
    </row>
    <row r="643">
      <c r="A643" s="36" t="n"/>
      <c r="B643" s="32" t="n"/>
      <c r="C643" s="37" t="n"/>
      <c r="D643" s="31" t="n"/>
      <c r="E643" s="32" t="n"/>
      <c r="F643" s="32" t="n"/>
      <c r="G643" s="32" t="n"/>
      <c r="H643" s="36" t="n"/>
      <c r="I643" s="31" t="n"/>
      <c r="J643" s="38" t="n"/>
      <c r="K643" s="32" t="n"/>
      <c r="L643" s="34">
        <f>IF(OR(A643="",D643=""),"",IF(D643&gt;Config!$B$5,0,DATEDIF(D643,Config!$B$5,"m")))</f>
        <v/>
      </c>
      <c r="M643" s="39">
        <f>IF(A643="","",IF(K643&lt;&gt;"",K643,IF(OR(C643="",D643=""),"Sem dados",IFERROR(IF(C643="M",INDEX(Config!$B$11:$B$14,MATCH(L643,Config!$A$11:$A$14,1)),IF(C643="F",INDEX(Config!$C$11:$C$14,MATCH(L643,Config!$A$11:$A$14,1)),"Sem dados")),"Verificar"))))</f>
        <v/>
      </c>
      <c r="N643" s="39">
        <f>IF(A643="","",IF(COUNTIFS('Movimentações'!$C$6:$C$1505,A643,'Movimentações'!$B$6:$B$1505,"Venda")&gt;0,"Vendido",IF(COUNTIFS('Movimentações'!$C$6:$C$1505,A643,'Movimentações'!$B$6:$B$1505,"Morte")&gt;0,"Morto","Ativo")))</f>
        <v/>
      </c>
      <c r="O643" s="40">
        <f>IF(A643="","",IF(COUNTIF('Pesagens'!$B$6:$B$2005,A643)=0,"",SUMPRODUCT(MAX(('Pesagens'!$B$6:$B$2005=A643)*'Pesagens'!$A$6:$A$2005))))</f>
        <v/>
      </c>
      <c r="P643" s="41">
        <f>IF(A643="","",IF(O643="",IF(J643="","",J643),IFERROR(AVERAGEIFS('Pesagens'!$C$6:$C$2005,'Pesagens'!$B$6:$B$2005,A643,'Pesagens'!$A$6:$A$2005,O643),"")))</f>
        <v/>
      </c>
      <c r="Q643" s="42">
        <f>IF(OR(A643="",O643="",I643="",J643=""),"",IFERROR((P643-J643)/(O643-I643),""))</f>
        <v/>
      </c>
    </row>
    <row r="644">
      <c r="A644" s="36" t="n"/>
      <c r="B644" s="32" t="n"/>
      <c r="C644" s="37" t="n"/>
      <c r="D644" s="31" t="n"/>
      <c r="E644" s="32" t="n"/>
      <c r="F644" s="32" t="n"/>
      <c r="G644" s="32" t="n"/>
      <c r="H644" s="36" t="n"/>
      <c r="I644" s="31" t="n"/>
      <c r="J644" s="38" t="n"/>
      <c r="K644" s="32" t="n"/>
      <c r="L644" s="34">
        <f>IF(OR(A644="",D644=""),"",IF(D644&gt;Config!$B$5,0,DATEDIF(D644,Config!$B$5,"m")))</f>
        <v/>
      </c>
      <c r="M644" s="39">
        <f>IF(A644="","",IF(K644&lt;&gt;"",K644,IF(OR(C644="",D644=""),"Sem dados",IFERROR(IF(C644="M",INDEX(Config!$B$11:$B$14,MATCH(L644,Config!$A$11:$A$14,1)),IF(C644="F",INDEX(Config!$C$11:$C$14,MATCH(L644,Config!$A$11:$A$14,1)),"Sem dados")),"Verificar"))))</f>
        <v/>
      </c>
      <c r="N644" s="39">
        <f>IF(A644="","",IF(COUNTIFS('Movimentações'!$C$6:$C$1505,A644,'Movimentações'!$B$6:$B$1505,"Venda")&gt;0,"Vendido",IF(COUNTIFS('Movimentações'!$C$6:$C$1505,A644,'Movimentações'!$B$6:$B$1505,"Morte")&gt;0,"Morto","Ativo")))</f>
        <v/>
      </c>
      <c r="O644" s="40">
        <f>IF(A644="","",IF(COUNTIF('Pesagens'!$B$6:$B$2005,A644)=0,"",SUMPRODUCT(MAX(('Pesagens'!$B$6:$B$2005=A644)*'Pesagens'!$A$6:$A$2005))))</f>
        <v/>
      </c>
      <c r="P644" s="41">
        <f>IF(A644="","",IF(O644="",IF(J644="","",J644),IFERROR(AVERAGEIFS('Pesagens'!$C$6:$C$2005,'Pesagens'!$B$6:$B$2005,A644,'Pesagens'!$A$6:$A$2005,O644),"")))</f>
        <v/>
      </c>
      <c r="Q644" s="42">
        <f>IF(OR(A644="",O644="",I644="",J644=""),"",IFERROR((P644-J644)/(O644-I644),""))</f>
        <v/>
      </c>
    </row>
    <row r="645">
      <c r="A645" s="36" t="n"/>
      <c r="B645" s="32" t="n"/>
      <c r="C645" s="37" t="n"/>
      <c r="D645" s="31" t="n"/>
      <c r="E645" s="32" t="n"/>
      <c r="F645" s="32" t="n"/>
      <c r="G645" s="32" t="n"/>
      <c r="H645" s="36" t="n"/>
      <c r="I645" s="31" t="n"/>
      <c r="J645" s="38" t="n"/>
      <c r="K645" s="32" t="n"/>
      <c r="L645" s="34">
        <f>IF(OR(A645="",D645=""),"",IF(D645&gt;Config!$B$5,0,DATEDIF(D645,Config!$B$5,"m")))</f>
        <v/>
      </c>
      <c r="M645" s="39">
        <f>IF(A645="","",IF(K645&lt;&gt;"",K645,IF(OR(C645="",D645=""),"Sem dados",IFERROR(IF(C645="M",INDEX(Config!$B$11:$B$14,MATCH(L645,Config!$A$11:$A$14,1)),IF(C645="F",INDEX(Config!$C$11:$C$14,MATCH(L645,Config!$A$11:$A$14,1)),"Sem dados")),"Verificar"))))</f>
        <v/>
      </c>
      <c r="N645" s="39">
        <f>IF(A645="","",IF(COUNTIFS('Movimentações'!$C$6:$C$1505,A645,'Movimentações'!$B$6:$B$1505,"Venda")&gt;0,"Vendido",IF(COUNTIFS('Movimentações'!$C$6:$C$1505,A645,'Movimentações'!$B$6:$B$1505,"Morte")&gt;0,"Morto","Ativo")))</f>
        <v/>
      </c>
      <c r="O645" s="40">
        <f>IF(A645="","",IF(COUNTIF('Pesagens'!$B$6:$B$2005,A645)=0,"",SUMPRODUCT(MAX(('Pesagens'!$B$6:$B$2005=A645)*'Pesagens'!$A$6:$A$2005))))</f>
        <v/>
      </c>
      <c r="P645" s="41">
        <f>IF(A645="","",IF(O645="",IF(J645="","",J645),IFERROR(AVERAGEIFS('Pesagens'!$C$6:$C$2005,'Pesagens'!$B$6:$B$2005,A645,'Pesagens'!$A$6:$A$2005,O645),"")))</f>
        <v/>
      </c>
      <c r="Q645" s="42">
        <f>IF(OR(A645="",O645="",I645="",J645=""),"",IFERROR((P645-J645)/(O645-I645),""))</f>
        <v/>
      </c>
    </row>
    <row r="646">
      <c r="A646" s="36" t="n"/>
      <c r="B646" s="32" t="n"/>
      <c r="C646" s="37" t="n"/>
      <c r="D646" s="31" t="n"/>
      <c r="E646" s="32" t="n"/>
      <c r="F646" s="32" t="n"/>
      <c r="G646" s="32" t="n"/>
      <c r="H646" s="36" t="n"/>
      <c r="I646" s="31" t="n"/>
      <c r="J646" s="38" t="n"/>
      <c r="K646" s="32" t="n"/>
      <c r="L646" s="34">
        <f>IF(OR(A646="",D646=""),"",IF(D646&gt;Config!$B$5,0,DATEDIF(D646,Config!$B$5,"m")))</f>
        <v/>
      </c>
      <c r="M646" s="39">
        <f>IF(A646="","",IF(K646&lt;&gt;"",K646,IF(OR(C646="",D646=""),"Sem dados",IFERROR(IF(C646="M",INDEX(Config!$B$11:$B$14,MATCH(L646,Config!$A$11:$A$14,1)),IF(C646="F",INDEX(Config!$C$11:$C$14,MATCH(L646,Config!$A$11:$A$14,1)),"Sem dados")),"Verificar"))))</f>
        <v/>
      </c>
      <c r="N646" s="39">
        <f>IF(A646="","",IF(COUNTIFS('Movimentações'!$C$6:$C$1505,A646,'Movimentações'!$B$6:$B$1505,"Venda")&gt;0,"Vendido",IF(COUNTIFS('Movimentações'!$C$6:$C$1505,A646,'Movimentações'!$B$6:$B$1505,"Morte")&gt;0,"Morto","Ativo")))</f>
        <v/>
      </c>
      <c r="O646" s="40">
        <f>IF(A646="","",IF(COUNTIF('Pesagens'!$B$6:$B$2005,A646)=0,"",SUMPRODUCT(MAX(('Pesagens'!$B$6:$B$2005=A646)*'Pesagens'!$A$6:$A$2005))))</f>
        <v/>
      </c>
      <c r="P646" s="41">
        <f>IF(A646="","",IF(O646="",IF(J646="","",J646),IFERROR(AVERAGEIFS('Pesagens'!$C$6:$C$2005,'Pesagens'!$B$6:$B$2005,A646,'Pesagens'!$A$6:$A$2005,O646),"")))</f>
        <v/>
      </c>
      <c r="Q646" s="42">
        <f>IF(OR(A646="",O646="",I646="",J646=""),"",IFERROR((P646-J646)/(O646-I646),""))</f>
        <v/>
      </c>
    </row>
    <row r="647">
      <c r="A647" s="36" t="n"/>
      <c r="B647" s="32" t="n"/>
      <c r="C647" s="37" t="n"/>
      <c r="D647" s="31" t="n"/>
      <c r="E647" s="32" t="n"/>
      <c r="F647" s="32" t="n"/>
      <c r="G647" s="32" t="n"/>
      <c r="H647" s="36" t="n"/>
      <c r="I647" s="31" t="n"/>
      <c r="J647" s="38" t="n"/>
      <c r="K647" s="32" t="n"/>
      <c r="L647" s="34">
        <f>IF(OR(A647="",D647=""),"",IF(D647&gt;Config!$B$5,0,DATEDIF(D647,Config!$B$5,"m")))</f>
        <v/>
      </c>
      <c r="M647" s="39">
        <f>IF(A647="","",IF(K647&lt;&gt;"",K647,IF(OR(C647="",D647=""),"Sem dados",IFERROR(IF(C647="M",INDEX(Config!$B$11:$B$14,MATCH(L647,Config!$A$11:$A$14,1)),IF(C647="F",INDEX(Config!$C$11:$C$14,MATCH(L647,Config!$A$11:$A$14,1)),"Sem dados")),"Verificar"))))</f>
        <v/>
      </c>
      <c r="N647" s="39">
        <f>IF(A647="","",IF(COUNTIFS('Movimentações'!$C$6:$C$1505,A647,'Movimentações'!$B$6:$B$1505,"Venda")&gt;0,"Vendido",IF(COUNTIFS('Movimentações'!$C$6:$C$1505,A647,'Movimentações'!$B$6:$B$1505,"Morte")&gt;0,"Morto","Ativo")))</f>
        <v/>
      </c>
      <c r="O647" s="40">
        <f>IF(A647="","",IF(COUNTIF('Pesagens'!$B$6:$B$2005,A647)=0,"",SUMPRODUCT(MAX(('Pesagens'!$B$6:$B$2005=A647)*'Pesagens'!$A$6:$A$2005))))</f>
        <v/>
      </c>
      <c r="P647" s="41">
        <f>IF(A647="","",IF(O647="",IF(J647="","",J647),IFERROR(AVERAGEIFS('Pesagens'!$C$6:$C$2005,'Pesagens'!$B$6:$B$2005,A647,'Pesagens'!$A$6:$A$2005,O647),"")))</f>
        <v/>
      </c>
      <c r="Q647" s="42">
        <f>IF(OR(A647="",O647="",I647="",J647=""),"",IFERROR((P647-J647)/(O647-I647),""))</f>
        <v/>
      </c>
    </row>
    <row r="648">
      <c r="A648" s="36" t="n"/>
      <c r="B648" s="32" t="n"/>
      <c r="C648" s="37" t="n"/>
      <c r="D648" s="31" t="n"/>
      <c r="E648" s="32" t="n"/>
      <c r="F648" s="32" t="n"/>
      <c r="G648" s="32" t="n"/>
      <c r="H648" s="36" t="n"/>
      <c r="I648" s="31" t="n"/>
      <c r="J648" s="38" t="n"/>
      <c r="K648" s="32" t="n"/>
      <c r="L648" s="34">
        <f>IF(OR(A648="",D648=""),"",IF(D648&gt;Config!$B$5,0,DATEDIF(D648,Config!$B$5,"m")))</f>
        <v/>
      </c>
      <c r="M648" s="39">
        <f>IF(A648="","",IF(K648&lt;&gt;"",K648,IF(OR(C648="",D648=""),"Sem dados",IFERROR(IF(C648="M",INDEX(Config!$B$11:$B$14,MATCH(L648,Config!$A$11:$A$14,1)),IF(C648="F",INDEX(Config!$C$11:$C$14,MATCH(L648,Config!$A$11:$A$14,1)),"Sem dados")),"Verificar"))))</f>
        <v/>
      </c>
      <c r="N648" s="39">
        <f>IF(A648="","",IF(COUNTIFS('Movimentações'!$C$6:$C$1505,A648,'Movimentações'!$B$6:$B$1505,"Venda")&gt;0,"Vendido",IF(COUNTIFS('Movimentações'!$C$6:$C$1505,A648,'Movimentações'!$B$6:$B$1505,"Morte")&gt;0,"Morto","Ativo")))</f>
        <v/>
      </c>
      <c r="O648" s="40">
        <f>IF(A648="","",IF(COUNTIF('Pesagens'!$B$6:$B$2005,A648)=0,"",SUMPRODUCT(MAX(('Pesagens'!$B$6:$B$2005=A648)*'Pesagens'!$A$6:$A$2005))))</f>
        <v/>
      </c>
      <c r="P648" s="41">
        <f>IF(A648="","",IF(O648="",IF(J648="","",J648),IFERROR(AVERAGEIFS('Pesagens'!$C$6:$C$2005,'Pesagens'!$B$6:$B$2005,A648,'Pesagens'!$A$6:$A$2005,O648),"")))</f>
        <v/>
      </c>
      <c r="Q648" s="42">
        <f>IF(OR(A648="",O648="",I648="",J648=""),"",IFERROR((P648-J648)/(O648-I648),""))</f>
        <v/>
      </c>
    </row>
    <row r="649">
      <c r="A649" s="36" t="n"/>
      <c r="B649" s="32" t="n"/>
      <c r="C649" s="37" t="n"/>
      <c r="D649" s="31" t="n"/>
      <c r="E649" s="32" t="n"/>
      <c r="F649" s="32" t="n"/>
      <c r="G649" s="32" t="n"/>
      <c r="H649" s="36" t="n"/>
      <c r="I649" s="31" t="n"/>
      <c r="J649" s="38" t="n"/>
      <c r="K649" s="32" t="n"/>
      <c r="L649" s="34">
        <f>IF(OR(A649="",D649=""),"",IF(D649&gt;Config!$B$5,0,DATEDIF(D649,Config!$B$5,"m")))</f>
        <v/>
      </c>
      <c r="M649" s="39">
        <f>IF(A649="","",IF(K649&lt;&gt;"",K649,IF(OR(C649="",D649=""),"Sem dados",IFERROR(IF(C649="M",INDEX(Config!$B$11:$B$14,MATCH(L649,Config!$A$11:$A$14,1)),IF(C649="F",INDEX(Config!$C$11:$C$14,MATCH(L649,Config!$A$11:$A$14,1)),"Sem dados")),"Verificar"))))</f>
        <v/>
      </c>
      <c r="N649" s="39">
        <f>IF(A649="","",IF(COUNTIFS('Movimentações'!$C$6:$C$1505,A649,'Movimentações'!$B$6:$B$1505,"Venda")&gt;0,"Vendido",IF(COUNTIFS('Movimentações'!$C$6:$C$1505,A649,'Movimentações'!$B$6:$B$1505,"Morte")&gt;0,"Morto","Ativo")))</f>
        <v/>
      </c>
      <c r="O649" s="40">
        <f>IF(A649="","",IF(COUNTIF('Pesagens'!$B$6:$B$2005,A649)=0,"",SUMPRODUCT(MAX(('Pesagens'!$B$6:$B$2005=A649)*'Pesagens'!$A$6:$A$2005))))</f>
        <v/>
      </c>
      <c r="P649" s="41">
        <f>IF(A649="","",IF(O649="",IF(J649="","",J649),IFERROR(AVERAGEIFS('Pesagens'!$C$6:$C$2005,'Pesagens'!$B$6:$B$2005,A649,'Pesagens'!$A$6:$A$2005,O649),"")))</f>
        <v/>
      </c>
      <c r="Q649" s="42">
        <f>IF(OR(A649="",O649="",I649="",J649=""),"",IFERROR((P649-J649)/(O649-I649),""))</f>
        <v/>
      </c>
    </row>
    <row r="650">
      <c r="A650" s="36" t="n"/>
      <c r="B650" s="32" t="n"/>
      <c r="C650" s="37" t="n"/>
      <c r="D650" s="31" t="n"/>
      <c r="E650" s="32" t="n"/>
      <c r="F650" s="32" t="n"/>
      <c r="G650" s="32" t="n"/>
      <c r="H650" s="36" t="n"/>
      <c r="I650" s="31" t="n"/>
      <c r="J650" s="38" t="n"/>
      <c r="K650" s="32" t="n"/>
      <c r="L650" s="34">
        <f>IF(OR(A650="",D650=""),"",IF(D650&gt;Config!$B$5,0,DATEDIF(D650,Config!$B$5,"m")))</f>
        <v/>
      </c>
      <c r="M650" s="39">
        <f>IF(A650="","",IF(K650&lt;&gt;"",K650,IF(OR(C650="",D650=""),"Sem dados",IFERROR(IF(C650="M",INDEX(Config!$B$11:$B$14,MATCH(L650,Config!$A$11:$A$14,1)),IF(C650="F",INDEX(Config!$C$11:$C$14,MATCH(L650,Config!$A$11:$A$14,1)),"Sem dados")),"Verificar"))))</f>
        <v/>
      </c>
      <c r="N650" s="39">
        <f>IF(A650="","",IF(COUNTIFS('Movimentações'!$C$6:$C$1505,A650,'Movimentações'!$B$6:$B$1505,"Venda")&gt;0,"Vendido",IF(COUNTIFS('Movimentações'!$C$6:$C$1505,A650,'Movimentações'!$B$6:$B$1505,"Morte")&gt;0,"Morto","Ativo")))</f>
        <v/>
      </c>
      <c r="O650" s="40">
        <f>IF(A650="","",IF(COUNTIF('Pesagens'!$B$6:$B$2005,A650)=0,"",SUMPRODUCT(MAX(('Pesagens'!$B$6:$B$2005=A650)*'Pesagens'!$A$6:$A$2005))))</f>
        <v/>
      </c>
      <c r="P650" s="41">
        <f>IF(A650="","",IF(O650="",IF(J650="","",J650),IFERROR(AVERAGEIFS('Pesagens'!$C$6:$C$2005,'Pesagens'!$B$6:$B$2005,A650,'Pesagens'!$A$6:$A$2005,O650),"")))</f>
        <v/>
      </c>
      <c r="Q650" s="42">
        <f>IF(OR(A650="",O650="",I650="",J650=""),"",IFERROR((P650-J650)/(O650-I650),""))</f>
        <v/>
      </c>
    </row>
    <row r="651">
      <c r="A651" s="36" t="n"/>
      <c r="B651" s="32" t="n"/>
      <c r="C651" s="37" t="n"/>
      <c r="D651" s="31" t="n"/>
      <c r="E651" s="32" t="n"/>
      <c r="F651" s="32" t="n"/>
      <c r="G651" s="32" t="n"/>
      <c r="H651" s="36" t="n"/>
      <c r="I651" s="31" t="n"/>
      <c r="J651" s="38" t="n"/>
      <c r="K651" s="32" t="n"/>
      <c r="L651" s="34">
        <f>IF(OR(A651="",D651=""),"",IF(D651&gt;Config!$B$5,0,DATEDIF(D651,Config!$B$5,"m")))</f>
        <v/>
      </c>
      <c r="M651" s="39">
        <f>IF(A651="","",IF(K651&lt;&gt;"",K651,IF(OR(C651="",D651=""),"Sem dados",IFERROR(IF(C651="M",INDEX(Config!$B$11:$B$14,MATCH(L651,Config!$A$11:$A$14,1)),IF(C651="F",INDEX(Config!$C$11:$C$14,MATCH(L651,Config!$A$11:$A$14,1)),"Sem dados")),"Verificar"))))</f>
        <v/>
      </c>
      <c r="N651" s="39">
        <f>IF(A651="","",IF(COUNTIFS('Movimentações'!$C$6:$C$1505,A651,'Movimentações'!$B$6:$B$1505,"Venda")&gt;0,"Vendido",IF(COUNTIFS('Movimentações'!$C$6:$C$1505,A651,'Movimentações'!$B$6:$B$1505,"Morte")&gt;0,"Morto","Ativo")))</f>
        <v/>
      </c>
      <c r="O651" s="40">
        <f>IF(A651="","",IF(COUNTIF('Pesagens'!$B$6:$B$2005,A651)=0,"",SUMPRODUCT(MAX(('Pesagens'!$B$6:$B$2005=A651)*'Pesagens'!$A$6:$A$2005))))</f>
        <v/>
      </c>
      <c r="P651" s="41">
        <f>IF(A651="","",IF(O651="",IF(J651="","",J651),IFERROR(AVERAGEIFS('Pesagens'!$C$6:$C$2005,'Pesagens'!$B$6:$B$2005,A651,'Pesagens'!$A$6:$A$2005,O651),"")))</f>
        <v/>
      </c>
      <c r="Q651" s="42">
        <f>IF(OR(A651="",O651="",I651="",J651=""),"",IFERROR((P651-J651)/(O651-I651),""))</f>
        <v/>
      </c>
    </row>
    <row r="652">
      <c r="A652" s="36" t="n"/>
      <c r="B652" s="32" t="n"/>
      <c r="C652" s="37" t="n"/>
      <c r="D652" s="31" t="n"/>
      <c r="E652" s="32" t="n"/>
      <c r="F652" s="32" t="n"/>
      <c r="G652" s="32" t="n"/>
      <c r="H652" s="36" t="n"/>
      <c r="I652" s="31" t="n"/>
      <c r="J652" s="38" t="n"/>
      <c r="K652" s="32" t="n"/>
      <c r="L652" s="34">
        <f>IF(OR(A652="",D652=""),"",IF(D652&gt;Config!$B$5,0,DATEDIF(D652,Config!$B$5,"m")))</f>
        <v/>
      </c>
      <c r="M652" s="39">
        <f>IF(A652="","",IF(K652&lt;&gt;"",K652,IF(OR(C652="",D652=""),"Sem dados",IFERROR(IF(C652="M",INDEX(Config!$B$11:$B$14,MATCH(L652,Config!$A$11:$A$14,1)),IF(C652="F",INDEX(Config!$C$11:$C$14,MATCH(L652,Config!$A$11:$A$14,1)),"Sem dados")),"Verificar"))))</f>
        <v/>
      </c>
      <c r="N652" s="39">
        <f>IF(A652="","",IF(COUNTIFS('Movimentações'!$C$6:$C$1505,A652,'Movimentações'!$B$6:$B$1505,"Venda")&gt;0,"Vendido",IF(COUNTIFS('Movimentações'!$C$6:$C$1505,A652,'Movimentações'!$B$6:$B$1505,"Morte")&gt;0,"Morto","Ativo")))</f>
        <v/>
      </c>
      <c r="O652" s="40">
        <f>IF(A652="","",IF(COUNTIF('Pesagens'!$B$6:$B$2005,A652)=0,"",SUMPRODUCT(MAX(('Pesagens'!$B$6:$B$2005=A652)*'Pesagens'!$A$6:$A$2005))))</f>
        <v/>
      </c>
      <c r="P652" s="41">
        <f>IF(A652="","",IF(O652="",IF(J652="","",J652),IFERROR(AVERAGEIFS('Pesagens'!$C$6:$C$2005,'Pesagens'!$B$6:$B$2005,A652,'Pesagens'!$A$6:$A$2005,O652),"")))</f>
        <v/>
      </c>
      <c r="Q652" s="42">
        <f>IF(OR(A652="",O652="",I652="",J652=""),"",IFERROR((P652-J652)/(O652-I652),""))</f>
        <v/>
      </c>
    </row>
    <row r="653">
      <c r="A653" s="36" t="n"/>
      <c r="B653" s="32" t="n"/>
      <c r="C653" s="37" t="n"/>
      <c r="D653" s="31" t="n"/>
      <c r="E653" s="32" t="n"/>
      <c r="F653" s="32" t="n"/>
      <c r="G653" s="32" t="n"/>
      <c r="H653" s="36" t="n"/>
      <c r="I653" s="31" t="n"/>
      <c r="J653" s="38" t="n"/>
      <c r="K653" s="32" t="n"/>
      <c r="L653" s="34">
        <f>IF(OR(A653="",D653=""),"",IF(D653&gt;Config!$B$5,0,DATEDIF(D653,Config!$B$5,"m")))</f>
        <v/>
      </c>
      <c r="M653" s="39">
        <f>IF(A653="","",IF(K653&lt;&gt;"",K653,IF(OR(C653="",D653=""),"Sem dados",IFERROR(IF(C653="M",INDEX(Config!$B$11:$B$14,MATCH(L653,Config!$A$11:$A$14,1)),IF(C653="F",INDEX(Config!$C$11:$C$14,MATCH(L653,Config!$A$11:$A$14,1)),"Sem dados")),"Verificar"))))</f>
        <v/>
      </c>
      <c r="N653" s="39">
        <f>IF(A653="","",IF(COUNTIFS('Movimentações'!$C$6:$C$1505,A653,'Movimentações'!$B$6:$B$1505,"Venda")&gt;0,"Vendido",IF(COUNTIFS('Movimentações'!$C$6:$C$1505,A653,'Movimentações'!$B$6:$B$1505,"Morte")&gt;0,"Morto","Ativo")))</f>
        <v/>
      </c>
      <c r="O653" s="40">
        <f>IF(A653="","",IF(COUNTIF('Pesagens'!$B$6:$B$2005,A653)=0,"",SUMPRODUCT(MAX(('Pesagens'!$B$6:$B$2005=A653)*'Pesagens'!$A$6:$A$2005))))</f>
        <v/>
      </c>
      <c r="P653" s="41">
        <f>IF(A653="","",IF(O653="",IF(J653="","",J653),IFERROR(AVERAGEIFS('Pesagens'!$C$6:$C$2005,'Pesagens'!$B$6:$B$2005,A653,'Pesagens'!$A$6:$A$2005,O653),"")))</f>
        <v/>
      </c>
      <c r="Q653" s="42">
        <f>IF(OR(A653="",O653="",I653="",J653=""),"",IFERROR((P653-J653)/(O653-I653),""))</f>
        <v/>
      </c>
    </row>
    <row r="654">
      <c r="A654" s="36" t="n"/>
      <c r="B654" s="32" t="n"/>
      <c r="C654" s="37" t="n"/>
      <c r="D654" s="31" t="n"/>
      <c r="E654" s="32" t="n"/>
      <c r="F654" s="32" t="n"/>
      <c r="G654" s="32" t="n"/>
      <c r="H654" s="36" t="n"/>
      <c r="I654" s="31" t="n"/>
      <c r="J654" s="38" t="n"/>
      <c r="K654" s="32" t="n"/>
      <c r="L654" s="34">
        <f>IF(OR(A654="",D654=""),"",IF(D654&gt;Config!$B$5,0,DATEDIF(D654,Config!$B$5,"m")))</f>
        <v/>
      </c>
      <c r="M654" s="39">
        <f>IF(A654="","",IF(K654&lt;&gt;"",K654,IF(OR(C654="",D654=""),"Sem dados",IFERROR(IF(C654="M",INDEX(Config!$B$11:$B$14,MATCH(L654,Config!$A$11:$A$14,1)),IF(C654="F",INDEX(Config!$C$11:$C$14,MATCH(L654,Config!$A$11:$A$14,1)),"Sem dados")),"Verificar"))))</f>
        <v/>
      </c>
      <c r="N654" s="39">
        <f>IF(A654="","",IF(COUNTIFS('Movimentações'!$C$6:$C$1505,A654,'Movimentações'!$B$6:$B$1505,"Venda")&gt;0,"Vendido",IF(COUNTIFS('Movimentações'!$C$6:$C$1505,A654,'Movimentações'!$B$6:$B$1505,"Morte")&gt;0,"Morto","Ativo")))</f>
        <v/>
      </c>
      <c r="O654" s="40">
        <f>IF(A654="","",IF(COUNTIF('Pesagens'!$B$6:$B$2005,A654)=0,"",SUMPRODUCT(MAX(('Pesagens'!$B$6:$B$2005=A654)*'Pesagens'!$A$6:$A$2005))))</f>
        <v/>
      </c>
      <c r="P654" s="41">
        <f>IF(A654="","",IF(O654="",IF(J654="","",J654),IFERROR(AVERAGEIFS('Pesagens'!$C$6:$C$2005,'Pesagens'!$B$6:$B$2005,A654,'Pesagens'!$A$6:$A$2005,O654),"")))</f>
        <v/>
      </c>
      <c r="Q654" s="42">
        <f>IF(OR(A654="",O654="",I654="",J654=""),"",IFERROR((P654-J654)/(O654-I654),""))</f>
        <v/>
      </c>
    </row>
    <row r="655">
      <c r="A655" s="36" t="n"/>
      <c r="B655" s="32" t="n"/>
      <c r="C655" s="37" t="n"/>
      <c r="D655" s="31" t="n"/>
      <c r="E655" s="32" t="n"/>
      <c r="F655" s="32" t="n"/>
      <c r="G655" s="32" t="n"/>
      <c r="H655" s="36" t="n"/>
      <c r="I655" s="31" t="n"/>
      <c r="J655" s="38" t="n"/>
      <c r="K655" s="32" t="n"/>
      <c r="L655" s="34">
        <f>IF(OR(A655="",D655=""),"",IF(D655&gt;Config!$B$5,0,DATEDIF(D655,Config!$B$5,"m")))</f>
        <v/>
      </c>
      <c r="M655" s="39">
        <f>IF(A655="","",IF(K655&lt;&gt;"",K655,IF(OR(C655="",D655=""),"Sem dados",IFERROR(IF(C655="M",INDEX(Config!$B$11:$B$14,MATCH(L655,Config!$A$11:$A$14,1)),IF(C655="F",INDEX(Config!$C$11:$C$14,MATCH(L655,Config!$A$11:$A$14,1)),"Sem dados")),"Verificar"))))</f>
        <v/>
      </c>
      <c r="N655" s="39">
        <f>IF(A655="","",IF(COUNTIFS('Movimentações'!$C$6:$C$1505,A655,'Movimentações'!$B$6:$B$1505,"Venda")&gt;0,"Vendido",IF(COUNTIFS('Movimentações'!$C$6:$C$1505,A655,'Movimentações'!$B$6:$B$1505,"Morte")&gt;0,"Morto","Ativo")))</f>
        <v/>
      </c>
      <c r="O655" s="40">
        <f>IF(A655="","",IF(COUNTIF('Pesagens'!$B$6:$B$2005,A655)=0,"",SUMPRODUCT(MAX(('Pesagens'!$B$6:$B$2005=A655)*'Pesagens'!$A$6:$A$2005))))</f>
        <v/>
      </c>
      <c r="P655" s="41">
        <f>IF(A655="","",IF(O655="",IF(J655="","",J655),IFERROR(AVERAGEIFS('Pesagens'!$C$6:$C$2005,'Pesagens'!$B$6:$B$2005,A655,'Pesagens'!$A$6:$A$2005,O655),"")))</f>
        <v/>
      </c>
      <c r="Q655" s="42">
        <f>IF(OR(A655="",O655="",I655="",J655=""),"",IFERROR((P655-J655)/(O655-I655),""))</f>
        <v/>
      </c>
    </row>
    <row r="656">
      <c r="A656" s="36" t="n"/>
      <c r="B656" s="32" t="n"/>
      <c r="C656" s="37" t="n"/>
      <c r="D656" s="31" t="n"/>
      <c r="E656" s="32" t="n"/>
      <c r="F656" s="32" t="n"/>
      <c r="G656" s="32" t="n"/>
      <c r="H656" s="36" t="n"/>
      <c r="I656" s="31" t="n"/>
      <c r="J656" s="38" t="n"/>
      <c r="K656" s="32" t="n"/>
      <c r="L656" s="34">
        <f>IF(OR(A656="",D656=""),"",IF(D656&gt;Config!$B$5,0,DATEDIF(D656,Config!$B$5,"m")))</f>
        <v/>
      </c>
      <c r="M656" s="39">
        <f>IF(A656="","",IF(K656&lt;&gt;"",K656,IF(OR(C656="",D656=""),"Sem dados",IFERROR(IF(C656="M",INDEX(Config!$B$11:$B$14,MATCH(L656,Config!$A$11:$A$14,1)),IF(C656="F",INDEX(Config!$C$11:$C$14,MATCH(L656,Config!$A$11:$A$14,1)),"Sem dados")),"Verificar"))))</f>
        <v/>
      </c>
      <c r="N656" s="39">
        <f>IF(A656="","",IF(COUNTIFS('Movimentações'!$C$6:$C$1505,A656,'Movimentações'!$B$6:$B$1505,"Venda")&gt;0,"Vendido",IF(COUNTIFS('Movimentações'!$C$6:$C$1505,A656,'Movimentações'!$B$6:$B$1505,"Morte")&gt;0,"Morto","Ativo")))</f>
        <v/>
      </c>
      <c r="O656" s="40">
        <f>IF(A656="","",IF(COUNTIF('Pesagens'!$B$6:$B$2005,A656)=0,"",SUMPRODUCT(MAX(('Pesagens'!$B$6:$B$2005=A656)*'Pesagens'!$A$6:$A$2005))))</f>
        <v/>
      </c>
      <c r="P656" s="41">
        <f>IF(A656="","",IF(O656="",IF(J656="","",J656),IFERROR(AVERAGEIFS('Pesagens'!$C$6:$C$2005,'Pesagens'!$B$6:$B$2005,A656,'Pesagens'!$A$6:$A$2005,O656),"")))</f>
        <v/>
      </c>
      <c r="Q656" s="42">
        <f>IF(OR(A656="",O656="",I656="",J656=""),"",IFERROR((P656-J656)/(O656-I656),""))</f>
        <v/>
      </c>
    </row>
    <row r="657">
      <c r="A657" s="36" t="n"/>
      <c r="B657" s="32" t="n"/>
      <c r="C657" s="37" t="n"/>
      <c r="D657" s="31" t="n"/>
      <c r="E657" s="32" t="n"/>
      <c r="F657" s="32" t="n"/>
      <c r="G657" s="32" t="n"/>
      <c r="H657" s="36" t="n"/>
      <c r="I657" s="31" t="n"/>
      <c r="J657" s="38" t="n"/>
      <c r="K657" s="32" t="n"/>
      <c r="L657" s="34">
        <f>IF(OR(A657="",D657=""),"",IF(D657&gt;Config!$B$5,0,DATEDIF(D657,Config!$B$5,"m")))</f>
        <v/>
      </c>
      <c r="M657" s="39">
        <f>IF(A657="","",IF(K657&lt;&gt;"",K657,IF(OR(C657="",D657=""),"Sem dados",IFERROR(IF(C657="M",INDEX(Config!$B$11:$B$14,MATCH(L657,Config!$A$11:$A$14,1)),IF(C657="F",INDEX(Config!$C$11:$C$14,MATCH(L657,Config!$A$11:$A$14,1)),"Sem dados")),"Verificar"))))</f>
        <v/>
      </c>
      <c r="N657" s="39">
        <f>IF(A657="","",IF(COUNTIFS('Movimentações'!$C$6:$C$1505,A657,'Movimentações'!$B$6:$B$1505,"Venda")&gt;0,"Vendido",IF(COUNTIFS('Movimentações'!$C$6:$C$1505,A657,'Movimentações'!$B$6:$B$1505,"Morte")&gt;0,"Morto","Ativo")))</f>
        <v/>
      </c>
      <c r="O657" s="40">
        <f>IF(A657="","",IF(COUNTIF('Pesagens'!$B$6:$B$2005,A657)=0,"",SUMPRODUCT(MAX(('Pesagens'!$B$6:$B$2005=A657)*'Pesagens'!$A$6:$A$2005))))</f>
        <v/>
      </c>
      <c r="P657" s="41">
        <f>IF(A657="","",IF(O657="",IF(J657="","",J657),IFERROR(AVERAGEIFS('Pesagens'!$C$6:$C$2005,'Pesagens'!$B$6:$B$2005,A657,'Pesagens'!$A$6:$A$2005,O657),"")))</f>
        <v/>
      </c>
      <c r="Q657" s="42">
        <f>IF(OR(A657="",O657="",I657="",J657=""),"",IFERROR((P657-J657)/(O657-I657),""))</f>
        <v/>
      </c>
    </row>
    <row r="658">
      <c r="A658" s="36" t="n"/>
      <c r="B658" s="32" t="n"/>
      <c r="C658" s="37" t="n"/>
      <c r="D658" s="31" t="n"/>
      <c r="E658" s="32" t="n"/>
      <c r="F658" s="32" t="n"/>
      <c r="G658" s="32" t="n"/>
      <c r="H658" s="36" t="n"/>
      <c r="I658" s="31" t="n"/>
      <c r="J658" s="38" t="n"/>
      <c r="K658" s="32" t="n"/>
      <c r="L658" s="34">
        <f>IF(OR(A658="",D658=""),"",IF(D658&gt;Config!$B$5,0,DATEDIF(D658,Config!$B$5,"m")))</f>
        <v/>
      </c>
      <c r="M658" s="39">
        <f>IF(A658="","",IF(K658&lt;&gt;"",K658,IF(OR(C658="",D658=""),"Sem dados",IFERROR(IF(C658="M",INDEX(Config!$B$11:$B$14,MATCH(L658,Config!$A$11:$A$14,1)),IF(C658="F",INDEX(Config!$C$11:$C$14,MATCH(L658,Config!$A$11:$A$14,1)),"Sem dados")),"Verificar"))))</f>
        <v/>
      </c>
      <c r="N658" s="39">
        <f>IF(A658="","",IF(COUNTIFS('Movimentações'!$C$6:$C$1505,A658,'Movimentações'!$B$6:$B$1505,"Venda")&gt;0,"Vendido",IF(COUNTIFS('Movimentações'!$C$6:$C$1505,A658,'Movimentações'!$B$6:$B$1505,"Morte")&gt;0,"Morto","Ativo")))</f>
        <v/>
      </c>
      <c r="O658" s="40">
        <f>IF(A658="","",IF(COUNTIF('Pesagens'!$B$6:$B$2005,A658)=0,"",SUMPRODUCT(MAX(('Pesagens'!$B$6:$B$2005=A658)*'Pesagens'!$A$6:$A$2005))))</f>
        <v/>
      </c>
      <c r="P658" s="41">
        <f>IF(A658="","",IF(O658="",IF(J658="","",J658),IFERROR(AVERAGEIFS('Pesagens'!$C$6:$C$2005,'Pesagens'!$B$6:$B$2005,A658,'Pesagens'!$A$6:$A$2005,O658),"")))</f>
        <v/>
      </c>
      <c r="Q658" s="42">
        <f>IF(OR(A658="",O658="",I658="",J658=""),"",IFERROR((P658-J658)/(O658-I658),""))</f>
        <v/>
      </c>
    </row>
    <row r="659">
      <c r="A659" s="36" t="n"/>
      <c r="B659" s="32" t="n"/>
      <c r="C659" s="37" t="n"/>
      <c r="D659" s="31" t="n"/>
      <c r="E659" s="32" t="n"/>
      <c r="F659" s="32" t="n"/>
      <c r="G659" s="32" t="n"/>
      <c r="H659" s="36" t="n"/>
      <c r="I659" s="31" t="n"/>
      <c r="J659" s="38" t="n"/>
      <c r="K659" s="32" t="n"/>
      <c r="L659" s="34">
        <f>IF(OR(A659="",D659=""),"",IF(D659&gt;Config!$B$5,0,DATEDIF(D659,Config!$B$5,"m")))</f>
        <v/>
      </c>
      <c r="M659" s="39">
        <f>IF(A659="","",IF(K659&lt;&gt;"",K659,IF(OR(C659="",D659=""),"Sem dados",IFERROR(IF(C659="M",INDEX(Config!$B$11:$B$14,MATCH(L659,Config!$A$11:$A$14,1)),IF(C659="F",INDEX(Config!$C$11:$C$14,MATCH(L659,Config!$A$11:$A$14,1)),"Sem dados")),"Verificar"))))</f>
        <v/>
      </c>
      <c r="N659" s="39">
        <f>IF(A659="","",IF(COUNTIFS('Movimentações'!$C$6:$C$1505,A659,'Movimentações'!$B$6:$B$1505,"Venda")&gt;0,"Vendido",IF(COUNTIFS('Movimentações'!$C$6:$C$1505,A659,'Movimentações'!$B$6:$B$1505,"Morte")&gt;0,"Morto","Ativo")))</f>
        <v/>
      </c>
      <c r="O659" s="40">
        <f>IF(A659="","",IF(COUNTIF('Pesagens'!$B$6:$B$2005,A659)=0,"",SUMPRODUCT(MAX(('Pesagens'!$B$6:$B$2005=A659)*'Pesagens'!$A$6:$A$2005))))</f>
        <v/>
      </c>
      <c r="P659" s="41">
        <f>IF(A659="","",IF(O659="",IF(J659="","",J659),IFERROR(AVERAGEIFS('Pesagens'!$C$6:$C$2005,'Pesagens'!$B$6:$B$2005,A659,'Pesagens'!$A$6:$A$2005,O659),"")))</f>
        <v/>
      </c>
      <c r="Q659" s="42">
        <f>IF(OR(A659="",O659="",I659="",J659=""),"",IFERROR((P659-J659)/(O659-I659),""))</f>
        <v/>
      </c>
    </row>
    <row r="660">
      <c r="A660" s="36" t="n"/>
      <c r="B660" s="32" t="n"/>
      <c r="C660" s="37" t="n"/>
      <c r="D660" s="31" t="n"/>
      <c r="E660" s="32" t="n"/>
      <c r="F660" s="32" t="n"/>
      <c r="G660" s="32" t="n"/>
      <c r="H660" s="36" t="n"/>
      <c r="I660" s="31" t="n"/>
      <c r="J660" s="38" t="n"/>
      <c r="K660" s="32" t="n"/>
      <c r="L660" s="34">
        <f>IF(OR(A660="",D660=""),"",IF(D660&gt;Config!$B$5,0,DATEDIF(D660,Config!$B$5,"m")))</f>
        <v/>
      </c>
      <c r="M660" s="39">
        <f>IF(A660="","",IF(K660&lt;&gt;"",K660,IF(OR(C660="",D660=""),"Sem dados",IFERROR(IF(C660="M",INDEX(Config!$B$11:$B$14,MATCH(L660,Config!$A$11:$A$14,1)),IF(C660="F",INDEX(Config!$C$11:$C$14,MATCH(L660,Config!$A$11:$A$14,1)),"Sem dados")),"Verificar"))))</f>
        <v/>
      </c>
      <c r="N660" s="39">
        <f>IF(A660="","",IF(COUNTIFS('Movimentações'!$C$6:$C$1505,A660,'Movimentações'!$B$6:$B$1505,"Venda")&gt;0,"Vendido",IF(COUNTIFS('Movimentações'!$C$6:$C$1505,A660,'Movimentações'!$B$6:$B$1505,"Morte")&gt;0,"Morto","Ativo")))</f>
        <v/>
      </c>
      <c r="O660" s="40">
        <f>IF(A660="","",IF(COUNTIF('Pesagens'!$B$6:$B$2005,A660)=0,"",SUMPRODUCT(MAX(('Pesagens'!$B$6:$B$2005=A660)*'Pesagens'!$A$6:$A$2005))))</f>
        <v/>
      </c>
      <c r="P660" s="41">
        <f>IF(A660="","",IF(O660="",IF(J660="","",J660),IFERROR(AVERAGEIFS('Pesagens'!$C$6:$C$2005,'Pesagens'!$B$6:$B$2005,A660,'Pesagens'!$A$6:$A$2005,O660),"")))</f>
        <v/>
      </c>
      <c r="Q660" s="42">
        <f>IF(OR(A660="",O660="",I660="",J660=""),"",IFERROR((P660-J660)/(O660-I660),""))</f>
        <v/>
      </c>
    </row>
    <row r="661">
      <c r="A661" s="36" t="n"/>
      <c r="B661" s="32" t="n"/>
      <c r="C661" s="37" t="n"/>
      <c r="D661" s="31" t="n"/>
      <c r="E661" s="32" t="n"/>
      <c r="F661" s="32" t="n"/>
      <c r="G661" s="32" t="n"/>
      <c r="H661" s="36" t="n"/>
      <c r="I661" s="31" t="n"/>
      <c r="J661" s="38" t="n"/>
      <c r="K661" s="32" t="n"/>
      <c r="L661" s="34">
        <f>IF(OR(A661="",D661=""),"",IF(D661&gt;Config!$B$5,0,DATEDIF(D661,Config!$B$5,"m")))</f>
        <v/>
      </c>
      <c r="M661" s="39">
        <f>IF(A661="","",IF(K661&lt;&gt;"",K661,IF(OR(C661="",D661=""),"Sem dados",IFERROR(IF(C661="M",INDEX(Config!$B$11:$B$14,MATCH(L661,Config!$A$11:$A$14,1)),IF(C661="F",INDEX(Config!$C$11:$C$14,MATCH(L661,Config!$A$11:$A$14,1)),"Sem dados")),"Verificar"))))</f>
        <v/>
      </c>
      <c r="N661" s="39">
        <f>IF(A661="","",IF(COUNTIFS('Movimentações'!$C$6:$C$1505,A661,'Movimentações'!$B$6:$B$1505,"Venda")&gt;0,"Vendido",IF(COUNTIFS('Movimentações'!$C$6:$C$1505,A661,'Movimentações'!$B$6:$B$1505,"Morte")&gt;0,"Morto","Ativo")))</f>
        <v/>
      </c>
      <c r="O661" s="40">
        <f>IF(A661="","",IF(COUNTIF('Pesagens'!$B$6:$B$2005,A661)=0,"",SUMPRODUCT(MAX(('Pesagens'!$B$6:$B$2005=A661)*'Pesagens'!$A$6:$A$2005))))</f>
        <v/>
      </c>
      <c r="P661" s="41">
        <f>IF(A661="","",IF(O661="",IF(J661="","",J661),IFERROR(AVERAGEIFS('Pesagens'!$C$6:$C$2005,'Pesagens'!$B$6:$B$2005,A661,'Pesagens'!$A$6:$A$2005,O661),"")))</f>
        <v/>
      </c>
      <c r="Q661" s="42">
        <f>IF(OR(A661="",O661="",I661="",J661=""),"",IFERROR((P661-J661)/(O661-I661),""))</f>
        <v/>
      </c>
    </row>
    <row r="662">
      <c r="A662" s="36" t="n"/>
      <c r="B662" s="32" t="n"/>
      <c r="C662" s="37" t="n"/>
      <c r="D662" s="31" t="n"/>
      <c r="E662" s="32" t="n"/>
      <c r="F662" s="32" t="n"/>
      <c r="G662" s="32" t="n"/>
      <c r="H662" s="36" t="n"/>
      <c r="I662" s="31" t="n"/>
      <c r="J662" s="38" t="n"/>
      <c r="K662" s="32" t="n"/>
      <c r="L662" s="34">
        <f>IF(OR(A662="",D662=""),"",IF(D662&gt;Config!$B$5,0,DATEDIF(D662,Config!$B$5,"m")))</f>
        <v/>
      </c>
      <c r="M662" s="39">
        <f>IF(A662="","",IF(K662&lt;&gt;"",K662,IF(OR(C662="",D662=""),"Sem dados",IFERROR(IF(C662="M",INDEX(Config!$B$11:$B$14,MATCH(L662,Config!$A$11:$A$14,1)),IF(C662="F",INDEX(Config!$C$11:$C$14,MATCH(L662,Config!$A$11:$A$14,1)),"Sem dados")),"Verificar"))))</f>
        <v/>
      </c>
      <c r="N662" s="39">
        <f>IF(A662="","",IF(COUNTIFS('Movimentações'!$C$6:$C$1505,A662,'Movimentações'!$B$6:$B$1505,"Venda")&gt;0,"Vendido",IF(COUNTIFS('Movimentações'!$C$6:$C$1505,A662,'Movimentações'!$B$6:$B$1505,"Morte")&gt;0,"Morto","Ativo")))</f>
        <v/>
      </c>
      <c r="O662" s="40">
        <f>IF(A662="","",IF(COUNTIF('Pesagens'!$B$6:$B$2005,A662)=0,"",SUMPRODUCT(MAX(('Pesagens'!$B$6:$B$2005=A662)*'Pesagens'!$A$6:$A$2005))))</f>
        <v/>
      </c>
      <c r="P662" s="41">
        <f>IF(A662="","",IF(O662="",IF(J662="","",J662),IFERROR(AVERAGEIFS('Pesagens'!$C$6:$C$2005,'Pesagens'!$B$6:$B$2005,A662,'Pesagens'!$A$6:$A$2005,O662),"")))</f>
        <v/>
      </c>
      <c r="Q662" s="42">
        <f>IF(OR(A662="",O662="",I662="",J662=""),"",IFERROR((P662-J662)/(O662-I662),""))</f>
        <v/>
      </c>
    </row>
    <row r="663">
      <c r="A663" s="36" t="n"/>
      <c r="B663" s="32" t="n"/>
      <c r="C663" s="37" t="n"/>
      <c r="D663" s="31" t="n"/>
      <c r="E663" s="32" t="n"/>
      <c r="F663" s="32" t="n"/>
      <c r="G663" s="32" t="n"/>
      <c r="H663" s="36" t="n"/>
      <c r="I663" s="31" t="n"/>
      <c r="J663" s="38" t="n"/>
      <c r="K663" s="32" t="n"/>
      <c r="L663" s="34">
        <f>IF(OR(A663="",D663=""),"",IF(D663&gt;Config!$B$5,0,DATEDIF(D663,Config!$B$5,"m")))</f>
        <v/>
      </c>
      <c r="M663" s="39">
        <f>IF(A663="","",IF(K663&lt;&gt;"",K663,IF(OR(C663="",D663=""),"Sem dados",IFERROR(IF(C663="M",INDEX(Config!$B$11:$B$14,MATCH(L663,Config!$A$11:$A$14,1)),IF(C663="F",INDEX(Config!$C$11:$C$14,MATCH(L663,Config!$A$11:$A$14,1)),"Sem dados")),"Verificar"))))</f>
        <v/>
      </c>
      <c r="N663" s="39">
        <f>IF(A663="","",IF(COUNTIFS('Movimentações'!$C$6:$C$1505,A663,'Movimentações'!$B$6:$B$1505,"Venda")&gt;0,"Vendido",IF(COUNTIFS('Movimentações'!$C$6:$C$1505,A663,'Movimentações'!$B$6:$B$1505,"Morte")&gt;0,"Morto","Ativo")))</f>
        <v/>
      </c>
      <c r="O663" s="40">
        <f>IF(A663="","",IF(COUNTIF('Pesagens'!$B$6:$B$2005,A663)=0,"",SUMPRODUCT(MAX(('Pesagens'!$B$6:$B$2005=A663)*'Pesagens'!$A$6:$A$2005))))</f>
        <v/>
      </c>
      <c r="P663" s="41">
        <f>IF(A663="","",IF(O663="",IF(J663="","",J663),IFERROR(AVERAGEIFS('Pesagens'!$C$6:$C$2005,'Pesagens'!$B$6:$B$2005,A663,'Pesagens'!$A$6:$A$2005,O663),"")))</f>
        <v/>
      </c>
      <c r="Q663" s="42">
        <f>IF(OR(A663="",O663="",I663="",J663=""),"",IFERROR((P663-J663)/(O663-I663),""))</f>
        <v/>
      </c>
    </row>
    <row r="664">
      <c r="A664" s="36" t="n"/>
      <c r="B664" s="32" t="n"/>
      <c r="C664" s="37" t="n"/>
      <c r="D664" s="31" t="n"/>
      <c r="E664" s="32" t="n"/>
      <c r="F664" s="32" t="n"/>
      <c r="G664" s="32" t="n"/>
      <c r="H664" s="36" t="n"/>
      <c r="I664" s="31" t="n"/>
      <c r="J664" s="38" t="n"/>
      <c r="K664" s="32" t="n"/>
      <c r="L664" s="34">
        <f>IF(OR(A664="",D664=""),"",IF(D664&gt;Config!$B$5,0,DATEDIF(D664,Config!$B$5,"m")))</f>
        <v/>
      </c>
      <c r="M664" s="39">
        <f>IF(A664="","",IF(K664&lt;&gt;"",K664,IF(OR(C664="",D664=""),"Sem dados",IFERROR(IF(C664="M",INDEX(Config!$B$11:$B$14,MATCH(L664,Config!$A$11:$A$14,1)),IF(C664="F",INDEX(Config!$C$11:$C$14,MATCH(L664,Config!$A$11:$A$14,1)),"Sem dados")),"Verificar"))))</f>
        <v/>
      </c>
      <c r="N664" s="39">
        <f>IF(A664="","",IF(COUNTIFS('Movimentações'!$C$6:$C$1505,A664,'Movimentações'!$B$6:$B$1505,"Venda")&gt;0,"Vendido",IF(COUNTIFS('Movimentações'!$C$6:$C$1505,A664,'Movimentações'!$B$6:$B$1505,"Morte")&gt;0,"Morto","Ativo")))</f>
        <v/>
      </c>
      <c r="O664" s="40">
        <f>IF(A664="","",IF(COUNTIF('Pesagens'!$B$6:$B$2005,A664)=0,"",SUMPRODUCT(MAX(('Pesagens'!$B$6:$B$2005=A664)*'Pesagens'!$A$6:$A$2005))))</f>
        <v/>
      </c>
      <c r="P664" s="41">
        <f>IF(A664="","",IF(O664="",IF(J664="","",J664),IFERROR(AVERAGEIFS('Pesagens'!$C$6:$C$2005,'Pesagens'!$B$6:$B$2005,A664,'Pesagens'!$A$6:$A$2005,O664),"")))</f>
        <v/>
      </c>
      <c r="Q664" s="42">
        <f>IF(OR(A664="",O664="",I664="",J664=""),"",IFERROR((P664-J664)/(O664-I664),""))</f>
        <v/>
      </c>
    </row>
    <row r="665">
      <c r="A665" s="36" t="n"/>
      <c r="B665" s="32" t="n"/>
      <c r="C665" s="37" t="n"/>
      <c r="D665" s="31" t="n"/>
      <c r="E665" s="32" t="n"/>
      <c r="F665" s="32" t="n"/>
      <c r="G665" s="32" t="n"/>
      <c r="H665" s="36" t="n"/>
      <c r="I665" s="31" t="n"/>
      <c r="J665" s="38" t="n"/>
      <c r="K665" s="32" t="n"/>
      <c r="L665" s="34">
        <f>IF(OR(A665="",D665=""),"",IF(D665&gt;Config!$B$5,0,DATEDIF(D665,Config!$B$5,"m")))</f>
        <v/>
      </c>
      <c r="M665" s="39">
        <f>IF(A665="","",IF(K665&lt;&gt;"",K665,IF(OR(C665="",D665=""),"Sem dados",IFERROR(IF(C665="M",INDEX(Config!$B$11:$B$14,MATCH(L665,Config!$A$11:$A$14,1)),IF(C665="F",INDEX(Config!$C$11:$C$14,MATCH(L665,Config!$A$11:$A$14,1)),"Sem dados")),"Verificar"))))</f>
        <v/>
      </c>
      <c r="N665" s="39">
        <f>IF(A665="","",IF(COUNTIFS('Movimentações'!$C$6:$C$1505,A665,'Movimentações'!$B$6:$B$1505,"Venda")&gt;0,"Vendido",IF(COUNTIFS('Movimentações'!$C$6:$C$1505,A665,'Movimentações'!$B$6:$B$1505,"Morte")&gt;0,"Morto","Ativo")))</f>
        <v/>
      </c>
      <c r="O665" s="40">
        <f>IF(A665="","",IF(COUNTIF('Pesagens'!$B$6:$B$2005,A665)=0,"",SUMPRODUCT(MAX(('Pesagens'!$B$6:$B$2005=A665)*'Pesagens'!$A$6:$A$2005))))</f>
        <v/>
      </c>
      <c r="P665" s="41">
        <f>IF(A665="","",IF(O665="",IF(J665="","",J665),IFERROR(AVERAGEIFS('Pesagens'!$C$6:$C$2005,'Pesagens'!$B$6:$B$2005,A665,'Pesagens'!$A$6:$A$2005,O665),"")))</f>
        <v/>
      </c>
      <c r="Q665" s="42">
        <f>IF(OR(A665="",O665="",I665="",J665=""),"",IFERROR((P665-J665)/(O665-I665),""))</f>
        <v/>
      </c>
    </row>
    <row r="666">
      <c r="A666" s="36" t="n"/>
      <c r="B666" s="32" t="n"/>
      <c r="C666" s="37" t="n"/>
      <c r="D666" s="31" t="n"/>
      <c r="E666" s="32" t="n"/>
      <c r="F666" s="32" t="n"/>
      <c r="G666" s="32" t="n"/>
      <c r="H666" s="36" t="n"/>
      <c r="I666" s="31" t="n"/>
      <c r="J666" s="38" t="n"/>
      <c r="K666" s="32" t="n"/>
      <c r="L666" s="34">
        <f>IF(OR(A666="",D666=""),"",IF(D666&gt;Config!$B$5,0,DATEDIF(D666,Config!$B$5,"m")))</f>
        <v/>
      </c>
      <c r="M666" s="39">
        <f>IF(A666="","",IF(K666&lt;&gt;"",K666,IF(OR(C666="",D666=""),"Sem dados",IFERROR(IF(C666="M",INDEX(Config!$B$11:$B$14,MATCH(L666,Config!$A$11:$A$14,1)),IF(C666="F",INDEX(Config!$C$11:$C$14,MATCH(L666,Config!$A$11:$A$14,1)),"Sem dados")),"Verificar"))))</f>
        <v/>
      </c>
      <c r="N666" s="39">
        <f>IF(A666="","",IF(COUNTIFS('Movimentações'!$C$6:$C$1505,A666,'Movimentações'!$B$6:$B$1505,"Venda")&gt;0,"Vendido",IF(COUNTIFS('Movimentações'!$C$6:$C$1505,A666,'Movimentações'!$B$6:$B$1505,"Morte")&gt;0,"Morto","Ativo")))</f>
        <v/>
      </c>
      <c r="O666" s="40">
        <f>IF(A666="","",IF(COUNTIF('Pesagens'!$B$6:$B$2005,A666)=0,"",SUMPRODUCT(MAX(('Pesagens'!$B$6:$B$2005=A666)*'Pesagens'!$A$6:$A$2005))))</f>
        <v/>
      </c>
      <c r="P666" s="41">
        <f>IF(A666="","",IF(O666="",IF(J666="","",J666),IFERROR(AVERAGEIFS('Pesagens'!$C$6:$C$2005,'Pesagens'!$B$6:$B$2005,A666,'Pesagens'!$A$6:$A$2005,O666),"")))</f>
        <v/>
      </c>
      <c r="Q666" s="42">
        <f>IF(OR(A666="",O666="",I666="",J666=""),"",IFERROR((P666-J666)/(O666-I666),""))</f>
        <v/>
      </c>
    </row>
    <row r="667">
      <c r="A667" s="36" t="n"/>
      <c r="B667" s="32" t="n"/>
      <c r="C667" s="37" t="n"/>
      <c r="D667" s="31" t="n"/>
      <c r="E667" s="32" t="n"/>
      <c r="F667" s="32" t="n"/>
      <c r="G667" s="32" t="n"/>
      <c r="H667" s="36" t="n"/>
      <c r="I667" s="31" t="n"/>
      <c r="J667" s="38" t="n"/>
      <c r="K667" s="32" t="n"/>
      <c r="L667" s="34">
        <f>IF(OR(A667="",D667=""),"",IF(D667&gt;Config!$B$5,0,DATEDIF(D667,Config!$B$5,"m")))</f>
        <v/>
      </c>
      <c r="M667" s="39">
        <f>IF(A667="","",IF(K667&lt;&gt;"",K667,IF(OR(C667="",D667=""),"Sem dados",IFERROR(IF(C667="M",INDEX(Config!$B$11:$B$14,MATCH(L667,Config!$A$11:$A$14,1)),IF(C667="F",INDEX(Config!$C$11:$C$14,MATCH(L667,Config!$A$11:$A$14,1)),"Sem dados")),"Verificar"))))</f>
        <v/>
      </c>
      <c r="N667" s="39">
        <f>IF(A667="","",IF(COUNTIFS('Movimentações'!$C$6:$C$1505,A667,'Movimentações'!$B$6:$B$1505,"Venda")&gt;0,"Vendido",IF(COUNTIFS('Movimentações'!$C$6:$C$1505,A667,'Movimentações'!$B$6:$B$1505,"Morte")&gt;0,"Morto","Ativo")))</f>
        <v/>
      </c>
      <c r="O667" s="40">
        <f>IF(A667="","",IF(COUNTIF('Pesagens'!$B$6:$B$2005,A667)=0,"",SUMPRODUCT(MAX(('Pesagens'!$B$6:$B$2005=A667)*'Pesagens'!$A$6:$A$2005))))</f>
        <v/>
      </c>
      <c r="P667" s="41">
        <f>IF(A667="","",IF(O667="",IF(J667="","",J667),IFERROR(AVERAGEIFS('Pesagens'!$C$6:$C$2005,'Pesagens'!$B$6:$B$2005,A667,'Pesagens'!$A$6:$A$2005,O667),"")))</f>
        <v/>
      </c>
      <c r="Q667" s="42">
        <f>IF(OR(A667="",O667="",I667="",J667=""),"",IFERROR((P667-J667)/(O667-I667),""))</f>
        <v/>
      </c>
    </row>
    <row r="668">
      <c r="A668" s="36" t="n"/>
      <c r="B668" s="32" t="n"/>
      <c r="C668" s="37" t="n"/>
      <c r="D668" s="31" t="n"/>
      <c r="E668" s="32" t="n"/>
      <c r="F668" s="32" t="n"/>
      <c r="G668" s="32" t="n"/>
      <c r="H668" s="36" t="n"/>
      <c r="I668" s="31" t="n"/>
      <c r="J668" s="38" t="n"/>
      <c r="K668" s="32" t="n"/>
      <c r="L668" s="34">
        <f>IF(OR(A668="",D668=""),"",IF(D668&gt;Config!$B$5,0,DATEDIF(D668,Config!$B$5,"m")))</f>
        <v/>
      </c>
      <c r="M668" s="39">
        <f>IF(A668="","",IF(K668&lt;&gt;"",K668,IF(OR(C668="",D668=""),"Sem dados",IFERROR(IF(C668="M",INDEX(Config!$B$11:$B$14,MATCH(L668,Config!$A$11:$A$14,1)),IF(C668="F",INDEX(Config!$C$11:$C$14,MATCH(L668,Config!$A$11:$A$14,1)),"Sem dados")),"Verificar"))))</f>
        <v/>
      </c>
      <c r="N668" s="39">
        <f>IF(A668="","",IF(COUNTIFS('Movimentações'!$C$6:$C$1505,A668,'Movimentações'!$B$6:$B$1505,"Venda")&gt;0,"Vendido",IF(COUNTIFS('Movimentações'!$C$6:$C$1505,A668,'Movimentações'!$B$6:$B$1505,"Morte")&gt;0,"Morto","Ativo")))</f>
        <v/>
      </c>
      <c r="O668" s="40">
        <f>IF(A668="","",IF(COUNTIF('Pesagens'!$B$6:$B$2005,A668)=0,"",SUMPRODUCT(MAX(('Pesagens'!$B$6:$B$2005=A668)*'Pesagens'!$A$6:$A$2005))))</f>
        <v/>
      </c>
      <c r="P668" s="41">
        <f>IF(A668="","",IF(O668="",IF(J668="","",J668),IFERROR(AVERAGEIFS('Pesagens'!$C$6:$C$2005,'Pesagens'!$B$6:$B$2005,A668,'Pesagens'!$A$6:$A$2005,O668),"")))</f>
        <v/>
      </c>
      <c r="Q668" s="42">
        <f>IF(OR(A668="",O668="",I668="",J668=""),"",IFERROR((P668-J668)/(O668-I668),""))</f>
        <v/>
      </c>
    </row>
    <row r="669">
      <c r="A669" s="36" t="n"/>
      <c r="B669" s="32" t="n"/>
      <c r="C669" s="37" t="n"/>
      <c r="D669" s="31" t="n"/>
      <c r="E669" s="32" t="n"/>
      <c r="F669" s="32" t="n"/>
      <c r="G669" s="32" t="n"/>
      <c r="H669" s="36" t="n"/>
      <c r="I669" s="31" t="n"/>
      <c r="J669" s="38" t="n"/>
      <c r="K669" s="32" t="n"/>
      <c r="L669" s="34">
        <f>IF(OR(A669="",D669=""),"",IF(D669&gt;Config!$B$5,0,DATEDIF(D669,Config!$B$5,"m")))</f>
        <v/>
      </c>
      <c r="M669" s="39">
        <f>IF(A669="","",IF(K669&lt;&gt;"",K669,IF(OR(C669="",D669=""),"Sem dados",IFERROR(IF(C669="M",INDEX(Config!$B$11:$B$14,MATCH(L669,Config!$A$11:$A$14,1)),IF(C669="F",INDEX(Config!$C$11:$C$14,MATCH(L669,Config!$A$11:$A$14,1)),"Sem dados")),"Verificar"))))</f>
        <v/>
      </c>
      <c r="N669" s="39">
        <f>IF(A669="","",IF(COUNTIFS('Movimentações'!$C$6:$C$1505,A669,'Movimentações'!$B$6:$B$1505,"Venda")&gt;0,"Vendido",IF(COUNTIFS('Movimentações'!$C$6:$C$1505,A669,'Movimentações'!$B$6:$B$1505,"Morte")&gt;0,"Morto","Ativo")))</f>
        <v/>
      </c>
      <c r="O669" s="40">
        <f>IF(A669="","",IF(COUNTIF('Pesagens'!$B$6:$B$2005,A669)=0,"",SUMPRODUCT(MAX(('Pesagens'!$B$6:$B$2005=A669)*'Pesagens'!$A$6:$A$2005))))</f>
        <v/>
      </c>
      <c r="P669" s="41">
        <f>IF(A669="","",IF(O669="",IF(J669="","",J669),IFERROR(AVERAGEIFS('Pesagens'!$C$6:$C$2005,'Pesagens'!$B$6:$B$2005,A669,'Pesagens'!$A$6:$A$2005,O669),"")))</f>
        <v/>
      </c>
      <c r="Q669" s="42">
        <f>IF(OR(A669="",O669="",I669="",J669=""),"",IFERROR((P669-J669)/(O669-I669),""))</f>
        <v/>
      </c>
    </row>
    <row r="670">
      <c r="A670" s="36" t="n"/>
      <c r="B670" s="32" t="n"/>
      <c r="C670" s="37" t="n"/>
      <c r="D670" s="31" t="n"/>
      <c r="E670" s="32" t="n"/>
      <c r="F670" s="32" t="n"/>
      <c r="G670" s="32" t="n"/>
      <c r="H670" s="36" t="n"/>
      <c r="I670" s="31" t="n"/>
      <c r="J670" s="38" t="n"/>
      <c r="K670" s="32" t="n"/>
      <c r="L670" s="34">
        <f>IF(OR(A670="",D670=""),"",IF(D670&gt;Config!$B$5,0,DATEDIF(D670,Config!$B$5,"m")))</f>
        <v/>
      </c>
      <c r="M670" s="39">
        <f>IF(A670="","",IF(K670&lt;&gt;"",K670,IF(OR(C670="",D670=""),"Sem dados",IFERROR(IF(C670="M",INDEX(Config!$B$11:$B$14,MATCH(L670,Config!$A$11:$A$14,1)),IF(C670="F",INDEX(Config!$C$11:$C$14,MATCH(L670,Config!$A$11:$A$14,1)),"Sem dados")),"Verificar"))))</f>
        <v/>
      </c>
      <c r="N670" s="39">
        <f>IF(A670="","",IF(COUNTIFS('Movimentações'!$C$6:$C$1505,A670,'Movimentações'!$B$6:$B$1505,"Venda")&gt;0,"Vendido",IF(COUNTIFS('Movimentações'!$C$6:$C$1505,A670,'Movimentações'!$B$6:$B$1505,"Morte")&gt;0,"Morto","Ativo")))</f>
        <v/>
      </c>
      <c r="O670" s="40">
        <f>IF(A670="","",IF(COUNTIF('Pesagens'!$B$6:$B$2005,A670)=0,"",SUMPRODUCT(MAX(('Pesagens'!$B$6:$B$2005=A670)*'Pesagens'!$A$6:$A$2005))))</f>
        <v/>
      </c>
      <c r="P670" s="41">
        <f>IF(A670="","",IF(O670="",IF(J670="","",J670),IFERROR(AVERAGEIFS('Pesagens'!$C$6:$C$2005,'Pesagens'!$B$6:$B$2005,A670,'Pesagens'!$A$6:$A$2005,O670),"")))</f>
        <v/>
      </c>
      <c r="Q670" s="42">
        <f>IF(OR(A670="",O670="",I670="",J670=""),"",IFERROR((P670-J670)/(O670-I670),""))</f>
        <v/>
      </c>
    </row>
    <row r="671">
      <c r="A671" s="36" t="n"/>
      <c r="B671" s="32" t="n"/>
      <c r="C671" s="37" t="n"/>
      <c r="D671" s="31" t="n"/>
      <c r="E671" s="32" t="n"/>
      <c r="F671" s="32" t="n"/>
      <c r="G671" s="32" t="n"/>
      <c r="H671" s="36" t="n"/>
      <c r="I671" s="31" t="n"/>
      <c r="J671" s="38" t="n"/>
      <c r="K671" s="32" t="n"/>
      <c r="L671" s="34">
        <f>IF(OR(A671="",D671=""),"",IF(D671&gt;Config!$B$5,0,DATEDIF(D671,Config!$B$5,"m")))</f>
        <v/>
      </c>
      <c r="M671" s="39">
        <f>IF(A671="","",IF(K671&lt;&gt;"",K671,IF(OR(C671="",D671=""),"Sem dados",IFERROR(IF(C671="M",INDEX(Config!$B$11:$B$14,MATCH(L671,Config!$A$11:$A$14,1)),IF(C671="F",INDEX(Config!$C$11:$C$14,MATCH(L671,Config!$A$11:$A$14,1)),"Sem dados")),"Verificar"))))</f>
        <v/>
      </c>
      <c r="N671" s="39">
        <f>IF(A671="","",IF(COUNTIFS('Movimentações'!$C$6:$C$1505,A671,'Movimentações'!$B$6:$B$1505,"Venda")&gt;0,"Vendido",IF(COUNTIFS('Movimentações'!$C$6:$C$1505,A671,'Movimentações'!$B$6:$B$1505,"Morte")&gt;0,"Morto","Ativo")))</f>
        <v/>
      </c>
      <c r="O671" s="40">
        <f>IF(A671="","",IF(COUNTIF('Pesagens'!$B$6:$B$2005,A671)=0,"",SUMPRODUCT(MAX(('Pesagens'!$B$6:$B$2005=A671)*'Pesagens'!$A$6:$A$2005))))</f>
        <v/>
      </c>
      <c r="P671" s="41">
        <f>IF(A671="","",IF(O671="",IF(J671="","",J671),IFERROR(AVERAGEIFS('Pesagens'!$C$6:$C$2005,'Pesagens'!$B$6:$B$2005,A671,'Pesagens'!$A$6:$A$2005,O671),"")))</f>
        <v/>
      </c>
      <c r="Q671" s="42">
        <f>IF(OR(A671="",O671="",I671="",J671=""),"",IFERROR((P671-J671)/(O671-I671),""))</f>
        <v/>
      </c>
    </row>
    <row r="672">
      <c r="A672" s="36" t="n"/>
      <c r="B672" s="32" t="n"/>
      <c r="C672" s="37" t="n"/>
      <c r="D672" s="31" t="n"/>
      <c r="E672" s="32" t="n"/>
      <c r="F672" s="32" t="n"/>
      <c r="G672" s="32" t="n"/>
      <c r="H672" s="36" t="n"/>
      <c r="I672" s="31" t="n"/>
      <c r="J672" s="38" t="n"/>
      <c r="K672" s="32" t="n"/>
      <c r="L672" s="34">
        <f>IF(OR(A672="",D672=""),"",IF(D672&gt;Config!$B$5,0,DATEDIF(D672,Config!$B$5,"m")))</f>
        <v/>
      </c>
      <c r="M672" s="39">
        <f>IF(A672="","",IF(K672&lt;&gt;"",K672,IF(OR(C672="",D672=""),"Sem dados",IFERROR(IF(C672="M",INDEX(Config!$B$11:$B$14,MATCH(L672,Config!$A$11:$A$14,1)),IF(C672="F",INDEX(Config!$C$11:$C$14,MATCH(L672,Config!$A$11:$A$14,1)),"Sem dados")),"Verificar"))))</f>
        <v/>
      </c>
      <c r="N672" s="39">
        <f>IF(A672="","",IF(COUNTIFS('Movimentações'!$C$6:$C$1505,A672,'Movimentações'!$B$6:$B$1505,"Venda")&gt;0,"Vendido",IF(COUNTIFS('Movimentações'!$C$6:$C$1505,A672,'Movimentações'!$B$6:$B$1505,"Morte")&gt;0,"Morto","Ativo")))</f>
        <v/>
      </c>
      <c r="O672" s="40">
        <f>IF(A672="","",IF(COUNTIF('Pesagens'!$B$6:$B$2005,A672)=0,"",SUMPRODUCT(MAX(('Pesagens'!$B$6:$B$2005=A672)*'Pesagens'!$A$6:$A$2005))))</f>
        <v/>
      </c>
      <c r="P672" s="41">
        <f>IF(A672="","",IF(O672="",IF(J672="","",J672),IFERROR(AVERAGEIFS('Pesagens'!$C$6:$C$2005,'Pesagens'!$B$6:$B$2005,A672,'Pesagens'!$A$6:$A$2005,O672),"")))</f>
        <v/>
      </c>
      <c r="Q672" s="42">
        <f>IF(OR(A672="",O672="",I672="",J672=""),"",IFERROR((P672-J672)/(O672-I672),""))</f>
        <v/>
      </c>
    </row>
    <row r="673">
      <c r="A673" s="36" t="n"/>
      <c r="B673" s="32" t="n"/>
      <c r="C673" s="37" t="n"/>
      <c r="D673" s="31" t="n"/>
      <c r="E673" s="32" t="n"/>
      <c r="F673" s="32" t="n"/>
      <c r="G673" s="32" t="n"/>
      <c r="H673" s="36" t="n"/>
      <c r="I673" s="31" t="n"/>
      <c r="J673" s="38" t="n"/>
      <c r="K673" s="32" t="n"/>
      <c r="L673" s="34">
        <f>IF(OR(A673="",D673=""),"",IF(D673&gt;Config!$B$5,0,DATEDIF(D673,Config!$B$5,"m")))</f>
        <v/>
      </c>
      <c r="M673" s="39">
        <f>IF(A673="","",IF(K673&lt;&gt;"",K673,IF(OR(C673="",D673=""),"Sem dados",IFERROR(IF(C673="M",INDEX(Config!$B$11:$B$14,MATCH(L673,Config!$A$11:$A$14,1)),IF(C673="F",INDEX(Config!$C$11:$C$14,MATCH(L673,Config!$A$11:$A$14,1)),"Sem dados")),"Verificar"))))</f>
        <v/>
      </c>
      <c r="N673" s="39">
        <f>IF(A673="","",IF(COUNTIFS('Movimentações'!$C$6:$C$1505,A673,'Movimentações'!$B$6:$B$1505,"Venda")&gt;0,"Vendido",IF(COUNTIFS('Movimentações'!$C$6:$C$1505,A673,'Movimentações'!$B$6:$B$1505,"Morte")&gt;0,"Morto","Ativo")))</f>
        <v/>
      </c>
      <c r="O673" s="40">
        <f>IF(A673="","",IF(COUNTIF('Pesagens'!$B$6:$B$2005,A673)=0,"",SUMPRODUCT(MAX(('Pesagens'!$B$6:$B$2005=A673)*'Pesagens'!$A$6:$A$2005))))</f>
        <v/>
      </c>
      <c r="P673" s="41">
        <f>IF(A673="","",IF(O673="",IF(J673="","",J673),IFERROR(AVERAGEIFS('Pesagens'!$C$6:$C$2005,'Pesagens'!$B$6:$B$2005,A673,'Pesagens'!$A$6:$A$2005,O673),"")))</f>
        <v/>
      </c>
      <c r="Q673" s="42">
        <f>IF(OR(A673="",O673="",I673="",J673=""),"",IFERROR((P673-J673)/(O673-I673),""))</f>
        <v/>
      </c>
    </row>
    <row r="674">
      <c r="A674" s="36" t="n"/>
      <c r="B674" s="32" t="n"/>
      <c r="C674" s="37" t="n"/>
      <c r="D674" s="31" t="n"/>
      <c r="E674" s="32" t="n"/>
      <c r="F674" s="32" t="n"/>
      <c r="G674" s="32" t="n"/>
      <c r="H674" s="36" t="n"/>
      <c r="I674" s="31" t="n"/>
      <c r="J674" s="38" t="n"/>
      <c r="K674" s="32" t="n"/>
      <c r="L674" s="34">
        <f>IF(OR(A674="",D674=""),"",IF(D674&gt;Config!$B$5,0,DATEDIF(D674,Config!$B$5,"m")))</f>
        <v/>
      </c>
      <c r="M674" s="39">
        <f>IF(A674="","",IF(K674&lt;&gt;"",K674,IF(OR(C674="",D674=""),"Sem dados",IFERROR(IF(C674="M",INDEX(Config!$B$11:$B$14,MATCH(L674,Config!$A$11:$A$14,1)),IF(C674="F",INDEX(Config!$C$11:$C$14,MATCH(L674,Config!$A$11:$A$14,1)),"Sem dados")),"Verificar"))))</f>
        <v/>
      </c>
      <c r="N674" s="39">
        <f>IF(A674="","",IF(COUNTIFS('Movimentações'!$C$6:$C$1505,A674,'Movimentações'!$B$6:$B$1505,"Venda")&gt;0,"Vendido",IF(COUNTIFS('Movimentações'!$C$6:$C$1505,A674,'Movimentações'!$B$6:$B$1505,"Morte")&gt;0,"Morto","Ativo")))</f>
        <v/>
      </c>
      <c r="O674" s="40">
        <f>IF(A674="","",IF(COUNTIF('Pesagens'!$B$6:$B$2005,A674)=0,"",SUMPRODUCT(MAX(('Pesagens'!$B$6:$B$2005=A674)*'Pesagens'!$A$6:$A$2005))))</f>
        <v/>
      </c>
      <c r="P674" s="41">
        <f>IF(A674="","",IF(O674="",IF(J674="","",J674),IFERROR(AVERAGEIFS('Pesagens'!$C$6:$C$2005,'Pesagens'!$B$6:$B$2005,A674,'Pesagens'!$A$6:$A$2005,O674),"")))</f>
        <v/>
      </c>
      <c r="Q674" s="42">
        <f>IF(OR(A674="",O674="",I674="",J674=""),"",IFERROR((P674-J674)/(O674-I674),""))</f>
        <v/>
      </c>
    </row>
    <row r="675">
      <c r="A675" s="36" t="n"/>
      <c r="B675" s="32" t="n"/>
      <c r="C675" s="37" t="n"/>
      <c r="D675" s="31" t="n"/>
      <c r="E675" s="32" t="n"/>
      <c r="F675" s="32" t="n"/>
      <c r="G675" s="32" t="n"/>
      <c r="H675" s="36" t="n"/>
      <c r="I675" s="31" t="n"/>
      <c r="J675" s="38" t="n"/>
      <c r="K675" s="32" t="n"/>
      <c r="L675" s="34">
        <f>IF(OR(A675="",D675=""),"",IF(D675&gt;Config!$B$5,0,DATEDIF(D675,Config!$B$5,"m")))</f>
        <v/>
      </c>
      <c r="M675" s="39">
        <f>IF(A675="","",IF(K675&lt;&gt;"",K675,IF(OR(C675="",D675=""),"Sem dados",IFERROR(IF(C675="M",INDEX(Config!$B$11:$B$14,MATCH(L675,Config!$A$11:$A$14,1)),IF(C675="F",INDEX(Config!$C$11:$C$14,MATCH(L675,Config!$A$11:$A$14,1)),"Sem dados")),"Verificar"))))</f>
        <v/>
      </c>
      <c r="N675" s="39">
        <f>IF(A675="","",IF(COUNTIFS('Movimentações'!$C$6:$C$1505,A675,'Movimentações'!$B$6:$B$1505,"Venda")&gt;0,"Vendido",IF(COUNTIFS('Movimentações'!$C$6:$C$1505,A675,'Movimentações'!$B$6:$B$1505,"Morte")&gt;0,"Morto","Ativo")))</f>
        <v/>
      </c>
      <c r="O675" s="40">
        <f>IF(A675="","",IF(COUNTIF('Pesagens'!$B$6:$B$2005,A675)=0,"",SUMPRODUCT(MAX(('Pesagens'!$B$6:$B$2005=A675)*'Pesagens'!$A$6:$A$2005))))</f>
        <v/>
      </c>
      <c r="P675" s="41">
        <f>IF(A675="","",IF(O675="",IF(J675="","",J675),IFERROR(AVERAGEIFS('Pesagens'!$C$6:$C$2005,'Pesagens'!$B$6:$B$2005,A675,'Pesagens'!$A$6:$A$2005,O675),"")))</f>
        <v/>
      </c>
      <c r="Q675" s="42">
        <f>IF(OR(A675="",O675="",I675="",J675=""),"",IFERROR((P675-J675)/(O675-I675),""))</f>
        <v/>
      </c>
    </row>
    <row r="676">
      <c r="A676" s="36" t="n"/>
      <c r="B676" s="32" t="n"/>
      <c r="C676" s="37" t="n"/>
      <c r="D676" s="31" t="n"/>
      <c r="E676" s="32" t="n"/>
      <c r="F676" s="32" t="n"/>
      <c r="G676" s="32" t="n"/>
      <c r="H676" s="36" t="n"/>
      <c r="I676" s="31" t="n"/>
      <c r="J676" s="38" t="n"/>
      <c r="K676" s="32" t="n"/>
      <c r="L676" s="34">
        <f>IF(OR(A676="",D676=""),"",IF(D676&gt;Config!$B$5,0,DATEDIF(D676,Config!$B$5,"m")))</f>
        <v/>
      </c>
      <c r="M676" s="39">
        <f>IF(A676="","",IF(K676&lt;&gt;"",K676,IF(OR(C676="",D676=""),"Sem dados",IFERROR(IF(C676="M",INDEX(Config!$B$11:$B$14,MATCH(L676,Config!$A$11:$A$14,1)),IF(C676="F",INDEX(Config!$C$11:$C$14,MATCH(L676,Config!$A$11:$A$14,1)),"Sem dados")),"Verificar"))))</f>
        <v/>
      </c>
      <c r="N676" s="39">
        <f>IF(A676="","",IF(COUNTIFS('Movimentações'!$C$6:$C$1505,A676,'Movimentações'!$B$6:$B$1505,"Venda")&gt;0,"Vendido",IF(COUNTIFS('Movimentações'!$C$6:$C$1505,A676,'Movimentações'!$B$6:$B$1505,"Morte")&gt;0,"Morto","Ativo")))</f>
        <v/>
      </c>
      <c r="O676" s="40">
        <f>IF(A676="","",IF(COUNTIF('Pesagens'!$B$6:$B$2005,A676)=0,"",SUMPRODUCT(MAX(('Pesagens'!$B$6:$B$2005=A676)*'Pesagens'!$A$6:$A$2005))))</f>
        <v/>
      </c>
      <c r="P676" s="41">
        <f>IF(A676="","",IF(O676="",IF(J676="","",J676),IFERROR(AVERAGEIFS('Pesagens'!$C$6:$C$2005,'Pesagens'!$B$6:$B$2005,A676,'Pesagens'!$A$6:$A$2005,O676),"")))</f>
        <v/>
      </c>
      <c r="Q676" s="42">
        <f>IF(OR(A676="",O676="",I676="",J676=""),"",IFERROR((P676-J676)/(O676-I676),""))</f>
        <v/>
      </c>
    </row>
    <row r="677">
      <c r="A677" s="36" t="n"/>
      <c r="B677" s="32" t="n"/>
      <c r="C677" s="37" t="n"/>
      <c r="D677" s="31" t="n"/>
      <c r="E677" s="32" t="n"/>
      <c r="F677" s="32" t="n"/>
      <c r="G677" s="32" t="n"/>
      <c r="H677" s="36" t="n"/>
      <c r="I677" s="31" t="n"/>
      <c r="J677" s="38" t="n"/>
      <c r="K677" s="32" t="n"/>
      <c r="L677" s="34">
        <f>IF(OR(A677="",D677=""),"",IF(D677&gt;Config!$B$5,0,DATEDIF(D677,Config!$B$5,"m")))</f>
        <v/>
      </c>
      <c r="M677" s="39">
        <f>IF(A677="","",IF(K677&lt;&gt;"",K677,IF(OR(C677="",D677=""),"Sem dados",IFERROR(IF(C677="M",INDEX(Config!$B$11:$B$14,MATCH(L677,Config!$A$11:$A$14,1)),IF(C677="F",INDEX(Config!$C$11:$C$14,MATCH(L677,Config!$A$11:$A$14,1)),"Sem dados")),"Verificar"))))</f>
        <v/>
      </c>
      <c r="N677" s="39">
        <f>IF(A677="","",IF(COUNTIFS('Movimentações'!$C$6:$C$1505,A677,'Movimentações'!$B$6:$B$1505,"Venda")&gt;0,"Vendido",IF(COUNTIFS('Movimentações'!$C$6:$C$1505,A677,'Movimentações'!$B$6:$B$1505,"Morte")&gt;0,"Morto","Ativo")))</f>
        <v/>
      </c>
      <c r="O677" s="40">
        <f>IF(A677="","",IF(COUNTIF('Pesagens'!$B$6:$B$2005,A677)=0,"",SUMPRODUCT(MAX(('Pesagens'!$B$6:$B$2005=A677)*'Pesagens'!$A$6:$A$2005))))</f>
        <v/>
      </c>
      <c r="P677" s="41">
        <f>IF(A677="","",IF(O677="",IF(J677="","",J677),IFERROR(AVERAGEIFS('Pesagens'!$C$6:$C$2005,'Pesagens'!$B$6:$B$2005,A677,'Pesagens'!$A$6:$A$2005,O677),"")))</f>
        <v/>
      </c>
      <c r="Q677" s="42">
        <f>IF(OR(A677="",O677="",I677="",J677=""),"",IFERROR((P677-J677)/(O677-I677),""))</f>
        <v/>
      </c>
    </row>
    <row r="678">
      <c r="A678" s="36" t="n"/>
      <c r="B678" s="32" t="n"/>
      <c r="C678" s="37" t="n"/>
      <c r="D678" s="31" t="n"/>
      <c r="E678" s="32" t="n"/>
      <c r="F678" s="32" t="n"/>
      <c r="G678" s="32" t="n"/>
      <c r="H678" s="36" t="n"/>
      <c r="I678" s="31" t="n"/>
      <c r="J678" s="38" t="n"/>
      <c r="K678" s="32" t="n"/>
      <c r="L678" s="34">
        <f>IF(OR(A678="",D678=""),"",IF(D678&gt;Config!$B$5,0,DATEDIF(D678,Config!$B$5,"m")))</f>
        <v/>
      </c>
      <c r="M678" s="39">
        <f>IF(A678="","",IF(K678&lt;&gt;"",K678,IF(OR(C678="",D678=""),"Sem dados",IFERROR(IF(C678="M",INDEX(Config!$B$11:$B$14,MATCH(L678,Config!$A$11:$A$14,1)),IF(C678="F",INDEX(Config!$C$11:$C$14,MATCH(L678,Config!$A$11:$A$14,1)),"Sem dados")),"Verificar"))))</f>
        <v/>
      </c>
      <c r="N678" s="39">
        <f>IF(A678="","",IF(COUNTIFS('Movimentações'!$C$6:$C$1505,A678,'Movimentações'!$B$6:$B$1505,"Venda")&gt;0,"Vendido",IF(COUNTIFS('Movimentações'!$C$6:$C$1505,A678,'Movimentações'!$B$6:$B$1505,"Morte")&gt;0,"Morto","Ativo")))</f>
        <v/>
      </c>
      <c r="O678" s="40">
        <f>IF(A678="","",IF(COUNTIF('Pesagens'!$B$6:$B$2005,A678)=0,"",SUMPRODUCT(MAX(('Pesagens'!$B$6:$B$2005=A678)*'Pesagens'!$A$6:$A$2005))))</f>
        <v/>
      </c>
      <c r="P678" s="41">
        <f>IF(A678="","",IF(O678="",IF(J678="","",J678),IFERROR(AVERAGEIFS('Pesagens'!$C$6:$C$2005,'Pesagens'!$B$6:$B$2005,A678,'Pesagens'!$A$6:$A$2005,O678),"")))</f>
        <v/>
      </c>
      <c r="Q678" s="42">
        <f>IF(OR(A678="",O678="",I678="",J678=""),"",IFERROR((P678-J678)/(O678-I678),""))</f>
        <v/>
      </c>
    </row>
    <row r="679">
      <c r="A679" s="36" t="n"/>
      <c r="B679" s="32" t="n"/>
      <c r="C679" s="37" t="n"/>
      <c r="D679" s="31" t="n"/>
      <c r="E679" s="32" t="n"/>
      <c r="F679" s="32" t="n"/>
      <c r="G679" s="32" t="n"/>
      <c r="H679" s="36" t="n"/>
      <c r="I679" s="31" t="n"/>
      <c r="J679" s="38" t="n"/>
      <c r="K679" s="32" t="n"/>
      <c r="L679" s="34">
        <f>IF(OR(A679="",D679=""),"",IF(D679&gt;Config!$B$5,0,DATEDIF(D679,Config!$B$5,"m")))</f>
        <v/>
      </c>
      <c r="M679" s="39">
        <f>IF(A679="","",IF(K679&lt;&gt;"",K679,IF(OR(C679="",D679=""),"Sem dados",IFERROR(IF(C679="M",INDEX(Config!$B$11:$B$14,MATCH(L679,Config!$A$11:$A$14,1)),IF(C679="F",INDEX(Config!$C$11:$C$14,MATCH(L679,Config!$A$11:$A$14,1)),"Sem dados")),"Verificar"))))</f>
        <v/>
      </c>
      <c r="N679" s="39">
        <f>IF(A679="","",IF(COUNTIFS('Movimentações'!$C$6:$C$1505,A679,'Movimentações'!$B$6:$B$1505,"Venda")&gt;0,"Vendido",IF(COUNTIFS('Movimentações'!$C$6:$C$1505,A679,'Movimentações'!$B$6:$B$1505,"Morte")&gt;0,"Morto","Ativo")))</f>
        <v/>
      </c>
      <c r="O679" s="40">
        <f>IF(A679="","",IF(COUNTIF('Pesagens'!$B$6:$B$2005,A679)=0,"",SUMPRODUCT(MAX(('Pesagens'!$B$6:$B$2005=A679)*'Pesagens'!$A$6:$A$2005))))</f>
        <v/>
      </c>
      <c r="P679" s="41">
        <f>IF(A679="","",IF(O679="",IF(J679="","",J679),IFERROR(AVERAGEIFS('Pesagens'!$C$6:$C$2005,'Pesagens'!$B$6:$B$2005,A679,'Pesagens'!$A$6:$A$2005,O679),"")))</f>
        <v/>
      </c>
      <c r="Q679" s="42">
        <f>IF(OR(A679="",O679="",I679="",J679=""),"",IFERROR((P679-J679)/(O679-I679),""))</f>
        <v/>
      </c>
    </row>
    <row r="680">
      <c r="A680" s="36" t="n"/>
      <c r="B680" s="32" t="n"/>
      <c r="C680" s="37" t="n"/>
      <c r="D680" s="31" t="n"/>
      <c r="E680" s="32" t="n"/>
      <c r="F680" s="32" t="n"/>
      <c r="G680" s="32" t="n"/>
      <c r="H680" s="36" t="n"/>
      <c r="I680" s="31" t="n"/>
      <c r="J680" s="38" t="n"/>
      <c r="K680" s="32" t="n"/>
      <c r="L680" s="34">
        <f>IF(OR(A680="",D680=""),"",IF(D680&gt;Config!$B$5,0,DATEDIF(D680,Config!$B$5,"m")))</f>
        <v/>
      </c>
      <c r="M680" s="39">
        <f>IF(A680="","",IF(K680&lt;&gt;"",K680,IF(OR(C680="",D680=""),"Sem dados",IFERROR(IF(C680="M",INDEX(Config!$B$11:$B$14,MATCH(L680,Config!$A$11:$A$14,1)),IF(C680="F",INDEX(Config!$C$11:$C$14,MATCH(L680,Config!$A$11:$A$14,1)),"Sem dados")),"Verificar"))))</f>
        <v/>
      </c>
      <c r="N680" s="39">
        <f>IF(A680="","",IF(COUNTIFS('Movimentações'!$C$6:$C$1505,A680,'Movimentações'!$B$6:$B$1505,"Venda")&gt;0,"Vendido",IF(COUNTIFS('Movimentações'!$C$6:$C$1505,A680,'Movimentações'!$B$6:$B$1505,"Morte")&gt;0,"Morto","Ativo")))</f>
        <v/>
      </c>
      <c r="O680" s="40">
        <f>IF(A680="","",IF(COUNTIF('Pesagens'!$B$6:$B$2005,A680)=0,"",SUMPRODUCT(MAX(('Pesagens'!$B$6:$B$2005=A680)*'Pesagens'!$A$6:$A$2005))))</f>
        <v/>
      </c>
      <c r="P680" s="41">
        <f>IF(A680="","",IF(O680="",IF(J680="","",J680),IFERROR(AVERAGEIFS('Pesagens'!$C$6:$C$2005,'Pesagens'!$B$6:$B$2005,A680,'Pesagens'!$A$6:$A$2005,O680),"")))</f>
        <v/>
      </c>
      <c r="Q680" s="42">
        <f>IF(OR(A680="",O680="",I680="",J680=""),"",IFERROR((P680-J680)/(O680-I680),""))</f>
        <v/>
      </c>
    </row>
    <row r="681">
      <c r="A681" s="36" t="n"/>
      <c r="B681" s="32" t="n"/>
      <c r="C681" s="37" t="n"/>
      <c r="D681" s="31" t="n"/>
      <c r="E681" s="32" t="n"/>
      <c r="F681" s="32" t="n"/>
      <c r="G681" s="32" t="n"/>
      <c r="H681" s="36" t="n"/>
      <c r="I681" s="31" t="n"/>
      <c r="J681" s="38" t="n"/>
      <c r="K681" s="32" t="n"/>
      <c r="L681" s="34">
        <f>IF(OR(A681="",D681=""),"",IF(D681&gt;Config!$B$5,0,DATEDIF(D681,Config!$B$5,"m")))</f>
        <v/>
      </c>
      <c r="M681" s="39">
        <f>IF(A681="","",IF(K681&lt;&gt;"",K681,IF(OR(C681="",D681=""),"Sem dados",IFERROR(IF(C681="M",INDEX(Config!$B$11:$B$14,MATCH(L681,Config!$A$11:$A$14,1)),IF(C681="F",INDEX(Config!$C$11:$C$14,MATCH(L681,Config!$A$11:$A$14,1)),"Sem dados")),"Verificar"))))</f>
        <v/>
      </c>
      <c r="N681" s="39">
        <f>IF(A681="","",IF(COUNTIFS('Movimentações'!$C$6:$C$1505,A681,'Movimentações'!$B$6:$B$1505,"Venda")&gt;0,"Vendido",IF(COUNTIFS('Movimentações'!$C$6:$C$1505,A681,'Movimentações'!$B$6:$B$1505,"Morte")&gt;0,"Morto","Ativo")))</f>
        <v/>
      </c>
      <c r="O681" s="40">
        <f>IF(A681="","",IF(COUNTIF('Pesagens'!$B$6:$B$2005,A681)=0,"",SUMPRODUCT(MAX(('Pesagens'!$B$6:$B$2005=A681)*'Pesagens'!$A$6:$A$2005))))</f>
        <v/>
      </c>
      <c r="P681" s="41">
        <f>IF(A681="","",IF(O681="",IF(J681="","",J681),IFERROR(AVERAGEIFS('Pesagens'!$C$6:$C$2005,'Pesagens'!$B$6:$B$2005,A681,'Pesagens'!$A$6:$A$2005,O681),"")))</f>
        <v/>
      </c>
      <c r="Q681" s="42">
        <f>IF(OR(A681="",O681="",I681="",J681=""),"",IFERROR((P681-J681)/(O681-I681),""))</f>
        <v/>
      </c>
    </row>
    <row r="682">
      <c r="A682" s="36" t="n"/>
      <c r="B682" s="32" t="n"/>
      <c r="C682" s="37" t="n"/>
      <c r="D682" s="31" t="n"/>
      <c r="E682" s="32" t="n"/>
      <c r="F682" s="32" t="n"/>
      <c r="G682" s="32" t="n"/>
      <c r="H682" s="36" t="n"/>
      <c r="I682" s="31" t="n"/>
      <c r="J682" s="38" t="n"/>
      <c r="K682" s="32" t="n"/>
      <c r="L682" s="34">
        <f>IF(OR(A682="",D682=""),"",IF(D682&gt;Config!$B$5,0,DATEDIF(D682,Config!$B$5,"m")))</f>
        <v/>
      </c>
      <c r="M682" s="39">
        <f>IF(A682="","",IF(K682&lt;&gt;"",K682,IF(OR(C682="",D682=""),"Sem dados",IFERROR(IF(C682="M",INDEX(Config!$B$11:$B$14,MATCH(L682,Config!$A$11:$A$14,1)),IF(C682="F",INDEX(Config!$C$11:$C$14,MATCH(L682,Config!$A$11:$A$14,1)),"Sem dados")),"Verificar"))))</f>
        <v/>
      </c>
      <c r="N682" s="39">
        <f>IF(A682="","",IF(COUNTIFS('Movimentações'!$C$6:$C$1505,A682,'Movimentações'!$B$6:$B$1505,"Venda")&gt;0,"Vendido",IF(COUNTIFS('Movimentações'!$C$6:$C$1505,A682,'Movimentações'!$B$6:$B$1505,"Morte")&gt;0,"Morto","Ativo")))</f>
        <v/>
      </c>
      <c r="O682" s="40">
        <f>IF(A682="","",IF(COUNTIF('Pesagens'!$B$6:$B$2005,A682)=0,"",SUMPRODUCT(MAX(('Pesagens'!$B$6:$B$2005=A682)*'Pesagens'!$A$6:$A$2005))))</f>
        <v/>
      </c>
      <c r="P682" s="41">
        <f>IF(A682="","",IF(O682="",IF(J682="","",J682),IFERROR(AVERAGEIFS('Pesagens'!$C$6:$C$2005,'Pesagens'!$B$6:$B$2005,A682,'Pesagens'!$A$6:$A$2005,O682),"")))</f>
        <v/>
      </c>
      <c r="Q682" s="42">
        <f>IF(OR(A682="",O682="",I682="",J682=""),"",IFERROR((P682-J682)/(O682-I682),""))</f>
        <v/>
      </c>
    </row>
    <row r="683">
      <c r="A683" s="36" t="n"/>
      <c r="B683" s="32" t="n"/>
      <c r="C683" s="37" t="n"/>
      <c r="D683" s="31" t="n"/>
      <c r="E683" s="32" t="n"/>
      <c r="F683" s="32" t="n"/>
      <c r="G683" s="32" t="n"/>
      <c r="H683" s="36" t="n"/>
      <c r="I683" s="31" t="n"/>
      <c r="J683" s="38" t="n"/>
      <c r="K683" s="32" t="n"/>
      <c r="L683" s="34">
        <f>IF(OR(A683="",D683=""),"",IF(D683&gt;Config!$B$5,0,DATEDIF(D683,Config!$B$5,"m")))</f>
        <v/>
      </c>
      <c r="M683" s="39">
        <f>IF(A683="","",IF(K683&lt;&gt;"",K683,IF(OR(C683="",D683=""),"Sem dados",IFERROR(IF(C683="M",INDEX(Config!$B$11:$B$14,MATCH(L683,Config!$A$11:$A$14,1)),IF(C683="F",INDEX(Config!$C$11:$C$14,MATCH(L683,Config!$A$11:$A$14,1)),"Sem dados")),"Verificar"))))</f>
        <v/>
      </c>
      <c r="N683" s="39">
        <f>IF(A683="","",IF(COUNTIFS('Movimentações'!$C$6:$C$1505,A683,'Movimentações'!$B$6:$B$1505,"Venda")&gt;0,"Vendido",IF(COUNTIFS('Movimentações'!$C$6:$C$1505,A683,'Movimentações'!$B$6:$B$1505,"Morte")&gt;0,"Morto","Ativo")))</f>
        <v/>
      </c>
      <c r="O683" s="40">
        <f>IF(A683="","",IF(COUNTIF('Pesagens'!$B$6:$B$2005,A683)=0,"",SUMPRODUCT(MAX(('Pesagens'!$B$6:$B$2005=A683)*'Pesagens'!$A$6:$A$2005))))</f>
        <v/>
      </c>
      <c r="P683" s="41">
        <f>IF(A683="","",IF(O683="",IF(J683="","",J683),IFERROR(AVERAGEIFS('Pesagens'!$C$6:$C$2005,'Pesagens'!$B$6:$B$2005,A683,'Pesagens'!$A$6:$A$2005,O683),"")))</f>
        <v/>
      </c>
      <c r="Q683" s="42">
        <f>IF(OR(A683="",O683="",I683="",J683=""),"",IFERROR((P683-J683)/(O683-I683),""))</f>
        <v/>
      </c>
    </row>
    <row r="684">
      <c r="A684" s="36" t="n"/>
      <c r="B684" s="32" t="n"/>
      <c r="C684" s="37" t="n"/>
      <c r="D684" s="31" t="n"/>
      <c r="E684" s="32" t="n"/>
      <c r="F684" s="32" t="n"/>
      <c r="G684" s="32" t="n"/>
      <c r="H684" s="36" t="n"/>
      <c r="I684" s="31" t="n"/>
      <c r="J684" s="38" t="n"/>
      <c r="K684" s="32" t="n"/>
      <c r="L684" s="34">
        <f>IF(OR(A684="",D684=""),"",IF(D684&gt;Config!$B$5,0,DATEDIF(D684,Config!$B$5,"m")))</f>
        <v/>
      </c>
      <c r="M684" s="39">
        <f>IF(A684="","",IF(K684&lt;&gt;"",K684,IF(OR(C684="",D684=""),"Sem dados",IFERROR(IF(C684="M",INDEX(Config!$B$11:$B$14,MATCH(L684,Config!$A$11:$A$14,1)),IF(C684="F",INDEX(Config!$C$11:$C$14,MATCH(L684,Config!$A$11:$A$14,1)),"Sem dados")),"Verificar"))))</f>
        <v/>
      </c>
      <c r="N684" s="39">
        <f>IF(A684="","",IF(COUNTIFS('Movimentações'!$C$6:$C$1505,A684,'Movimentações'!$B$6:$B$1505,"Venda")&gt;0,"Vendido",IF(COUNTIFS('Movimentações'!$C$6:$C$1505,A684,'Movimentações'!$B$6:$B$1505,"Morte")&gt;0,"Morto","Ativo")))</f>
        <v/>
      </c>
      <c r="O684" s="40">
        <f>IF(A684="","",IF(COUNTIF('Pesagens'!$B$6:$B$2005,A684)=0,"",SUMPRODUCT(MAX(('Pesagens'!$B$6:$B$2005=A684)*'Pesagens'!$A$6:$A$2005))))</f>
        <v/>
      </c>
      <c r="P684" s="41">
        <f>IF(A684="","",IF(O684="",IF(J684="","",J684),IFERROR(AVERAGEIFS('Pesagens'!$C$6:$C$2005,'Pesagens'!$B$6:$B$2005,A684,'Pesagens'!$A$6:$A$2005,O684),"")))</f>
        <v/>
      </c>
      <c r="Q684" s="42">
        <f>IF(OR(A684="",O684="",I684="",J684=""),"",IFERROR((P684-J684)/(O684-I684),""))</f>
        <v/>
      </c>
    </row>
    <row r="685">
      <c r="A685" s="36" t="n"/>
      <c r="B685" s="32" t="n"/>
      <c r="C685" s="37" t="n"/>
      <c r="D685" s="31" t="n"/>
      <c r="E685" s="32" t="n"/>
      <c r="F685" s="32" t="n"/>
      <c r="G685" s="32" t="n"/>
      <c r="H685" s="36" t="n"/>
      <c r="I685" s="31" t="n"/>
      <c r="J685" s="38" t="n"/>
      <c r="K685" s="32" t="n"/>
      <c r="L685" s="34">
        <f>IF(OR(A685="",D685=""),"",IF(D685&gt;Config!$B$5,0,DATEDIF(D685,Config!$B$5,"m")))</f>
        <v/>
      </c>
      <c r="M685" s="39">
        <f>IF(A685="","",IF(K685&lt;&gt;"",K685,IF(OR(C685="",D685=""),"Sem dados",IFERROR(IF(C685="M",INDEX(Config!$B$11:$B$14,MATCH(L685,Config!$A$11:$A$14,1)),IF(C685="F",INDEX(Config!$C$11:$C$14,MATCH(L685,Config!$A$11:$A$14,1)),"Sem dados")),"Verificar"))))</f>
        <v/>
      </c>
      <c r="N685" s="39">
        <f>IF(A685="","",IF(COUNTIFS('Movimentações'!$C$6:$C$1505,A685,'Movimentações'!$B$6:$B$1505,"Venda")&gt;0,"Vendido",IF(COUNTIFS('Movimentações'!$C$6:$C$1505,A685,'Movimentações'!$B$6:$B$1505,"Morte")&gt;0,"Morto","Ativo")))</f>
        <v/>
      </c>
      <c r="O685" s="40">
        <f>IF(A685="","",IF(COUNTIF('Pesagens'!$B$6:$B$2005,A685)=0,"",SUMPRODUCT(MAX(('Pesagens'!$B$6:$B$2005=A685)*'Pesagens'!$A$6:$A$2005))))</f>
        <v/>
      </c>
      <c r="P685" s="41">
        <f>IF(A685="","",IF(O685="",IF(J685="","",J685),IFERROR(AVERAGEIFS('Pesagens'!$C$6:$C$2005,'Pesagens'!$B$6:$B$2005,A685,'Pesagens'!$A$6:$A$2005,O685),"")))</f>
        <v/>
      </c>
      <c r="Q685" s="42">
        <f>IF(OR(A685="",O685="",I685="",J685=""),"",IFERROR((P685-J685)/(O685-I685),""))</f>
        <v/>
      </c>
    </row>
    <row r="686">
      <c r="A686" s="36" t="n"/>
      <c r="B686" s="32" t="n"/>
      <c r="C686" s="37" t="n"/>
      <c r="D686" s="31" t="n"/>
      <c r="E686" s="32" t="n"/>
      <c r="F686" s="32" t="n"/>
      <c r="G686" s="32" t="n"/>
      <c r="H686" s="36" t="n"/>
      <c r="I686" s="31" t="n"/>
      <c r="J686" s="38" t="n"/>
      <c r="K686" s="32" t="n"/>
      <c r="L686" s="34">
        <f>IF(OR(A686="",D686=""),"",IF(D686&gt;Config!$B$5,0,DATEDIF(D686,Config!$B$5,"m")))</f>
        <v/>
      </c>
      <c r="M686" s="39">
        <f>IF(A686="","",IF(K686&lt;&gt;"",K686,IF(OR(C686="",D686=""),"Sem dados",IFERROR(IF(C686="M",INDEX(Config!$B$11:$B$14,MATCH(L686,Config!$A$11:$A$14,1)),IF(C686="F",INDEX(Config!$C$11:$C$14,MATCH(L686,Config!$A$11:$A$14,1)),"Sem dados")),"Verificar"))))</f>
        <v/>
      </c>
      <c r="N686" s="39">
        <f>IF(A686="","",IF(COUNTIFS('Movimentações'!$C$6:$C$1505,A686,'Movimentações'!$B$6:$B$1505,"Venda")&gt;0,"Vendido",IF(COUNTIFS('Movimentações'!$C$6:$C$1505,A686,'Movimentações'!$B$6:$B$1505,"Morte")&gt;0,"Morto","Ativo")))</f>
        <v/>
      </c>
      <c r="O686" s="40">
        <f>IF(A686="","",IF(COUNTIF('Pesagens'!$B$6:$B$2005,A686)=0,"",SUMPRODUCT(MAX(('Pesagens'!$B$6:$B$2005=A686)*'Pesagens'!$A$6:$A$2005))))</f>
        <v/>
      </c>
      <c r="P686" s="41">
        <f>IF(A686="","",IF(O686="",IF(J686="","",J686),IFERROR(AVERAGEIFS('Pesagens'!$C$6:$C$2005,'Pesagens'!$B$6:$B$2005,A686,'Pesagens'!$A$6:$A$2005,O686),"")))</f>
        <v/>
      </c>
      <c r="Q686" s="42">
        <f>IF(OR(A686="",O686="",I686="",J686=""),"",IFERROR((P686-J686)/(O686-I686),""))</f>
        <v/>
      </c>
    </row>
    <row r="687">
      <c r="A687" s="36" t="n"/>
      <c r="B687" s="32" t="n"/>
      <c r="C687" s="37" t="n"/>
      <c r="D687" s="31" t="n"/>
      <c r="E687" s="32" t="n"/>
      <c r="F687" s="32" t="n"/>
      <c r="G687" s="32" t="n"/>
      <c r="H687" s="36" t="n"/>
      <c r="I687" s="31" t="n"/>
      <c r="J687" s="38" t="n"/>
      <c r="K687" s="32" t="n"/>
      <c r="L687" s="34">
        <f>IF(OR(A687="",D687=""),"",IF(D687&gt;Config!$B$5,0,DATEDIF(D687,Config!$B$5,"m")))</f>
        <v/>
      </c>
      <c r="M687" s="39">
        <f>IF(A687="","",IF(K687&lt;&gt;"",K687,IF(OR(C687="",D687=""),"Sem dados",IFERROR(IF(C687="M",INDEX(Config!$B$11:$B$14,MATCH(L687,Config!$A$11:$A$14,1)),IF(C687="F",INDEX(Config!$C$11:$C$14,MATCH(L687,Config!$A$11:$A$14,1)),"Sem dados")),"Verificar"))))</f>
        <v/>
      </c>
      <c r="N687" s="39">
        <f>IF(A687="","",IF(COUNTIFS('Movimentações'!$C$6:$C$1505,A687,'Movimentações'!$B$6:$B$1505,"Venda")&gt;0,"Vendido",IF(COUNTIFS('Movimentações'!$C$6:$C$1505,A687,'Movimentações'!$B$6:$B$1505,"Morte")&gt;0,"Morto","Ativo")))</f>
        <v/>
      </c>
      <c r="O687" s="40">
        <f>IF(A687="","",IF(COUNTIF('Pesagens'!$B$6:$B$2005,A687)=0,"",SUMPRODUCT(MAX(('Pesagens'!$B$6:$B$2005=A687)*'Pesagens'!$A$6:$A$2005))))</f>
        <v/>
      </c>
      <c r="P687" s="41">
        <f>IF(A687="","",IF(O687="",IF(J687="","",J687),IFERROR(AVERAGEIFS('Pesagens'!$C$6:$C$2005,'Pesagens'!$B$6:$B$2005,A687,'Pesagens'!$A$6:$A$2005,O687),"")))</f>
        <v/>
      </c>
      <c r="Q687" s="42">
        <f>IF(OR(A687="",O687="",I687="",J687=""),"",IFERROR((P687-J687)/(O687-I687),""))</f>
        <v/>
      </c>
    </row>
    <row r="688">
      <c r="A688" s="36" t="n"/>
      <c r="B688" s="32" t="n"/>
      <c r="C688" s="37" t="n"/>
      <c r="D688" s="31" t="n"/>
      <c r="E688" s="32" t="n"/>
      <c r="F688" s="32" t="n"/>
      <c r="G688" s="32" t="n"/>
      <c r="H688" s="36" t="n"/>
      <c r="I688" s="31" t="n"/>
      <c r="J688" s="38" t="n"/>
      <c r="K688" s="32" t="n"/>
      <c r="L688" s="34">
        <f>IF(OR(A688="",D688=""),"",IF(D688&gt;Config!$B$5,0,DATEDIF(D688,Config!$B$5,"m")))</f>
        <v/>
      </c>
      <c r="M688" s="39">
        <f>IF(A688="","",IF(K688&lt;&gt;"",K688,IF(OR(C688="",D688=""),"Sem dados",IFERROR(IF(C688="M",INDEX(Config!$B$11:$B$14,MATCH(L688,Config!$A$11:$A$14,1)),IF(C688="F",INDEX(Config!$C$11:$C$14,MATCH(L688,Config!$A$11:$A$14,1)),"Sem dados")),"Verificar"))))</f>
        <v/>
      </c>
      <c r="N688" s="39">
        <f>IF(A688="","",IF(COUNTIFS('Movimentações'!$C$6:$C$1505,A688,'Movimentações'!$B$6:$B$1505,"Venda")&gt;0,"Vendido",IF(COUNTIFS('Movimentações'!$C$6:$C$1505,A688,'Movimentações'!$B$6:$B$1505,"Morte")&gt;0,"Morto","Ativo")))</f>
        <v/>
      </c>
      <c r="O688" s="40">
        <f>IF(A688="","",IF(COUNTIF('Pesagens'!$B$6:$B$2005,A688)=0,"",SUMPRODUCT(MAX(('Pesagens'!$B$6:$B$2005=A688)*'Pesagens'!$A$6:$A$2005))))</f>
        <v/>
      </c>
      <c r="P688" s="41">
        <f>IF(A688="","",IF(O688="",IF(J688="","",J688),IFERROR(AVERAGEIFS('Pesagens'!$C$6:$C$2005,'Pesagens'!$B$6:$B$2005,A688,'Pesagens'!$A$6:$A$2005,O688),"")))</f>
        <v/>
      </c>
      <c r="Q688" s="42">
        <f>IF(OR(A688="",O688="",I688="",J688=""),"",IFERROR((P688-J688)/(O688-I688),""))</f>
        <v/>
      </c>
    </row>
    <row r="689">
      <c r="A689" s="36" t="n"/>
      <c r="B689" s="32" t="n"/>
      <c r="C689" s="37" t="n"/>
      <c r="D689" s="31" t="n"/>
      <c r="E689" s="32" t="n"/>
      <c r="F689" s="32" t="n"/>
      <c r="G689" s="32" t="n"/>
      <c r="H689" s="36" t="n"/>
      <c r="I689" s="31" t="n"/>
      <c r="J689" s="38" t="n"/>
      <c r="K689" s="32" t="n"/>
      <c r="L689" s="34">
        <f>IF(OR(A689="",D689=""),"",IF(D689&gt;Config!$B$5,0,DATEDIF(D689,Config!$B$5,"m")))</f>
        <v/>
      </c>
      <c r="M689" s="39">
        <f>IF(A689="","",IF(K689&lt;&gt;"",K689,IF(OR(C689="",D689=""),"Sem dados",IFERROR(IF(C689="M",INDEX(Config!$B$11:$B$14,MATCH(L689,Config!$A$11:$A$14,1)),IF(C689="F",INDEX(Config!$C$11:$C$14,MATCH(L689,Config!$A$11:$A$14,1)),"Sem dados")),"Verificar"))))</f>
        <v/>
      </c>
      <c r="N689" s="39">
        <f>IF(A689="","",IF(COUNTIFS('Movimentações'!$C$6:$C$1505,A689,'Movimentações'!$B$6:$B$1505,"Venda")&gt;0,"Vendido",IF(COUNTIFS('Movimentações'!$C$6:$C$1505,A689,'Movimentações'!$B$6:$B$1505,"Morte")&gt;0,"Morto","Ativo")))</f>
        <v/>
      </c>
      <c r="O689" s="40">
        <f>IF(A689="","",IF(COUNTIF('Pesagens'!$B$6:$B$2005,A689)=0,"",SUMPRODUCT(MAX(('Pesagens'!$B$6:$B$2005=A689)*'Pesagens'!$A$6:$A$2005))))</f>
        <v/>
      </c>
      <c r="P689" s="41">
        <f>IF(A689="","",IF(O689="",IF(J689="","",J689),IFERROR(AVERAGEIFS('Pesagens'!$C$6:$C$2005,'Pesagens'!$B$6:$B$2005,A689,'Pesagens'!$A$6:$A$2005,O689),"")))</f>
        <v/>
      </c>
      <c r="Q689" s="42">
        <f>IF(OR(A689="",O689="",I689="",J689=""),"",IFERROR((P689-J689)/(O689-I689),""))</f>
        <v/>
      </c>
    </row>
    <row r="690">
      <c r="A690" s="36" t="n"/>
      <c r="B690" s="32" t="n"/>
      <c r="C690" s="37" t="n"/>
      <c r="D690" s="31" t="n"/>
      <c r="E690" s="32" t="n"/>
      <c r="F690" s="32" t="n"/>
      <c r="G690" s="32" t="n"/>
      <c r="H690" s="36" t="n"/>
      <c r="I690" s="31" t="n"/>
      <c r="J690" s="38" t="n"/>
      <c r="K690" s="32" t="n"/>
      <c r="L690" s="34">
        <f>IF(OR(A690="",D690=""),"",IF(D690&gt;Config!$B$5,0,DATEDIF(D690,Config!$B$5,"m")))</f>
        <v/>
      </c>
      <c r="M690" s="39">
        <f>IF(A690="","",IF(K690&lt;&gt;"",K690,IF(OR(C690="",D690=""),"Sem dados",IFERROR(IF(C690="M",INDEX(Config!$B$11:$B$14,MATCH(L690,Config!$A$11:$A$14,1)),IF(C690="F",INDEX(Config!$C$11:$C$14,MATCH(L690,Config!$A$11:$A$14,1)),"Sem dados")),"Verificar"))))</f>
        <v/>
      </c>
      <c r="N690" s="39">
        <f>IF(A690="","",IF(COUNTIFS('Movimentações'!$C$6:$C$1505,A690,'Movimentações'!$B$6:$B$1505,"Venda")&gt;0,"Vendido",IF(COUNTIFS('Movimentações'!$C$6:$C$1505,A690,'Movimentações'!$B$6:$B$1505,"Morte")&gt;0,"Morto","Ativo")))</f>
        <v/>
      </c>
      <c r="O690" s="40">
        <f>IF(A690="","",IF(COUNTIF('Pesagens'!$B$6:$B$2005,A690)=0,"",SUMPRODUCT(MAX(('Pesagens'!$B$6:$B$2005=A690)*'Pesagens'!$A$6:$A$2005))))</f>
        <v/>
      </c>
      <c r="P690" s="41">
        <f>IF(A690="","",IF(O690="",IF(J690="","",J690),IFERROR(AVERAGEIFS('Pesagens'!$C$6:$C$2005,'Pesagens'!$B$6:$B$2005,A690,'Pesagens'!$A$6:$A$2005,O690),"")))</f>
        <v/>
      </c>
      <c r="Q690" s="42">
        <f>IF(OR(A690="",O690="",I690="",J690=""),"",IFERROR((P690-J690)/(O690-I690),""))</f>
        <v/>
      </c>
    </row>
    <row r="691">
      <c r="A691" s="36" t="n"/>
      <c r="B691" s="32" t="n"/>
      <c r="C691" s="37" t="n"/>
      <c r="D691" s="31" t="n"/>
      <c r="E691" s="32" t="n"/>
      <c r="F691" s="32" t="n"/>
      <c r="G691" s="32" t="n"/>
      <c r="H691" s="36" t="n"/>
      <c r="I691" s="31" t="n"/>
      <c r="J691" s="38" t="n"/>
      <c r="K691" s="32" t="n"/>
      <c r="L691" s="34">
        <f>IF(OR(A691="",D691=""),"",IF(D691&gt;Config!$B$5,0,DATEDIF(D691,Config!$B$5,"m")))</f>
        <v/>
      </c>
      <c r="M691" s="39">
        <f>IF(A691="","",IF(K691&lt;&gt;"",K691,IF(OR(C691="",D691=""),"Sem dados",IFERROR(IF(C691="M",INDEX(Config!$B$11:$B$14,MATCH(L691,Config!$A$11:$A$14,1)),IF(C691="F",INDEX(Config!$C$11:$C$14,MATCH(L691,Config!$A$11:$A$14,1)),"Sem dados")),"Verificar"))))</f>
        <v/>
      </c>
      <c r="N691" s="39">
        <f>IF(A691="","",IF(COUNTIFS('Movimentações'!$C$6:$C$1505,A691,'Movimentações'!$B$6:$B$1505,"Venda")&gt;0,"Vendido",IF(COUNTIFS('Movimentações'!$C$6:$C$1505,A691,'Movimentações'!$B$6:$B$1505,"Morte")&gt;0,"Morto","Ativo")))</f>
        <v/>
      </c>
      <c r="O691" s="40">
        <f>IF(A691="","",IF(COUNTIF('Pesagens'!$B$6:$B$2005,A691)=0,"",SUMPRODUCT(MAX(('Pesagens'!$B$6:$B$2005=A691)*'Pesagens'!$A$6:$A$2005))))</f>
        <v/>
      </c>
      <c r="P691" s="41">
        <f>IF(A691="","",IF(O691="",IF(J691="","",J691),IFERROR(AVERAGEIFS('Pesagens'!$C$6:$C$2005,'Pesagens'!$B$6:$B$2005,A691,'Pesagens'!$A$6:$A$2005,O691),"")))</f>
        <v/>
      </c>
      <c r="Q691" s="42">
        <f>IF(OR(A691="",O691="",I691="",J691=""),"",IFERROR((P691-J691)/(O691-I691),""))</f>
        <v/>
      </c>
    </row>
    <row r="692">
      <c r="A692" s="36" t="n"/>
      <c r="B692" s="32" t="n"/>
      <c r="C692" s="37" t="n"/>
      <c r="D692" s="31" t="n"/>
      <c r="E692" s="32" t="n"/>
      <c r="F692" s="32" t="n"/>
      <c r="G692" s="32" t="n"/>
      <c r="H692" s="36" t="n"/>
      <c r="I692" s="31" t="n"/>
      <c r="J692" s="38" t="n"/>
      <c r="K692" s="32" t="n"/>
      <c r="L692" s="34">
        <f>IF(OR(A692="",D692=""),"",IF(D692&gt;Config!$B$5,0,DATEDIF(D692,Config!$B$5,"m")))</f>
        <v/>
      </c>
      <c r="M692" s="39">
        <f>IF(A692="","",IF(K692&lt;&gt;"",K692,IF(OR(C692="",D692=""),"Sem dados",IFERROR(IF(C692="M",INDEX(Config!$B$11:$B$14,MATCH(L692,Config!$A$11:$A$14,1)),IF(C692="F",INDEX(Config!$C$11:$C$14,MATCH(L692,Config!$A$11:$A$14,1)),"Sem dados")),"Verificar"))))</f>
        <v/>
      </c>
      <c r="N692" s="39">
        <f>IF(A692="","",IF(COUNTIFS('Movimentações'!$C$6:$C$1505,A692,'Movimentações'!$B$6:$B$1505,"Venda")&gt;0,"Vendido",IF(COUNTIFS('Movimentações'!$C$6:$C$1505,A692,'Movimentações'!$B$6:$B$1505,"Morte")&gt;0,"Morto","Ativo")))</f>
        <v/>
      </c>
      <c r="O692" s="40">
        <f>IF(A692="","",IF(COUNTIF('Pesagens'!$B$6:$B$2005,A692)=0,"",SUMPRODUCT(MAX(('Pesagens'!$B$6:$B$2005=A692)*'Pesagens'!$A$6:$A$2005))))</f>
        <v/>
      </c>
      <c r="P692" s="41">
        <f>IF(A692="","",IF(O692="",IF(J692="","",J692),IFERROR(AVERAGEIFS('Pesagens'!$C$6:$C$2005,'Pesagens'!$B$6:$B$2005,A692,'Pesagens'!$A$6:$A$2005,O692),"")))</f>
        <v/>
      </c>
      <c r="Q692" s="42">
        <f>IF(OR(A692="",O692="",I692="",J692=""),"",IFERROR((P692-J692)/(O692-I692),""))</f>
        <v/>
      </c>
    </row>
    <row r="693">
      <c r="A693" s="36" t="n"/>
      <c r="B693" s="32" t="n"/>
      <c r="C693" s="37" t="n"/>
      <c r="D693" s="31" t="n"/>
      <c r="E693" s="32" t="n"/>
      <c r="F693" s="32" t="n"/>
      <c r="G693" s="32" t="n"/>
      <c r="H693" s="36" t="n"/>
      <c r="I693" s="31" t="n"/>
      <c r="J693" s="38" t="n"/>
      <c r="K693" s="32" t="n"/>
      <c r="L693" s="34">
        <f>IF(OR(A693="",D693=""),"",IF(D693&gt;Config!$B$5,0,DATEDIF(D693,Config!$B$5,"m")))</f>
        <v/>
      </c>
      <c r="M693" s="39">
        <f>IF(A693="","",IF(K693&lt;&gt;"",K693,IF(OR(C693="",D693=""),"Sem dados",IFERROR(IF(C693="M",INDEX(Config!$B$11:$B$14,MATCH(L693,Config!$A$11:$A$14,1)),IF(C693="F",INDEX(Config!$C$11:$C$14,MATCH(L693,Config!$A$11:$A$14,1)),"Sem dados")),"Verificar"))))</f>
        <v/>
      </c>
      <c r="N693" s="39">
        <f>IF(A693="","",IF(COUNTIFS('Movimentações'!$C$6:$C$1505,A693,'Movimentações'!$B$6:$B$1505,"Venda")&gt;0,"Vendido",IF(COUNTIFS('Movimentações'!$C$6:$C$1505,A693,'Movimentações'!$B$6:$B$1505,"Morte")&gt;0,"Morto","Ativo")))</f>
        <v/>
      </c>
      <c r="O693" s="40">
        <f>IF(A693="","",IF(COUNTIF('Pesagens'!$B$6:$B$2005,A693)=0,"",SUMPRODUCT(MAX(('Pesagens'!$B$6:$B$2005=A693)*'Pesagens'!$A$6:$A$2005))))</f>
        <v/>
      </c>
      <c r="P693" s="41">
        <f>IF(A693="","",IF(O693="",IF(J693="","",J693),IFERROR(AVERAGEIFS('Pesagens'!$C$6:$C$2005,'Pesagens'!$B$6:$B$2005,A693,'Pesagens'!$A$6:$A$2005,O693),"")))</f>
        <v/>
      </c>
      <c r="Q693" s="42">
        <f>IF(OR(A693="",O693="",I693="",J693=""),"",IFERROR((P693-J693)/(O693-I693),""))</f>
        <v/>
      </c>
    </row>
    <row r="694">
      <c r="A694" s="36" t="n"/>
      <c r="B694" s="32" t="n"/>
      <c r="C694" s="37" t="n"/>
      <c r="D694" s="31" t="n"/>
      <c r="E694" s="32" t="n"/>
      <c r="F694" s="32" t="n"/>
      <c r="G694" s="32" t="n"/>
      <c r="H694" s="36" t="n"/>
      <c r="I694" s="31" t="n"/>
      <c r="J694" s="38" t="n"/>
      <c r="K694" s="32" t="n"/>
      <c r="L694" s="34">
        <f>IF(OR(A694="",D694=""),"",IF(D694&gt;Config!$B$5,0,DATEDIF(D694,Config!$B$5,"m")))</f>
        <v/>
      </c>
      <c r="M694" s="39">
        <f>IF(A694="","",IF(K694&lt;&gt;"",K694,IF(OR(C694="",D694=""),"Sem dados",IFERROR(IF(C694="M",INDEX(Config!$B$11:$B$14,MATCH(L694,Config!$A$11:$A$14,1)),IF(C694="F",INDEX(Config!$C$11:$C$14,MATCH(L694,Config!$A$11:$A$14,1)),"Sem dados")),"Verificar"))))</f>
        <v/>
      </c>
      <c r="N694" s="39">
        <f>IF(A694="","",IF(COUNTIFS('Movimentações'!$C$6:$C$1505,A694,'Movimentações'!$B$6:$B$1505,"Venda")&gt;0,"Vendido",IF(COUNTIFS('Movimentações'!$C$6:$C$1505,A694,'Movimentações'!$B$6:$B$1505,"Morte")&gt;0,"Morto","Ativo")))</f>
        <v/>
      </c>
      <c r="O694" s="40">
        <f>IF(A694="","",IF(COUNTIF('Pesagens'!$B$6:$B$2005,A694)=0,"",SUMPRODUCT(MAX(('Pesagens'!$B$6:$B$2005=A694)*'Pesagens'!$A$6:$A$2005))))</f>
        <v/>
      </c>
      <c r="P694" s="41">
        <f>IF(A694="","",IF(O694="",IF(J694="","",J694),IFERROR(AVERAGEIFS('Pesagens'!$C$6:$C$2005,'Pesagens'!$B$6:$B$2005,A694,'Pesagens'!$A$6:$A$2005,O694),"")))</f>
        <v/>
      </c>
      <c r="Q694" s="42">
        <f>IF(OR(A694="",O694="",I694="",J694=""),"",IFERROR((P694-J694)/(O694-I694),""))</f>
        <v/>
      </c>
    </row>
    <row r="695">
      <c r="A695" s="36" t="n"/>
      <c r="B695" s="32" t="n"/>
      <c r="C695" s="37" t="n"/>
      <c r="D695" s="31" t="n"/>
      <c r="E695" s="32" t="n"/>
      <c r="F695" s="32" t="n"/>
      <c r="G695" s="32" t="n"/>
      <c r="H695" s="36" t="n"/>
      <c r="I695" s="31" t="n"/>
      <c r="J695" s="38" t="n"/>
      <c r="K695" s="32" t="n"/>
      <c r="L695" s="34">
        <f>IF(OR(A695="",D695=""),"",IF(D695&gt;Config!$B$5,0,DATEDIF(D695,Config!$B$5,"m")))</f>
        <v/>
      </c>
      <c r="M695" s="39">
        <f>IF(A695="","",IF(K695&lt;&gt;"",K695,IF(OR(C695="",D695=""),"Sem dados",IFERROR(IF(C695="M",INDEX(Config!$B$11:$B$14,MATCH(L695,Config!$A$11:$A$14,1)),IF(C695="F",INDEX(Config!$C$11:$C$14,MATCH(L695,Config!$A$11:$A$14,1)),"Sem dados")),"Verificar"))))</f>
        <v/>
      </c>
      <c r="N695" s="39">
        <f>IF(A695="","",IF(COUNTIFS('Movimentações'!$C$6:$C$1505,A695,'Movimentações'!$B$6:$B$1505,"Venda")&gt;0,"Vendido",IF(COUNTIFS('Movimentações'!$C$6:$C$1505,A695,'Movimentações'!$B$6:$B$1505,"Morte")&gt;0,"Morto","Ativo")))</f>
        <v/>
      </c>
      <c r="O695" s="40">
        <f>IF(A695="","",IF(COUNTIF('Pesagens'!$B$6:$B$2005,A695)=0,"",SUMPRODUCT(MAX(('Pesagens'!$B$6:$B$2005=A695)*'Pesagens'!$A$6:$A$2005))))</f>
        <v/>
      </c>
      <c r="P695" s="41">
        <f>IF(A695="","",IF(O695="",IF(J695="","",J695),IFERROR(AVERAGEIFS('Pesagens'!$C$6:$C$2005,'Pesagens'!$B$6:$B$2005,A695,'Pesagens'!$A$6:$A$2005,O695),"")))</f>
        <v/>
      </c>
      <c r="Q695" s="42">
        <f>IF(OR(A695="",O695="",I695="",J695=""),"",IFERROR((P695-J695)/(O695-I695),""))</f>
        <v/>
      </c>
    </row>
    <row r="696">
      <c r="A696" s="36" t="n"/>
      <c r="B696" s="32" t="n"/>
      <c r="C696" s="37" t="n"/>
      <c r="D696" s="31" t="n"/>
      <c r="E696" s="32" t="n"/>
      <c r="F696" s="32" t="n"/>
      <c r="G696" s="32" t="n"/>
      <c r="H696" s="36" t="n"/>
      <c r="I696" s="31" t="n"/>
      <c r="J696" s="38" t="n"/>
      <c r="K696" s="32" t="n"/>
      <c r="L696" s="34">
        <f>IF(OR(A696="",D696=""),"",IF(D696&gt;Config!$B$5,0,DATEDIF(D696,Config!$B$5,"m")))</f>
        <v/>
      </c>
      <c r="M696" s="39">
        <f>IF(A696="","",IF(K696&lt;&gt;"",K696,IF(OR(C696="",D696=""),"Sem dados",IFERROR(IF(C696="M",INDEX(Config!$B$11:$B$14,MATCH(L696,Config!$A$11:$A$14,1)),IF(C696="F",INDEX(Config!$C$11:$C$14,MATCH(L696,Config!$A$11:$A$14,1)),"Sem dados")),"Verificar"))))</f>
        <v/>
      </c>
      <c r="N696" s="39">
        <f>IF(A696="","",IF(COUNTIFS('Movimentações'!$C$6:$C$1505,A696,'Movimentações'!$B$6:$B$1505,"Venda")&gt;0,"Vendido",IF(COUNTIFS('Movimentações'!$C$6:$C$1505,A696,'Movimentações'!$B$6:$B$1505,"Morte")&gt;0,"Morto","Ativo")))</f>
        <v/>
      </c>
      <c r="O696" s="40">
        <f>IF(A696="","",IF(COUNTIF('Pesagens'!$B$6:$B$2005,A696)=0,"",SUMPRODUCT(MAX(('Pesagens'!$B$6:$B$2005=A696)*'Pesagens'!$A$6:$A$2005))))</f>
        <v/>
      </c>
      <c r="P696" s="41">
        <f>IF(A696="","",IF(O696="",IF(J696="","",J696),IFERROR(AVERAGEIFS('Pesagens'!$C$6:$C$2005,'Pesagens'!$B$6:$B$2005,A696,'Pesagens'!$A$6:$A$2005,O696),"")))</f>
        <v/>
      </c>
      <c r="Q696" s="42">
        <f>IF(OR(A696="",O696="",I696="",J696=""),"",IFERROR((P696-J696)/(O696-I696),""))</f>
        <v/>
      </c>
    </row>
    <row r="697">
      <c r="A697" s="36" t="n"/>
      <c r="B697" s="32" t="n"/>
      <c r="C697" s="37" t="n"/>
      <c r="D697" s="31" t="n"/>
      <c r="E697" s="32" t="n"/>
      <c r="F697" s="32" t="n"/>
      <c r="G697" s="32" t="n"/>
      <c r="H697" s="36" t="n"/>
      <c r="I697" s="31" t="n"/>
      <c r="J697" s="38" t="n"/>
      <c r="K697" s="32" t="n"/>
      <c r="L697" s="34">
        <f>IF(OR(A697="",D697=""),"",IF(D697&gt;Config!$B$5,0,DATEDIF(D697,Config!$B$5,"m")))</f>
        <v/>
      </c>
      <c r="M697" s="39">
        <f>IF(A697="","",IF(K697&lt;&gt;"",K697,IF(OR(C697="",D697=""),"Sem dados",IFERROR(IF(C697="M",INDEX(Config!$B$11:$B$14,MATCH(L697,Config!$A$11:$A$14,1)),IF(C697="F",INDEX(Config!$C$11:$C$14,MATCH(L697,Config!$A$11:$A$14,1)),"Sem dados")),"Verificar"))))</f>
        <v/>
      </c>
      <c r="N697" s="39">
        <f>IF(A697="","",IF(COUNTIFS('Movimentações'!$C$6:$C$1505,A697,'Movimentações'!$B$6:$B$1505,"Venda")&gt;0,"Vendido",IF(COUNTIFS('Movimentações'!$C$6:$C$1505,A697,'Movimentações'!$B$6:$B$1505,"Morte")&gt;0,"Morto","Ativo")))</f>
        <v/>
      </c>
      <c r="O697" s="40">
        <f>IF(A697="","",IF(COUNTIF('Pesagens'!$B$6:$B$2005,A697)=0,"",SUMPRODUCT(MAX(('Pesagens'!$B$6:$B$2005=A697)*'Pesagens'!$A$6:$A$2005))))</f>
        <v/>
      </c>
      <c r="P697" s="41">
        <f>IF(A697="","",IF(O697="",IF(J697="","",J697),IFERROR(AVERAGEIFS('Pesagens'!$C$6:$C$2005,'Pesagens'!$B$6:$B$2005,A697,'Pesagens'!$A$6:$A$2005,O697),"")))</f>
        <v/>
      </c>
      <c r="Q697" s="42">
        <f>IF(OR(A697="",O697="",I697="",J697=""),"",IFERROR((P697-J697)/(O697-I697),""))</f>
        <v/>
      </c>
    </row>
    <row r="698">
      <c r="A698" s="36" t="n"/>
      <c r="B698" s="32" t="n"/>
      <c r="C698" s="37" t="n"/>
      <c r="D698" s="31" t="n"/>
      <c r="E698" s="32" t="n"/>
      <c r="F698" s="32" t="n"/>
      <c r="G698" s="32" t="n"/>
      <c r="H698" s="36" t="n"/>
      <c r="I698" s="31" t="n"/>
      <c r="J698" s="38" t="n"/>
      <c r="K698" s="32" t="n"/>
      <c r="L698" s="34">
        <f>IF(OR(A698="",D698=""),"",IF(D698&gt;Config!$B$5,0,DATEDIF(D698,Config!$B$5,"m")))</f>
        <v/>
      </c>
      <c r="M698" s="39">
        <f>IF(A698="","",IF(K698&lt;&gt;"",K698,IF(OR(C698="",D698=""),"Sem dados",IFERROR(IF(C698="M",INDEX(Config!$B$11:$B$14,MATCH(L698,Config!$A$11:$A$14,1)),IF(C698="F",INDEX(Config!$C$11:$C$14,MATCH(L698,Config!$A$11:$A$14,1)),"Sem dados")),"Verificar"))))</f>
        <v/>
      </c>
      <c r="N698" s="39">
        <f>IF(A698="","",IF(COUNTIFS('Movimentações'!$C$6:$C$1505,A698,'Movimentações'!$B$6:$B$1505,"Venda")&gt;0,"Vendido",IF(COUNTIFS('Movimentações'!$C$6:$C$1505,A698,'Movimentações'!$B$6:$B$1505,"Morte")&gt;0,"Morto","Ativo")))</f>
        <v/>
      </c>
      <c r="O698" s="40">
        <f>IF(A698="","",IF(COUNTIF('Pesagens'!$B$6:$B$2005,A698)=0,"",SUMPRODUCT(MAX(('Pesagens'!$B$6:$B$2005=A698)*'Pesagens'!$A$6:$A$2005))))</f>
        <v/>
      </c>
      <c r="P698" s="41">
        <f>IF(A698="","",IF(O698="",IF(J698="","",J698),IFERROR(AVERAGEIFS('Pesagens'!$C$6:$C$2005,'Pesagens'!$B$6:$B$2005,A698,'Pesagens'!$A$6:$A$2005,O698),"")))</f>
        <v/>
      </c>
      <c r="Q698" s="42">
        <f>IF(OR(A698="",O698="",I698="",J698=""),"",IFERROR((P698-J698)/(O698-I698),""))</f>
        <v/>
      </c>
    </row>
    <row r="699">
      <c r="A699" s="36" t="n"/>
      <c r="B699" s="32" t="n"/>
      <c r="C699" s="37" t="n"/>
      <c r="D699" s="31" t="n"/>
      <c r="E699" s="32" t="n"/>
      <c r="F699" s="32" t="n"/>
      <c r="G699" s="32" t="n"/>
      <c r="H699" s="36" t="n"/>
      <c r="I699" s="31" t="n"/>
      <c r="J699" s="38" t="n"/>
      <c r="K699" s="32" t="n"/>
      <c r="L699" s="34">
        <f>IF(OR(A699="",D699=""),"",IF(D699&gt;Config!$B$5,0,DATEDIF(D699,Config!$B$5,"m")))</f>
        <v/>
      </c>
      <c r="M699" s="39">
        <f>IF(A699="","",IF(K699&lt;&gt;"",K699,IF(OR(C699="",D699=""),"Sem dados",IFERROR(IF(C699="M",INDEX(Config!$B$11:$B$14,MATCH(L699,Config!$A$11:$A$14,1)),IF(C699="F",INDEX(Config!$C$11:$C$14,MATCH(L699,Config!$A$11:$A$14,1)),"Sem dados")),"Verificar"))))</f>
        <v/>
      </c>
      <c r="N699" s="39">
        <f>IF(A699="","",IF(COUNTIFS('Movimentações'!$C$6:$C$1505,A699,'Movimentações'!$B$6:$B$1505,"Venda")&gt;0,"Vendido",IF(COUNTIFS('Movimentações'!$C$6:$C$1505,A699,'Movimentações'!$B$6:$B$1505,"Morte")&gt;0,"Morto","Ativo")))</f>
        <v/>
      </c>
      <c r="O699" s="40">
        <f>IF(A699="","",IF(COUNTIF('Pesagens'!$B$6:$B$2005,A699)=0,"",SUMPRODUCT(MAX(('Pesagens'!$B$6:$B$2005=A699)*'Pesagens'!$A$6:$A$2005))))</f>
        <v/>
      </c>
      <c r="P699" s="41">
        <f>IF(A699="","",IF(O699="",IF(J699="","",J699),IFERROR(AVERAGEIFS('Pesagens'!$C$6:$C$2005,'Pesagens'!$B$6:$B$2005,A699,'Pesagens'!$A$6:$A$2005,O699),"")))</f>
        <v/>
      </c>
      <c r="Q699" s="42">
        <f>IF(OR(A699="",O699="",I699="",J699=""),"",IFERROR((P699-J699)/(O699-I699),""))</f>
        <v/>
      </c>
    </row>
    <row r="700">
      <c r="A700" s="36" t="n"/>
      <c r="B700" s="32" t="n"/>
      <c r="C700" s="37" t="n"/>
      <c r="D700" s="31" t="n"/>
      <c r="E700" s="32" t="n"/>
      <c r="F700" s="32" t="n"/>
      <c r="G700" s="32" t="n"/>
      <c r="H700" s="36" t="n"/>
      <c r="I700" s="31" t="n"/>
      <c r="J700" s="38" t="n"/>
      <c r="K700" s="32" t="n"/>
      <c r="L700" s="34">
        <f>IF(OR(A700="",D700=""),"",IF(D700&gt;Config!$B$5,0,DATEDIF(D700,Config!$B$5,"m")))</f>
        <v/>
      </c>
      <c r="M700" s="39">
        <f>IF(A700="","",IF(K700&lt;&gt;"",K700,IF(OR(C700="",D700=""),"Sem dados",IFERROR(IF(C700="M",INDEX(Config!$B$11:$B$14,MATCH(L700,Config!$A$11:$A$14,1)),IF(C700="F",INDEX(Config!$C$11:$C$14,MATCH(L700,Config!$A$11:$A$14,1)),"Sem dados")),"Verificar"))))</f>
        <v/>
      </c>
      <c r="N700" s="39">
        <f>IF(A700="","",IF(COUNTIFS('Movimentações'!$C$6:$C$1505,A700,'Movimentações'!$B$6:$B$1505,"Venda")&gt;0,"Vendido",IF(COUNTIFS('Movimentações'!$C$6:$C$1505,A700,'Movimentações'!$B$6:$B$1505,"Morte")&gt;0,"Morto","Ativo")))</f>
        <v/>
      </c>
      <c r="O700" s="40">
        <f>IF(A700="","",IF(COUNTIF('Pesagens'!$B$6:$B$2005,A700)=0,"",SUMPRODUCT(MAX(('Pesagens'!$B$6:$B$2005=A700)*'Pesagens'!$A$6:$A$2005))))</f>
        <v/>
      </c>
      <c r="P700" s="41">
        <f>IF(A700="","",IF(O700="",IF(J700="","",J700),IFERROR(AVERAGEIFS('Pesagens'!$C$6:$C$2005,'Pesagens'!$B$6:$B$2005,A700,'Pesagens'!$A$6:$A$2005,O700),"")))</f>
        <v/>
      </c>
      <c r="Q700" s="42">
        <f>IF(OR(A700="",O700="",I700="",J700=""),"",IFERROR((P700-J700)/(O700-I700),""))</f>
        <v/>
      </c>
    </row>
    <row r="701">
      <c r="A701" s="36" t="n"/>
      <c r="B701" s="32" t="n"/>
      <c r="C701" s="37" t="n"/>
      <c r="D701" s="31" t="n"/>
      <c r="E701" s="32" t="n"/>
      <c r="F701" s="32" t="n"/>
      <c r="G701" s="32" t="n"/>
      <c r="H701" s="36" t="n"/>
      <c r="I701" s="31" t="n"/>
      <c r="J701" s="38" t="n"/>
      <c r="K701" s="32" t="n"/>
      <c r="L701" s="34">
        <f>IF(OR(A701="",D701=""),"",IF(D701&gt;Config!$B$5,0,DATEDIF(D701,Config!$B$5,"m")))</f>
        <v/>
      </c>
      <c r="M701" s="39">
        <f>IF(A701="","",IF(K701&lt;&gt;"",K701,IF(OR(C701="",D701=""),"Sem dados",IFERROR(IF(C701="M",INDEX(Config!$B$11:$B$14,MATCH(L701,Config!$A$11:$A$14,1)),IF(C701="F",INDEX(Config!$C$11:$C$14,MATCH(L701,Config!$A$11:$A$14,1)),"Sem dados")),"Verificar"))))</f>
        <v/>
      </c>
      <c r="N701" s="39">
        <f>IF(A701="","",IF(COUNTIFS('Movimentações'!$C$6:$C$1505,A701,'Movimentações'!$B$6:$B$1505,"Venda")&gt;0,"Vendido",IF(COUNTIFS('Movimentações'!$C$6:$C$1505,A701,'Movimentações'!$B$6:$B$1505,"Morte")&gt;0,"Morto","Ativo")))</f>
        <v/>
      </c>
      <c r="O701" s="40">
        <f>IF(A701="","",IF(COUNTIF('Pesagens'!$B$6:$B$2005,A701)=0,"",SUMPRODUCT(MAX(('Pesagens'!$B$6:$B$2005=A701)*'Pesagens'!$A$6:$A$2005))))</f>
        <v/>
      </c>
      <c r="P701" s="41">
        <f>IF(A701="","",IF(O701="",IF(J701="","",J701),IFERROR(AVERAGEIFS('Pesagens'!$C$6:$C$2005,'Pesagens'!$B$6:$B$2005,A701,'Pesagens'!$A$6:$A$2005,O701),"")))</f>
        <v/>
      </c>
      <c r="Q701" s="42">
        <f>IF(OR(A701="",O701="",I701="",J701=""),"",IFERROR((P701-J701)/(O701-I701),""))</f>
        <v/>
      </c>
    </row>
    <row r="702">
      <c r="A702" s="36" t="n"/>
      <c r="B702" s="32" t="n"/>
      <c r="C702" s="37" t="n"/>
      <c r="D702" s="31" t="n"/>
      <c r="E702" s="32" t="n"/>
      <c r="F702" s="32" t="n"/>
      <c r="G702" s="32" t="n"/>
      <c r="H702" s="36" t="n"/>
      <c r="I702" s="31" t="n"/>
      <c r="J702" s="38" t="n"/>
      <c r="K702" s="32" t="n"/>
      <c r="L702" s="34">
        <f>IF(OR(A702="",D702=""),"",IF(D702&gt;Config!$B$5,0,DATEDIF(D702,Config!$B$5,"m")))</f>
        <v/>
      </c>
      <c r="M702" s="39">
        <f>IF(A702="","",IF(K702&lt;&gt;"",K702,IF(OR(C702="",D702=""),"Sem dados",IFERROR(IF(C702="M",INDEX(Config!$B$11:$B$14,MATCH(L702,Config!$A$11:$A$14,1)),IF(C702="F",INDEX(Config!$C$11:$C$14,MATCH(L702,Config!$A$11:$A$14,1)),"Sem dados")),"Verificar"))))</f>
        <v/>
      </c>
      <c r="N702" s="39">
        <f>IF(A702="","",IF(COUNTIFS('Movimentações'!$C$6:$C$1505,A702,'Movimentações'!$B$6:$B$1505,"Venda")&gt;0,"Vendido",IF(COUNTIFS('Movimentações'!$C$6:$C$1505,A702,'Movimentações'!$B$6:$B$1505,"Morte")&gt;0,"Morto","Ativo")))</f>
        <v/>
      </c>
      <c r="O702" s="40">
        <f>IF(A702="","",IF(COUNTIF('Pesagens'!$B$6:$B$2005,A702)=0,"",SUMPRODUCT(MAX(('Pesagens'!$B$6:$B$2005=A702)*'Pesagens'!$A$6:$A$2005))))</f>
        <v/>
      </c>
      <c r="P702" s="41">
        <f>IF(A702="","",IF(O702="",IF(J702="","",J702),IFERROR(AVERAGEIFS('Pesagens'!$C$6:$C$2005,'Pesagens'!$B$6:$B$2005,A702,'Pesagens'!$A$6:$A$2005,O702),"")))</f>
        <v/>
      </c>
      <c r="Q702" s="42">
        <f>IF(OR(A702="",O702="",I702="",J702=""),"",IFERROR((P702-J702)/(O702-I702),""))</f>
        <v/>
      </c>
    </row>
    <row r="703">
      <c r="A703" s="36" t="n"/>
      <c r="B703" s="32" t="n"/>
      <c r="C703" s="37" t="n"/>
      <c r="D703" s="31" t="n"/>
      <c r="E703" s="32" t="n"/>
      <c r="F703" s="32" t="n"/>
      <c r="G703" s="32" t="n"/>
      <c r="H703" s="36" t="n"/>
      <c r="I703" s="31" t="n"/>
      <c r="J703" s="38" t="n"/>
      <c r="K703" s="32" t="n"/>
      <c r="L703" s="34">
        <f>IF(OR(A703="",D703=""),"",IF(D703&gt;Config!$B$5,0,DATEDIF(D703,Config!$B$5,"m")))</f>
        <v/>
      </c>
      <c r="M703" s="39">
        <f>IF(A703="","",IF(K703&lt;&gt;"",K703,IF(OR(C703="",D703=""),"Sem dados",IFERROR(IF(C703="M",INDEX(Config!$B$11:$B$14,MATCH(L703,Config!$A$11:$A$14,1)),IF(C703="F",INDEX(Config!$C$11:$C$14,MATCH(L703,Config!$A$11:$A$14,1)),"Sem dados")),"Verificar"))))</f>
        <v/>
      </c>
      <c r="N703" s="39">
        <f>IF(A703="","",IF(COUNTIFS('Movimentações'!$C$6:$C$1505,A703,'Movimentações'!$B$6:$B$1505,"Venda")&gt;0,"Vendido",IF(COUNTIFS('Movimentações'!$C$6:$C$1505,A703,'Movimentações'!$B$6:$B$1505,"Morte")&gt;0,"Morto","Ativo")))</f>
        <v/>
      </c>
      <c r="O703" s="40">
        <f>IF(A703="","",IF(COUNTIF('Pesagens'!$B$6:$B$2005,A703)=0,"",SUMPRODUCT(MAX(('Pesagens'!$B$6:$B$2005=A703)*'Pesagens'!$A$6:$A$2005))))</f>
        <v/>
      </c>
      <c r="P703" s="41">
        <f>IF(A703="","",IF(O703="",IF(J703="","",J703),IFERROR(AVERAGEIFS('Pesagens'!$C$6:$C$2005,'Pesagens'!$B$6:$B$2005,A703,'Pesagens'!$A$6:$A$2005,O703),"")))</f>
        <v/>
      </c>
      <c r="Q703" s="42">
        <f>IF(OR(A703="",O703="",I703="",J703=""),"",IFERROR((P703-J703)/(O703-I703),""))</f>
        <v/>
      </c>
    </row>
    <row r="704">
      <c r="A704" s="36" t="n"/>
      <c r="B704" s="32" t="n"/>
      <c r="C704" s="37" t="n"/>
      <c r="D704" s="31" t="n"/>
      <c r="E704" s="32" t="n"/>
      <c r="F704" s="32" t="n"/>
      <c r="G704" s="32" t="n"/>
      <c r="H704" s="36" t="n"/>
      <c r="I704" s="31" t="n"/>
      <c r="J704" s="38" t="n"/>
      <c r="K704" s="32" t="n"/>
      <c r="L704" s="34">
        <f>IF(OR(A704="",D704=""),"",IF(D704&gt;Config!$B$5,0,DATEDIF(D704,Config!$B$5,"m")))</f>
        <v/>
      </c>
      <c r="M704" s="39">
        <f>IF(A704="","",IF(K704&lt;&gt;"",K704,IF(OR(C704="",D704=""),"Sem dados",IFERROR(IF(C704="M",INDEX(Config!$B$11:$B$14,MATCH(L704,Config!$A$11:$A$14,1)),IF(C704="F",INDEX(Config!$C$11:$C$14,MATCH(L704,Config!$A$11:$A$14,1)),"Sem dados")),"Verificar"))))</f>
        <v/>
      </c>
      <c r="N704" s="39">
        <f>IF(A704="","",IF(COUNTIFS('Movimentações'!$C$6:$C$1505,A704,'Movimentações'!$B$6:$B$1505,"Venda")&gt;0,"Vendido",IF(COUNTIFS('Movimentações'!$C$6:$C$1505,A704,'Movimentações'!$B$6:$B$1505,"Morte")&gt;0,"Morto","Ativo")))</f>
        <v/>
      </c>
      <c r="O704" s="40">
        <f>IF(A704="","",IF(COUNTIF('Pesagens'!$B$6:$B$2005,A704)=0,"",SUMPRODUCT(MAX(('Pesagens'!$B$6:$B$2005=A704)*'Pesagens'!$A$6:$A$2005))))</f>
        <v/>
      </c>
      <c r="P704" s="41">
        <f>IF(A704="","",IF(O704="",IF(J704="","",J704),IFERROR(AVERAGEIFS('Pesagens'!$C$6:$C$2005,'Pesagens'!$B$6:$B$2005,A704,'Pesagens'!$A$6:$A$2005,O704),"")))</f>
        <v/>
      </c>
      <c r="Q704" s="42">
        <f>IF(OR(A704="",O704="",I704="",J704=""),"",IFERROR((P704-J704)/(O704-I704),""))</f>
        <v/>
      </c>
    </row>
    <row r="705">
      <c r="A705" s="36" t="n"/>
      <c r="B705" s="32" t="n"/>
      <c r="C705" s="37" t="n"/>
      <c r="D705" s="31" t="n"/>
      <c r="E705" s="32" t="n"/>
      <c r="F705" s="32" t="n"/>
      <c r="G705" s="32" t="n"/>
      <c r="H705" s="36" t="n"/>
      <c r="I705" s="31" t="n"/>
      <c r="J705" s="38" t="n"/>
      <c r="K705" s="32" t="n"/>
      <c r="L705" s="34">
        <f>IF(OR(A705="",D705=""),"",IF(D705&gt;Config!$B$5,0,DATEDIF(D705,Config!$B$5,"m")))</f>
        <v/>
      </c>
      <c r="M705" s="39">
        <f>IF(A705="","",IF(K705&lt;&gt;"",K705,IF(OR(C705="",D705=""),"Sem dados",IFERROR(IF(C705="M",INDEX(Config!$B$11:$B$14,MATCH(L705,Config!$A$11:$A$14,1)),IF(C705="F",INDEX(Config!$C$11:$C$14,MATCH(L705,Config!$A$11:$A$14,1)),"Sem dados")),"Verificar"))))</f>
        <v/>
      </c>
      <c r="N705" s="39">
        <f>IF(A705="","",IF(COUNTIFS('Movimentações'!$C$6:$C$1505,A705,'Movimentações'!$B$6:$B$1505,"Venda")&gt;0,"Vendido",IF(COUNTIFS('Movimentações'!$C$6:$C$1505,A705,'Movimentações'!$B$6:$B$1505,"Morte")&gt;0,"Morto","Ativo")))</f>
        <v/>
      </c>
      <c r="O705" s="40">
        <f>IF(A705="","",IF(COUNTIF('Pesagens'!$B$6:$B$2005,A705)=0,"",SUMPRODUCT(MAX(('Pesagens'!$B$6:$B$2005=A705)*'Pesagens'!$A$6:$A$2005))))</f>
        <v/>
      </c>
      <c r="P705" s="41">
        <f>IF(A705="","",IF(O705="",IF(J705="","",J705),IFERROR(AVERAGEIFS('Pesagens'!$C$6:$C$2005,'Pesagens'!$B$6:$B$2005,A705,'Pesagens'!$A$6:$A$2005,O705),"")))</f>
        <v/>
      </c>
      <c r="Q705" s="42">
        <f>IF(OR(A705="",O705="",I705="",J705=""),"",IFERROR((P705-J705)/(O705-I705),""))</f>
        <v/>
      </c>
    </row>
    <row r="706">
      <c r="A706" s="36" t="n"/>
      <c r="B706" s="32" t="n"/>
      <c r="C706" s="37" t="n"/>
      <c r="D706" s="31" t="n"/>
      <c r="E706" s="32" t="n"/>
      <c r="F706" s="32" t="n"/>
      <c r="G706" s="32" t="n"/>
      <c r="H706" s="36" t="n"/>
      <c r="I706" s="31" t="n"/>
      <c r="J706" s="38" t="n"/>
      <c r="K706" s="32" t="n"/>
      <c r="L706" s="34">
        <f>IF(OR(A706="",D706=""),"",IF(D706&gt;Config!$B$5,0,DATEDIF(D706,Config!$B$5,"m")))</f>
        <v/>
      </c>
      <c r="M706" s="39">
        <f>IF(A706="","",IF(K706&lt;&gt;"",K706,IF(OR(C706="",D706=""),"Sem dados",IFERROR(IF(C706="M",INDEX(Config!$B$11:$B$14,MATCH(L706,Config!$A$11:$A$14,1)),IF(C706="F",INDEX(Config!$C$11:$C$14,MATCH(L706,Config!$A$11:$A$14,1)),"Sem dados")),"Verificar"))))</f>
        <v/>
      </c>
      <c r="N706" s="39">
        <f>IF(A706="","",IF(COUNTIFS('Movimentações'!$C$6:$C$1505,A706,'Movimentações'!$B$6:$B$1505,"Venda")&gt;0,"Vendido",IF(COUNTIFS('Movimentações'!$C$6:$C$1505,A706,'Movimentações'!$B$6:$B$1505,"Morte")&gt;0,"Morto","Ativo")))</f>
        <v/>
      </c>
      <c r="O706" s="40">
        <f>IF(A706="","",IF(COUNTIF('Pesagens'!$B$6:$B$2005,A706)=0,"",SUMPRODUCT(MAX(('Pesagens'!$B$6:$B$2005=A706)*'Pesagens'!$A$6:$A$2005))))</f>
        <v/>
      </c>
      <c r="P706" s="41">
        <f>IF(A706="","",IF(O706="",IF(J706="","",J706),IFERROR(AVERAGEIFS('Pesagens'!$C$6:$C$2005,'Pesagens'!$B$6:$B$2005,A706,'Pesagens'!$A$6:$A$2005,O706),"")))</f>
        <v/>
      </c>
      <c r="Q706" s="42">
        <f>IF(OR(A706="",O706="",I706="",J706=""),"",IFERROR((P706-J706)/(O706-I706),""))</f>
        <v/>
      </c>
    </row>
    <row r="707">
      <c r="A707" s="36" t="n"/>
      <c r="B707" s="32" t="n"/>
      <c r="C707" s="37" t="n"/>
      <c r="D707" s="31" t="n"/>
      <c r="E707" s="32" t="n"/>
      <c r="F707" s="32" t="n"/>
      <c r="G707" s="32" t="n"/>
      <c r="H707" s="36" t="n"/>
      <c r="I707" s="31" t="n"/>
      <c r="J707" s="38" t="n"/>
      <c r="K707" s="32" t="n"/>
      <c r="L707" s="34">
        <f>IF(OR(A707="",D707=""),"",IF(D707&gt;Config!$B$5,0,DATEDIF(D707,Config!$B$5,"m")))</f>
        <v/>
      </c>
      <c r="M707" s="39">
        <f>IF(A707="","",IF(K707&lt;&gt;"",K707,IF(OR(C707="",D707=""),"Sem dados",IFERROR(IF(C707="M",INDEX(Config!$B$11:$B$14,MATCH(L707,Config!$A$11:$A$14,1)),IF(C707="F",INDEX(Config!$C$11:$C$14,MATCH(L707,Config!$A$11:$A$14,1)),"Sem dados")),"Verificar"))))</f>
        <v/>
      </c>
      <c r="N707" s="39">
        <f>IF(A707="","",IF(COUNTIFS('Movimentações'!$C$6:$C$1505,A707,'Movimentações'!$B$6:$B$1505,"Venda")&gt;0,"Vendido",IF(COUNTIFS('Movimentações'!$C$6:$C$1505,A707,'Movimentações'!$B$6:$B$1505,"Morte")&gt;0,"Morto","Ativo")))</f>
        <v/>
      </c>
      <c r="O707" s="40">
        <f>IF(A707="","",IF(COUNTIF('Pesagens'!$B$6:$B$2005,A707)=0,"",SUMPRODUCT(MAX(('Pesagens'!$B$6:$B$2005=A707)*'Pesagens'!$A$6:$A$2005))))</f>
        <v/>
      </c>
      <c r="P707" s="41">
        <f>IF(A707="","",IF(O707="",IF(J707="","",J707),IFERROR(AVERAGEIFS('Pesagens'!$C$6:$C$2005,'Pesagens'!$B$6:$B$2005,A707,'Pesagens'!$A$6:$A$2005,O707),"")))</f>
        <v/>
      </c>
      <c r="Q707" s="42">
        <f>IF(OR(A707="",O707="",I707="",J707=""),"",IFERROR((P707-J707)/(O707-I707),""))</f>
        <v/>
      </c>
    </row>
    <row r="708">
      <c r="A708" s="36" t="n"/>
      <c r="B708" s="32" t="n"/>
      <c r="C708" s="37" t="n"/>
      <c r="D708" s="31" t="n"/>
      <c r="E708" s="32" t="n"/>
      <c r="F708" s="32" t="n"/>
      <c r="G708" s="32" t="n"/>
      <c r="H708" s="36" t="n"/>
      <c r="I708" s="31" t="n"/>
      <c r="J708" s="38" t="n"/>
      <c r="K708" s="32" t="n"/>
      <c r="L708" s="34">
        <f>IF(OR(A708="",D708=""),"",IF(D708&gt;Config!$B$5,0,DATEDIF(D708,Config!$B$5,"m")))</f>
        <v/>
      </c>
      <c r="M708" s="39">
        <f>IF(A708="","",IF(K708&lt;&gt;"",K708,IF(OR(C708="",D708=""),"Sem dados",IFERROR(IF(C708="M",INDEX(Config!$B$11:$B$14,MATCH(L708,Config!$A$11:$A$14,1)),IF(C708="F",INDEX(Config!$C$11:$C$14,MATCH(L708,Config!$A$11:$A$14,1)),"Sem dados")),"Verificar"))))</f>
        <v/>
      </c>
      <c r="N708" s="39">
        <f>IF(A708="","",IF(COUNTIFS('Movimentações'!$C$6:$C$1505,A708,'Movimentações'!$B$6:$B$1505,"Venda")&gt;0,"Vendido",IF(COUNTIFS('Movimentações'!$C$6:$C$1505,A708,'Movimentações'!$B$6:$B$1505,"Morte")&gt;0,"Morto","Ativo")))</f>
        <v/>
      </c>
      <c r="O708" s="40">
        <f>IF(A708="","",IF(COUNTIF('Pesagens'!$B$6:$B$2005,A708)=0,"",SUMPRODUCT(MAX(('Pesagens'!$B$6:$B$2005=A708)*'Pesagens'!$A$6:$A$2005))))</f>
        <v/>
      </c>
      <c r="P708" s="41">
        <f>IF(A708="","",IF(O708="",IF(J708="","",J708),IFERROR(AVERAGEIFS('Pesagens'!$C$6:$C$2005,'Pesagens'!$B$6:$B$2005,A708,'Pesagens'!$A$6:$A$2005,O708),"")))</f>
        <v/>
      </c>
      <c r="Q708" s="42">
        <f>IF(OR(A708="",O708="",I708="",J708=""),"",IFERROR((P708-J708)/(O708-I708),""))</f>
        <v/>
      </c>
    </row>
    <row r="709">
      <c r="A709" s="36" t="n"/>
      <c r="B709" s="32" t="n"/>
      <c r="C709" s="37" t="n"/>
      <c r="D709" s="31" t="n"/>
      <c r="E709" s="32" t="n"/>
      <c r="F709" s="32" t="n"/>
      <c r="G709" s="32" t="n"/>
      <c r="H709" s="36" t="n"/>
      <c r="I709" s="31" t="n"/>
      <c r="J709" s="38" t="n"/>
      <c r="K709" s="32" t="n"/>
      <c r="L709" s="34">
        <f>IF(OR(A709="",D709=""),"",IF(D709&gt;Config!$B$5,0,DATEDIF(D709,Config!$B$5,"m")))</f>
        <v/>
      </c>
      <c r="M709" s="39">
        <f>IF(A709="","",IF(K709&lt;&gt;"",K709,IF(OR(C709="",D709=""),"Sem dados",IFERROR(IF(C709="M",INDEX(Config!$B$11:$B$14,MATCH(L709,Config!$A$11:$A$14,1)),IF(C709="F",INDEX(Config!$C$11:$C$14,MATCH(L709,Config!$A$11:$A$14,1)),"Sem dados")),"Verificar"))))</f>
        <v/>
      </c>
      <c r="N709" s="39">
        <f>IF(A709="","",IF(COUNTIFS('Movimentações'!$C$6:$C$1505,A709,'Movimentações'!$B$6:$B$1505,"Venda")&gt;0,"Vendido",IF(COUNTIFS('Movimentações'!$C$6:$C$1505,A709,'Movimentações'!$B$6:$B$1505,"Morte")&gt;0,"Morto","Ativo")))</f>
        <v/>
      </c>
      <c r="O709" s="40">
        <f>IF(A709="","",IF(COUNTIF('Pesagens'!$B$6:$B$2005,A709)=0,"",SUMPRODUCT(MAX(('Pesagens'!$B$6:$B$2005=A709)*'Pesagens'!$A$6:$A$2005))))</f>
        <v/>
      </c>
      <c r="P709" s="41">
        <f>IF(A709="","",IF(O709="",IF(J709="","",J709),IFERROR(AVERAGEIFS('Pesagens'!$C$6:$C$2005,'Pesagens'!$B$6:$B$2005,A709,'Pesagens'!$A$6:$A$2005,O709),"")))</f>
        <v/>
      </c>
      <c r="Q709" s="42">
        <f>IF(OR(A709="",O709="",I709="",J709=""),"",IFERROR((P709-J709)/(O709-I709),""))</f>
        <v/>
      </c>
    </row>
    <row r="710">
      <c r="A710" s="36" t="n"/>
      <c r="B710" s="32" t="n"/>
      <c r="C710" s="37" t="n"/>
      <c r="D710" s="31" t="n"/>
      <c r="E710" s="32" t="n"/>
      <c r="F710" s="32" t="n"/>
      <c r="G710" s="32" t="n"/>
      <c r="H710" s="36" t="n"/>
      <c r="I710" s="31" t="n"/>
      <c r="J710" s="38" t="n"/>
      <c r="K710" s="32" t="n"/>
      <c r="L710" s="34">
        <f>IF(OR(A710="",D710=""),"",IF(D710&gt;Config!$B$5,0,DATEDIF(D710,Config!$B$5,"m")))</f>
        <v/>
      </c>
      <c r="M710" s="39">
        <f>IF(A710="","",IF(K710&lt;&gt;"",K710,IF(OR(C710="",D710=""),"Sem dados",IFERROR(IF(C710="M",INDEX(Config!$B$11:$B$14,MATCH(L710,Config!$A$11:$A$14,1)),IF(C710="F",INDEX(Config!$C$11:$C$14,MATCH(L710,Config!$A$11:$A$14,1)),"Sem dados")),"Verificar"))))</f>
        <v/>
      </c>
      <c r="N710" s="39">
        <f>IF(A710="","",IF(COUNTIFS('Movimentações'!$C$6:$C$1505,A710,'Movimentações'!$B$6:$B$1505,"Venda")&gt;0,"Vendido",IF(COUNTIFS('Movimentações'!$C$6:$C$1505,A710,'Movimentações'!$B$6:$B$1505,"Morte")&gt;0,"Morto","Ativo")))</f>
        <v/>
      </c>
      <c r="O710" s="40">
        <f>IF(A710="","",IF(COUNTIF('Pesagens'!$B$6:$B$2005,A710)=0,"",SUMPRODUCT(MAX(('Pesagens'!$B$6:$B$2005=A710)*'Pesagens'!$A$6:$A$2005))))</f>
        <v/>
      </c>
      <c r="P710" s="41">
        <f>IF(A710="","",IF(O710="",IF(J710="","",J710),IFERROR(AVERAGEIFS('Pesagens'!$C$6:$C$2005,'Pesagens'!$B$6:$B$2005,A710,'Pesagens'!$A$6:$A$2005,O710),"")))</f>
        <v/>
      </c>
      <c r="Q710" s="42">
        <f>IF(OR(A710="",O710="",I710="",J710=""),"",IFERROR((P710-J710)/(O710-I710),""))</f>
        <v/>
      </c>
    </row>
    <row r="711">
      <c r="A711" s="36" t="n"/>
      <c r="B711" s="32" t="n"/>
      <c r="C711" s="37" t="n"/>
      <c r="D711" s="31" t="n"/>
      <c r="E711" s="32" t="n"/>
      <c r="F711" s="32" t="n"/>
      <c r="G711" s="32" t="n"/>
      <c r="H711" s="36" t="n"/>
      <c r="I711" s="31" t="n"/>
      <c r="J711" s="38" t="n"/>
      <c r="K711" s="32" t="n"/>
      <c r="L711" s="34">
        <f>IF(OR(A711="",D711=""),"",IF(D711&gt;Config!$B$5,0,DATEDIF(D711,Config!$B$5,"m")))</f>
        <v/>
      </c>
      <c r="M711" s="39">
        <f>IF(A711="","",IF(K711&lt;&gt;"",K711,IF(OR(C711="",D711=""),"Sem dados",IFERROR(IF(C711="M",INDEX(Config!$B$11:$B$14,MATCH(L711,Config!$A$11:$A$14,1)),IF(C711="F",INDEX(Config!$C$11:$C$14,MATCH(L711,Config!$A$11:$A$14,1)),"Sem dados")),"Verificar"))))</f>
        <v/>
      </c>
      <c r="N711" s="39">
        <f>IF(A711="","",IF(COUNTIFS('Movimentações'!$C$6:$C$1505,A711,'Movimentações'!$B$6:$B$1505,"Venda")&gt;0,"Vendido",IF(COUNTIFS('Movimentações'!$C$6:$C$1505,A711,'Movimentações'!$B$6:$B$1505,"Morte")&gt;0,"Morto","Ativo")))</f>
        <v/>
      </c>
      <c r="O711" s="40">
        <f>IF(A711="","",IF(COUNTIF('Pesagens'!$B$6:$B$2005,A711)=0,"",SUMPRODUCT(MAX(('Pesagens'!$B$6:$B$2005=A711)*'Pesagens'!$A$6:$A$2005))))</f>
        <v/>
      </c>
      <c r="P711" s="41">
        <f>IF(A711="","",IF(O711="",IF(J711="","",J711),IFERROR(AVERAGEIFS('Pesagens'!$C$6:$C$2005,'Pesagens'!$B$6:$B$2005,A711,'Pesagens'!$A$6:$A$2005,O711),"")))</f>
        <v/>
      </c>
      <c r="Q711" s="42">
        <f>IF(OR(A711="",O711="",I711="",J711=""),"",IFERROR((P711-J711)/(O711-I711),""))</f>
        <v/>
      </c>
    </row>
    <row r="712">
      <c r="A712" s="36" t="n"/>
      <c r="B712" s="32" t="n"/>
      <c r="C712" s="37" t="n"/>
      <c r="D712" s="31" t="n"/>
      <c r="E712" s="32" t="n"/>
      <c r="F712" s="32" t="n"/>
      <c r="G712" s="32" t="n"/>
      <c r="H712" s="36" t="n"/>
      <c r="I712" s="31" t="n"/>
      <c r="J712" s="38" t="n"/>
      <c r="K712" s="32" t="n"/>
      <c r="L712" s="34">
        <f>IF(OR(A712="",D712=""),"",IF(D712&gt;Config!$B$5,0,DATEDIF(D712,Config!$B$5,"m")))</f>
        <v/>
      </c>
      <c r="M712" s="39">
        <f>IF(A712="","",IF(K712&lt;&gt;"",K712,IF(OR(C712="",D712=""),"Sem dados",IFERROR(IF(C712="M",INDEX(Config!$B$11:$B$14,MATCH(L712,Config!$A$11:$A$14,1)),IF(C712="F",INDEX(Config!$C$11:$C$14,MATCH(L712,Config!$A$11:$A$14,1)),"Sem dados")),"Verificar"))))</f>
        <v/>
      </c>
      <c r="N712" s="39">
        <f>IF(A712="","",IF(COUNTIFS('Movimentações'!$C$6:$C$1505,A712,'Movimentações'!$B$6:$B$1505,"Venda")&gt;0,"Vendido",IF(COUNTIFS('Movimentações'!$C$6:$C$1505,A712,'Movimentações'!$B$6:$B$1505,"Morte")&gt;0,"Morto","Ativo")))</f>
        <v/>
      </c>
      <c r="O712" s="40">
        <f>IF(A712="","",IF(COUNTIF('Pesagens'!$B$6:$B$2005,A712)=0,"",SUMPRODUCT(MAX(('Pesagens'!$B$6:$B$2005=A712)*'Pesagens'!$A$6:$A$2005))))</f>
        <v/>
      </c>
      <c r="P712" s="41">
        <f>IF(A712="","",IF(O712="",IF(J712="","",J712),IFERROR(AVERAGEIFS('Pesagens'!$C$6:$C$2005,'Pesagens'!$B$6:$B$2005,A712,'Pesagens'!$A$6:$A$2005,O712),"")))</f>
        <v/>
      </c>
      <c r="Q712" s="42">
        <f>IF(OR(A712="",O712="",I712="",J712=""),"",IFERROR((P712-J712)/(O712-I712),""))</f>
        <v/>
      </c>
    </row>
    <row r="713">
      <c r="A713" s="36" t="n"/>
      <c r="B713" s="32" t="n"/>
      <c r="C713" s="37" t="n"/>
      <c r="D713" s="31" t="n"/>
      <c r="E713" s="32" t="n"/>
      <c r="F713" s="32" t="n"/>
      <c r="G713" s="32" t="n"/>
      <c r="H713" s="36" t="n"/>
      <c r="I713" s="31" t="n"/>
      <c r="J713" s="38" t="n"/>
      <c r="K713" s="32" t="n"/>
      <c r="L713" s="34">
        <f>IF(OR(A713="",D713=""),"",IF(D713&gt;Config!$B$5,0,DATEDIF(D713,Config!$B$5,"m")))</f>
        <v/>
      </c>
      <c r="M713" s="39">
        <f>IF(A713="","",IF(K713&lt;&gt;"",K713,IF(OR(C713="",D713=""),"Sem dados",IFERROR(IF(C713="M",INDEX(Config!$B$11:$B$14,MATCH(L713,Config!$A$11:$A$14,1)),IF(C713="F",INDEX(Config!$C$11:$C$14,MATCH(L713,Config!$A$11:$A$14,1)),"Sem dados")),"Verificar"))))</f>
        <v/>
      </c>
      <c r="N713" s="39">
        <f>IF(A713="","",IF(COUNTIFS('Movimentações'!$C$6:$C$1505,A713,'Movimentações'!$B$6:$B$1505,"Venda")&gt;0,"Vendido",IF(COUNTIFS('Movimentações'!$C$6:$C$1505,A713,'Movimentações'!$B$6:$B$1505,"Morte")&gt;0,"Morto","Ativo")))</f>
        <v/>
      </c>
      <c r="O713" s="40">
        <f>IF(A713="","",IF(COUNTIF('Pesagens'!$B$6:$B$2005,A713)=0,"",SUMPRODUCT(MAX(('Pesagens'!$B$6:$B$2005=A713)*'Pesagens'!$A$6:$A$2005))))</f>
        <v/>
      </c>
      <c r="P713" s="41">
        <f>IF(A713="","",IF(O713="",IF(J713="","",J713),IFERROR(AVERAGEIFS('Pesagens'!$C$6:$C$2005,'Pesagens'!$B$6:$B$2005,A713,'Pesagens'!$A$6:$A$2005,O713),"")))</f>
        <v/>
      </c>
      <c r="Q713" s="42">
        <f>IF(OR(A713="",O713="",I713="",J713=""),"",IFERROR((P713-J713)/(O713-I713),""))</f>
        <v/>
      </c>
    </row>
    <row r="714">
      <c r="A714" s="36" t="n"/>
      <c r="B714" s="32" t="n"/>
      <c r="C714" s="37" t="n"/>
      <c r="D714" s="31" t="n"/>
      <c r="E714" s="32" t="n"/>
      <c r="F714" s="32" t="n"/>
      <c r="G714" s="32" t="n"/>
      <c r="H714" s="36" t="n"/>
      <c r="I714" s="31" t="n"/>
      <c r="J714" s="38" t="n"/>
      <c r="K714" s="32" t="n"/>
      <c r="L714" s="34">
        <f>IF(OR(A714="",D714=""),"",IF(D714&gt;Config!$B$5,0,DATEDIF(D714,Config!$B$5,"m")))</f>
        <v/>
      </c>
      <c r="M714" s="39">
        <f>IF(A714="","",IF(K714&lt;&gt;"",K714,IF(OR(C714="",D714=""),"Sem dados",IFERROR(IF(C714="M",INDEX(Config!$B$11:$B$14,MATCH(L714,Config!$A$11:$A$14,1)),IF(C714="F",INDEX(Config!$C$11:$C$14,MATCH(L714,Config!$A$11:$A$14,1)),"Sem dados")),"Verificar"))))</f>
        <v/>
      </c>
      <c r="N714" s="39">
        <f>IF(A714="","",IF(COUNTIFS('Movimentações'!$C$6:$C$1505,A714,'Movimentações'!$B$6:$B$1505,"Venda")&gt;0,"Vendido",IF(COUNTIFS('Movimentações'!$C$6:$C$1505,A714,'Movimentações'!$B$6:$B$1505,"Morte")&gt;0,"Morto","Ativo")))</f>
        <v/>
      </c>
      <c r="O714" s="40">
        <f>IF(A714="","",IF(COUNTIF('Pesagens'!$B$6:$B$2005,A714)=0,"",SUMPRODUCT(MAX(('Pesagens'!$B$6:$B$2005=A714)*'Pesagens'!$A$6:$A$2005))))</f>
        <v/>
      </c>
      <c r="P714" s="41">
        <f>IF(A714="","",IF(O714="",IF(J714="","",J714),IFERROR(AVERAGEIFS('Pesagens'!$C$6:$C$2005,'Pesagens'!$B$6:$B$2005,A714,'Pesagens'!$A$6:$A$2005,O714),"")))</f>
        <v/>
      </c>
      <c r="Q714" s="42">
        <f>IF(OR(A714="",O714="",I714="",J714=""),"",IFERROR((P714-J714)/(O714-I714),""))</f>
        <v/>
      </c>
    </row>
    <row r="715">
      <c r="A715" s="36" t="n"/>
      <c r="B715" s="32" t="n"/>
      <c r="C715" s="37" t="n"/>
      <c r="D715" s="31" t="n"/>
      <c r="E715" s="32" t="n"/>
      <c r="F715" s="32" t="n"/>
      <c r="G715" s="32" t="n"/>
      <c r="H715" s="36" t="n"/>
      <c r="I715" s="31" t="n"/>
      <c r="J715" s="38" t="n"/>
      <c r="K715" s="32" t="n"/>
      <c r="L715" s="34">
        <f>IF(OR(A715="",D715=""),"",IF(D715&gt;Config!$B$5,0,DATEDIF(D715,Config!$B$5,"m")))</f>
        <v/>
      </c>
      <c r="M715" s="39">
        <f>IF(A715="","",IF(K715&lt;&gt;"",K715,IF(OR(C715="",D715=""),"Sem dados",IFERROR(IF(C715="M",INDEX(Config!$B$11:$B$14,MATCH(L715,Config!$A$11:$A$14,1)),IF(C715="F",INDEX(Config!$C$11:$C$14,MATCH(L715,Config!$A$11:$A$14,1)),"Sem dados")),"Verificar"))))</f>
        <v/>
      </c>
      <c r="N715" s="39">
        <f>IF(A715="","",IF(COUNTIFS('Movimentações'!$C$6:$C$1505,A715,'Movimentações'!$B$6:$B$1505,"Venda")&gt;0,"Vendido",IF(COUNTIFS('Movimentações'!$C$6:$C$1505,A715,'Movimentações'!$B$6:$B$1505,"Morte")&gt;0,"Morto","Ativo")))</f>
        <v/>
      </c>
      <c r="O715" s="40">
        <f>IF(A715="","",IF(COUNTIF('Pesagens'!$B$6:$B$2005,A715)=0,"",SUMPRODUCT(MAX(('Pesagens'!$B$6:$B$2005=A715)*'Pesagens'!$A$6:$A$2005))))</f>
        <v/>
      </c>
      <c r="P715" s="41">
        <f>IF(A715="","",IF(O715="",IF(J715="","",J715),IFERROR(AVERAGEIFS('Pesagens'!$C$6:$C$2005,'Pesagens'!$B$6:$B$2005,A715,'Pesagens'!$A$6:$A$2005,O715),"")))</f>
        <v/>
      </c>
      <c r="Q715" s="42">
        <f>IF(OR(A715="",O715="",I715="",J715=""),"",IFERROR((P715-J715)/(O715-I715),""))</f>
        <v/>
      </c>
    </row>
    <row r="716">
      <c r="A716" s="36" t="n"/>
      <c r="B716" s="32" t="n"/>
      <c r="C716" s="37" t="n"/>
      <c r="D716" s="31" t="n"/>
      <c r="E716" s="32" t="n"/>
      <c r="F716" s="32" t="n"/>
      <c r="G716" s="32" t="n"/>
      <c r="H716" s="36" t="n"/>
      <c r="I716" s="31" t="n"/>
      <c r="J716" s="38" t="n"/>
      <c r="K716" s="32" t="n"/>
      <c r="L716" s="34">
        <f>IF(OR(A716="",D716=""),"",IF(D716&gt;Config!$B$5,0,DATEDIF(D716,Config!$B$5,"m")))</f>
        <v/>
      </c>
      <c r="M716" s="39">
        <f>IF(A716="","",IF(K716&lt;&gt;"",K716,IF(OR(C716="",D716=""),"Sem dados",IFERROR(IF(C716="M",INDEX(Config!$B$11:$B$14,MATCH(L716,Config!$A$11:$A$14,1)),IF(C716="F",INDEX(Config!$C$11:$C$14,MATCH(L716,Config!$A$11:$A$14,1)),"Sem dados")),"Verificar"))))</f>
        <v/>
      </c>
      <c r="N716" s="39">
        <f>IF(A716="","",IF(COUNTIFS('Movimentações'!$C$6:$C$1505,A716,'Movimentações'!$B$6:$B$1505,"Venda")&gt;0,"Vendido",IF(COUNTIFS('Movimentações'!$C$6:$C$1505,A716,'Movimentações'!$B$6:$B$1505,"Morte")&gt;0,"Morto","Ativo")))</f>
        <v/>
      </c>
      <c r="O716" s="40">
        <f>IF(A716="","",IF(COUNTIF('Pesagens'!$B$6:$B$2005,A716)=0,"",SUMPRODUCT(MAX(('Pesagens'!$B$6:$B$2005=A716)*'Pesagens'!$A$6:$A$2005))))</f>
        <v/>
      </c>
      <c r="P716" s="41">
        <f>IF(A716="","",IF(O716="",IF(J716="","",J716),IFERROR(AVERAGEIFS('Pesagens'!$C$6:$C$2005,'Pesagens'!$B$6:$B$2005,A716,'Pesagens'!$A$6:$A$2005,O716),"")))</f>
        <v/>
      </c>
      <c r="Q716" s="42">
        <f>IF(OR(A716="",O716="",I716="",J716=""),"",IFERROR((P716-J716)/(O716-I716),""))</f>
        <v/>
      </c>
    </row>
    <row r="717">
      <c r="A717" s="36" t="n"/>
      <c r="B717" s="32" t="n"/>
      <c r="C717" s="37" t="n"/>
      <c r="D717" s="31" t="n"/>
      <c r="E717" s="32" t="n"/>
      <c r="F717" s="32" t="n"/>
      <c r="G717" s="32" t="n"/>
      <c r="H717" s="36" t="n"/>
      <c r="I717" s="31" t="n"/>
      <c r="J717" s="38" t="n"/>
      <c r="K717" s="32" t="n"/>
      <c r="L717" s="34">
        <f>IF(OR(A717="",D717=""),"",IF(D717&gt;Config!$B$5,0,DATEDIF(D717,Config!$B$5,"m")))</f>
        <v/>
      </c>
      <c r="M717" s="39">
        <f>IF(A717="","",IF(K717&lt;&gt;"",K717,IF(OR(C717="",D717=""),"Sem dados",IFERROR(IF(C717="M",INDEX(Config!$B$11:$B$14,MATCH(L717,Config!$A$11:$A$14,1)),IF(C717="F",INDEX(Config!$C$11:$C$14,MATCH(L717,Config!$A$11:$A$14,1)),"Sem dados")),"Verificar"))))</f>
        <v/>
      </c>
      <c r="N717" s="39">
        <f>IF(A717="","",IF(COUNTIFS('Movimentações'!$C$6:$C$1505,A717,'Movimentações'!$B$6:$B$1505,"Venda")&gt;0,"Vendido",IF(COUNTIFS('Movimentações'!$C$6:$C$1505,A717,'Movimentações'!$B$6:$B$1505,"Morte")&gt;0,"Morto","Ativo")))</f>
        <v/>
      </c>
      <c r="O717" s="40">
        <f>IF(A717="","",IF(COUNTIF('Pesagens'!$B$6:$B$2005,A717)=0,"",SUMPRODUCT(MAX(('Pesagens'!$B$6:$B$2005=A717)*'Pesagens'!$A$6:$A$2005))))</f>
        <v/>
      </c>
      <c r="P717" s="41">
        <f>IF(A717="","",IF(O717="",IF(J717="","",J717),IFERROR(AVERAGEIFS('Pesagens'!$C$6:$C$2005,'Pesagens'!$B$6:$B$2005,A717,'Pesagens'!$A$6:$A$2005,O717),"")))</f>
        <v/>
      </c>
      <c r="Q717" s="42">
        <f>IF(OR(A717="",O717="",I717="",J717=""),"",IFERROR((P717-J717)/(O717-I717),""))</f>
        <v/>
      </c>
    </row>
    <row r="718">
      <c r="A718" s="36" t="n"/>
      <c r="B718" s="32" t="n"/>
      <c r="C718" s="37" t="n"/>
      <c r="D718" s="31" t="n"/>
      <c r="E718" s="32" t="n"/>
      <c r="F718" s="32" t="n"/>
      <c r="G718" s="32" t="n"/>
      <c r="H718" s="36" t="n"/>
      <c r="I718" s="31" t="n"/>
      <c r="J718" s="38" t="n"/>
      <c r="K718" s="32" t="n"/>
      <c r="L718" s="34">
        <f>IF(OR(A718="",D718=""),"",IF(D718&gt;Config!$B$5,0,DATEDIF(D718,Config!$B$5,"m")))</f>
        <v/>
      </c>
      <c r="M718" s="39">
        <f>IF(A718="","",IF(K718&lt;&gt;"",K718,IF(OR(C718="",D718=""),"Sem dados",IFERROR(IF(C718="M",INDEX(Config!$B$11:$B$14,MATCH(L718,Config!$A$11:$A$14,1)),IF(C718="F",INDEX(Config!$C$11:$C$14,MATCH(L718,Config!$A$11:$A$14,1)),"Sem dados")),"Verificar"))))</f>
        <v/>
      </c>
      <c r="N718" s="39">
        <f>IF(A718="","",IF(COUNTIFS('Movimentações'!$C$6:$C$1505,A718,'Movimentações'!$B$6:$B$1505,"Venda")&gt;0,"Vendido",IF(COUNTIFS('Movimentações'!$C$6:$C$1505,A718,'Movimentações'!$B$6:$B$1505,"Morte")&gt;0,"Morto","Ativo")))</f>
        <v/>
      </c>
      <c r="O718" s="40">
        <f>IF(A718="","",IF(COUNTIF('Pesagens'!$B$6:$B$2005,A718)=0,"",SUMPRODUCT(MAX(('Pesagens'!$B$6:$B$2005=A718)*'Pesagens'!$A$6:$A$2005))))</f>
        <v/>
      </c>
      <c r="P718" s="41">
        <f>IF(A718="","",IF(O718="",IF(J718="","",J718),IFERROR(AVERAGEIFS('Pesagens'!$C$6:$C$2005,'Pesagens'!$B$6:$B$2005,A718,'Pesagens'!$A$6:$A$2005,O718),"")))</f>
        <v/>
      </c>
      <c r="Q718" s="42">
        <f>IF(OR(A718="",O718="",I718="",J718=""),"",IFERROR((P718-J718)/(O718-I718),""))</f>
        <v/>
      </c>
    </row>
    <row r="719">
      <c r="A719" s="36" t="n"/>
      <c r="B719" s="32" t="n"/>
      <c r="C719" s="37" t="n"/>
      <c r="D719" s="31" t="n"/>
      <c r="E719" s="32" t="n"/>
      <c r="F719" s="32" t="n"/>
      <c r="G719" s="32" t="n"/>
      <c r="H719" s="36" t="n"/>
      <c r="I719" s="31" t="n"/>
      <c r="J719" s="38" t="n"/>
      <c r="K719" s="32" t="n"/>
      <c r="L719" s="34">
        <f>IF(OR(A719="",D719=""),"",IF(D719&gt;Config!$B$5,0,DATEDIF(D719,Config!$B$5,"m")))</f>
        <v/>
      </c>
      <c r="M719" s="39">
        <f>IF(A719="","",IF(K719&lt;&gt;"",K719,IF(OR(C719="",D719=""),"Sem dados",IFERROR(IF(C719="M",INDEX(Config!$B$11:$B$14,MATCH(L719,Config!$A$11:$A$14,1)),IF(C719="F",INDEX(Config!$C$11:$C$14,MATCH(L719,Config!$A$11:$A$14,1)),"Sem dados")),"Verificar"))))</f>
        <v/>
      </c>
      <c r="N719" s="39">
        <f>IF(A719="","",IF(COUNTIFS('Movimentações'!$C$6:$C$1505,A719,'Movimentações'!$B$6:$B$1505,"Venda")&gt;0,"Vendido",IF(COUNTIFS('Movimentações'!$C$6:$C$1505,A719,'Movimentações'!$B$6:$B$1505,"Morte")&gt;0,"Morto","Ativo")))</f>
        <v/>
      </c>
      <c r="O719" s="40">
        <f>IF(A719="","",IF(COUNTIF('Pesagens'!$B$6:$B$2005,A719)=0,"",SUMPRODUCT(MAX(('Pesagens'!$B$6:$B$2005=A719)*'Pesagens'!$A$6:$A$2005))))</f>
        <v/>
      </c>
      <c r="P719" s="41">
        <f>IF(A719="","",IF(O719="",IF(J719="","",J719),IFERROR(AVERAGEIFS('Pesagens'!$C$6:$C$2005,'Pesagens'!$B$6:$B$2005,A719,'Pesagens'!$A$6:$A$2005,O719),"")))</f>
        <v/>
      </c>
      <c r="Q719" s="42">
        <f>IF(OR(A719="",O719="",I719="",J719=""),"",IFERROR((P719-J719)/(O719-I719),""))</f>
        <v/>
      </c>
    </row>
    <row r="720">
      <c r="A720" s="36" t="n"/>
      <c r="B720" s="32" t="n"/>
      <c r="C720" s="37" t="n"/>
      <c r="D720" s="31" t="n"/>
      <c r="E720" s="32" t="n"/>
      <c r="F720" s="32" t="n"/>
      <c r="G720" s="32" t="n"/>
      <c r="H720" s="36" t="n"/>
      <c r="I720" s="31" t="n"/>
      <c r="J720" s="38" t="n"/>
      <c r="K720" s="32" t="n"/>
      <c r="L720" s="34">
        <f>IF(OR(A720="",D720=""),"",IF(D720&gt;Config!$B$5,0,DATEDIF(D720,Config!$B$5,"m")))</f>
        <v/>
      </c>
      <c r="M720" s="39">
        <f>IF(A720="","",IF(K720&lt;&gt;"",K720,IF(OR(C720="",D720=""),"Sem dados",IFERROR(IF(C720="M",INDEX(Config!$B$11:$B$14,MATCH(L720,Config!$A$11:$A$14,1)),IF(C720="F",INDEX(Config!$C$11:$C$14,MATCH(L720,Config!$A$11:$A$14,1)),"Sem dados")),"Verificar"))))</f>
        <v/>
      </c>
      <c r="N720" s="39">
        <f>IF(A720="","",IF(COUNTIFS('Movimentações'!$C$6:$C$1505,A720,'Movimentações'!$B$6:$B$1505,"Venda")&gt;0,"Vendido",IF(COUNTIFS('Movimentações'!$C$6:$C$1505,A720,'Movimentações'!$B$6:$B$1505,"Morte")&gt;0,"Morto","Ativo")))</f>
        <v/>
      </c>
      <c r="O720" s="40">
        <f>IF(A720="","",IF(COUNTIF('Pesagens'!$B$6:$B$2005,A720)=0,"",SUMPRODUCT(MAX(('Pesagens'!$B$6:$B$2005=A720)*'Pesagens'!$A$6:$A$2005))))</f>
        <v/>
      </c>
      <c r="P720" s="41">
        <f>IF(A720="","",IF(O720="",IF(J720="","",J720),IFERROR(AVERAGEIFS('Pesagens'!$C$6:$C$2005,'Pesagens'!$B$6:$B$2005,A720,'Pesagens'!$A$6:$A$2005,O720),"")))</f>
        <v/>
      </c>
      <c r="Q720" s="42">
        <f>IF(OR(A720="",O720="",I720="",J720=""),"",IFERROR((P720-J720)/(O720-I720),""))</f>
        <v/>
      </c>
    </row>
    <row r="721">
      <c r="A721" s="36" t="n"/>
      <c r="B721" s="32" t="n"/>
      <c r="C721" s="37" t="n"/>
      <c r="D721" s="31" t="n"/>
      <c r="E721" s="32" t="n"/>
      <c r="F721" s="32" t="n"/>
      <c r="G721" s="32" t="n"/>
      <c r="H721" s="36" t="n"/>
      <c r="I721" s="31" t="n"/>
      <c r="J721" s="38" t="n"/>
      <c r="K721" s="32" t="n"/>
      <c r="L721" s="34">
        <f>IF(OR(A721="",D721=""),"",IF(D721&gt;Config!$B$5,0,DATEDIF(D721,Config!$B$5,"m")))</f>
        <v/>
      </c>
      <c r="M721" s="39">
        <f>IF(A721="","",IF(K721&lt;&gt;"",K721,IF(OR(C721="",D721=""),"Sem dados",IFERROR(IF(C721="M",INDEX(Config!$B$11:$B$14,MATCH(L721,Config!$A$11:$A$14,1)),IF(C721="F",INDEX(Config!$C$11:$C$14,MATCH(L721,Config!$A$11:$A$14,1)),"Sem dados")),"Verificar"))))</f>
        <v/>
      </c>
      <c r="N721" s="39">
        <f>IF(A721="","",IF(COUNTIFS('Movimentações'!$C$6:$C$1505,A721,'Movimentações'!$B$6:$B$1505,"Venda")&gt;0,"Vendido",IF(COUNTIFS('Movimentações'!$C$6:$C$1505,A721,'Movimentações'!$B$6:$B$1505,"Morte")&gt;0,"Morto","Ativo")))</f>
        <v/>
      </c>
      <c r="O721" s="40">
        <f>IF(A721="","",IF(COUNTIF('Pesagens'!$B$6:$B$2005,A721)=0,"",SUMPRODUCT(MAX(('Pesagens'!$B$6:$B$2005=A721)*'Pesagens'!$A$6:$A$2005))))</f>
        <v/>
      </c>
      <c r="P721" s="41">
        <f>IF(A721="","",IF(O721="",IF(J721="","",J721),IFERROR(AVERAGEIFS('Pesagens'!$C$6:$C$2005,'Pesagens'!$B$6:$B$2005,A721,'Pesagens'!$A$6:$A$2005,O721),"")))</f>
        <v/>
      </c>
      <c r="Q721" s="42">
        <f>IF(OR(A721="",O721="",I721="",J721=""),"",IFERROR((P721-J721)/(O721-I721),""))</f>
        <v/>
      </c>
    </row>
    <row r="722">
      <c r="A722" s="36" t="n"/>
      <c r="B722" s="32" t="n"/>
      <c r="C722" s="37" t="n"/>
      <c r="D722" s="31" t="n"/>
      <c r="E722" s="32" t="n"/>
      <c r="F722" s="32" t="n"/>
      <c r="G722" s="32" t="n"/>
      <c r="H722" s="36" t="n"/>
      <c r="I722" s="31" t="n"/>
      <c r="J722" s="38" t="n"/>
      <c r="K722" s="32" t="n"/>
      <c r="L722" s="34">
        <f>IF(OR(A722="",D722=""),"",IF(D722&gt;Config!$B$5,0,DATEDIF(D722,Config!$B$5,"m")))</f>
        <v/>
      </c>
      <c r="M722" s="39">
        <f>IF(A722="","",IF(K722&lt;&gt;"",K722,IF(OR(C722="",D722=""),"Sem dados",IFERROR(IF(C722="M",INDEX(Config!$B$11:$B$14,MATCH(L722,Config!$A$11:$A$14,1)),IF(C722="F",INDEX(Config!$C$11:$C$14,MATCH(L722,Config!$A$11:$A$14,1)),"Sem dados")),"Verificar"))))</f>
        <v/>
      </c>
      <c r="N722" s="39">
        <f>IF(A722="","",IF(COUNTIFS('Movimentações'!$C$6:$C$1505,A722,'Movimentações'!$B$6:$B$1505,"Venda")&gt;0,"Vendido",IF(COUNTIFS('Movimentações'!$C$6:$C$1505,A722,'Movimentações'!$B$6:$B$1505,"Morte")&gt;0,"Morto","Ativo")))</f>
        <v/>
      </c>
      <c r="O722" s="40">
        <f>IF(A722="","",IF(COUNTIF('Pesagens'!$B$6:$B$2005,A722)=0,"",SUMPRODUCT(MAX(('Pesagens'!$B$6:$B$2005=A722)*'Pesagens'!$A$6:$A$2005))))</f>
        <v/>
      </c>
      <c r="P722" s="41">
        <f>IF(A722="","",IF(O722="",IF(J722="","",J722),IFERROR(AVERAGEIFS('Pesagens'!$C$6:$C$2005,'Pesagens'!$B$6:$B$2005,A722,'Pesagens'!$A$6:$A$2005,O722),"")))</f>
        <v/>
      </c>
      <c r="Q722" s="42">
        <f>IF(OR(A722="",O722="",I722="",J722=""),"",IFERROR((P722-J722)/(O722-I722),""))</f>
        <v/>
      </c>
    </row>
    <row r="723">
      <c r="A723" s="36" t="n"/>
      <c r="B723" s="32" t="n"/>
      <c r="C723" s="37" t="n"/>
      <c r="D723" s="31" t="n"/>
      <c r="E723" s="32" t="n"/>
      <c r="F723" s="32" t="n"/>
      <c r="G723" s="32" t="n"/>
      <c r="H723" s="36" t="n"/>
      <c r="I723" s="31" t="n"/>
      <c r="J723" s="38" t="n"/>
      <c r="K723" s="32" t="n"/>
      <c r="L723" s="34">
        <f>IF(OR(A723="",D723=""),"",IF(D723&gt;Config!$B$5,0,DATEDIF(D723,Config!$B$5,"m")))</f>
        <v/>
      </c>
      <c r="M723" s="39">
        <f>IF(A723="","",IF(K723&lt;&gt;"",K723,IF(OR(C723="",D723=""),"Sem dados",IFERROR(IF(C723="M",INDEX(Config!$B$11:$B$14,MATCH(L723,Config!$A$11:$A$14,1)),IF(C723="F",INDEX(Config!$C$11:$C$14,MATCH(L723,Config!$A$11:$A$14,1)),"Sem dados")),"Verificar"))))</f>
        <v/>
      </c>
      <c r="N723" s="39">
        <f>IF(A723="","",IF(COUNTIFS('Movimentações'!$C$6:$C$1505,A723,'Movimentações'!$B$6:$B$1505,"Venda")&gt;0,"Vendido",IF(COUNTIFS('Movimentações'!$C$6:$C$1505,A723,'Movimentações'!$B$6:$B$1505,"Morte")&gt;0,"Morto","Ativo")))</f>
        <v/>
      </c>
      <c r="O723" s="40">
        <f>IF(A723="","",IF(COUNTIF('Pesagens'!$B$6:$B$2005,A723)=0,"",SUMPRODUCT(MAX(('Pesagens'!$B$6:$B$2005=A723)*'Pesagens'!$A$6:$A$2005))))</f>
        <v/>
      </c>
      <c r="P723" s="41">
        <f>IF(A723="","",IF(O723="",IF(J723="","",J723),IFERROR(AVERAGEIFS('Pesagens'!$C$6:$C$2005,'Pesagens'!$B$6:$B$2005,A723,'Pesagens'!$A$6:$A$2005,O723),"")))</f>
        <v/>
      </c>
      <c r="Q723" s="42">
        <f>IF(OR(A723="",O723="",I723="",J723=""),"",IFERROR((P723-J723)/(O723-I723),""))</f>
        <v/>
      </c>
    </row>
    <row r="724">
      <c r="A724" s="36" t="n"/>
      <c r="B724" s="32" t="n"/>
      <c r="C724" s="37" t="n"/>
      <c r="D724" s="31" t="n"/>
      <c r="E724" s="32" t="n"/>
      <c r="F724" s="32" t="n"/>
      <c r="G724" s="32" t="n"/>
      <c r="H724" s="36" t="n"/>
      <c r="I724" s="31" t="n"/>
      <c r="J724" s="38" t="n"/>
      <c r="K724" s="32" t="n"/>
      <c r="L724" s="34">
        <f>IF(OR(A724="",D724=""),"",IF(D724&gt;Config!$B$5,0,DATEDIF(D724,Config!$B$5,"m")))</f>
        <v/>
      </c>
      <c r="M724" s="39">
        <f>IF(A724="","",IF(K724&lt;&gt;"",K724,IF(OR(C724="",D724=""),"Sem dados",IFERROR(IF(C724="M",INDEX(Config!$B$11:$B$14,MATCH(L724,Config!$A$11:$A$14,1)),IF(C724="F",INDEX(Config!$C$11:$C$14,MATCH(L724,Config!$A$11:$A$14,1)),"Sem dados")),"Verificar"))))</f>
        <v/>
      </c>
      <c r="N724" s="39">
        <f>IF(A724="","",IF(COUNTIFS('Movimentações'!$C$6:$C$1505,A724,'Movimentações'!$B$6:$B$1505,"Venda")&gt;0,"Vendido",IF(COUNTIFS('Movimentações'!$C$6:$C$1505,A724,'Movimentações'!$B$6:$B$1505,"Morte")&gt;0,"Morto","Ativo")))</f>
        <v/>
      </c>
      <c r="O724" s="40">
        <f>IF(A724="","",IF(COUNTIF('Pesagens'!$B$6:$B$2005,A724)=0,"",SUMPRODUCT(MAX(('Pesagens'!$B$6:$B$2005=A724)*'Pesagens'!$A$6:$A$2005))))</f>
        <v/>
      </c>
      <c r="P724" s="41">
        <f>IF(A724="","",IF(O724="",IF(J724="","",J724),IFERROR(AVERAGEIFS('Pesagens'!$C$6:$C$2005,'Pesagens'!$B$6:$B$2005,A724,'Pesagens'!$A$6:$A$2005,O724),"")))</f>
        <v/>
      </c>
      <c r="Q724" s="42">
        <f>IF(OR(A724="",O724="",I724="",J724=""),"",IFERROR((P724-J724)/(O724-I724),""))</f>
        <v/>
      </c>
    </row>
    <row r="725">
      <c r="A725" s="36" t="n"/>
      <c r="B725" s="32" t="n"/>
      <c r="C725" s="37" t="n"/>
      <c r="D725" s="31" t="n"/>
      <c r="E725" s="32" t="n"/>
      <c r="F725" s="32" t="n"/>
      <c r="G725" s="32" t="n"/>
      <c r="H725" s="36" t="n"/>
      <c r="I725" s="31" t="n"/>
      <c r="J725" s="38" t="n"/>
      <c r="K725" s="32" t="n"/>
      <c r="L725" s="34">
        <f>IF(OR(A725="",D725=""),"",IF(D725&gt;Config!$B$5,0,DATEDIF(D725,Config!$B$5,"m")))</f>
        <v/>
      </c>
      <c r="M725" s="39">
        <f>IF(A725="","",IF(K725&lt;&gt;"",K725,IF(OR(C725="",D725=""),"Sem dados",IFERROR(IF(C725="M",INDEX(Config!$B$11:$B$14,MATCH(L725,Config!$A$11:$A$14,1)),IF(C725="F",INDEX(Config!$C$11:$C$14,MATCH(L725,Config!$A$11:$A$14,1)),"Sem dados")),"Verificar"))))</f>
        <v/>
      </c>
      <c r="N725" s="39">
        <f>IF(A725="","",IF(COUNTIFS('Movimentações'!$C$6:$C$1505,A725,'Movimentações'!$B$6:$B$1505,"Venda")&gt;0,"Vendido",IF(COUNTIFS('Movimentações'!$C$6:$C$1505,A725,'Movimentações'!$B$6:$B$1505,"Morte")&gt;0,"Morto","Ativo")))</f>
        <v/>
      </c>
      <c r="O725" s="40">
        <f>IF(A725="","",IF(COUNTIF('Pesagens'!$B$6:$B$2005,A725)=0,"",SUMPRODUCT(MAX(('Pesagens'!$B$6:$B$2005=A725)*'Pesagens'!$A$6:$A$2005))))</f>
        <v/>
      </c>
      <c r="P725" s="41">
        <f>IF(A725="","",IF(O725="",IF(J725="","",J725),IFERROR(AVERAGEIFS('Pesagens'!$C$6:$C$2005,'Pesagens'!$B$6:$B$2005,A725,'Pesagens'!$A$6:$A$2005,O725),"")))</f>
        <v/>
      </c>
      <c r="Q725" s="42">
        <f>IF(OR(A725="",O725="",I725="",J725=""),"",IFERROR((P725-J725)/(O725-I725),""))</f>
        <v/>
      </c>
    </row>
    <row r="726">
      <c r="A726" s="36" t="n"/>
      <c r="B726" s="32" t="n"/>
      <c r="C726" s="37" t="n"/>
      <c r="D726" s="31" t="n"/>
      <c r="E726" s="32" t="n"/>
      <c r="F726" s="32" t="n"/>
      <c r="G726" s="32" t="n"/>
      <c r="H726" s="36" t="n"/>
      <c r="I726" s="31" t="n"/>
      <c r="J726" s="38" t="n"/>
      <c r="K726" s="32" t="n"/>
      <c r="L726" s="34">
        <f>IF(OR(A726="",D726=""),"",IF(D726&gt;Config!$B$5,0,DATEDIF(D726,Config!$B$5,"m")))</f>
        <v/>
      </c>
      <c r="M726" s="39">
        <f>IF(A726="","",IF(K726&lt;&gt;"",K726,IF(OR(C726="",D726=""),"Sem dados",IFERROR(IF(C726="M",INDEX(Config!$B$11:$B$14,MATCH(L726,Config!$A$11:$A$14,1)),IF(C726="F",INDEX(Config!$C$11:$C$14,MATCH(L726,Config!$A$11:$A$14,1)),"Sem dados")),"Verificar"))))</f>
        <v/>
      </c>
      <c r="N726" s="39">
        <f>IF(A726="","",IF(COUNTIFS('Movimentações'!$C$6:$C$1505,A726,'Movimentações'!$B$6:$B$1505,"Venda")&gt;0,"Vendido",IF(COUNTIFS('Movimentações'!$C$6:$C$1505,A726,'Movimentações'!$B$6:$B$1505,"Morte")&gt;0,"Morto","Ativo")))</f>
        <v/>
      </c>
      <c r="O726" s="40">
        <f>IF(A726="","",IF(COUNTIF('Pesagens'!$B$6:$B$2005,A726)=0,"",SUMPRODUCT(MAX(('Pesagens'!$B$6:$B$2005=A726)*'Pesagens'!$A$6:$A$2005))))</f>
        <v/>
      </c>
      <c r="P726" s="41">
        <f>IF(A726="","",IF(O726="",IF(J726="","",J726),IFERROR(AVERAGEIFS('Pesagens'!$C$6:$C$2005,'Pesagens'!$B$6:$B$2005,A726,'Pesagens'!$A$6:$A$2005,O726),"")))</f>
        <v/>
      </c>
      <c r="Q726" s="42">
        <f>IF(OR(A726="",O726="",I726="",J726=""),"",IFERROR((P726-J726)/(O726-I726),""))</f>
        <v/>
      </c>
    </row>
    <row r="727">
      <c r="A727" s="36" t="n"/>
      <c r="B727" s="32" t="n"/>
      <c r="C727" s="37" t="n"/>
      <c r="D727" s="31" t="n"/>
      <c r="E727" s="32" t="n"/>
      <c r="F727" s="32" t="n"/>
      <c r="G727" s="32" t="n"/>
      <c r="H727" s="36" t="n"/>
      <c r="I727" s="31" t="n"/>
      <c r="J727" s="38" t="n"/>
      <c r="K727" s="32" t="n"/>
      <c r="L727" s="34">
        <f>IF(OR(A727="",D727=""),"",IF(D727&gt;Config!$B$5,0,DATEDIF(D727,Config!$B$5,"m")))</f>
        <v/>
      </c>
      <c r="M727" s="39">
        <f>IF(A727="","",IF(K727&lt;&gt;"",K727,IF(OR(C727="",D727=""),"Sem dados",IFERROR(IF(C727="M",INDEX(Config!$B$11:$B$14,MATCH(L727,Config!$A$11:$A$14,1)),IF(C727="F",INDEX(Config!$C$11:$C$14,MATCH(L727,Config!$A$11:$A$14,1)),"Sem dados")),"Verificar"))))</f>
        <v/>
      </c>
      <c r="N727" s="39">
        <f>IF(A727="","",IF(COUNTIFS('Movimentações'!$C$6:$C$1505,A727,'Movimentações'!$B$6:$B$1505,"Venda")&gt;0,"Vendido",IF(COUNTIFS('Movimentações'!$C$6:$C$1505,A727,'Movimentações'!$B$6:$B$1505,"Morte")&gt;0,"Morto","Ativo")))</f>
        <v/>
      </c>
      <c r="O727" s="40">
        <f>IF(A727="","",IF(COUNTIF('Pesagens'!$B$6:$B$2005,A727)=0,"",SUMPRODUCT(MAX(('Pesagens'!$B$6:$B$2005=A727)*'Pesagens'!$A$6:$A$2005))))</f>
        <v/>
      </c>
      <c r="P727" s="41">
        <f>IF(A727="","",IF(O727="",IF(J727="","",J727),IFERROR(AVERAGEIFS('Pesagens'!$C$6:$C$2005,'Pesagens'!$B$6:$B$2005,A727,'Pesagens'!$A$6:$A$2005,O727),"")))</f>
        <v/>
      </c>
      <c r="Q727" s="42">
        <f>IF(OR(A727="",O727="",I727="",J727=""),"",IFERROR((P727-J727)/(O727-I727),""))</f>
        <v/>
      </c>
    </row>
    <row r="728">
      <c r="A728" s="36" t="n"/>
      <c r="B728" s="32" t="n"/>
      <c r="C728" s="37" t="n"/>
      <c r="D728" s="31" t="n"/>
      <c r="E728" s="32" t="n"/>
      <c r="F728" s="32" t="n"/>
      <c r="G728" s="32" t="n"/>
      <c r="H728" s="36" t="n"/>
      <c r="I728" s="31" t="n"/>
      <c r="J728" s="38" t="n"/>
      <c r="K728" s="32" t="n"/>
      <c r="L728" s="34">
        <f>IF(OR(A728="",D728=""),"",IF(D728&gt;Config!$B$5,0,DATEDIF(D728,Config!$B$5,"m")))</f>
        <v/>
      </c>
      <c r="M728" s="39">
        <f>IF(A728="","",IF(K728&lt;&gt;"",K728,IF(OR(C728="",D728=""),"Sem dados",IFERROR(IF(C728="M",INDEX(Config!$B$11:$B$14,MATCH(L728,Config!$A$11:$A$14,1)),IF(C728="F",INDEX(Config!$C$11:$C$14,MATCH(L728,Config!$A$11:$A$14,1)),"Sem dados")),"Verificar"))))</f>
        <v/>
      </c>
      <c r="N728" s="39">
        <f>IF(A728="","",IF(COUNTIFS('Movimentações'!$C$6:$C$1505,A728,'Movimentações'!$B$6:$B$1505,"Venda")&gt;0,"Vendido",IF(COUNTIFS('Movimentações'!$C$6:$C$1505,A728,'Movimentações'!$B$6:$B$1505,"Morte")&gt;0,"Morto","Ativo")))</f>
        <v/>
      </c>
      <c r="O728" s="40">
        <f>IF(A728="","",IF(COUNTIF('Pesagens'!$B$6:$B$2005,A728)=0,"",SUMPRODUCT(MAX(('Pesagens'!$B$6:$B$2005=A728)*'Pesagens'!$A$6:$A$2005))))</f>
        <v/>
      </c>
      <c r="P728" s="41">
        <f>IF(A728="","",IF(O728="",IF(J728="","",J728),IFERROR(AVERAGEIFS('Pesagens'!$C$6:$C$2005,'Pesagens'!$B$6:$B$2005,A728,'Pesagens'!$A$6:$A$2005,O728),"")))</f>
        <v/>
      </c>
      <c r="Q728" s="42">
        <f>IF(OR(A728="",O728="",I728="",J728=""),"",IFERROR((P728-J728)/(O728-I728),""))</f>
        <v/>
      </c>
    </row>
    <row r="729">
      <c r="A729" s="36" t="n"/>
      <c r="B729" s="32" t="n"/>
      <c r="C729" s="37" t="n"/>
      <c r="D729" s="31" t="n"/>
      <c r="E729" s="32" t="n"/>
      <c r="F729" s="32" t="n"/>
      <c r="G729" s="32" t="n"/>
      <c r="H729" s="36" t="n"/>
      <c r="I729" s="31" t="n"/>
      <c r="J729" s="38" t="n"/>
      <c r="K729" s="32" t="n"/>
      <c r="L729" s="34">
        <f>IF(OR(A729="",D729=""),"",IF(D729&gt;Config!$B$5,0,DATEDIF(D729,Config!$B$5,"m")))</f>
        <v/>
      </c>
      <c r="M729" s="39">
        <f>IF(A729="","",IF(K729&lt;&gt;"",K729,IF(OR(C729="",D729=""),"Sem dados",IFERROR(IF(C729="M",INDEX(Config!$B$11:$B$14,MATCH(L729,Config!$A$11:$A$14,1)),IF(C729="F",INDEX(Config!$C$11:$C$14,MATCH(L729,Config!$A$11:$A$14,1)),"Sem dados")),"Verificar"))))</f>
        <v/>
      </c>
      <c r="N729" s="39">
        <f>IF(A729="","",IF(COUNTIFS('Movimentações'!$C$6:$C$1505,A729,'Movimentações'!$B$6:$B$1505,"Venda")&gt;0,"Vendido",IF(COUNTIFS('Movimentações'!$C$6:$C$1505,A729,'Movimentações'!$B$6:$B$1505,"Morte")&gt;0,"Morto","Ativo")))</f>
        <v/>
      </c>
      <c r="O729" s="40">
        <f>IF(A729="","",IF(COUNTIF('Pesagens'!$B$6:$B$2005,A729)=0,"",SUMPRODUCT(MAX(('Pesagens'!$B$6:$B$2005=A729)*'Pesagens'!$A$6:$A$2005))))</f>
        <v/>
      </c>
      <c r="P729" s="41">
        <f>IF(A729="","",IF(O729="",IF(J729="","",J729),IFERROR(AVERAGEIFS('Pesagens'!$C$6:$C$2005,'Pesagens'!$B$6:$B$2005,A729,'Pesagens'!$A$6:$A$2005,O729),"")))</f>
        <v/>
      </c>
      <c r="Q729" s="42">
        <f>IF(OR(A729="",O729="",I729="",J729=""),"",IFERROR((P729-J729)/(O729-I729),""))</f>
        <v/>
      </c>
    </row>
    <row r="730">
      <c r="A730" s="36" t="n"/>
      <c r="B730" s="32" t="n"/>
      <c r="C730" s="37" t="n"/>
      <c r="D730" s="31" t="n"/>
      <c r="E730" s="32" t="n"/>
      <c r="F730" s="32" t="n"/>
      <c r="G730" s="32" t="n"/>
      <c r="H730" s="36" t="n"/>
      <c r="I730" s="31" t="n"/>
      <c r="J730" s="38" t="n"/>
      <c r="K730" s="32" t="n"/>
      <c r="L730" s="34">
        <f>IF(OR(A730="",D730=""),"",IF(D730&gt;Config!$B$5,0,DATEDIF(D730,Config!$B$5,"m")))</f>
        <v/>
      </c>
      <c r="M730" s="39">
        <f>IF(A730="","",IF(K730&lt;&gt;"",K730,IF(OR(C730="",D730=""),"Sem dados",IFERROR(IF(C730="M",INDEX(Config!$B$11:$B$14,MATCH(L730,Config!$A$11:$A$14,1)),IF(C730="F",INDEX(Config!$C$11:$C$14,MATCH(L730,Config!$A$11:$A$14,1)),"Sem dados")),"Verificar"))))</f>
        <v/>
      </c>
      <c r="N730" s="39">
        <f>IF(A730="","",IF(COUNTIFS('Movimentações'!$C$6:$C$1505,A730,'Movimentações'!$B$6:$B$1505,"Venda")&gt;0,"Vendido",IF(COUNTIFS('Movimentações'!$C$6:$C$1505,A730,'Movimentações'!$B$6:$B$1505,"Morte")&gt;0,"Morto","Ativo")))</f>
        <v/>
      </c>
      <c r="O730" s="40">
        <f>IF(A730="","",IF(COUNTIF('Pesagens'!$B$6:$B$2005,A730)=0,"",SUMPRODUCT(MAX(('Pesagens'!$B$6:$B$2005=A730)*'Pesagens'!$A$6:$A$2005))))</f>
        <v/>
      </c>
      <c r="P730" s="41">
        <f>IF(A730="","",IF(O730="",IF(J730="","",J730),IFERROR(AVERAGEIFS('Pesagens'!$C$6:$C$2005,'Pesagens'!$B$6:$B$2005,A730,'Pesagens'!$A$6:$A$2005,O730),"")))</f>
        <v/>
      </c>
      <c r="Q730" s="42">
        <f>IF(OR(A730="",O730="",I730="",J730=""),"",IFERROR((P730-J730)/(O730-I730),""))</f>
        <v/>
      </c>
    </row>
    <row r="731">
      <c r="A731" s="36" t="n"/>
      <c r="B731" s="32" t="n"/>
      <c r="C731" s="37" t="n"/>
      <c r="D731" s="31" t="n"/>
      <c r="E731" s="32" t="n"/>
      <c r="F731" s="32" t="n"/>
      <c r="G731" s="32" t="n"/>
      <c r="H731" s="36" t="n"/>
      <c r="I731" s="31" t="n"/>
      <c r="J731" s="38" t="n"/>
      <c r="K731" s="32" t="n"/>
      <c r="L731" s="34">
        <f>IF(OR(A731="",D731=""),"",IF(D731&gt;Config!$B$5,0,DATEDIF(D731,Config!$B$5,"m")))</f>
        <v/>
      </c>
      <c r="M731" s="39">
        <f>IF(A731="","",IF(K731&lt;&gt;"",K731,IF(OR(C731="",D731=""),"Sem dados",IFERROR(IF(C731="M",INDEX(Config!$B$11:$B$14,MATCH(L731,Config!$A$11:$A$14,1)),IF(C731="F",INDEX(Config!$C$11:$C$14,MATCH(L731,Config!$A$11:$A$14,1)),"Sem dados")),"Verificar"))))</f>
        <v/>
      </c>
      <c r="N731" s="39">
        <f>IF(A731="","",IF(COUNTIFS('Movimentações'!$C$6:$C$1505,A731,'Movimentações'!$B$6:$B$1505,"Venda")&gt;0,"Vendido",IF(COUNTIFS('Movimentações'!$C$6:$C$1505,A731,'Movimentações'!$B$6:$B$1505,"Morte")&gt;0,"Morto","Ativo")))</f>
        <v/>
      </c>
      <c r="O731" s="40">
        <f>IF(A731="","",IF(COUNTIF('Pesagens'!$B$6:$B$2005,A731)=0,"",SUMPRODUCT(MAX(('Pesagens'!$B$6:$B$2005=A731)*'Pesagens'!$A$6:$A$2005))))</f>
        <v/>
      </c>
      <c r="P731" s="41">
        <f>IF(A731="","",IF(O731="",IF(J731="","",J731),IFERROR(AVERAGEIFS('Pesagens'!$C$6:$C$2005,'Pesagens'!$B$6:$B$2005,A731,'Pesagens'!$A$6:$A$2005,O731),"")))</f>
        <v/>
      </c>
      <c r="Q731" s="42">
        <f>IF(OR(A731="",O731="",I731="",J731=""),"",IFERROR((P731-J731)/(O731-I731),""))</f>
        <v/>
      </c>
    </row>
    <row r="732">
      <c r="A732" s="36" t="n"/>
      <c r="B732" s="32" t="n"/>
      <c r="C732" s="37" t="n"/>
      <c r="D732" s="31" t="n"/>
      <c r="E732" s="32" t="n"/>
      <c r="F732" s="32" t="n"/>
      <c r="G732" s="32" t="n"/>
      <c r="H732" s="36" t="n"/>
      <c r="I732" s="31" t="n"/>
      <c r="J732" s="38" t="n"/>
      <c r="K732" s="32" t="n"/>
      <c r="L732" s="34">
        <f>IF(OR(A732="",D732=""),"",IF(D732&gt;Config!$B$5,0,DATEDIF(D732,Config!$B$5,"m")))</f>
        <v/>
      </c>
      <c r="M732" s="39">
        <f>IF(A732="","",IF(K732&lt;&gt;"",K732,IF(OR(C732="",D732=""),"Sem dados",IFERROR(IF(C732="M",INDEX(Config!$B$11:$B$14,MATCH(L732,Config!$A$11:$A$14,1)),IF(C732="F",INDEX(Config!$C$11:$C$14,MATCH(L732,Config!$A$11:$A$14,1)),"Sem dados")),"Verificar"))))</f>
        <v/>
      </c>
      <c r="N732" s="39">
        <f>IF(A732="","",IF(COUNTIFS('Movimentações'!$C$6:$C$1505,A732,'Movimentações'!$B$6:$B$1505,"Venda")&gt;0,"Vendido",IF(COUNTIFS('Movimentações'!$C$6:$C$1505,A732,'Movimentações'!$B$6:$B$1505,"Morte")&gt;0,"Morto","Ativo")))</f>
        <v/>
      </c>
      <c r="O732" s="40">
        <f>IF(A732="","",IF(COUNTIF('Pesagens'!$B$6:$B$2005,A732)=0,"",SUMPRODUCT(MAX(('Pesagens'!$B$6:$B$2005=A732)*'Pesagens'!$A$6:$A$2005))))</f>
        <v/>
      </c>
      <c r="P732" s="41">
        <f>IF(A732="","",IF(O732="",IF(J732="","",J732),IFERROR(AVERAGEIFS('Pesagens'!$C$6:$C$2005,'Pesagens'!$B$6:$B$2005,A732,'Pesagens'!$A$6:$A$2005,O732),"")))</f>
        <v/>
      </c>
      <c r="Q732" s="42">
        <f>IF(OR(A732="",O732="",I732="",J732=""),"",IFERROR((P732-J732)/(O732-I732),""))</f>
        <v/>
      </c>
    </row>
    <row r="733">
      <c r="A733" s="36" t="n"/>
      <c r="B733" s="32" t="n"/>
      <c r="C733" s="37" t="n"/>
      <c r="D733" s="31" t="n"/>
      <c r="E733" s="32" t="n"/>
      <c r="F733" s="32" t="n"/>
      <c r="G733" s="32" t="n"/>
      <c r="H733" s="36" t="n"/>
      <c r="I733" s="31" t="n"/>
      <c r="J733" s="38" t="n"/>
      <c r="K733" s="32" t="n"/>
      <c r="L733" s="34">
        <f>IF(OR(A733="",D733=""),"",IF(D733&gt;Config!$B$5,0,DATEDIF(D733,Config!$B$5,"m")))</f>
        <v/>
      </c>
      <c r="M733" s="39">
        <f>IF(A733="","",IF(K733&lt;&gt;"",K733,IF(OR(C733="",D733=""),"Sem dados",IFERROR(IF(C733="M",INDEX(Config!$B$11:$B$14,MATCH(L733,Config!$A$11:$A$14,1)),IF(C733="F",INDEX(Config!$C$11:$C$14,MATCH(L733,Config!$A$11:$A$14,1)),"Sem dados")),"Verificar"))))</f>
        <v/>
      </c>
      <c r="N733" s="39">
        <f>IF(A733="","",IF(COUNTIFS('Movimentações'!$C$6:$C$1505,A733,'Movimentações'!$B$6:$B$1505,"Venda")&gt;0,"Vendido",IF(COUNTIFS('Movimentações'!$C$6:$C$1505,A733,'Movimentações'!$B$6:$B$1505,"Morte")&gt;0,"Morto","Ativo")))</f>
        <v/>
      </c>
      <c r="O733" s="40">
        <f>IF(A733="","",IF(COUNTIF('Pesagens'!$B$6:$B$2005,A733)=0,"",SUMPRODUCT(MAX(('Pesagens'!$B$6:$B$2005=A733)*'Pesagens'!$A$6:$A$2005))))</f>
        <v/>
      </c>
      <c r="P733" s="41">
        <f>IF(A733="","",IF(O733="",IF(J733="","",J733),IFERROR(AVERAGEIFS('Pesagens'!$C$6:$C$2005,'Pesagens'!$B$6:$B$2005,A733,'Pesagens'!$A$6:$A$2005,O733),"")))</f>
        <v/>
      </c>
      <c r="Q733" s="42">
        <f>IF(OR(A733="",O733="",I733="",J733=""),"",IFERROR((P733-J733)/(O733-I733),""))</f>
        <v/>
      </c>
    </row>
    <row r="734">
      <c r="A734" s="36" t="n"/>
      <c r="B734" s="32" t="n"/>
      <c r="C734" s="37" t="n"/>
      <c r="D734" s="31" t="n"/>
      <c r="E734" s="32" t="n"/>
      <c r="F734" s="32" t="n"/>
      <c r="G734" s="32" t="n"/>
      <c r="H734" s="36" t="n"/>
      <c r="I734" s="31" t="n"/>
      <c r="J734" s="38" t="n"/>
      <c r="K734" s="32" t="n"/>
      <c r="L734" s="34">
        <f>IF(OR(A734="",D734=""),"",IF(D734&gt;Config!$B$5,0,DATEDIF(D734,Config!$B$5,"m")))</f>
        <v/>
      </c>
      <c r="M734" s="39">
        <f>IF(A734="","",IF(K734&lt;&gt;"",K734,IF(OR(C734="",D734=""),"Sem dados",IFERROR(IF(C734="M",INDEX(Config!$B$11:$B$14,MATCH(L734,Config!$A$11:$A$14,1)),IF(C734="F",INDEX(Config!$C$11:$C$14,MATCH(L734,Config!$A$11:$A$14,1)),"Sem dados")),"Verificar"))))</f>
        <v/>
      </c>
      <c r="N734" s="39">
        <f>IF(A734="","",IF(COUNTIFS('Movimentações'!$C$6:$C$1505,A734,'Movimentações'!$B$6:$B$1505,"Venda")&gt;0,"Vendido",IF(COUNTIFS('Movimentações'!$C$6:$C$1505,A734,'Movimentações'!$B$6:$B$1505,"Morte")&gt;0,"Morto","Ativo")))</f>
        <v/>
      </c>
      <c r="O734" s="40">
        <f>IF(A734="","",IF(COUNTIF('Pesagens'!$B$6:$B$2005,A734)=0,"",SUMPRODUCT(MAX(('Pesagens'!$B$6:$B$2005=A734)*'Pesagens'!$A$6:$A$2005))))</f>
        <v/>
      </c>
      <c r="P734" s="41">
        <f>IF(A734="","",IF(O734="",IF(J734="","",J734),IFERROR(AVERAGEIFS('Pesagens'!$C$6:$C$2005,'Pesagens'!$B$6:$B$2005,A734,'Pesagens'!$A$6:$A$2005,O734),"")))</f>
        <v/>
      </c>
      <c r="Q734" s="42">
        <f>IF(OR(A734="",O734="",I734="",J734=""),"",IFERROR((P734-J734)/(O734-I734),""))</f>
        <v/>
      </c>
    </row>
    <row r="735">
      <c r="A735" s="36" t="n"/>
      <c r="B735" s="32" t="n"/>
      <c r="C735" s="37" t="n"/>
      <c r="D735" s="31" t="n"/>
      <c r="E735" s="32" t="n"/>
      <c r="F735" s="32" t="n"/>
      <c r="G735" s="32" t="n"/>
      <c r="H735" s="36" t="n"/>
      <c r="I735" s="31" t="n"/>
      <c r="J735" s="38" t="n"/>
      <c r="K735" s="32" t="n"/>
      <c r="L735" s="34">
        <f>IF(OR(A735="",D735=""),"",IF(D735&gt;Config!$B$5,0,DATEDIF(D735,Config!$B$5,"m")))</f>
        <v/>
      </c>
      <c r="M735" s="39">
        <f>IF(A735="","",IF(K735&lt;&gt;"",K735,IF(OR(C735="",D735=""),"Sem dados",IFERROR(IF(C735="M",INDEX(Config!$B$11:$B$14,MATCH(L735,Config!$A$11:$A$14,1)),IF(C735="F",INDEX(Config!$C$11:$C$14,MATCH(L735,Config!$A$11:$A$14,1)),"Sem dados")),"Verificar"))))</f>
        <v/>
      </c>
      <c r="N735" s="39">
        <f>IF(A735="","",IF(COUNTIFS('Movimentações'!$C$6:$C$1505,A735,'Movimentações'!$B$6:$B$1505,"Venda")&gt;0,"Vendido",IF(COUNTIFS('Movimentações'!$C$6:$C$1505,A735,'Movimentações'!$B$6:$B$1505,"Morte")&gt;0,"Morto","Ativo")))</f>
        <v/>
      </c>
      <c r="O735" s="40">
        <f>IF(A735="","",IF(COUNTIF('Pesagens'!$B$6:$B$2005,A735)=0,"",SUMPRODUCT(MAX(('Pesagens'!$B$6:$B$2005=A735)*'Pesagens'!$A$6:$A$2005))))</f>
        <v/>
      </c>
      <c r="P735" s="41">
        <f>IF(A735="","",IF(O735="",IF(J735="","",J735),IFERROR(AVERAGEIFS('Pesagens'!$C$6:$C$2005,'Pesagens'!$B$6:$B$2005,A735,'Pesagens'!$A$6:$A$2005,O735),"")))</f>
        <v/>
      </c>
      <c r="Q735" s="42">
        <f>IF(OR(A735="",O735="",I735="",J735=""),"",IFERROR((P735-J735)/(O735-I735),""))</f>
        <v/>
      </c>
    </row>
    <row r="736">
      <c r="A736" s="36" t="n"/>
      <c r="B736" s="32" t="n"/>
      <c r="C736" s="37" t="n"/>
      <c r="D736" s="31" t="n"/>
      <c r="E736" s="32" t="n"/>
      <c r="F736" s="32" t="n"/>
      <c r="G736" s="32" t="n"/>
      <c r="H736" s="36" t="n"/>
      <c r="I736" s="31" t="n"/>
      <c r="J736" s="38" t="n"/>
      <c r="K736" s="32" t="n"/>
      <c r="L736" s="34">
        <f>IF(OR(A736="",D736=""),"",IF(D736&gt;Config!$B$5,0,DATEDIF(D736,Config!$B$5,"m")))</f>
        <v/>
      </c>
      <c r="M736" s="39">
        <f>IF(A736="","",IF(K736&lt;&gt;"",K736,IF(OR(C736="",D736=""),"Sem dados",IFERROR(IF(C736="M",INDEX(Config!$B$11:$B$14,MATCH(L736,Config!$A$11:$A$14,1)),IF(C736="F",INDEX(Config!$C$11:$C$14,MATCH(L736,Config!$A$11:$A$14,1)),"Sem dados")),"Verificar"))))</f>
        <v/>
      </c>
      <c r="N736" s="39">
        <f>IF(A736="","",IF(COUNTIFS('Movimentações'!$C$6:$C$1505,A736,'Movimentações'!$B$6:$B$1505,"Venda")&gt;0,"Vendido",IF(COUNTIFS('Movimentações'!$C$6:$C$1505,A736,'Movimentações'!$B$6:$B$1505,"Morte")&gt;0,"Morto","Ativo")))</f>
        <v/>
      </c>
      <c r="O736" s="40">
        <f>IF(A736="","",IF(COUNTIF('Pesagens'!$B$6:$B$2005,A736)=0,"",SUMPRODUCT(MAX(('Pesagens'!$B$6:$B$2005=A736)*'Pesagens'!$A$6:$A$2005))))</f>
        <v/>
      </c>
      <c r="P736" s="41">
        <f>IF(A736="","",IF(O736="",IF(J736="","",J736),IFERROR(AVERAGEIFS('Pesagens'!$C$6:$C$2005,'Pesagens'!$B$6:$B$2005,A736,'Pesagens'!$A$6:$A$2005,O736),"")))</f>
        <v/>
      </c>
      <c r="Q736" s="42">
        <f>IF(OR(A736="",O736="",I736="",J736=""),"",IFERROR((P736-J736)/(O736-I736),""))</f>
        <v/>
      </c>
    </row>
    <row r="737">
      <c r="A737" s="36" t="n"/>
      <c r="B737" s="32" t="n"/>
      <c r="C737" s="37" t="n"/>
      <c r="D737" s="31" t="n"/>
      <c r="E737" s="32" t="n"/>
      <c r="F737" s="32" t="n"/>
      <c r="G737" s="32" t="n"/>
      <c r="H737" s="36" t="n"/>
      <c r="I737" s="31" t="n"/>
      <c r="J737" s="38" t="n"/>
      <c r="K737" s="32" t="n"/>
      <c r="L737" s="34">
        <f>IF(OR(A737="",D737=""),"",IF(D737&gt;Config!$B$5,0,DATEDIF(D737,Config!$B$5,"m")))</f>
        <v/>
      </c>
      <c r="M737" s="39">
        <f>IF(A737="","",IF(K737&lt;&gt;"",K737,IF(OR(C737="",D737=""),"Sem dados",IFERROR(IF(C737="M",INDEX(Config!$B$11:$B$14,MATCH(L737,Config!$A$11:$A$14,1)),IF(C737="F",INDEX(Config!$C$11:$C$14,MATCH(L737,Config!$A$11:$A$14,1)),"Sem dados")),"Verificar"))))</f>
        <v/>
      </c>
      <c r="N737" s="39">
        <f>IF(A737="","",IF(COUNTIFS('Movimentações'!$C$6:$C$1505,A737,'Movimentações'!$B$6:$B$1505,"Venda")&gt;0,"Vendido",IF(COUNTIFS('Movimentações'!$C$6:$C$1505,A737,'Movimentações'!$B$6:$B$1505,"Morte")&gt;0,"Morto","Ativo")))</f>
        <v/>
      </c>
      <c r="O737" s="40">
        <f>IF(A737="","",IF(COUNTIF('Pesagens'!$B$6:$B$2005,A737)=0,"",SUMPRODUCT(MAX(('Pesagens'!$B$6:$B$2005=A737)*'Pesagens'!$A$6:$A$2005))))</f>
        <v/>
      </c>
      <c r="P737" s="41">
        <f>IF(A737="","",IF(O737="",IF(J737="","",J737),IFERROR(AVERAGEIFS('Pesagens'!$C$6:$C$2005,'Pesagens'!$B$6:$B$2005,A737,'Pesagens'!$A$6:$A$2005,O737),"")))</f>
        <v/>
      </c>
      <c r="Q737" s="42">
        <f>IF(OR(A737="",O737="",I737="",J737=""),"",IFERROR((P737-J737)/(O737-I737),""))</f>
        <v/>
      </c>
    </row>
    <row r="738">
      <c r="A738" s="36" t="n"/>
      <c r="B738" s="32" t="n"/>
      <c r="C738" s="37" t="n"/>
      <c r="D738" s="31" t="n"/>
      <c r="E738" s="32" t="n"/>
      <c r="F738" s="32" t="n"/>
      <c r="G738" s="32" t="n"/>
      <c r="H738" s="36" t="n"/>
      <c r="I738" s="31" t="n"/>
      <c r="J738" s="38" t="n"/>
      <c r="K738" s="32" t="n"/>
      <c r="L738" s="34">
        <f>IF(OR(A738="",D738=""),"",IF(D738&gt;Config!$B$5,0,DATEDIF(D738,Config!$B$5,"m")))</f>
        <v/>
      </c>
      <c r="M738" s="39">
        <f>IF(A738="","",IF(K738&lt;&gt;"",K738,IF(OR(C738="",D738=""),"Sem dados",IFERROR(IF(C738="M",INDEX(Config!$B$11:$B$14,MATCH(L738,Config!$A$11:$A$14,1)),IF(C738="F",INDEX(Config!$C$11:$C$14,MATCH(L738,Config!$A$11:$A$14,1)),"Sem dados")),"Verificar"))))</f>
        <v/>
      </c>
      <c r="N738" s="39">
        <f>IF(A738="","",IF(COUNTIFS('Movimentações'!$C$6:$C$1505,A738,'Movimentações'!$B$6:$B$1505,"Venda")&gt;0,"Vendido",IF(COUNTIFS('Movimentações'!$C$6:$C$1505,A738,'Movimentações'!$B$6:$B$1505,"Morte")&gt;0,"Morto","Ativo")))</f>
        <v/>
      </c>
      <c r="O738" s="40">
        <f>IF(A738="","",IF(COUNTIF('Pesagens'!$B$6:$B$2005,A738)=0,"",SUMPRODUCT(MAX(('Pesagens'!$B$6:$B$2005=A738)*'Pesagens'!$A$6:$A$2005))))</f>
        <v/>
      </c>
      <c r="P738" s="41">
        <f>IF(A738="","",IF(O738="",IF(J738="","",J738),IFERROR(AVERAGEIFS('Pesagens'!$C$6:$C$2005,'Pesagens'!$B$6:$B$2005,A738,'Pesagens'!$A$6:$A$2005,O738),"")))</f>
        <v/>
      </c>
      <c r="Q738" s="42">
        <f>IF(OR(A738="",O738="",I738="",J738=""),"",IFERROR((P738-J738)/(O738-I738),""))</f>
        <v/>
      </c>
    </row>
    <row r="739">
      <c r="A739" s="36" t="n"/>
      <c r="B739" s="32" t="n"/>
      <c r="C739" s="37" t="n"/>
      <c r="D739" s="31" t="n"/>
      <c r="E739" s="32" t="n"/>
      <c r="F739" s="32" t="n"/>
      <c r="G739" s="32" t="n"/>
      <c r="H739" s="36" t="n"/>
      <c r="I739" s="31" t="n"/>
      <c r="J739" s="38" t="n"/>
      <c r="K739" s="32" t="n"/>
      <c r="L739" s="34">
        <f>IF(OR(A739="",D739=""),"",IF(D739&gt;Config!$B$5,0,DATEDIF(D739,Config!$B$5,"m")))</f>
        <v/>
      </c>
      <c r="M739" s="39">
        <f>IF(A739="","",IF(K739&lt;&gt;"",K739,IF(OR(C739="",D739=""),"Sem dados",IFERROR(IF(C739="M",INDEX(Config!$B$11:$B$14,MATCH(L739,Config!$A$11:$A$14,1)),IF(C739="F",INDEX(Config!$C$11:$C$14,MATCH(L739,Config!$A$11:$A$14,1)),"Sem dados")),"Verificar"))))</f>
        <v/>
      </c>
      <c r="N739" s="39">
        <f>IF(A739="","",IF(COUNTIFS('Movimentações'!$C$6:$C$1505,A739,'Movimentações'!$B$6:$B$1505,"Venda")&gt;0,"Vendido",IF(COUNTIFS('Movimentações'!$C$6:$C$1505,A739,'Movimentações'!$B$6:$B$1505,"Morte")&gt;0,"Morto","Ativo")))</f>
        <v/>
      </c>
      <c r="O739" s="40">
        <f>IF(A739="","",IF(COUNTIF('Pesagens'!$B$6:$B$2005,A739)=0,"",SUMPRODUCT(MAX(('Pesagens'!$B$6:$B$2005=A739)*'Pesagens'!$A$6:$A$2005))))</f>
        <v/>
      </c>
      <c r="P739" s="41">
        <f>IF(A739="","",IF(O739="",IF(J739="","",J739),IFERROR(AVERAGEIFS('Pesagens'!$C$6:$C$2005,'Pesagens'!$B$6:$B$2005,A739,'Pesagens'!$A$6:$A$2005,O739),"")))</f>
        <v/>
      </c>
      <c r="Q739" s="42">
        <f>IF(OR(A739="",O739="",I739="",J739=""),"",IFERROR((P739-J739)/(O739-I739),""))</f>
        <v/>
      </c>
    </row>
    <row r="740">
      <c r="A740" s="36" t="n"/>
      <c r="B740" s="32" t="n"/>
      <c r="C740" s="37" t="n"/>
      <c r="D740" s="31" t="n"/>
      <c r="E740" s="32" t="n"/>
      <c r="F740" s="32" t="n"/>
      <c r="G740" s="32" t="n"/>
      <c r="H740" s="36" t="n"/>
      <c r="I740" s="31" t="n"/>
      <c r="J740" s="38" t="n"/>
      <c r="K740" s="32" t="n"/>
      <c r="L740" s="34">
        <f>IF(OR(A740="",D740=""),"",IF(D740&gt;Config!$B$5,0,DATEDIF(D740,Config!$B$5,"m")))</f>
        <v/>
      </c>
      <c r="M740" s="39">
        <f>IF(A740="","",IF(K740&lt;&gt;"",K740,IF(OR(C740="",D740=""),"Sem dados",IFERROR(IF(C740="M",INDEX(Config!$B$11:$B$14,MATCH(L740,Config!$A$11:$A$14,1)),IF(C740="F",INDEX(Config!$C$11:$C$14,MATCH(L740,Config!$A$11:$A$14,1)),"Sem dados")),"Verificar"))))</f>
        <v/>
      </c>
      <c r="N740" s="39">
        <f>IF(A740="","",IF(COUNTIFS('Movimentações'!$C$6:$C$1505,A740,'Movimentações'!$B$6:$B$1505,"Venda")&gt;0,"Vendido",IF(COUNTIFS('Movimentações'!$C$6:$C$1505,A740,'Movimentações'!$B$6:$B$1505,"Morte")&gt;0,"Morto","Ativo")))</f>
        <v/>
      </c>
      <c r="O740" s="40">
        <f>IF(A740="","",IF(COUNTIF('Pesagens'!$B$6:$B$2005,A740)=0,"",SUMPRODUCT(MAX(('Pesagens'!$B$6:$B$2005=A740)*'Pesagens'!$A$6:$A$2005))))</f>
        <v/>
      </c>
      <c r="P740" s="41">
        <f>IF(A740="","",IF(O740="",IF(J740="","",J740),IFERROR(AVERAGEIFS('Pesagens'!$C$6:$C$2005,'Pesagens'!$B$6:$B$2005,A740,'Pesagens'!$A$6:$A$2005,O740),"")))</f>
        <v/>
      </c>
      <c r="Q740" s="42">
        <f>IF(OR(A740="",O740="",I740="",J740=""),"",IFERROR((P740-J740)/(O740-I740),""))</f>
        <v/>
      </c>
    </row>
    <row r="741">
      <c r="A741" s="36" t="n"/>
      <c r="B741" s="32" t="n"/>
      <c r="C741" s="37" t="n"/>
      <c r="D741" s="31" t="n"/>
      <c r="E741" s="32" t="n"/>
      <c r="F741" s="32" t="n"/>
      <c r="G741" s="32" t="n"/>
      <c r="H741" s="36" t="n"/>
      <c r="I741" s="31" t="n"/>
      <c r="J741" s="38" t="n"/>
      <c r="K741" s="32" t="n"/>
      <c r="L741" s="34">
        <f>IF(OR(A741="",D741=""),"",IF(D741&gt;Config!$B$5,0,DATEDIF(D741,Config!$B$5,"m")))</f>
        <v/>
      </c>
      <c r="M741" s="39">
        <f>IF(A741="","",IF(K741&lt;&gt;"",K741,IF(OR(C741="",D741=""),"Sem dados",IFERROR(IF(C741="M",INDEX(Config!$B$11:$B$14,MATCH(L741,Config!$A$11:$A$14,1)),IF(C741="F",INDEX(Config!$C$11:$C$14,MATCH(L741,Config!$A$11:$A$14,1)),"Sem dados")),"Verificar"))))</f>
        <v/>
      </c>
      <c r="N741" s="39">
        <f>IF(A741="","",IF(COUNTIFS('Movimentações'!$C$6:$C$1505,A741,'Movimentações'!$B$6:$B$1505,"Venda")&gt;0,"Vendido",IF(COUNTIFS('Movimentações'!$C$6:$C$1505,A741,'Movimentações'!$B$6:$B$1505,"Morte")&gt;0,"Morto","Ativo")))</f>
        <v/>
      </c>
      <c r="O741" s="40">
        <f>IF(A741="","",IF(COUNTIF('Pesagens'!$B$6:$B$2005,A741)=0,"",SUMPRODUCT(MAX(('Pesagens'!$B$6:$B$2005=A741)*'Pesagens'!$A$6:$A$2005))))</f>
        <v/>
      </c>
      <c r="P741" s="41">
        <f>IF(A741="","",IF(O741="",IF(J741="","",J741),IFERROR(AVERAGEIFS('Pesagens'!$C$6:$C$2005,'Pesagens'!$B$6:$B$2005,A741,'Pesagens'!$A$6:$A$2005,O741),"")))</f>
        <v/>
      </c>
      <c r="Q741" s="42">
        <f>IF(OR(A741="",O741="",I741="",J741=""),"",IFERROR((P741-J741)/(O741-I741),""))</f>
        <v/>
      </c>
    </row>
    <row r="742">
      <c r="A742" s="36" t="n"/>
      <c r="B742" s="32" t="n"/>
      <c r="C742" s="37" t="n"/>
      <c r="D742" s="31" t="n"/>
      <c r="E742" s="32" t="n"/>
      <c r="F742" s="32" t="n"/>
      <c r="G742" s="32" t="n"/>
      <c r="H742" s="36" t="n"/>
      <c r="I742" s="31" t="n"/>
      <c r="J742" s="38" t="n"/>
      <c r="K742" s="32" t="n"/>
      <c r="L742" s="34">
        <f>IF(OR(A742="",D742=""),"",IF(D742&gt;Config!$B$5,0,DATEDIF(D742,Config!$B$5,"m")))</f>
        <v/>
      </c>
      <c r="M742" s="39">
        <f>IF(A742="","",IF(K742&lt;&gt;"",K742,IF(OR(C742="",D742=""),"Sem dados",IFERROR(IF(C742="M",INDEX(Config!$B$11:$B$14,MATCH(L742,Config!$A$11:$A$14,1)),IF(C742="F",INDEX(Config!$C$11:$C$14,MATCH(L742,Config!$A$11:$A$14,1)),"Sem dados")),"Verificar"))))</f>
        <v/>
      </c>
      <c r="N742" s="39">
        <f>IF(A742="","",IF(COUNTIFS('Movimentações'!$C$6:$C$1505,A742,'Movimentações'!$B$6:$B$1505,"Venda")&gt;0,"Vendido",IF(COUNTIFS('Movimentações'!$C$6:$C$1505,A742,'Movimentações'!$B$6:$B$1505,"Morte")&gt;0,"Morto","Ativo")))</f>
        <v/>
      </c>
      <c r="O742" s="40">
        <f>IF(A742="","",IF(COUNTIF('Pesagens'!$B$6:$B$2005,A742)=0,"",SUMPRODUCT(MAX(('Pesagens'!$B$6:$B$2005=A742)*'Pesagens'!$A$6:$A$2005))))</f>
        <v/>
      </c>
      <c r="P742" s="41">
        <f>IF(A742="","",IF(O742="",IF(J742="","",J742),IFERROR(AVERAGEIFS('Pesagens'!$C$6:$C$2005,'Pesagens'!$B$6:$B$2005,A742,'Pesagens'!$A$6:$A$2005,O742),"")))</f>
        <v/>
      </c>
      <c r="Q742" s="42">
        <f>IF(OR(A742="",O742="",I742="",J742=""),"",IFERROR((P742-J742)/(O742-I742),""))</f>
        <v/>
      </c>
    </row>
    <row r="743">
      <c r="A743" s="36" t="n"/>
      <c r="B743" s="32" t="n"/>
      <c r="C743" s="37" t="n"/>
      <c r="D743" s="31" t="n"/>
      <c r="E743" s="32" t="n"/>
      <c r="F743" s="32" t="n"/>
      <c r="G743" s="32" t="n"/>
      <c r="H743" s="36" t="n"/>
      <c r="I743" s="31" t="n"/>
      <c r="J743" s="38" t="n"/>
      <c r="K743" s="32" t="n"/>
      <c r="L743" s="34">
        <f>IF(OR(A743="",D743=""),"",IF(D743&gt;Config!$B$5,0,DATEDIF(D743,Config!$B$5,"m")))</f>
        <v/>
      </c>
      <c r="M743" s="39">
        <f>IF(A743="","",IF(K743&lt;&gt;"",K743,IF(OR(C743="",D743=""),"Sem dados",IFERROR(IF(C743="M",INDEX(Config!$B$11:$B$14,MATCH(L743,Config!$A$11:$A$14,1)),IF(C743="F",INDEX(Config!$C$11:$C$14,MATCH(L743,Config!$A$11:$A$14,1)),"Sem dados")),"Verificar"))))</f>
        <v/>
      </c>
      <c r="N743" s="39">
        <f>IF(A743="","",IF(COUNTIFS('Movimentações'!$C$6:$C$1505,A743,'Movimentações'!$B$6:$B$1505,"Venda")&gt;0,"Vendido",IF(COUNTIFS('Movimentações'!$C$6:$C$1505,A743,'Movimentações'!$B$6:$B$1505,"Morte")&gt;0,"Morto","Ativo")))</f>
        <v/>
      </c>
      <c r="O743" s="40">
        <f>IF(A743="","",IF(COUNTIF('Pesagens'!$B$6:$B$2005,A743)=0,"",SUMPRODUCT(MAX(('Pesagens'!$B$6:$B$2005=A743)*'Pesagens'!$A$6:$A$2005))))</f>
        <v/>
      </c>
      <c r="P743" s="41">
        <f>IF(A743="","",IF(O743="",IF(J743="","",J743),IFERROR(AVERAGEIFS('Pesagens'!$C$6:$C$2005,'Pesagens'!$B$6:$B$2005,A743,'Pesagens'!$A$6:$A$2005,O743),"")))</f>
        <v/>
      </c>
      <c r="Q743" s="42">
        <f>IF(OR(A743="",O743="",I743="",J743=""),"",IFERROR((P743-J743)/(O743-I743),""))</f>
        <v/>
      </c>
    </row>
    <row r="744">
      <c r="A744" s="36" t="n"/>
      <c r="B744" s="32" t="n"/>
      <c r="C744" s="37" t="n"/>
      <c r="D744" s="31" t="n"/>
      <c r="E744" s="32" t="n"/>
      <c r="F744" s="32" t="n"/>
      <c r="G744" s="32" t="n"/>
      <c r="H744" s="36" t="n"/>
      <c r="I744" s="31" t="n"/>
      <c r="J744" s="38" t="n"/>
      <c r="K744" s="32" t="n"/>
      <c r="L744" s="34">
        <f>IF(OR(A744="",D744=""),"",IF(D744&gt;Config!$B$5,0,DATEDIF(D744,Config!$B$5,"m")))</f>
        <v/>
      </c>
      <c r="M744" s="39">
        <f>IF(A744="","",IF(K744&lt;&gt;"",K744,IF(OR(C744="",D744=""),"Sem dados",IFERROR(IF(C744="M",INDEX(Config!$B$11:$B$14,MATCH(L744,Config!$A$11:$A$14,1)),IF(C744="F",INDEX(Config!$C$11:$C$14,MATCH(L744,Config!$A$11:$A$14,1)),"Sem dados")),"Verificar"))))</f>
        <v/>
      </c>
      <c r="N744" s="39">
        <f>IF(A744="","",IF(COUNTIFS('Movimentações'!$C$6:$C$1505,A744,'Movimentações'!$B$6:$B$1505,"Venda")&gt;0,"Vendido",IF(COUNTIFS('Movimentações'!$C$6:$C$1505,A744,'Movimentações'!$B$6:$B$1505,"Morte")&gt;0,"Morto","Ativo")))</f>
        <v/>
      </c>
      <c r="O744" s="40">
        <f>IF(A744="","",IF(COUNTIF('Pesagens'!$B$6:$B$2005,A744)=0,"",SUMPRODUCT(MAX(('Pesagens'!$B$6:$B$2005=A744)*'Pesagens'!$A$6:$A$2005))))</f>
        <v/>
      </c>
      <c r="P744" s="41">
        <f>IF(A744="","",IF(O744="",IF(J744="","",J744),IFERROR(AVERAGEIFS('Pesagens'!$C$6:$C$2005,'Pesagens'!$B$6:$B$2005,A744,'Pesagens'!$A$6:$A$2005,O744),"")))</f>
        <v/>
      </c>
      <c r="Q744" s="42">
        <f>IF(OR(A744="",O744="",I744="",J744=""),"",IFERROR((P744-J744)/(O744-I744),""))</f>
        <v/>
      </c>
    </row>
    <row r="745">
      <c r="A745" s="36" t="n"/>
      <c r="B745" s="32" t="n"/>
      <c r="C745" s="37" t="n"/>
      <c r="D745" s="31" t="n"/>
      <c r="E745" s="32" t="n"/>
      <c r="F745" s="32" t="n"/>
      <c r="G745" s="32" t="n"/>
      <c r="H745" s="36" t="n"/>
      <c r="I745" s="31" t="n"/>
      <c r="J745" s="38" t="n"/>
      <c r="K745" s="32" t="n"/>
      <c r="L745" s="34">
        <f>IF(OR(A745="",D745=""),"",IF(D745&gt;Config!$B$5,0,DATEDIF(D745,Config!$B$5,"m")))</f>
        <v/>
      </c>
      <c r="M745" s="39">
        <f>IF(A745="","",IF(K745&lt;&gt;"",K745,IF(OR(C745="",D745=""),"Sem dados",IFERROR(IF(C745="M",INDEX(Config!$B$11:$B$14,MATCH(L745,Config!$A$11:$A$14,1)),IF(C745="F",INDEX(Config!$C$11:$C$14,MATCH(L745,Config!$A$11:$A$14,1)),"Sem dados")),"Verificar"))))</f>
        <v/>
      </c>
      <c r="N745" s="39">
        <f>IF(A745="","",IF(COUNTIFS('Movimentações'!$C$6:$C$1505,A745,'Movimentações'!$B$6:$B$1505,"Venda")&gt;0,"Vendido",IF(COUNTIFS('Movimentações'!$C$6:$C$1505,A745,'Movimentações'!$B$6:$B$1505,"Morte")&gt;0,"Morto","Ativo")))</f>
        <v/>
      </c>
      <c r="O745" s="40">
        <f>IF(A745="","",IF(COUNTIF('Pesagens'!$B$6:$B$2005,A745)=0,"",SUMPRODUCT(MAX(('Pesagens'!$B$6:$B$2005=A745)*'Pesagens'!$A$6:$A$2005))))</f>
        <v/>
      </c>
      <c r="P745" s="41">
        <f>IF(A745="","",IF(O745="",IF(J745="","",J745),IFERROR(AVERAGEIFS('Pesagens'!$C$6:$C$2005,'Pesagens'!$B$6:$B$2005,A745,'Pesagens'!$A$6:$A$2005,O745),"")))</f>
        <v/>
      </c>
      <c r="Q745" s="42">
        <f>IF(OR(A745="",O745="",I745="",J745=""),"",IFERROR((P745-J745)/(O745-I745),""))</f>
        <v/>
      </c>
    </row>
    <row r="746">
      <c r="A746" s="36" t="n"/>
      <c r="B746" s="32" t="n"/>
      <c r="C746" s="37" t="n"/>
      <c r="D746" s="31" t="n"/>
      <c r="E746" s="32" t="n"/>
      <c r="F746" s="32" t="n"/>
      <c r="G746" s="32" t="n"/>
      <c r="H746" s="36" t="n"/>
      <c r="I746" s="31" t="n"/>
      <c r="J746" s="38" t="n"/>
      <c r="K746" s="32" t="n"/>
      <c r="L746" s="34">
        <f>IF(OR(A746="",D746=""),"",IF(D746&gt;Config!$B$5,0,DATEDIF(D746,Config!$B$5,"m")))</f>
        <v/>
      </c>
      <c r="M746" s="39">
        <f>IF(A746="","",IF(K746&lt;&gt;"",K746,IF(OR(C746="",D746=""),"Sem dados",IFERROR(IF(C746="M",INDEX(Config!$B$11:$B$14,MATCH(L746,Config!$A$11:$A$14,1)),IF(C746="F",INDEX(Config!$C$11:$C$14,MATCH(L746,Config!$A$11:$A$14,1)),"Sem dados")),"Verificar"))))</f>
        <v/>
      </c>
      <c r="N746" s="39">
        <f>IF(A746="","",IF(COUNTIFS('Movimentações'!$C$6:$C$1505,A746,'Movimentações'!$B$6:$B$1505,"Venda")&gt;0,"Vendido",IF(COUNTIFS('Movimentações'!$C$6:$C$1505,A746,'Movimentações'!$B$6:$B$1505,"Morte")&gt;0,"Morto","Ativo")))</f>
        <v/>
      </c>
      <c r="O746" s="40">
        <f>IF(A746="","",IF(COUNTIF('Pesagens'!$B$6:$B$2005,A746)=0,"",SUMPRODUCT(MAX(('Pesagens'!$B$6:$B$2005=A746)*'Pesagens'!$A$6:$A$2005))))</f>
        <v/>
      </c>
      <c r="P746" s="41">
        <f>IF(A746="","",IF(O746="",IF(J746="","",J746),IFERROR(AVERAGEIFS('Pesagens'!$C$6:$C$2005,'Pesagens'!$B$6:$B$2005,A746,'Pesagens'!$A$6:$A$2005,O746),"")))</f>
        <v/>
      </c>
      <c r="Q746" s="42">
        <f>IF(OR(A746="",O746="",I746="",J746=""),"",IFERROR((P746-J746)/(O746-I746),""))</f>
        <v/>
      </c>
    </row>
    <row r="747">
      <c r="A747" s="36" t="n"/>
      <c r="B747" s="32" t="n"/>
      <c r="C747" s="37" t="n"/>
      <c r="D747" s="31" t="n"/>
      <c r="E747" s="32" t="n"/>
      <c r="F747" s="32" t="n"/>
      <c r="G747" s="32" t="n"/>
      <c r="H747" s="36" t="n"/>
      <c r="I747" s="31" t="n"/>
      <c r="J747" s="38" t="n"/>
      <c r="K747" s="32" t="n"/>
      <c r="L747" s="34">
        <f>IF(OR(A747="",D747=""),"",IF(D747&gt;Config!$B$5,0,DATEDIF(D747,Config!$B$5,"m")))</f>
        <v/>
      </c>
      <c r="M747" s="39">
        <f>IF(A747="","",IF(K747&lt;&gt;"",K747,IF(OR(C747="",D747=""),"Sem dados",IFERROR(IF(C747="M",INDEX(Config!$B$11:$B$14,MATCH(L747,Config!$A$11:$A$14,1)),IF(C747="F",INDEX(Config!$C$11:$C$14,MATCH(L747,Config!$A$11:$A$14,1)),"Sem dados")),"Verificar"))))</f>
        <v/>
      </c>
      <c r="N747" s="39">
        <f>IF(A747="","",IF(COUNTIFS('Movimentações'!$C$6:$C$1505,A747,'Movimentações'!$B$6:$B$1505,"Venda")&gt;0,"Vendido",IF(COUNTIFS('Movimentações'!$C$6:$C$1505,A747,'Movimentações'!$B$6:$B$1505,"Morte")&gt;0,"Morto","Ativo")))</f>
        <v/>
      </c>
      <c r="O747" s="40">
        <f>IF(A747="","",IF(COUNTIF('Pesagens'!$B$6:$B$2005,A747)=0,"",SUMPRODUCT(MAX(('Pesagens'!$B$6:$B$2005=A747)*'Pesagens'!$A$6:$A$2005))))</f>
        <v/>
      </c>
      <c r="P747" s="41">
        <f>IF(A747="","",IF(O747="",IF(J747="","",J747),IFERROR(AVERAGEIFS('Pesagens'!$C$6:$C$2005,'Pesagens'!$B$6:$B$2005,A747,'Pesagens'!$A$6:$A$2005,O747),"")))</f>
        <v/>
      </c>
      <c r="Q747" s="42">
        <f>IF(OR(A747="",O747="",I747="",J747=""),"",IFERROR((P747-J747)/(O747-I747),""))</f>
        <v/>
      </c>
    </row>
    <row r="748">
      <c r="A748" s="36" t="n"/>
      <c r="B748" s="32" t="n"/>
      <c r="C748" s="37" t="n"/>
      <c r="D748" s="31" t="n"/>
      <c r="E748" s="32" t="n"/>
      <c r="F748" s="32" t="n"/>
      <c r="G748" s="32" t="n"/>
      <c r="H748" s="36" t="n"/>
      <c r="I748" s="31" t="n"/>
      <c r="J748" s="38" t="n"/>
      <c r="K748" s="32" t="n"/>
      <c r="L748" s="34">
        <f>IF(OR(A748="",D748=""),"",IF(D748&gt;Config!$B$5,0,DATEDIF(D748,Config!$B$5,"m")))</f>
        <v/>
      </c>
      <c r="M748" s="39">
        <f>IF(A748="","",IF(K748&lt;&gt;"",K748,IF(OR(C748="",D748=""),"Sem dados",IFERROR(IF(C748="M",INDEX(Config!$B$11:$B$14,MATCH(L748,Config!$A$11:$A$14,1)),IF(C748="F",INDEX(Config!$C$11:$C$14,MATCH(L748,Config!$A$11:$A$14,1)),"Sem dados")),"Verificar"))))</f>
        <v/>
      </c>
      <c r="N748" s="39">
        <f>IF(A748="","",IF(COUNTIFS('Movimentações'!$C$6:$C$1505,A748,'Movimentações'!$B$6:$B$1505,"Venda")&gt;0,"Vendido",IF(COUNTIFS('Movimentações'!$C$6:$C$1505,A748,'Movimentações'!$B$6:$B$1505,"Morte")&gt;0,"Morto","Ativo")))</f>
        <v/>
      </c>
      <c r="O748" s="40">
        <f>IF(A748="","",IF(COUNTIF('Pesagens'!$B$6:$B$2005,A748)=0,"",SUMPRODUCT(MAX(('Pesagens'!$B$6:$B$2005=A748)*'Pesagens'!$A$6:$A$2005))))</f>
        <v/>
      </c>
      <c r="P748" s="41">
        <f>IF(A748="","",IF(O748="",IF(J748="","",J748),IFERROR(AVERAGEIFS('Pesagens'!$C$6:$C$2005,'Pesagens'!$B$6:$B$2005,A748,'Pesagens'!$A$6:$A$2005,O748),"")))</f>
        <v/>
      </c>
      <c r="Q748" s="42">
        <f>IF(OR(A748="",O748="",I748="",J748=""),"",IFERROR((P748-J748)/(O748-I748),""))</f>
        <v/>
      </c>
    </row>
    <row r="749">
      <c r="A749" s="36" t="n"/>
      <c r="B749" s="32" t="n"/>
      <c r="C749" s="37" t="n"/>
      <c r="D749" s="31" t="n"/>
      <c r="E749" s="32" t="n"/>
      <c r="F749" s="32" t="n"/>
      <c r="G749" s="32" t="n"/>
      <c r="H749" s="36" t="n"/>
      <c r="I749" s="31" t="n"/>
      <c r="J749" s="38" t="n"/>
      <c r="K749" s="32" t="n"/>
      <c r="L749" s="34">
        <f>IF(OR(A749="",D749=""),"",IF(D749&gt;Config!$B$5,0,DATEDIF(D749,Config!$B$5,"m")))</f>
        <v/>
      </c>
      <c r="M749" s="39">
        <f>IF(A749="","",IF(K749&lt;&gt;"",K749,IF(OR(C749="",D749=""),"Sem dados",IFERROR(IF(C749="M",INDEX(Config!$B$11:$B$14,MATCH(L749,Config!$A$11:$A$14,1)),IF(C749="F",INDEX(Config!$C$11:$C$14,MATCH(L749,Config!$A$11:$A$14,1)),"Sem dados")),"Verificar"))))</f>
        <v/>
      </c>
      <c r="N749" s="39">
        <f>IF(A749="","",IF(COUNTIFS('Movimentações'!$C$6:$C$1505,A749,'Movimentações'!$B$6:$B$1505,"Venda")&gt;0,"Vendido",IF(COUNTIFS('Movimentações'!$C$6:$C$1505,A749,'Movimentações'!$B$6:$B$1505,"Morte")&gt;0,"Morto","Ativo")))</f>
        <v/>
      </c>
      <c r="O749" s="40">
        <f>IF(A749="","",IF(COUNTIF('Pesagens'!$B$6:$B$2005,A749)=0,"",SUMPRODUCT(MAX(('Pesagens'!$B$6:$B$2005=A749)*'Pesagens'!$A$6:$A$2005))))</f>
        <v/>
      </c>
      <c r="P749" s="41">
        <f>IF(A749="","",IF(O749="",IF(J749="","",J749),IFERROR(AVERAGEIFS('Pesagens'!$C$6:$C$2005,'Pesagens'!$B$6:$B$2005,A749,'Pesagens'!$A$6:$A$2005,O749),"")))</f>
        <v/>
      </c>
      <c r="Q749" s="42">
        <f>IF(OR(A749="",O749="",I749="",J749=""),"",IFERROR((P749-J749)/(O749-I749),""))</f>
        <v/>
      </c>
    </row>
    <row r="750">
      <c r="A750" s="36" t="n"/>
      <c r="B750" s="32" t="n"/>
      <c r="C750" s="37" t="n"/>
      <c r="D750" s="31" t="n"/>
      <c r="E750" s="32" t="n"/>
      <c r="F750" s="32" t="n"/>
      <c r="G750" s="32" t="n"/>
      <c r="H750" s="36" t="n"/>
      <c r="I750" s="31" t="n"/>
      <c r="J750" s="38" t="n"/>
      <c r="K750" s="32" t="n"/>
      <c r="L750" s="34">
        <f>IF(OR(A750="",D750=""),"",IF(D750&gt;Config!$B$5,0,DATEDIF(D750,Config!$B$5,"m")))</f>
        <v/>
      </c>
      <c r="M750" s="39">
        <f>IF(A750="","",IF(K750&lt;&gt;"",K750,IF(OR(C750="",D750=""),"Sem dados",IFERROR(IF(C750="M",INDEX(Config!$B$11:$B$14,MATCH(L750,Config!$A$11:$A$14,1)),IF(C750="F",INDEX(Config!$C$11:$C$14,MATCH(L750,Config!$A$11:$A$14,1)),"Sem dados")),"Verificar"))))</f>
        <v/>
      </c>
      <c r="N750" s="39">
        <f>IF(A750="","",IF(COUNTIFS('Movimentações'!$C$6:$C$1505,A750,'Movimentações'!$B$6:$B$1505,"Venda")&gt;0,"Vendido",IF(COUNTIFS('Movimentações'!$C$6:$C$1505,A750,'Movimentações'!$B$6:$B$1505,"Morte")&gt;0,"Morto","Ativo")))</f>
        <v/>
      </c>
      <c r="O750" s="40">
        <f>IF(A750="","",IF(COUNTIF('Pesagens'!$B$6:$B$2005,A750)=0,"",SUMPRODUCT(MAX(('Pesagens'!$B$6:$B$2005=A750)*'Pesagens'!$A$6:$A$2005))))</f>
        <v/>
      </c>
      <c r="P750" s="41">
        <f>IF(A750="","",IF(O750="",IF(J750="","",J750),IFERROR(AVERAGEIFS('Pesagens'!$C$6:$C$2005,'Pesagens'!$B$6:$B$2005,A750,'Pesagens'!$A$6:$A$2005,O750),"")))</f>
        <v/>
      </c>
      <c r="Q750" s="42">
        <f>IF(OR(A750="",O750="",I750="",J750=""),"",IFERROR((P750-J750)/(O750-I750),""))</f>
        <v/>
      </c>
    </row>
    <row r="751">
      <c r="A751" s="36" t="n"/>
      <c r="B751" s="32" t="n"/>
      <c r="C751" s="37" t="n"/>
      <c r="D751" s="31" t="n"/>
      <c r="E751" s="32" t="n"/>
      <c r="F751" s="32" t="n"/>
      <c r="G751" s="32" t="n"/>
      <c r="H751" s="36" t="n"/>
      <c r="I751" s="31" t="n"/>
      <c r="J751" s="38" t="n"/>
      <c r="K751" s="32" t="n"/>
      <c r="L751" s="34">
        <f>IF(OR(A751="",D751=""),"",IF(D751&gt;Config!$B$5,0,DATEDIF(D751,Config!$B$5,"m")))</f>
        <v/>
      </c>
      <c r="M751" s="39">
        <f>IF(A751="","",IF(K751&lt;&gt;"",K751,IF(OR(C751="",D751=""),"Sem dados",IFERROR(IF(C751="M",INDEX(Config!$B$11:$B$14,MATCH(L751,Config!$A$11:$A$14,1)),IF(C751="F",INDEX(Config!$C$11:$C$14,MATCH(L751,Config!$A$11:$A$14,1)),"Sem dados")),"Verificar"))))</f>
        <v/>
      </c>
      <c r="N751" s="39">
        <f>IF(A751="","",IF(COUNTIFS('Movimentações'!$C$6:$C$1505,A751,'Movimentações'!$B$6:$B$1505,"Venda")&gt;0,"Vendido",IF(COUNTIFS('Movimentações'!$C$6:$C$1505,A751,'Movimentações'!$B$6:$B$1505,"Morte")&gt;0,"Morto","Ativo")))</f>
        <v/>
      </c>
      <c r="O751" s="40">
        <f>IF(A751="","",IF(COUNTIF('Pesagens'!$B$6:$B$2005,A751)=0,"",SUMPRODUCT(MAX(('Pesagens'!$B$6:$B$2005=A751)*'Pesagens'!$A$6:$A$2005))))</f>
        <v/>
      </c>
      <c r="P751" s="41">
        <f>IF(A751="","",IF(O751="",IF(J751="","",J751),IFERROR(AVERAGEIFS('Pesagens'!$C$6:$C$2005,'Pesagens'!$B$6:$B$2005,A751,'Pesagens'!$A$6:$A$2005,O751),"")))</f>
        <v/>
      </c>
      <c r="Q751" s="42">
        <f>IF(OR(A751="",O751="",I751="",J751=""),"",IFERROR((P751-J751)/(O751-I751),""))</f>
        <v/>
      </c>
    </row>
    <row r="752">
      <c r="A752" s="36" t="n"/>
      <c r="B752" s="32" t="n"/>
      <c r="C752" s="37" t="n"/>
      <c r="D752" s="31" t="n"/>
      <c r="E752" s="32" t="n"/>
      <c r="F752" s="32" t="n"/>
      <c r="G752" s="32" t="n"/>
      <c r="H752" s="36" t="n"/>
      <c r="I752" s="31" t="n"/>
      <c r="J752" s="38" t="n"/>
      <c r="K752" s="32" t="n"/>
      <c r="L752" s="34">
        <f>IF(OR(A752="",D752=""),"",IF(D752&gt;Config!$B$5,0,DATEDIF(D752,Config!$B$5,"m")))</f>
        <v/>
      </c>
      <c r="M752" s="39">
        <f>IF(A752="","",IF(K752&lt;&gt;"",K752,IF(OR(C752="",D752=""),"Sem dados",IFERROR(IF(C752="M",INDEX(Config!$B$11:$B$14,MATCH(L752,Config!$A$11:$A$14,1)),IF(C752="F",INDEX(Config!$C$11:$C$14,MATCH(L752,Config!$A$11:$A$14,1)),"Sem dados")),"Verificar"))))</f>
        <v/>
      </c>
      <c r="N752" s="39">
        <f>IF(A752="","",IF(COUNTIFS('Movimentações'!$C$6:$C$1505,A752,'Movimentações'!$B$6:$B$1505,"Venda")&gt;0,"Vendido",IF(COUNTIFS('Movimentações'!$C$6:$C$1505,A752,'Movimentações'!$B$6:$B$1505,"Morte")&gt;0,"Morto","Ativo")))</f>
        <v/>
      </c>
      <c r="O752" s="40">
        <f>IF(A752="","",IF(COUNTIF('Pesagens'!$B$6:$B$2005,A752)=0,"",SUMPRODUCT(MAX(('Pesagens'!$B$6:$B$2005=A752)*'Pesagens'!$A$6:$A$2005))))</f>
        <v/>
      </c>
      <c r="P752" s="41">
        <f>IF(A752="","",IF(O752="",IF(J752="","",J752),IFERROR(AVERAGEIFS('Pesagens'!$C$6:$C$2005,'Pesagens'!$B$6:$B$2005,A752,'Pesagens'!$A$6:$A$2005,O752),"")))</f>
        <v/>
      </c>
      <c r="Q752" s="42">
        <f>IF(OR(A752="",O752="",I752="",J752=""),"",IFERROR((P752-J752)/(O752-I752),""))</f>
        <v/>
      </c>
    </row>
    <row r="753">
      <c r="A753" s="36" t="n"/>
      <c r="B753" s="32" t="n"/>
      <c r="C753" s="37" t="n"/>
      <c r="D753" s="31" t="n"/>
      <c r="E753" s="32" t="n"/>
      <c r="F753" s="32" t="n"/>
      <c r="G753" s="32" t="n"/>
      <c r="H753" s="36" t="n"/>
      <c r="I753" s="31" t="n"/>
      <c r="J753" s="38" t="n"/>
      <c r="K753" s="32" t="n"/>
      <c r="L753" s="34">
        <f>IF(OR(A753="",D753=""),"",IF(D753&gt;Config!$B$5,0,DATEDIF(D753,Config!$B$5,"m")))</f>
        <v/>
      </c>
      <c r="M753" s="39">
        <f>IF(A753="","",IF(K753&lt;&gt;"",K753,IF(OR(C753="",D753=""),"Sem dados",IFERROR(IF(C753="M",INDEX(Config!$B$11:$B$14,MATCH(L753,Config!$A$11:$A$14,1)),IF(C753="F",INDEX(Config!$C$11:$C$14,MATCH(L753,Config!$A$11:$A$14,1)),"Sem dados")),"Verificar"))))</f>
        <v/>
      </c>
      <c r="N753" s="39">
        <f>IF(A753="","",IF(COUNTIFS('Movimentações'!$C$6:$C$1505,A753,'Movimentações'!$B$6:$B$1505,"Venda")&gt;0,"Vendido",IF(COUNTIFS('Movimentações'!$C$6:$C$1505,A753,'Movimentações'!$B$6:$B$1505,"Morte")&gt;0,"Morto","Ativo")))</f>
        <v/>
      </c>
      <c r="O753" s="40">
        <f>IF(A753="","",IF(COUNTIF('Pesagens'!$B$6:$B$2005,A753)=0,"",SUMPRODUCT(MAX(('Pesagens'!$B$6:$B$2005=A753)*'Pesagens'!$A$6:$A$2005))))</f>
        <v/>
      </c>
      <c r="P753" s="41">
        <f>IF(A753="","",IF(O753="",IF(J753="","",J753),IFERROR(AVERAGEIFS('Pesagens'!$C$6:$C$2005,'Pesagens'!$B$6:$B$2005,A753,'Pesagens'!$A$6:$A$2005,O753),"")))</f>
        <v/>
      </c>
      <c r="Q753" s="42">
        <f>IF(OR(A753="",O753="",I753="",J753=""),"",IFERROR((P753-J753)/(O753-I753),""))</f>
        <v/>
      </c>
    </row>
    <row r="754">
      <c r="A754" s="36" t="n"/>
      <c r="B754" s="32" t="n"/>
      <c r="C754" s="37" t="n"/>
      <c r="D754" s="31" t="n"/>
      <c r="E754" s="32" t="n"/>
      <c r="F754" s="32" t="n"/>
      <c r="G754" s="32" t="n"/>
      <c r="H754" s="36" t="n"/>
      <c r="I754" s="31" t="n"/>
      <c r="J754" s="38" t="n"/>
      <c r="K754" s="32" t="n"/>
      <c r="L754" s="34">
        <f>IF(OR(A754="",D754=""),"",IF(D754&gt;Config!$B$5,0,DATEDIF(D754,Config!$B$5,"m")))</f>
        <v/>
      </c>
      <c r="M754" s="39">
        <f>IF(A754="","",IF(K754&lt;&gt;"",K754,IF(OR(C754="",D754=""),"Sem dados",IFERROR(IF(C754="M",INDEX(Config!$B$11:$B$14,MATCH(L754,Config!$A$11:$A$14,1)),IF(C754="F",INDEX(Config!$C$11:$C$14,MATCH(L754,Config!$A$11:$A$14,1)),"Sem dados")),"Verificar"))))</f>
        <v/>
      </c>
      <c r="N754" s="39">
        <f>IF(A754="","",IF(COUNTIFS('Movimentações'!$C$6:$C$1505,A754,'Movimentações'!$B$6:$B$1505,"Venda")&gt;0,"Vendido",IF(COUNTIFS('Movimentações'!$C$6:$C$1505,A754,'Movimentações'!$B$6:$B$1505,"Morte")&gt;0,"Morto","Ativo")))</f>
        <v/>
      </c>
      <c r="O754" s="40">
        <f>IF(A754="","",IF(COUNTIF('Pesagens'!$B$6:$B$2005,A754)=0,"",SUMPRODUCT(MAX(('Pesagens'!$B$6:$B$2005=A754)*'Pesagens'!$A$6:$A$2005))))</f>
        <v/>
      </c>
      <c r="P754" s="41">
        <f>IF(A754="","",IF(O754="",IF(J754="","",J754),IFERROR(AVERAGEIFS('Pesagens'!$C$6:$C$2005,'Pesagens'!$B$6:$B$2005,A754,'Pesagens'!$A$6:$A$2005,O754),"")))</f>
        <v/>
      </c>
      <c r="Q754" s="42">
        <f>IF(OR(A754="",O754="",I754="",J754=""),"",IFERROR((P754-J754)/(O754-I754),""))</f>
        <v/>
      </c>
    </row>
    <row r="755">
      <c r="A755" s="36" t="n"/>
      <c r="B755" s="32" t="n"/>
      <c r="C755" s="37" t="n"/>
      <c r="D755" s="31" t="n"/>
      <c r="E755" s="32" t="n"/>
      <c r="F755" s="32" t="n"/>
      <c r="G755" s="32" t="n"/>
      <c r="H755" s="36" t="n"/>
      <c r="I755" s="31" t="n"/>
      <c r="J755" s="38" t="n"/>
      <c r="K755" s="32" t="n"/>
      <c r="L755" s="34">
        <f>IF(OR(A755="",D755=""),"",IF(D755&gt;Config!$B$5,0,DATEDIF(D755,Config!$B$5,"m")))</f>
        <v/>
      </c>
      <c r="M755" s="39">
        <f>IF(A755="","",IF(K755&lt;&gt;"",K755,IF(OR(C755="",D755=""),"Sem dados",IFERROR(IF(C755="M",INDEX(Config!$B$11:$B$14,MATCH(L755,Config!$A$11:$A$14,1)),IF(C755="F",INDEX(Config!$C$11:$C$14,MATCH(L755,Config!$A$11:$A$14,1)),"Sem dados")),"Verificar"))))</f>
        <v/>
      </c>
      <c r="N755" s="39">
        <f>IF(A755="","",IF(COUNTIFS('Movimentações'!$C$6:$C$1505,A755,'Movimentações'!$B$6:$B$1505,"Venda")&gt;0,"Vendido",IF(COUNTIFS('Movimentações'!$C$6:$C$1505,A755,'Movimentações'!$B$6:$B$1505,"Morte")&gt;0,"Morto","Ativo")))</f>
        <v/>
      </c>
      <c r="O755" s="40">
        <f>IF(A755="","",IF(COUNTIF('Pesagens'!$B$6:$B$2005,A755)=0,"",SUMPRODUCT(MAX(('Pesagens'!$B$6:$B$2005=A755)*'Pesagens'!$A$6:$A$2005))))</f>
        <v/>
      </c>
      <c r="P755" s="41">
        <f>IF(A755="","",IF(O755="",IF(J755="","",J755),IFERROR(AVERAGEIFS('Pesagens'!$C$6:$C$2005,'Pesagens'!$B$6:$B$2005,A755,'Pesagens'!$A$6:$A$2005,O755),"")))</f>
        <v/>
      </c>
      <c r="Q755" s="42">
        <f>IF(OR(A755="",O755="",I755="",J755=""),"",IFERROR((P755-J755)/(O755-I755),""))</f>
        <v/>
      </c>
    </row>
    <row r="756">
      <c r="A756" s="36" t="n"/>
      <c r="B756" s="32" t="n"/>
      <c r="C756" s="37" t="n"/>
      <c r="D756" s="31" t="n"/>
      <c r="E756" s="32" t="n"/>
      <c r="F756" s="32" t="n"/>
      <c r="G756" s="32" t="n"/>
      <c r="H756" s="36" t="n"/>
      <c r="I756" s="31" t="n"/>
      <c r="J756" s="38" t="n"/>
      <c r="K756" s="32" t="n"/>
      <c r="L756" s="34">
        <f>IF(OR(A756="",D756=""),"",IF(D756&gt;Config!$B$5,0,DATEDIF(D756,Config!$B$5,"m")))</f>
        <v/>
      </c>
      <c r="M756" s="39">
        <f>IF(A756="","",IF(K756&lt;&gt;"",K756,IF(OR(C756="",D756=""),"Sem dados",IFERROR(IF(C756="M",INDEX(Config!$B$11:$B$14,MATCH(L756,Config!$A$11:$A$14,1)),IF(C756="F",INDEX(Config!$C$11:$C$14,MATCH(L756,Config!$A$11:$A$14,1)),"Sem dados")),"Verificar"))))</f>
        <v/>
      </c>
      <c r="N756" s="39">
        <f>IF(A756="","",IF(COUNTIFS('Movimentações'!$C$6:$C$1505,A756,'Movimentações'!$B$6:$B$1505,"Venda")&gt;0,"Vendido",IF(COUNTIFS('Movimentações'!$C$6:$C$1505,A756,'Movimentações'!$B$6:$B$1505,"Morte")&gt;0,"Morto","Ativo")))</f>
        <v/>
      </c>
      <c r="O756" s="40">
        <f>IF(A756="","",IF(COUNTIF('Pesagens'!$B$6:$B$2005,A756)=0,"",SUMPRODUCT(MAX(('Pesagens'!$B$6:$B$2005=A756)*'Pesagens'!$A$6:$A$2005))))</f>
        <v/>
      </c>
      <c r="P756" s="41">
        <f>IF(A756="","",IF(O756="",IF(J756="","",J756),IFERROR(AVERAGEIFS('Pesagens'!$C$6:$C$2005,'Pesagens'!$B$6:$B$2005,A756,'Pesagens'!$A$6:$A$2005,O756),"")))</f>
        <v/>
      </c>
      <c r="Q756" s="42">
        <f>IF(OR(A756="",O756="",I756="",J756=""),"",IFERROR((P756-J756)/(O756-I756),""))</f>
        <v/>
      </c>
    </row>
    <row r="757">
      <c r="A757" s="36" t="n"/>
      <c r="B757" s="32" t="n"/>
      <c r="C757" s="37" t="n"/>
      <c r="D757" s="31" t="n"/>
      <c r="E757" s="32" t="n"/>
      <c r="F757" s="32" t="n"/>
      <c r="G757" s="32" t="n"/>
      <c r="H757" s="36" t="n"/>
      <c r="I757" s="31" t="n"/>
      <c r="J757" s="38" t="n"/>
      <c r="K757" s="32" t="n"/>
      <c r="L757" s="34">
        <f>IF(OR(A757="",D757=""),"",IF(D757&gt;Config!$B$5,0,DATEDIF(D757,Config!$B$5,"m")))</f>
        <v/>
      </c>
      <c r="M757" s="39">
        <f>IF(A757="","",IF(K757&lt;&gt;"",K757,IF(OR(C757="",D757=""),"Sem dados",IFERROR(IF(C757="M",INDEX(Config!$B$11:$B$14,MATCH(L757,Config!$A$11:$A$14,1)),IF(C757="F",INDEX(Config!$C$11:$C$14,MATCH(L757,Config!$A$11:$A$14,1)),"Sem dados")),"Verificar"))))</f>
        <v/>
      </c>
      <c r="N757" s="39">
        <f>IF(A757="","",IF(COUNTIFS('Movimentações'!$C$6:$C$1505,A757,'Movimentações'!$B$6:$B$1505,"Venda")&gt;0,"Vendido",IF(COUNTIFS('Movimentações'!$C$6:$C$1505,A757,'Movimentações'!$B$6:$B$1505,"Morte")&gt;0,"Morto","Ativo")))</f>
        <v/>
      </c>
      <c r="O757" s="40">
        <f>IF(A757="","",IF(COUNTIF('Pesagens'!$B$6:$B$2005,A757)=0,"",SUMPRODUCT(MAX(('Pesagens'!$B$6:$B$2005=A757)*'Pesagens'!$A$6:$A$2005))))</f>
        <v/>
      </c>
      <c r="P757" s="41">
        <f>IF(A757="","",IF(O757="",IF(J757="","",J757),IFERROR(AVERAGEIFS('Pesagens'!$C$6:$C$2005,'Pesagens'!$B$6:$B$2005,A757,'Pesagens'!$A$6:$A$2005,O757),"")))</f>
        <v/>
      </c>
      <c r="Q757" s="42">
        <f>IF(OR(A757="",O757="",I757="",J757=""),"",IFERROR((P757-J757)/(O757-I757),""))</f>
        <v/>
      </c>
    </row>
    <row r="758">
      <c r="A758" s="36" t="n"/>
      <c r="B758" s="32" t="n"/>
      <c r="C758" s="37" t="n"/>
      <c r="D758" s="31" t="n"/>
      <c r="E758" s="32" t="n"/>
      <c r="F758" s="32" t="n"/>
      <c r="G758" s="32" t="n"/>
      <c r="H758" s="36" t="n"/>
      <c r="I758" s="31" t="n"/>
      <c r="J758" s="38" t="n"/>
      <c r="K758" s="32" t="n"/>
      <c r="L758" s="34">
        <f>IF(OR(A758="",D758=""),"",IF(D758&gt;Config!$B$5,0,DATEDIF(D758,Config!$B$5,"m")))</f>
        <v/>
      </c>
      <c r="M758" s="39">
        <f>IF(A758="","",IF(K758&lt;&gt;"",K758,IF(OR(C758="",D758=""),"Sem dados",IFERROR(IF(C758="M",INDEX(Config!$B$11:$B$14,MATCH(L758,Config!$A$11:$A$14,1)),IF(C758="F",INDEX(Config!$C$11:$C$14,MATCH(L758,Config!$A$11:$A$14,1)),"Sem dados")),"Verificar"))))</f>
        <v/>
      </c>
      <c r="N758" s="39">
        <f>IF(A758="","",IF(COUNTIFS('Movimentações'!$C$6:$C$1505,A758,'Movimentações'!$B$6:$B$1505,"Venda")&gt;0,"Vendido",IF(COUNTIFS('Movimentações'!$C$6:$C$1505,A758,'Movimentações'!$B$6:$B$1505,"Morte")&gt;0,"Morto","Ativo")))</f>
        <v/>
      </c>
      <c r="O758" s="40">
        <f>IF(A758="","",IF(COUNTIF('Pesagens'!$B$6:$B$2005,A758)=0,"",SUMPRODUCT(MAX(('Pesagens'!$B$6:$B$2005=A758)*'Pesagens'!$A$6:$A$2005))))</f>
        <v/>
      </c>
      <c r="P758" s="41">
        <f>IF(A758="","",IF(O758="",IF(J758="","",J758),IFERROR(AVERAGEIFS('Pesagens'!$C$6:$C$2005,'Pesagens'!$B$6:$B$2005,A758,'Pesagens'!$A$6:$A$2005,O758),"")))</f>
        <v/>
      </c>
      <c r="Q758" s="42">
        <f>IF(OR(A758="",O758="",I758="",J758=""),"",IFERROR((P758-J758)/(O758-I758),""))</f>
        <v/>
      </c>
    </row>
    <row r="759">
      <c r="A759" s="36" t="n"/>
      <c r="B759" s="32" t="n"/>
      <c r="C759" s="37" t="n"/>
      <c r="D759" s="31" t="n"/>
      <c r="E759" s="32" t="n"/>
      <c r="F759" s="32" t="n"/>
      <c r="G759" s="32" t="n"/>
      <c r="H759" s="36" t="n"/>
      <c r="I759" s="31" t="n"/>
      <c r="J759" s="38" t="n"/>
      <c r="K759" s="32" t="n"/>
      <c r="L759" s="34">
        <f>IF(OR(A759="",D759=""),"",IF(D759&gt;Config!$B$5,0,DATEDIF(D759,Config!$B$5,"m")))</f>
        <v/>
      </c>
      <c r="M759" s="39">
        <f>IF(A759="","",IF(K759&lt;&gt;"",K759,IF(OR(C759="",D759=""),"Sem dados",IFERROR(IF(C759="M",INDEX(Config!$B$11:$B$14,MATCH(L759,Config!$A$11:$A$14,1)),IF(C759="F",INDEX(Config!$C$11:$C$14,MATCH(L759,Config!$A$11:$A$14,1)),"Sem dados")),"Verificar"))))</f>
        <v/>
      </c>
      <c r="N759" s="39">
        <f>IF(A759="","",IF(COUNTIFS('Movimentações'!$C$6:$C$1505,A759,'Movimentações'!$B$6:$B$1505,"Venda")&gt;0,"Vendido",IF(COUNTIFS('Movimentações'!$C$6:$C$1505,A759,'Movimentações'!$B$6:$B$1505,"Morte")&gt;0,"Morto","Ativo")))</f>
        <v/>
      </c>
      <c r="O759" s="40">
        <f>IF(A759="","",IF(COUNTIF('Pesagens'!$B$6:$B$2005,A759)=0,"",SUMPRODUCT(MAX(('Pesagens'!$B$6:$B$2005=A759)*'Pesagens'!$A$6:$A$2005))))</f>
        <v/>
      </c>
      <c r="P759" s="41">
        <f>IF(A759="","",IF(O759="",IF(J759="","",J759),IFERROR(AVERAGEIFS('Pesagens'!$C$6:$C$2005,'Pesagens'!$B$6:$B$2005,A759,'Pesagens'!$A$6:$A$2005,O759),"")))</f>
        <v/>
      </c>
      <c r="Q759" s="42">
        <f>IF(OR(A759="",O759="",I759="",J759=""),"",IFERROR((P759-J759)/(O759-I759),""))</f>
        <v/>
      </c>
    </row>
    <row r="760">
      <c r="A760" s="36" t="n"/>
      <c r="B760" s="32" t="n"/>
      <c r="C760" s="37" t="n"/>
      <c r="D760" s="31" t="n"/>
      <c r="E760" s="32" t="n"/>
      <c r="F760" s="32" t="n"/>
      <c r="G760" s="32" t="n"/>
      <c r="H760" s="36" t="n"/>
      <c r="I760" s="31" t="n"/>
      <c r="J760" s="38" t="n"/>
      <c r="K760" s="32" t="n"/>
      <c r="L760" s="34">
        <f>IF(OR(A760="",D760=""),"",IF(D760&gt;Config!$B$5,0,DATEDIF(D760,Config!$B$5,"m")))</f>
        <v/>
      </c>
      <c r="M760" s="39">
        <f>IF(A760="","",IF(K760&lt;&gt;"",K760,IF(OR(C760="",D760=""),"Sem dados",IFERROR(IF(C760="M",INDEX(Config!$B$11:$B$14,MATCH(L760,Config!$A$11:$A$14,1)),IF(C760="F",INDEX(Config!$C$11:$C$14,MATCH(L760,Config!$A$11:$A$14,1)),"Sem dados")),"Verificar"))))</f>
        <v/>
      </c>
      <c r="N760" s="39">
        <f>IF(A760="","",IF(COUNTIFS('Movimentações'!$C$6:$C$1505,A760,'Movimentações'!$B$6:$B$1505,"Venda")&gt;0,"Vendido",IF(COUNTIFS('Movimentações'!$C$6:$C$1505,A760,'Movimentações'!$B$6:$B$1505,"Morte")&gt;0,"Morto","Ativo")))</f>
        <v/>
      </c>
      <c r="O760" s="40">
        <f>IF(A760="","",IF(COUNTIF('Pesagens'!$B$6:$B$2005,A760)=0,"",SUMPRODUCT(MAX(('Pesagens'!$B$6:$B$2005=A760)*'Pesagens'!$A$6:$A$2005))))</f>
        <v/>
      </c>
      <c r="P760" s="41">
        <f>IF(A760="","",IF(O760="",IF(J760="","",J760),IFERROR(AVERAGEIFS('Pesagens'!$C$6:$C$2005,'Pesagens'!$B$6:$B$2005,A760,'Pesagens'!$A$6:$A$2005,O760),"")))</f>
        <v/>
      </c>
      <c r="Q760" s="42">
        <f>IF(OR(A760="",O760="",I760="",J760=""),"",IFERROR((P760-J760)/(O760-I760),""))</f>
        <v/>
      </c>
    </row>
    <row r="761">
      <c r="A761" s="36" t="n"/>
      <c r="B761" s="32" t="n"/>
      <c r="C761" s="37" t="n"/>
      <c r="D761" s="31" t="n"/>
      <c r="E761" s="32" t="n"/>
      <c r="F761" s="32" t="n"/>
      <c r="G761" s="32" t="n"/>
      <c r="H761" s="36" t="n"/>
      <c r="I761" s="31" t="n"/>
      <c r="J761" s="38" t="n"/>
      <c r="K761" s="32" t="n"/>
      <c r="L761" s="34">
        <f>IF(OR(A761="",D761=""),"",IF(D761&gt;Config!$B$5,0,DATEDIF(D761,Config!$B$5,"m")))</f>
        <v/>
      </c>
      <c r="M761" s="39">
        <f>IF(A761="","",IF(K761&lt;&gt;"",K761,IF(OR(C761="",D761=""),"Sem dados",IFERROR(IF(C761="M",INDEX(Config!$B$11:$B$14,MATCH(L761,Config!$A$11:$A$14,1)),IF(C761="F",INDEX(Config!$C$11:$C$14,MATCH(L761,Config!$A$11:$A$14,1)),"Sem dados")),"Verificar"))))</f>
        <v/>
      </c>
      <c r="N761" s="39">
        <f>IF(A761="","",IF(COUNTIFS('Movimentações'!$C$6:$C$1505,A761,'Movimentações'!$B$6:$B$1505,"Venda")&gt;0,"Vendido",IF(COUNTIFS('Movimentações'!$C$6:$C$1505,A761,'Movimentações'!$B$6:$B$1505,"Morte")&gt;0,"Morto","Ativo")))</f>
        <v/>
      </c>
      <c r="O761" s="40">
        <f>IF(A761="","",IF(COUNTIF('Pesagens'!$B$6:$B$2005,A761)=0,"",SUMPRODUCT(MAX(('Pesagens'!$B$6:$B$2005=A761)*'Pesagens'!$A$6:$A$2005))))</f>
        <v/>
      </c>
      <c r="P761" s="41">
        <f>IF(A761="","",IF(O761="",IF(J761="","",J761),IFERROR(AVERAGEIFS('Pesagens'!$C$6:$C$2005,'Pesagens'!$B$6:$B$2005,A761,'Pesagens'!$A$6:$A$2005,O761),"")))</f>
        <v/>
      </c>
      <c r="Q761" s="42">
        <f>IF(OR(A761="",O761="",I761="",J761=""),"",IFERROR((P761-J761)/(O761-I761),""))</f>
        <v/>
      </c>
    </row>
    <row r="762">
      <c r="A762" s="36" t="n"/>
      <c r="B762" s="32" t="n"/>
      <c r="C762" s="37" t="n"/>
      <c r="D762" s="31" t="n"/>
      <c r="E762" s="32" t="n"/>
      <c r="F762" s="32" t="n"/>
      <c r="G762" s="32" t="n"/>
      <c r="H762" s="36" t="n"/>
      <c r="I762" s="31" t="n"/>
      <c r="J762" s="38" t="n"/>
      <c r="K762" s="32" t="n"/>
      <c r="L762" s="34">
        <f>IF(OR(A762="",D762=""),"",IF(D762&gt;Config!$B$5,0,DATEDIF(D762,Config!$B$5,"m")))</f>
        <v/>
      </c>
      <c r="M762" s="39">
        <f>IF(A762="","",IF(K762&lt;&gt;"",K762,IF(OR(C762="",D762=""),"Sem dados",IFERROR(IF(C762="M",INDEX(Config!$B$11:$B$14,MATCH(L762,Config!$A$11:$A$14,1)),IF(C762="F",INDEX(Config!$C$11:$C$14,MATCH(L762,Config!$A$11:$A$14,1)),"Sem dados")),"Verificar"))))</f>
        <v/>
      </c>
      <c r="N762" s="39">
        <f>IF(A762="","",IF(COUNTIFS('Movimentações'!$C$6:$C$1505,A762,'Movimentações'!$B$6:$B$1505,"Venda")&gt;0,"Vendido",IF(COUNTIFS('Movimentações'!$C$6:$C$1505,A762,'Movimentações'!$B$6:$B$1505,"Morte")&gt;0,"Morto","Ativo")))</f>
        <v/>
      </c>
      <c r="O762" s="40">
        <f>IF(A762="","",IF(COUNTIF('Pesagens'!$B$6:$B$2005,A762)=0,"",SUMPRODUCT(MAX(('Pesagens'!$B$6:$B$2005=A762)*'Pesagens'!$A$6:$A$2005))))</f>
        <v/>
      </c>
      <c r="P762" s="41">
        <f>IF(A762="","",IF(O762="",IF(J762="","",J762),IFERROR(AVERAGEIFS('Pesagens'!$C$6:$C$2005,'Pesagens'!$B$6:$B$2005,A762,'Pesagens'!$A$6:$A$2005,O762),"")))</f>
        <v/>
      </c>
      <c r="Q762" s="42">
        <f>IF(OR(A762="",O762="",I762="",J762=""),"",IFERROR((P762-J762)/(O762-I762),""))</f>
        <v/>
      </c>
    </row>
    <row r="763">
      <c r="A763" s="36" t="n"/>
      <c r="B763" s="32" t="n"/>
      <c r="C763" s="37" t="n"/>
      <c r="D763" s="31" t="n"/>
      <c r="E763" s="32" t="n"/>
      <c r="F763" s="32" t="n"/>
      <c r="G763" s="32" t="n"/>
      <c r="H763" s="36" t="n"/>
      <c r="I763" s="31" t="n"/>
      <c r="J763" s="38" t="n"/>
      <c r="K763" s="32" t="n"/>
      <c r="L763" s="34">
        <f>IF(OR(A763="",D763=""),"",IF(D763&gt;Config!$B$5,0,DATEDIF(D763,Config!$B$5,"m")))</f>
        <v/>
      </c>
      <c r="M763" s="39">
        <f>IF(A763="","",IF(K763&lt;&gt;"",K763,IF(OR(C763="",D763=""),"Sem dados",IFERROR(IF(C763="M",INDEX(Config!$B$11:$B$14,MATCH(L763,Config!$A$11:$A$14,1)),IF(C763="F",INDEX(Config!$C$11:$C$14,MATCH(L763,Config!$A$11:$A$14,1)),"Sem dados")),"Verificar"))))</f>
        <v/>
      </c>
      <c r="N763" s="39">
        <f>IF(A763="","",IF(COUNTIFS('Movimentações'!$C$6:$C$1505,A763,'Movimentações'!$B$6:$B$1505,"Venda")&gt;0,"Vendido",IF(COUNTIFS('Movimentações'!$C$6:$C$1505,A763,'Movimentações'!$B$6:$B$1505,"Morte")&gt;0,"Morto","Ativo")))</f>
        <v/>
      </c>
      <c r="O763" s="40">
        <f>IF(A763="","",IF(COUNTIF('Pesagens'!$B$6:$B$2005,A763)=0,"",SUMPRODUCT(MAX(('Pesagens'!$B$6:$B$2005=A763)*'Pesagens'!$A$6:$A$2005))))</f>
        <v/>
      </c>
      <c r="P763" s="41">
        <f>IF(A763="","",IF(O763="",IF(J763="","",J763),IFERROR(AVERAGEIFS('Pesagens'!$C$6:$C$2005,'Pesagens'!$B$6:$B$2005,A763,'Pesagens'!$A$6:$A$2005,O763),"")))</f>
        <v/>
      </c>
      <c r="Q763" s="42">
        <f>IF(OR(A763="",O763="",I763="",J763=""),"",IFERROR((P763-J763)/(O763-I763),""))</f>
        <v/>
      </c>
    </row>
    <row r="764">
      <c r="A764" s="36" t="n"/>
      <c r="B764" s="32" t="n"/>
      <c r="C764" s="37" t="n"/>
      <c r="D764" s="31" t="n"/>
      <c r="E764" s="32" t="n"/>
      <c r="F764" s="32" t="n"/>
      <c r="G764" s="32" t="n"/>
      <c r="H764" s="36" t="n"/>
      <c r="I764" s="31" t="n"/>
      <c r="J764" s="38" t="n"/>
      <c r="K764" s="32" t="n"/>
      <c r="L764" s="34">
        <f>IF(OR(A764="",D764=""),"",IF(D764&gt;Config!$B$5,0,DATEDIF(D764,Config!$B$5,"m")))</f>
        <v/>
      </c>
      <c r="M764" s="39">
        <f>IF(A764="","",IF(K764&lt;&gt;"",K764,IF(OR(C764="",D764=""),"Sem dados",IFERROR(IF(C764="M",INDEX(Config!$B$11:$B$14,MATCH(L764,Config!$A$11:$A$14,1)),IF(C764="F",INDEX(Config!$C$11:$C$14,MATCH(L764,Config!$A$11:$A$14,1)),"Sem dados")),"Verificar"))))</f>
        <v/>
      </c>
      <c r="N764" s="39">
        <f>IF(A764="","",IF(COUNTIFS('Movimentações'!$C$6:$C$1505,A764,'Movimentações'!$B$6:$B$1505,"Venda")&gt;0,"Vendido",IF(COUNTIFS('Movimentações'!$C$6:$C$1505,A764,'Movimentações'!$B$6:$B$1505,"Morte")&gt;0,"Morto","Ativo")))</f>
        <v/>
      </c>
      <c r="O764" s="40">
        <f>IF(A764="","",IF(COUNTIF('Pesagens'!$B$6:$B$2005,A764)=0,"",SUMPRODUCT(MAX(('Pesagens'!$B$6:$B$2005=A764)*'Pesagens'!$A$6:$A$2005))))</f>
        <v/>
      </c>
      <c r="P764" s="41">
        <f>IF(A764="","",IF(O764="",IF(J764="","",J764),IFERROR(AVERAGEIFS('Pesagens'!$C$6:$C$2005,'Pesagens'!$B$6:$B$2005,A764,'Pesagens'!$A$6:$A$2005,O764),"")))</f>
        <v/>
      </c>
      <c r="Q764" s="42">
        <f>IF(OR(A764="",O764="",I764="",J764=""),"",IFERROR((P764-J764)/(O764-I764),""))</f>
        <v/>
      </c>
    </row>
    <row r="765">
      <c r="A765" s="36" t="n"/>
      <c r="B765" s="32" t="n"/>
      <c r="C765" s="37" t="n"/>
      <c r="D765" s="31" t="n"/>
      <c r="E765" s="32" t="n"/>
      <c r="F765" s="32" t="n"/>
      <c r="G765" s="32" t="n"/>
      <c r="H765" s="36" t="n"/>
      <c r="I765" s="31" t="n"/>
      <c r="J765" s="38" t="n"/>
      <c r="K765" s="32" t="n"/>
      <c r="L765" s="34">
        <f>IF(OR(A765="",D765=""),"",IF(D765&gt;Config!$B$5,0,DATEDIF(D765,Config!$B$5,"m")))</f>
        <v/>
      </c>
      <c r="M765" s="39">
        <f>IF(A765="","",IF(K765&lt;&gt;"",K765,IF(OR(C765="",D765=""),"Sem dados",IFERROR(IF(C765="M",INDEX(Config!$B$11:$B$14,MATCH(L765,Config!$A$11:$A$14,1)),IF(C765="F",INDEX(Config!$C$11:$C$14,MATCH(L765,Config!$A$11:$A$14,1)),"Sem dados")),"Verificar"))))</f>
        <v/>
      </c>
      <c r="N765" s="39">
        <f>IF(A765="","",IF(COUNTIFS('Movimentações'!$C$6:$C$1505,A765,'Movimentações'!$B$6:$B$1505,"Venda")&gt;0,"Vendido",IF(COUNTIFS('Movimentações'!$C$6:$C$1505,A765,'Movimentações'!$B$6:$B$1505,"Morte")&gt;0,"Morto","Ativo")))</f>
        <v/>
      </c>
      <c r="O765" s="40">
        <f>IF(A765="","",IF(COUNTIF('Pesagens'!$B$6:$B$2005,A765)=0,"",SUMPRODUCT(MAX(('Pesagens'!$B$6:$B$2005=A765)*'Pesagens'!$A$6:$A$2005))))</f>
        <v/>
      </c>
      <c r="P765" s="41">
        <f>IF(A765="","",IF(O765="",IF(J765="","",J765),IFERROR(AVERAGEIFS('Pesagens'!$C$6:$C$2005,'Pesagens'!$B$6:$B$2005,A765,'Pesagens'!$A$6:$A$2005,O765),"")))</f>
        <v/>
      </c>
      <c r="Q765" s="42">
        <f>IF(OR(A765="",O765="",I765="",J765=""),"",IFERROR((P765-J765)/(O765-I765),""))</f>
        <v/>
      </c>
    </row>
    <row r="766">
      <c r="A766" s="36" t="n"/>
      <c r="B766" s="32" t="n"/>
      <c r="C766" s="37" t="n"/>
      <c r="D766" s="31" t="n"/>
      <c r="E766" s="32" t="n"/>
      <c r="F766" s="32" t="n"/>
      <c r="G766" s="32" t="n"/>
      <c r="H766" s="36" t="n"/>
      <c r="I766" s="31" t="n"/>
      <c r="J766" s="38" t="n"/>
      <c r="K766" s="32" t="n"/>
      <c r="L766" s="34">
        <f>IF(OR(A766="",D766=""),"",IF(D766&gt;Config!$B$5,0,DATEDIF(D766,Config!$B$5,"m")))</f>
        <v/>
      </c>
      <c r="M766" s="39">
        <f>IF(A766="","",IF(K766&lt;&gt;"",K766,IF(OR(C766="",D766=""),"Sem dados",IFERROR(IF(C766="M",INDEX(Config!$B$11:$B$14,MATCH(L766,Config!$A$11:$A$14,1)),IF(C766="F",INDEX(Config!$C$11:$C$14,MATCH(L766,Config!$A$11:$A$14,1)),"Sem dados")),"Verificar"))))</f>
        <v/>
      </c>
      <c r="N766" s="39">
        <f>IF(A766="","",IF(COUNTIFS('Movimentações'!$C$6:$C$1505,A766,'Movimentações'!$B$6:$B$1505,"Venda")&gt;0,"Vendido",IF(COUNTIFS('Movimentações'!$C$6:$C$1505,A766,'Movimentações'!$B$6:$B$1505,"Morte")&gt;0,"Morto","Ativo")))</f>
        <v/>
      </c>
      <c r="O766" s="40">
        <f>IF(A766="","",IF(COUNTIF('Pesagens'!$B$6:$B$2005,A766)=0,"",SUMPRODUCT(MAX(('Pesagens'!$B$6:$B$2005=A766)*'Pesagens'!$A$6:$A$2005))))</f>
        <v/>
      </c>
      <c r="P766" s="41">
        <f>IF(A766="","",IF(O766="",IF(J766="","",J766),IFERROR(AVERAGEIFS('Pesagens'!$C$6:$C$2005,'Pesagens'!$B$6:$B$2005,A766,'Pesagens'!$A$6:$A$2005,O766),"")))</f>
        <v/>
      </c>
      <c r="Q766" s="42">
        <f>IF(OR(A766="",O766="",I766="",J766=""),"",IFERROR((P766-J766)/(O766-I766),""))</f>
        <v/>
      </c>
    </row>
    <row r="767">
      <c r="A767" s="36" t="n"/>
      <c r="B767" s="32" t="n"/>
      <c r="C767" s="37" t="n"/>
      <c r="D767" s="31" t="n"/>
      <c r="E767" s="32" t="n"/>
      <c r="F767" s="32" t="n"/>
      <c r="G767" s="32" t="n"/>
      <c r="H767" s="36" t="n"/>
      <c r="I767" s="31" t="n"/>
      <c r="J767" s="38" t="n"/>
      <c r="K767" s="32" t="n"/>
      <c r="L767" s="34">
        <f>IF(OR(A767="",D767=""),"",IF(D767&gt;Config!$B$5,0,DATEDIF(D767,Config!$B$5,"m")))</f>
        <v/>
      </c>
      <c r="M767" s="39">
        <f>IF(A767="","",IF(K767&lt;&gt;"",K767,IF(OR(C767="",D767=""),"Sem dados",IFERROR(IF(C767="M",INDEX(Config!$B$11:$B$14,MATCH(L767,Config!$A$11:$A$14,1)),IF(C767="F",INDEX(Config!$C$11:$C$14,MATCH(L767,Config!$A$11:$A$14,1)),"Sem dados")),"Verificar"))))</f>
        <v/>
      </c>
      <c r="N767" s="39">
        <f>IF(A767="","",IF(COUNTIFS('Movimentações'!$C$6:$C$1505,A767,'Movimentações'!$B$6:$B$1505,"Venda")&gt;0,"Vendido",IF(COUNTIFS('Movimentações'!$C$6:$C$1505,A767,'Movimentações'!$B$6:$B$1505,"Morte")&gt;0,"Morto","Ativo")))</f>
        <v/>
      </c>
      <c r="O767" s="40">
        <f>IF(A767="","",IF(COUNTIF('Pesagens'!$B$6:$B$2005,A767)=0,"",SUMPRODUCT(MAX(('Pesagens'!$B$6:$B$2005=A767)*'Pesagens'!$A$6:$A$2005))))</f>
        <v/>
      </c>
      <c r="P767" s="41">
        <f>IF(A767="","",IF(O767="",IF(J767="","",J767),IFERROR(AVERAGEIFS('Pesagens'!$C$6:$C$2005,'Pesagens'!$B$6:$B$2005,A767,'Pesagens'!$A$6:$A$2005,O767),"")))</f>
        <v/>
      </c>
      <c r="Q767" s="42">
        <f>IF(OR(A767="",O767="",I767="",J767=""),"",IFERROR((P767-J767)/(O767-I767),""))</f>
        <v/>
      </c>
    </row>
    <row r="768">
      <c r="A768" s="36" t="n"/>
      <c r="B768" s="32" t="n"/>
      <c r="C768" s="37" t="n"/>
      <c r="D768" s="31" t="n"/>
      <c r="E768" s="32" t="n"/>
      <c r="F768" s="32" t="n"/>
      <c r="G768" s="32" t="n"/>
      <c r="H768" s="36" t="n"/>
      <c r="I768" s="31" t="n"/>
      <c r="J768" s="38" t="n"/>
      <c r="K768" s="32" t="n"/>
      <c r="L768" s="34">
        <f>IF(OR(A768="",D768=""),"",IF(D768&gt;Config!$B$5,0,DATEDIF(D768,Config!$B$5,"m")))</f>
        <v/>
      </c>
      <c r="M768" s="39">
        <f>IF(A768="","",IF(K768&lt;&gt;"",K768,IF(OR(C768="",D768=""),"Sem dados",IFERROR(IF(C768="M",INDEX(Config!$B$11:$B$14,MATCH(L768,Config!$A$11:$A$14,1)),IF(C768="F",INDEX(Config!$C$11:$C$14,MATCH(L768,Config!$A$11:$A$14,1)),"Sem dados")),"Verificar"))))</f>
        <v/>
      </c>
      <c r="N768" s="39">
        <f>IF(A768="","",IF(COUNTIFS('Movimentações'!$C$6:$C$1505,A768,'Movimentações'!$B$6:$B$1505,"Venda")&gt;0,"Vendido",IF(COUNTIFS('Movimentações'!$C$6:$C$1505,A768,'Movimentações'!$B$6:$B$1505,"Morte")&gt;0,"Morto","Ativo")))</f>
        <v/>
      </c>
      <c r="O768" s="40">
        <f>IF(A768="","",IF(COUNTIF('Pesagens'!$B$6:$B$2005,A768)=0,"",SUMPRODUCT(MAX(('Pesagens'!$B$6:$B$2005=A768)*'Pesagens'!$A$6:$A$2005))))</f>
        <v/>
      </c>
      <c r="P768" s="41">
        <f>IF(A768="","",IF(O768="",IF(J768="","",J768),IFERROR(AVERAGEIFS('Pesagens'!$C$6:$C$2005,'Pesagens'!$B$6:$B$2005,A768,'Pesagens'!$A$6:$A$2005,O768),"")))</f>
        <v/>
      </c>
      <c r="Q768" s="42">
        <f>IF(OR(A768="",O768="",I768="",J768=""),"",IFERROR((P768-J768)/(O768-I768),""))</f>
        <v/>
      </c>
    </row>
    <row r="769">
      <c r="A769" s="36" t="n"/>
      <c r="B769" s="32" t="n"/>
      <c r="C769" s="37" t="n"/>
      <c r="D769" s="31" t="n"/>
      <c r="E769" s="32" t="n"/>
      <c r="F769" s="32" t="n"/>
      <c r="G769" s="32" t="n"/>
      <c r="H769" s="36" t="n"/>
      <c r="I769" s="31" t="n"/>
      <c r="J769" s="38" t="n"/>
      <c r="K769" s="32" t="n"/>
      <c r="L769" s="34">
        <f>IF(OR(A769="",D769=""),"",IF(D769&gt;Config!$B$5,0,DATEDIF(D769,Config!$B$5,"m")))</f>
        <v/>
      </c>
      <c r="M769" s="39">
        <f>IF(A769="","",IF(K769&lt;&gt;"",K769,IF(OR(C769="",D769=""),"Sem dados",IFERROR(IF(C769="M",INDEX(Config!$B$11:$B$14,MATCH(L769,Config!$A$11:$A$14,1)),IF(C769="F",INDEX(Config!$C$11:$C$14,MATCH(L769,Config!$A$11:$A$14,1)),"Sem dados")),"Verificar"))))</f>
        <v/>
      </c>
      <c r="N769" s="39">
        <f>IF(A769="","",IF(COUNTIFS('Movimentações'!$C$6:$C$1505,A769,'Movimentações'!$B$6:$B$1505,"Venda")&gt;0,"Vendido",IF(COUNTIFS('Movimentações'!$C$6:$C$1505,A769,'Movimentações'!$B$6:$B$1505,"Morte")&gt;0,"Morto","Ativo")))</f>
        <v/>
      </c>
      <c r="O769" s="40">
        <f>IF(A769="","",IF(COUNTIF('Pesagens'!$B$6:$B$2005,A769)=0,"",SUMPRODUCT(MAX(('Pesagens'!$B$6:$B$2005=A769)*'Pesagens'!$A$6:$A$2005))))</f>
        <v/>
      </c>
      <c r="P769" s="41">
        <f>IF(A769="","",IF(O769="",IF(J769="","",J769),IFERROR(AVERAGEIFS('Pesagens'!$C$6:$C$2005,'Pesagens'!$B$6:$B$2005,A769,'Pesagens'!$A$6:$A$2005,O769),"")))</f>
        <v/>
      </c>
      <c r="Q769" s="42">
        <f>IF(OR(A769="",O769="",I769="",J769=""),"",IFERROR((P769-J769)/(O769-I769),""))</f>
        <v/>
      </c>
    </row>
    <row r="770">
      <c r="A770" s="36" t="n"/>
      <c r="B770" s="32" t="n"/>
      <c r="C770" s="37" t="n"/>
      <c r="D770" s="31" t="n"/>
      <c r="E770" s="32" t="n"/>
      <c r="F770" s="32" t="n"/>
      <c r="G770" s="32" t="n"/>
      <c r="H770" s="36" t="n"/>
      <c r="I770" s="31" t="n"/>
      <c r="J770" s="38" t="n"/>
      <c r="K770" s="32" t="n"/>
      <c r="L770" s="34">
        <f>IF(OR(A770="",D770=""),"",IF(D770&gt;Config!$B$5,0,DATEDIF(D770,Config!$B$5,"m")))</f>
        <v/>
      </c>
      <c r="M770" s="39">
        <f>IF(A770="","",IF(K770&lt;&gt;"",K770,IF(OR(C770="",D770=""),"Sem dados",IFERROR(IF(C770="M",INDEX(Config!$B$11:$B$14,MATCH(L770,Config!$A$11:$A$14,1)),IF(C770="F",INDEX(Config!$C$11:$C$14,MATCH(L770,Config!$A$11:$A$14,1)),"Sem dados")),"Verificar"))))</f>
        <v/>
      </c>
      <c r="N770" s="39">
        <f>IF(A770="","",IF(COUNTIFS('Movimentações'!$C$6:$C$1505,A770,'Movimentações'!$B$6:$B$1505,"Venda")&gt;0,"Vendido",IF(COUNTIFS('Movimentações'!$C$6:$C$1505,A770,'Movimentações'!$B$6:$B$1505,"Morte")&gt;0,"Morto","Ativo")))</f>
        <v/>
      </c>
      <c r="O770" s="40">
        <f>IF(A770="","",IF(COUNTIF('Pesagens'!$B$6:$B$2005,A770)=0,"",SUMPRODUCT(MAX(('Pesagens'!$B$6:$B$2005=A770)*'Pesagens'!$A$6:$A$2005))))</f>
        <v/>
      </c>
      <c r="P770" s="41">
        <f>IF(A770="","",IF(O770="",IF(J770="","",J770),IFERROR(AVERAGEIFS('Pesagens'!$C$6:$C$2005,'Pesagens'!$B$6:$B$2005,A770,'Pesagens'!$A$6:$A$2005,O770),"")))</f>
        <v/>
      </c>
      <c r="Q770" s="42">
        <f>IF(OR(A770="",O770="",I770="",J770=""),"",IFERROR((P770-J770)/(O770-I770),""))</f>
        <v/>
      </c>
    </row>
    <row r="771">
      <c r="A771" s="36" t="n"/>
      <c r="B771" s="32" t="n"/>
      <c r="C771" s="37" t="n"/>
      <c r="D771" s="31" t="n"/>
      <c r="E771" s="32" t="n"/>
      <c r="F771" s="32" t="n"/>
      <c r="G771" s="32" t="n"/>
      <c r="H771" s="36" t="n"/>
      <c r="I771" s="31" t="n"/>
      <c r="J771" s="38" t="n"/>
      <c r="K771" s="32" t="n"/>
      <c r="L771" s="34">
        <f>IF(OR(A771="",D771=""),"",IF(D771&gt;Config!$B$5,0,DATEDIF(D771,Config!$B$5,"m")))</f>
        <v/>
      </c>
      <c r="M771" s="39">
        <f>IF(A771="","",IF(K771&lt;&gt;"",K771,IF(OR(C771="",D771=""),"Sem dados",IFERROR(IF(C771="M",INDEX(Config!$B$11:$B$14,MATCH(L771,Config!$A$11:$A$14,1)),IF(C771="F",INDEX(Config!$C$11:$C$14,MATCH(L771,Config!$A$11:$A$14,1)),"Sem dados")),"Verificar"))))</f>
        <v/>
      </c>
      <c r="N771" s="39">
        <f>IF(A771="","",IF(COUNTIFS('Movimentações'!$C$6:$C$1505,A771,'Movimentações'!$B$6:$B$1505,"Venda")&gt;0,"Vendido",IF(COUNTIFS('Movimentações'!$C$6:$C$1505,A771,'Movimentações'!$B$6:$B$1505,"Morte")&gt;0,"Morto","Ativo")))</f>
        <v/>
      </c>
      <c r="O771" s="40">
        <f>IF(A771="","",IF(COUNTIF('Pesagens'!$B$6:$B$2005,A771)=0,"",SUMPRODUCT(MAX(('Pesagens'!$B$6:$B$2005=A771)*'Pesagens'!$A$6:$A$2005))))</f>
        <v/>
      </c>
      <c r="P771" s="41">
        <f>IF(A771="","",IF(O771="",IF(J771="","",J771),IFERROR(AVERAGEIFS('Pesagens'!$C$6:$C$2005,'Pesagens'!$B$6:$B$2005,A771,'Pesagens'!$A$6:$A$2005,O771),"")))</f>
        <v/>
      </c>
      <c r="Q771" s="42">
        <f>IF(OR(A771="",O771="",I771="",J771=""),"",IFERROR((P771-J771)/(O771-I771),""))</f>
        <v/>
      </c>
    </row>
    <row r="772">
      <c r="A772" s="36" t="n"/>
      <c r="B772" s="32" t="n"/>
      <c r="C772" s="37" t="n"/>
      <c r="D772" s="31" t="n"/>
      <c r="E772" s="32" t="n"/>
      <c r="F772" s="32" t="n"/>
      <c r="G772" s="32" t="n"/>
      <c r="H772" s="36" t="n"/>
      <c r="I772" s="31" t="n"/>
      <c r="J772" s="38" t="n"/>
      <c r="K772" s="32" t="n"/>
      <c r="L772" s="34">
        <f>IF(OR(A772="",D772=""),"",IF(D772&gt;Config!$B$5,0,DATEDIF(D772,Config!$B$5,"m")))</f>
        <v/>
      </c>
      <c r="M772" s="39">
        <f>IF(A772="","",IF(K772&lt;&gt;"",K772,IF(OR(C772="",D772=""),"Sem dados",IFERROR(IF(C772="M",INDEX(Config!$B$11:$B$14,MATCH(L772,Config!$A$11:$A$14,1)),IF(C772="F",INDEX(Config!$C$11:$C$14,MATCH(L772,Config!$A$11:$A$14,1)),"Sem dados")),"Verificar"))))</f>
        <v/>
      </c>
      <c r="N772" s="39">
        <f>IF(A772="","",IF(COUNTIFS('Movimentações'!$C$6:$C$1505,A772,'Movimentações'!$B$6:$B$1505,"Venda")&gt;0,"Vendido",IF(COUNTIFS('Movimentações'!$C$6:$C$1505,A772,'Movimentações'!$B$6:$B$1505,"Morte")&gt;0,"Morto","Ativo")))</f>
        <v/>
      </c>
      <c r="O772" s="40">
        <f>IF(A772="","",IF(COUNTIF('Pesagens'!$B$6:$B$2005,A772)=0,"",SUMPRODUCT(MAX(('Pesagens'!$B$6:$B$2005=A772)*'Pesagens'!$A$6:$A$2005))))</f>
        <v/>
      </c>
      <c r="P772" s="41">
        <f>IF(A772="","",IF(O772="",IF(J772="","",J772),IFERROR(AVERAGEIFS('Pesagens'!$C$6:$C$2005,'Pesagens'!$B$6:$B$2005,A772,'Pesagens'!$A$6:$A$2005,O772),"")))</f>
        <v/>
      </c>
      <c r="Q772" s="42">
        <f>IF(OR(A772="",O772="",I772="",J772=""),"",IFERROR((P772-J772)/(O772-I772),""))</f>
        <v/>
      </c>
    </row>
    <row r="773">
      <c r="A773" s="36" t="n"/>
      <c r="B773" s="32" t="n"/>
      <c r="C773" s="37" t="n"/>
      <c r="D773" s="31" t="n"/>
      <c r="E773" s="32" t="n"/>
      <c r="F773" s="32" t="n"/>
      <c r="G773" s="32" t="n"/>
      <c r="H773" s="36" t="n"/>
      <c r="I773" s="31" t="n"/>
      <c r="J773" s="38" t="n"/>
      <c r="K773" s="32" t="n"/>
      <c r="L773" s="34">
        <f>IF(OR(A773="",D773=""),"",IF(D773&gt;Config!$B$5,0,DATEDIF(D773,Config!$B$5,"m")))</f>
        <v/>
      </c>
      <c r="M773" s="39">
        <f>IF(A773="","",IF(K773&lt;&gt;"",K773,IF(OR(C773="",D773=""),"Sem dados",IFERROR(IF(C773="M",INDEX(Config!$B$11:$B$14,MATCH(L773,Config!$A$11:$A$14,1)),IF(C773="F",INDEX(Config!$C$11:$C$14,MATCH(L773,Config!$A$11:$A$14,1)),"Sem dados")),"Verificar"))))</f>
        <v/>
      </c>
      <c r="N773" s="39">
        <f>IF(A773="","",IF(COUNTIFS('Movimentações'!$C$6:$C$1505,A773,'Movimentações'!$B$6:$B$1505,"Venda")&gt;0,"Vendido",IF(COUNTIFS('Movimentações'!$C$6:$C$1505,A773,'Movimentações'!$B$6:$B$1505,"Morte")&gt;0,"Morto","Ativo")))</f>
        <v/>
      </c>
      <c r="O773" s="40">
        <f>IF(A773="","",IF(COUNTIF('Pesagens'!$B$6:$B$2005,A773)=0,"",SUMPRODUCT(MAX(('Pesagens'!$B$6:$B$2005=A773)*'Pesagens'!$A$6:$A$2005))))</f>
        <v/>
      </c>
      <c r="P773" s="41">
        <f>IF(A773="","",IF(O773="",IF(J773="","",J773),IFERROR(AVERAGEIFS('Pesagens'!$C$6:$C$2005,'Pesagens'!$B$6:$B$2005,A773,'Pesagens'!$A$6:$A$2005,O773),"")))</f>
        <v/>
      </c>
      <c r="Q773" s="42">
        <f>IF(OR(A773="",O773="",I773="",J773=""),"",IFERROR((P773-J773)/(O773-I773),""))</f>
        <v/>
      </c>
    </row>
    <row r="774">
      <c r="A774" s="36" t="n"/>
      <c r="B774" s="32" t="n"/>
      <c r="C774" s="37" t="n"/>
      <c r="D774" s="31" t="n"/>
      <c r="E774" s="32" t="n"/>
      <c r="F774" s="32" t="n"/>
      <c r="G774" s="32" t="n"/>
      <c r="H774" s="36" t="n"/>
      <c r="I774" s="31" t="n"/>
      <c r="J774" s="38" t="n"/>
      <c r="K774" s="32" t="n"/>
      <c r="L774" s="34">
        <f>IF(OR(A774="",D774=""),"",IF(D774&gt;Config!$B$5,0,DATEDIF(D774,Config!$B$5,"m")))</f>
        <v/>
      </c>
      <c r="M774" s="39">
        <f>IF(A774="","",IF(K774&lt;&gt;"",K774,IF(OR(C774="",D774=""),"Sem dados",IFERROR(IF(C774="M",INDEX(Config!$B$11:$B$14,MATCH(L774,Config!$A$11:$A$14,1)),IF(C774="F",INDEX(Config!$C$11:$C$14,MATCH(L774,Config!$A$11:$A$14,1)),"Sem dados")),"Verificar"))))</f>
        <v/>
      </c>
      <c r="N774" s="39">
        <f>IF(A774="","",IF(COUNTIFS('Movimentações'!$C$6:$C$1505,A774,'Movimentações'!$B$6:$B$1505,"Venda")&gt;0,"Vendido",IF(COUNTIFS('Movimentações'!$C$6:$C$1505,A774,'Movimentações'!$B$6:$B$1505,"Morte")&gt;0,"Morto","Ativo")))</f>
        <v/>
      </c>
      <c r="O774" s="40">
        <f>IF(A774="","",IF(COUNTIF('Pesagens'!$B$6:$B$2005,A774)=0,"",SUMPRODUCT(MAX(('Pesagens'!$B$6:$B$2005=A774)*'Pesagens'!$A$6:$A$2005))))</f>
        <v/>
      </c>
      <c r="P774" s="41">
        <f>IF(A774="","",IF(O774="",IF(J774="","",J774),IFERROR(AVERAGEIFS('Pesagens'!$C$6:$C$2005,'Pesagens'!$B$6:$B$2005,A774,'Pesagens'!$A$6:$A$2005,O774),"")))</f>
        <v/>
      </c>
      <c r="Q774" s="42">
        <f>IF(OR(A774="",O774="",I774="",J774=""),"",IFERROR((P774-J774)/(O774-I774),""))</f>
        <v/>
      </c>
    </row>
    <row r="775">
      <c r="A775" s="36" t="n"/>
      <c r="B775" s="32" t="n"/>
      <c r="C775" s="37" t="n"/>
      <c r="D775" s="31" t="n"/>
      <c r="E775" s="32" t="n"/>
      <c r="F775" s="32" t="n"/>
      <c r="G775" s="32" t="n"/>
      <c r="H775" s="36" t="n"/>
      <c r="I775" s="31" t="n"/>
      <c r="J775" s="38" t="n"/>
      <c r="K775" s="32" t="n"/>
      <c r="L775" s="34">
        <f>IF(OR(A775="",D775=""),"",IF(D775&gt;Config!$B$5,0,DATEDIF(D775,Config!$B$5,"m")))</f>
        <v/>
      </c>
      <c r="M775" s="39">
        <f>IF(A775="","",IF(K775&lt;&gt;"",K775,IF(OR(C775="",D775=""),"Sem dados",IFERROR(IF(C775="M",INDEX(Config!$B$11:$B$14,MATCH(L775,Config!$A$11:$A$14,1)),IF(C775="F",INDEX(Config!$C$11:$C$14,MATCH(L775,Config!$A$11:$A$14,1)),"Sem dados")),"Verificar"))))</f>
        <v/>
      </c>
      <c r="N775" s="39">
        <f>IF(A775="","",IF(COUNTIFS('Movimentações'!$C$6:$C$1505,A775,'Movimentações'!$B$6:$B$1505,"Venda")&gt;0,"Vendido",IF(COUNTIFS('Movimentações'!$C$6:$C$1505,A775,'Movimentações'!$B$6:$B$1505,"Morte")&gt;0,"Morto","Ativo")))</f>
        <v/>
      </c>
      <c r="O775" s="40">
        <f>IF(A775="","",IF(COUNTIF('Pesagens'!$B$6:$B$2005,A775)=0,"",SUMPRODUCT(MAX(('Pesagens'!$B$6:$B$2005=A775)*'Pesagens'!$A$6:$A$2005))))</f>
        <v/>
      </c>
      <c r="P775" s="41">
        <f>IF(A775="","",IF(O775="",IF(J775="","",J775),IFERROR(AVERAGEIFS('Pesagens'!$C$6:$C$2005,'Pesagens'!$B$6:$B$2005,A775,'Pesagens'!$A$6:$A$2005,O775),"")))</f>
        <v/>
      </c>
      <c r="Q775" s="42">
        <f>IF(OR(A775="",O775="",I775="",J775=""),"",IFERROR((P775-J775)/(O775-I775),""))</f>
        <v/>
      </c>
    </row>
    <row r="776">
      <c r="A776" s="36" t="n"/>
      <c r="B776" s="32" t="n"/>
      <c r="C776" s="37" t="n"/>
      <c r="D776" s="31" t="n"/>
      <c r="E776" s="32" t="n"/>
      <c r="F776" s="32" t="n"/>
      <c r="G776" s="32" t="n"/>
      <c r="H776" s="36" t="n"/>
      <c r="I776" s="31" t="n"/>
      <c r="J776" s="38" t="n"/>
      <c r="K776" s="32" t="n"/>
      <c r="L776" s="34">
        <f>IF(OR(A776="",D776=""),"",IF(D776&gt;Config!$B$5,0,DATEDIF(D776,Config!$B$5,"m")))</f>
        <v/>
      </c>
      <c r="M776" s="39">
        <f>IF(A776="","",IF(K776&lt;&gt;"",K776,IF(OR(C776="",D776=""),"Sem dados",IFERROR(IF(C776="M",INDEX(Config!$B$11:$B$14,MATCH(L776,Config!$A$11:$A$14,1)),IF(C776="F",INDEX(Config!$C$11:$C$14,MATCH(L776,Config!$A$11:$A$14,1)),"Sem dados")),"Verificar"))))</f>
        <v/>
      </c>
      <c r="N776" s="39">
        <f>IF(A776="","",IF(COUNTIFS('Movimentações'!$C$6:$C$1505,A776,'Movimentações'!$B$6:$B$1505,"Venda")&gt;0,"Vendido",IF(COUNTIFS('Movimentações'!$C$6:$C$1505,A776,'Movimentações'!$B$6:$B$1505,"Morte")&gt;0,"Morto","Ativo")))</f>
        <v/>
      </c>
      <c r="O776" s="40">
        <f>IF(A776="","",IF(COUNTIF('Pesagens'!$B$6:$B$2005,A776)=0,"",SUMPRODUCT(MAX(('Pesagens'!$B$6:$B$2005=A776)*'Pesagens'!$A$6:$A$2005))))</f>
        <v/>
      </c>
      <c r="P776" s="41">
        <f>IF(A776="","",IF(O776="",IF(J776="","",J776),IFERROR(AVERAGEIFS('Pesagens'!$C$6:$C$2005,'Pesagens'!$B$6:$B$2005,A776,'Pesagens'!$A$6:$A$2005,O776),"")))</f>
        <v/>
      </c>
      <c r="Q776" s="42">
        <f>IF(OR(A776="",O776="",I776="",J776=""),"",IFERROR((P776-J776)/(O776-I776),""))</f>
        <v/>
      </c>
    </row>
    <row r="777">
      <c r="A777" s="36" t="n"/>
      <c r="B777" s="32" t="n"/>
      <c r="C777" s="37" t="n"/>
      <c r="D777" s="31" t="n"/>
      <c r="E777" s="32" t="n"/>
      <c r="F777" s="32" t="n"/>
      <c r="G777" s="32" t="n"/>
      <c r="H777" s="36" t="n"/>
      <c r="I777" s="31" t="n"/>
      <c r="J777" s="38" t="n"/>
      <c r="K777" s="32" t="n"/>
      <c r="L777" s="34">
        <f>IF(OR(A777="",D777=""),"",IF(D777&gt;Config!$B$5,0,DATEDIF(D777,Config!$B$5,"m")))</f>
        <v/>
      </c>
      <c r="M777" s="39">
        <f>IF(A777="","",IF(K777&lt;&gt;"",K777,IF(OR(C777="",D777=""),"Sem dados",IFERROR(IF(C777="M",INDEX(Config!$B$11:$B$14,MATCH(L777,Config!$A$11:$A$14,1)),IF(C777="F",INDEX(Config!$C$11:$C$14,MATCH(L777,Config!$A$11:$A$14,1)),"Sem dados")),"Verificar"))))</f>
        <v/>
      </c>
      <c r="N777" s="39">
        <f>IF(A777="","",IF(COUNTIFS('Movimentações'!$C$6:$C$1505,A777,'Movimentações'!$B$6:$B$1505,"Venda")&gt;0,"Vendido",IF(COUNTIFS('Movimentações'!$C$6:$C$1505,A777,'Movimentações'!$B$6:$B$1505,"Morte")&gt;0,"Morto","Ativo")))</f>
        <v/>
      </c>
      <c r="O777" s="40">
        <f>IF(A777="","",IF(COUNTIF('Pesagens'!$B$6:$B$2005,A777)=0,"",SUMPRODUCT(MAX(('Pesagens'!$B$6:$B$2005=A777)*'Pesagens'!$A$6:$A$2005))))</f>
        <v/>
      </c>
      <c r="P777" s="41">
        <f>IF(A777="","",IF(O777="",IF(J777="","",J777),IFERROR(AVERAGEIFS('Pesagens'!$C$6:$C$2005,'Pesagens'!$B$6:$B$2005,A777,'Pesagens'!$A$6:$A$2005,O777),"")))</f>
        <v/>
      </c>
      <c r="Q777" s="42">
        <f>IF(OR(A777="",O777="",I777="",J777=""),"",IFERROR((P777-J777)/(O777-I777),""))</f>
        <v/>
      </c>
    </row>
    <row r="778">
      <c r="A778" s="36" t="n"/>
      <c r="B778" s="32" t="n"/>
      <c r="C778" s="37" t="n"/>
      <c r="D778" s="31" t="n"/>
      <c r="E778" s="32" t="n"/>
      <c r="F778" s="32" t="n"/>
      <c r="G778" s="32" t="n"/>
      <c r="H778" s="36" t="n"/>
      <c r="I778" s="31" t="n"/>
      <c r="J778" s="38" t="n"/>
      <c r="K778" s="32" t="n"/>
      <c r="L778" s="34">
        <f>IF(OR(A778="",D778=""),"",IF(D778&gt;Config!$B$5,0,DATEDIF(D778,Config!$B$5,"m")))</f>
        <v/>
      </c>
      <c r="M778" s="39">
        <f>IF(A778="","",IF(K778&lt;&gt;"",K778,IF(OR(C778="",D778=""),"Sem dados",IFERROR(IF(C778="M",INDEX(Config!$B$11:$B$14,MATCH(L778,Config!$A$11:$A$14,1)),IF(C778="F",INDEX(Config!$C$11:$C$14,MATCH(L778,Config!$A$11:$A$14,1)),"Sem dados")),"Verificar"))))</f>
        <v/>
      </c>
      <c r="N778" s="39">
        <f>IF(A778="","",IF(COUNTIFS('Movimentações'!$C$6:$C$1505,A778,'Movimentações'!$B$6:$B$1505,"Venda")&gt;0,"Vendido",IF(COUNTIFS('Movimentações'!$C$6:$C$1505,A778,'Movimentações'!$B$6:$B$1505,"Morte")&gt;0,"Morto","Ativo")))</f>
        <v/>
      </c>
      <c r="O778" s="40">
        <f>IF(A778="","",IF(COUNTIF('Pesagens'!$B$6:$B$2005,A778)=0,"",SUMPRODUCT(MAX(('Pesagens'!$B$6:$B$2005=A778)*'Pesagens'!$A$6:$A$2005))))</f>
        <v/>
      </c>
      <c r="P778" s="41">
        <f>IF(A778="","",IF(O778="",IF(J778="","",J778),IFERROR(AVERAGEIFS('Pesagens'!$C$6:$C$2005,'Pesagens'!$B$6:$B$2005,A778,'Pesagens'!$A$6:$A$2005,O778),"")))</f>
        <v/>
      </c>
      <c r="Q778" s="42">
        <f>IF(OR(A778="",O778="",I778="",J778=""),"",IFERROR((P778-J778)/(O778-I778),""))</f>
        <v/>
      </c>
    </row>
    <row r="779">
      <c r="A779" s="36" t="n"/>
      <c r="B779" s="32" t="n"/>
      <c r="C779" s="37" t="n"/>
      <c r="D779" s="31" t="n"/>
      <c r="E779" s="32" t="n"/>
      <c r="F779" s="32" t="n"/>
      <c r="G779" s="32" t="n"/>
      <c r="H779" s="36" t="n"/>
      <c r="I779" s="31" t="n"/>
      <c r="J779" s="38" t="n"/>
      <c r="K779" s="32" t="n"/>
      <c r="L779" s="34">
        <f>IF(OR(A779="",D779=""),"",IF(D779&gt;Config!$B$5,0,DATEDIF(D779,Config!$B$5,"m")))</f>
        <v/>
      </c>
      <c r="M779" s="39">
        <f>IF(A779="","",IF(K779&lt;&gt;"",K779,IF(OR(C779="",D779=""),"Sem dados",IFERROR(IF(C779="M",INDEX(Config!$B$11:$B$14,MATCH(L779,Config!$A$11:$A$14,1)),IF(C779="F",INDEX(Config!$C$11:$C$14,MATCH(L779,Config!$A$11:$A$14,1)),"Sem dados")),"Verificar"))))</f>
        <v/>
      </c>
      <c r="N779" s="39">
        <f>IF(A779="","",IF(COUNTIFS('Movimentações'!$C$6:$C$1505,A779,'Movimentações'!$B$6:$B$1505,"Venda")&gt;0,"Vendido",IF(COUNTIFS('Movimentações'!$C$6:$C$1505,A779,'Movimentações'!$B$6:$B$1505,"Morte")&gt;0,"Morto","Ativo")))</f>
        <v/>
      </c>
      <c r="O779" s="40">
        <f>IF(A779="","",IF(COUNTIF('Pesagens'!$B$6:$B$2005,A779)=0,"",SUMPRODUCT(MAX(('Pesagens'!$B$6:$B$2005=A779)*'Pesagens'!$A$6:$A$2005))))</f>
        <v/>
      </c>
      <c r="P779" s="41">
        <f>IF(A779="","",IF(O779="",IF(J779="","",J779),IFERROR(AVERAGEIFS('Pesagens'!$C$6:$C$2005,'Pesagens'!$B$6:$B$2005,A779,'Pesagens'!$A$6:$A$2005,O779),"")))</f>
        <v/>
      </c>
      <c r="Q779" s="42">
        <f>IF(OR(A779="",O779="",I779="",J779=""),"",IFERROR((P779-J779)/(O779-I779),""))</f>
        <v/>
      </c>
    </row>
    <row r="780">
      <c r="A780" s="36" t="n"/>
      <c r="B780" s="32" t="n"/>
      <c r="C780" s="37" t="n"/>
      <c r="D780" s="31" t="n"/>
      <c r="E780" s="32" t="n"/>
      <c r="F780" s="32" t="n"/>
      <c r="G780" s="32" t="n"/>
      <c r="H780" s="36" t="n"/>
      <c r="I780" s="31" t="n"/>
      <c r="J780" s="38" t="n"/>
      <c r="K780" s="32" t="n"/>
      <c r="L780" s="34">
        <f>IF(OR(A780="",D780=""),"",IF(D780&gt;Config!$B$5,0,DATEDIF(D780,Config!$B$5,"m")))</f>
        <v/>
      </c>
      <c r="M780" s="39">
        <f>IF(A780="","",IF(K780&lt;&gt;"",K780,IF(OR(C780="",D780=""),"Sem dados",IFERROR(IF(C780="M",INDEX(Config!$B$11:$B$14,MATCH(L780,Config!$A$11:$A$14,1)),IF(C780="F",INDEX(Config!$C$11:$C$14,MATCH(L780,Config!$A$11:$A$14,1)),"Sem dados")),"Verificar"))))</f>
        <v/>
      </c>
      <c r="N780" s="39">
        <f>IF(A780="","",IF(COUNTIFS('Movimentações'!$C$6:$C$1505,A780,'Movimentações'!$B$6:$B$1505,"Venda")&gt;0,"Vendido",IF(COUNTIFS('Movimentações'!$C$6:$C$1505,A780,'Movimentações'!$B$6:$B$1505,"Morte")&gt;0,"Morto","Ativo")))</f>
        <v/>
      </c>
      <c r="O780" s="40">
        <f>IF(A780="","",IF(COUNTIF('Pesagens'!$B$6:$B$2005,A780)=0,"",SUMPRODUCT(MAX(('Pesagens'!$B$6:$B$2005=A780)*'Pesagens'!$A$6:$A$2005))))</f>
        <v/>
      </c>
      <c r="P780" s="41">
        <f>IF(A780="","",IF(O780="",IF(J780="","",J780),IFERROR(AVERAGEIFS('Pesagens'!$C$6:$C$2005,'Pesagens'!$B$6:$B$2005,A780,'Pesagens'!$A$6:$A$2005,O780),"")))</f>
        <v/>
      </c>
      <c r="Q780" s="42">
        <f>IF(OR(A780="",O780="",I780="",J780=""),"",IFERROR((P780-J780)/(O780-I780),""))</f>
        <v/>
      </c>
    </row>
    <row r="781">
      <c r="A781" s="36" t="n"/>
      <c r="B781" s="32" t="n"/>
      <c r="C781" s="37" t="n"/>
      <c r="D781" s="31" t="n"/>
      <c r="E781" s="32" t="n"/>
      <c r="F781" s="32" t="n"/>
      <c r="G781" s="32" t="n"/>
      <c r="H781" s="36" t="n"/>
      <c r="I781" s="31" t="n"/>
      <c r="J781" s="38" t="n"/>
      <c r="K781" s="32" t="n"/>
      <c r="L781" s="34">
        <f>IF(OR(A781="",D781=""),"",IF(D781&gt;Config!$B$5,0,DATEDIF(D781,Config!$B$5,"m")))</f>
        <v/>
      </c>
      <c r="M781" s="39">
        <f>IF(A781="","",IF(K781&lt;&gt;"",K781,IF(OR(C781="",D781=""),"Sem dados",IFERROR(IF(C781="M",INDEX(Config!$B$11:$B$14,MATCH(L781,Config!$A$11:$A$14,1)),IF(C781="F",INDEX(Config!$C$11:$C$14,MATCH(L781,Config!$A$11:$A$14,1)),"Sem dados")),"Verificar"))))</f>
        <v/>
      </c>
      <c r="N781" s="39">
        <f>IF(A781="","",IF(COUNTIFS('Movimentações'!$C$6:$C$1505,A781,'Movimentações'!$B$6:$B$1505,"Venda")&gt;0,"Vendido",IF(COUNTIFS('Movimentações'!$C$6:$C$1505,A781,'Movimentações'!$B$6:$B$1505,"Morte")&gt;0,"Morto","Ativo")))</f>
        <v/>
      </c>
      <c r="O781" s="40">
        <f>IF(A781="","",IF(COUNTIF('Pesagens'!$B$6:$B$2005,A781)=0,"",SUMPRODUCT(MAX(('Pesagens'!$B$6:$B$2005=A781)*'Pesagens'!$A$6:$A$2005))))</f>
        <v/>
      </c>
      <c r="P781" s="41">
        <f>IF(A781="","",IF(O781="",IF(J781="","",J781),IFERROR(AVERAGEIFS('Pesagens'!$C$6:$C$2005,'Pesagens'!$B$6:$B$2005,A781,'Pesagens'!$A$6:$A$2005,O781),"")))</f>
        <v/>
      </c>
      <c r="Q781" s="42">
        <f>IF(OR(A781="",O781="",I781="",J781=""),"",IFERROR((P781-J781)/(O781-I781),""))</f>
        <v/>
      </c>
    </row>
    <row r="782">
      <c r="A782" s="36" t="n"/>
      <c r="B782" s="32" t="n"/>
      <c r="C782" s="37" t="n"/>
      <c r="D782" s="31" t="n"/>
      <c r="E782" s="32" t="n"/>
      <c r="F782" s="32" t="n"/>
      <c r="G782" s="32" t="n"/>
      <c r="H782" s="36" t="n"/>
      <c r="I782" s="31" t="n"/>
      <c r="J782" s="38" t="n"/>
      <c r="K782" s="32" t="n"/>
      <c r="L782" s="34">
        <f>IF(OR(A782="",D782=""),"",IF(D782&gt;Config!$B$5,0,DATEDIF(D782,Config!$B$5,"m")))</f>
        <v/>
      </c>
      <c r="M782" s="39">
        <f>IF(A782="","",IF(K782&lt;&gt;"",K782,IF(OR(C782="",D782=""),"Sem dados",IFERROR(IF(C782="M",INDEX(Config!$B$11:$B$14,MATCH(L782,Config!$A$11:$A$14,1)),IF(C782="F",INDEX(Config!$C$11:$C$14,MATCH(L782,Config!$A$11:$A$14,1)),"Sem dados")),"Verificar"))))</f>
        <v/>
      </c>
      <c r="N782" s="39">
        <f>IF(A782="","",IF(COUNTIFS('Movimentações'!$C$6:$C$1505,A782,'Movimentações'!$B$6:$B$1505,"Venda")&gt;0,"Vendido",IF(COUNTIFS('Movimentações'!$C$6:$C$1505,A782,'Movimentações'!$B$6:$B$1505,"Morte")&gt;0,"Morto","Ativo")))</f>
        <v/>
      </c>
      <c r="O782" s="40">
        <f>IF(A782="","",IF(COUNTIF('Pesagens'!$B$6:$B$2005,A782)=0,"",SUMPRODUCT(MAX(('Pesagens'!$B$6:$B$2005=A782)*'Pesagens'!$A$6:$A$2005))))</f>
        <v/>
      </c>
      <c r="P782" s="41">
        <f>IF(A782="","",IF(O782="",IF(J782="","",J782),IFERROR(AVERAGEIFS('Pesagens'!$C$6:$C$2005,'Pesagens'!$B$6:$B$2005,A782,'Pesagens'!$A$6:$A$2005,O782),"")))</f>
        <v/>
      </c>
      <c r="Q782" s="42">
        <f>IF(OR(A782="",O782="",I782="",J782=""),"",IFERROR((P782-J782)/(O782-I782),""))</f>
        <v/>
      </c>
    </row>
    <row r="783">
      <c r="A783" s="36" t="n"/>
      <c r="B783" s="32" t="n"/>
      <c r="C783" s="37" t="n"/>
      <c r="D783" s="31" t="n"/>
      <c r="E783" s="32" t="n"/>
      <c r="F783" s="32" t="n"/>
      <c r="G783" s="32" t="n"/>
      <c r="H783" s="36" t="n"/>
      <c r="I783" s="31" t="n"/>
      <c r="J783" s="38" t="n"/>
      <c r="K783" s="32" t="n"/>
      <c r="L783" s="34">
        <f>IF(OR(A783="",D783=""),"",IF(D783&gt;Config!$B$5,0,DATEDIF(D783,Config!$B$5,"m")))</f>
        <v/>
      </c>
      <c r="M783" s="39">
        <f>IF(A783="","",IF(K783&lt;&gt;"",K783,IF(OR(C783="",D783=""),"Sem dados",IFERROR(IF(C783="M",INDEX(Config!$B$11:$B$14,MATCH(L783,Config!$A$11:$A$14,1)),IF(C783="F",INDEX(Config!$C$11:$C$14,MATCH(L783,Config!$A$11:$A$14,1)),"Sem dados")),"Verificar"))))</f>
        <v/>
      </c>
      <c r="N783" s="39">
        <f>IF(A783="","",IF(COUNTIFS('Movimentações'!$C$6:$C$1505,A783,'Movimentações'!$B$6:$B$1505,"Venda")&gt;0,"Vendido",IF(COUNTIFS('Movimentações'!$C$6:$C$1505,A783,'Movimentações'!$B$6:$B$1505,"Morte")&gt;0,"Morto","Ativo")))</f>
        <v/>
      </c>
      <c r="O783" s="40">
        <f>IF(A783="","",IF(COUNTIF('Pesagens'!$B$6:$B$2005,A783)=0,"",SUMPRODUCT(MAX(('Pesagens'!$B$6:$B$2005=A783)*'Pesagens'!$A$6:$A$2005))))</f>
        <v/>
      </c>
      <c r="P783" s="41">
        <f>IF(A783="","",IF(O783="",IF(J783="","",J783),IFERROR(AVERAGEIFS('Pesagens'!$C$6:$C$2005,'Pesagens'!$B$6:$B$2005,A783,'Pesagens'!$A$6:$A$2005,O783),"")))</f>
        <v/>
      </c>
      <c r="Q783" s="42">
        <f>IF(OR(A783="",O783="",I783="",J783=""),"",IFERROR((P783-J783)/(O783-I783),""))</f>
        <v/>
      </c>
    </row>
    <row r="784">
      <c r="A784" s="36" t="n"/>
      <c r="B784" s="32" t="n"/>
      <c r="C784" s="37" t="n"/>
      <c r="D784" s="31" t="n"/>
      <c r="E784" s="32" t="n"/>
      <c r="F784" s="32" t="n"/>
      <c r="G784" s="32" t="n"/>
      <c r="H784" s="36" t="n"/>
      <c r="I784" s="31" t="n"/>
      <c r="J784" s="38" t="n"/>
      <c r="K784" s="32" t="n"/>
      <c r="L784" s="34">
        <f>IF(OR(A784="",D784=""),"",IF(D784&gt;Config!$B$5,0,DATEDIF(D784,Config!$B$5,"m")))</f>
        <v/>
      </c>
      <c r="M784" s="39">
        <f>IF(A784="","",IF(K784&lt;&gt;"",K784,IF(OR(C784="",D784=""),"Sem dados",IFERROR(IF(C784="M",INDEX(Config!$B$11:$B$14,MATCH(L784,Config!$A$11:$A$14,1)),IF(C784="F",INDEX(Config!$C$11:$C$14,MATCH(L784,Config!$A$11:$A$14,1)),"Sem dados")),"Verificar"))))</f>
        <v/>
      </c>
      <c r="N784" s="39">
        <f>IF(A784="","",IF(COUNTIFS('Movimentações'!$C$6:$C$1505,A784,'Movimentações'!$B$6:$B$1505,"Venda")&gt;0,"Vendido",IF(COUNTIFS('Movimentações'!$C$6:$C$1505,A784,'Movimentações'!$B$6:$B$1505,"Morte")&gt;0,"Morto","Ativo")))</f>
        <v/>
      </c>
      <c r="O784" s="40">
        <f>IF(A784="","",IF(COUNTIF('Pesagens'!$B$6:$B$2005,A784)=0,"",SUMPRODUCT(MAX(('Pesagens'!$B$6:$B$2005=A784)*'Pesagens'!$A$6:$A$2005))))</f>
        <v/>
      </c>
      <c r="P784" s="41">
        <f>IF(A784="","",IF(O784="",IF(J784="","",J784),IFERROR(AVERAGEIFS('Pesagens'!$C$6:$C$2005,'Pesagens'!$B$6:$B$2005,A784,'Pesagens'!$A$6:$A$2005,O784),"")))</f>
        <v/>
      </c>
      <c r="Q784" s="42">
        <f>IF(OR(A784="",O784="",I784="",J784=""),"",IFERROR((P784-J784)/(O784-I784),""))</f>
        <v/>
      </c>
    </row>
    <row r="785">
      <c r="A785" s="36" t="n"/>
      <c r="B785" s="32" t="n"/>
      <c r="C785" s="37" t="n"/>
      <c r="D785" s="31" t="n"/>
      <c r="E785" s="32" t="n"/>
      <c r="F785" s="32" t="n"/>
      <c r="G785" s="32" t="n"/>
      <c r="H785" s="36" t="n"/>
      <c r="I785" s="31" t="n"/>
      <c r="J785" s="38" t="n"/>
      <c r="K785" s="32" t="n"/>
      <c r="L785" s="34">
        <f>IF(OR(A785="",D785=""),"",IF(D785&gt;Config!$B$5,0,DATEDIF(D785,Config!$B$5,"m")))</f>
        <v/>
      </c>
      <c r="M785" s="39">
        <f>IF(A785="","",IF(K785&lt;&gt;"",K785,IF(OR(C785="",D785=""),"Sem dados",IFERROR(IF(C785="M",INDEX(Config!$B$11:$B$14,MATCH(L785,Config!$A$11:$A$14,1)),IF(C785="F",INDEX(Config!$C$11:$C$14,MATCH(L785,Config!$A$11:$A$14,1)),"Sem dados")),"Verificar"))))</f>
        <v/>
      </c>
      <c r="N785" s="39">
        <f>IF(A785="","",IF(COUNTIFS('Movimentações'!$C$6:$C$1505,A785,'Movimentações'!$B$6:$B$1505,"Venda")&gt;0,"Vendido",IF(COUNTIFS('Movimentações'!$C$6:$C$1505,A785,'Movimentações'!$B$6:$B$1505,"Morte")&gt;0,"Morto","Ativo")))</f>
        <v/>
      </c>
      <c r="O785" s="40">
        <f>IF(A785="","",IF(COUNTIF('Pesagens'!$B$6:$B$2005,A785)=0,"",SUMPRODUCT(MAX(('Pesagens'!$B$6:$B$2005=A785)*'Pesagens'!$A$6:$A$2005))))</f>
        <v/>
      </c>
      <c r="P785" s="41">
        <f>IF(A785="","",IF(O785="",IF(J785="","",J785),IFERROR(AVERAGEIFS('Pesagens'!$C$6:$C$2005,'Pesagens'!$B$6:$B$2005,A785,'Pesagens'!$A$6:$A$2005,O785),"")))</f>
        <v/>
      </c>
      <c r="Q785" s="42">
        <f>IF(OR(A785="",O785="",I785="",J785=""),"",IFERROR((P785-J785)/(O785-I785),""))</f>
        <v/>
      </c>
    </row>
    <row r="786">
      <c r="A786" s="36" t="n"/>
      <c r="B786" s="32" t="n"/>
      <c r="C786" s="37" t="n"/>
      <c r="D786" s="31" t="n"/>
      <c r="E786" s="32" t="n"/>
      <c r="F786" s="32" t="n"/>
      <c r="G786" s="32" t="n"/>
      <c r="H786" s="36" t="n"/>
      <c r="I786" s="31" t="n"/>
      <c r="J786" s="38" t="n"/>
      <c r="K786" s="32" t="n"/>
      <c r="L786" s="34">
        <f>IF(OR(A786="",D786=""),"",IF(D786&gt;Config!$B$5,0,DATEDIF(D786,Config!$B$5,"m")))</f>
        <v/>
      </c>
      <c r="M786" s="39">
        <f>IF(A786="","",IF(K786&lt;&gt;"",K786,IF(OR(C786="",D786=""),"Sem dados",IFERROR(IF(C786="M",INDEX(Config!$B$11:$B$14,MATCH(L786,Config!$A$11:$A$14,1)),IF(C786="F",INDEX(Config!$C$11:$C$14,MATCH(L786,Config!$A$11:$A$14,1)),"Sem dados")),"Verificar"))))</f>
        <v/>
      </c>
      <c r="N786" s="39">
        <f>IF(A786="","",IF(COUNTIFS('Movimentações'!$C$6:$C$1505,A786,'Movimentações'!$B$6:$B$1505,"Venda")&gt;0,"Vendido",IF(COUNTIFS('Movimentações'!$C$6:$C$1505,A786,'Movimentações'!$B$6:$B$1505,"Morte")&gt;0,"Morto","Ativo")))</f>
        <v/>
      </c>
      <c r="O786" s="40">
        <f>IF(A786="","",IF(COUNTIF('Pesagens'!$B$6:$B$2005,A786)=0,"",SUMPRODUCT(MAX(('Pesagens'!$B$6:$B$2005=A786)*'Pesagens'!$A$6:$A$2005))))</f>
        <v/>
      </c>
      <c r="P786" s="41">
        <f>IF(A786="","",IF(O786="",IF(J786="","",J786),IFERROR(AVERAGEIFS('Pesagens'!$C$6:$C$2005,'Pesagens'!$B$6:$B$2005,A786,'Pesagens'!$A$6:$A$2005,O786),"")))</f>
        <v/>
      </c>
      <c r="Q786" s="42">
        <f>IF(OR(A786="",O786="",I786="",J786=""),"",IFERROR((P786-J786)/(O786-I786),""))</f>
        <v/>
      </c>
    </row>
    <row r="787">
      <c r="A787" s="36" t="n"/>
      <c r="B787" s="32" t="n"/>
      <c r="C787" s="37" t="n"/>
      <c r="D787" s="31" t="n"/>
      <c r="E787" s="32" t="n"/>
      <c r="F787" s="32" t="n"/>
      <c r="G787" s="32" t="n"/>
      <c r="H787" s="36" t="n"/>
      <c r="I787" s="31" t="n"/>
      <c r="J787" s="38" t="n"/>
      <c r="K787" s="32" t="n"/>
      <c r="L787" s="34">
        <f>IF(OR(A787="",D787=""),"",IF(D787&gt;Config!$B$5,0,DATEDIF(D787,Config!$B$5,"m")))</f>
        <v/>
      </c>
      <c r="M787" s="39">
        <f>IF(A787="","",IF(K787&lt;&gt;"",K787,IF(OR(C787="",D787=""),"Sem dados",IFERROR(IF(C787="M",INDEX(Config!$B$11:$B$14,MATCH(L787,Config!$A$11:$A$14,1)),IF(C787="F",INDEX(Config!$C$11:$C$14,MATCH(L787,Config!$A$11:$A$14,1)),"Sem dados")),"Verificar"))))</f>
        <v/>
      </c>
      <c r="N787" s="39">
        <f>IF(A787="","",IF(COUNTIFS('Movimentações'!$C$6:$C$1505,A787,'Movimentações'!$B$6:$B$1505,"Venda")&gt;0,"Vendido",IF(COUNTIFS('Movimentações'!$C$6:$C$1505,A787,'Movimentações'!$B$6:$B$1505,"Morte")&gt;0,"Morto","Ativo")))</f>
        <v/>
      </c>
      <c r="O787" s="40">
        <f>IF(A787="","",IF(COUNTIF('Pesagens'!$B$6:$B$2005,A787)=0,"",SUMPRODUCT(MAX(('Pesagens'!$B$6:$B$2005=A787)*'Pesagens'!$A$6:$A$2005))))</f>
        <v/>
      </c>
      <c r="P787" s="41">
        <f>IF(A787="","",IF(O787="",IF(J787="","",J787),IFERROR(AVERAGEIFS('Pesagens'!$C$6:$C$2005,'Pesagens'!$B$6:$B$2005,A787,'Pesagens'!$A$6:$A$2005,O787),"")))</f>
        <v/>
      </c>
      <c r="Q787" s="42">
        <f>IF(OR(A787="",O787="",I787="",J787=""),"",IFERROR((P787-J787)/(O787-I787),""))</f>
        <v/>
      </c>
    </row>
    <row r="788">
      <c r="A788" s="36" t="n"/>
      <c r="B788" s="32" t="n"/>
      <c r="C788" s="37" t="n"/>
      <c r="D788" s="31" t="n"/>
      <c r="E788" s="32" t="n"/>
      <c r="F788" s="32" t="n"/>
      <c r="G788" s="32" t="n"/>
      <c r="H788" s="36" t="n"/>
      <c r="I788" s="31" t="n"/>
      <c r="J788" s="38" t="n"/>
      <c r="K788" s="32" t="n"/>
      <c r="L788" s="34">
        <f>IF(OR(A788="",D788=""),"",IF(D788&gt;Config!$B$5,0,DATEDIF(D788,Config!$B$5,"m")))</f>
        <v/>
      </c>
      <c r="M788" s="39">
        <f>IF(A788="","",IF(K788&lt;&gt;"",K788,IF(OR(C788="",D788=""),"Sem dados",IFERROR(IF(C788="M",INDEX(Config!$B$11:$B$14,MATCH(L788,Config!$A$11:$A$14,1)),IF(C788="F",INDEX(Config!$C$11:$C$14,MATCH(L788,Config!$A$11:$A$14,1)),"Sem dados")),"Verificar"))))</f>
        <v/>
      </c>
      <c r="N788" s="39">
        <f>IF(A788="","",IF(COUNTIFS('Movimentações'!$C$6:$C$1505,A788,'Movimentações'!$B$6:$B$1505,"Venda")&gt;0,"Vendido",IF(COUNTIFS('Movimentações'!$C$6:$C$1505,A788,'Movimentações'!$B$6:$B$1505,"Morte")&gt;0,"Morto","Ativo")))</f>
        <v/>
      </c>
      <c r="O788" s="40">
        <f>IF(A788="","",IF(COUNTIF('Pesagens'!$B$6:$B$2005,A788)=0,"",SUMPRODUCT(MAX(('Pesagens'!$B$6:$B$2005=A788)*'Pesagens'!$A$6:$A$2005))))</f>
        <v/>
      </c>
      <c r="P788" s="41">
        <f>IF(A788="","",IF(O788="",IF(J788="","",J788),IFERROR(AVERAGEIFS('Pesagens'!$C$6:$C$2005,'Pesagens'!$B$6:$B$2005,A788,'Pesagens'!$A$6:$A$2005,O788),"")))</f>
        <v/>
      </c>
      <c r="Q788" s="42">
        <f>IF(OR(A788="",O788="",I788="",J788=""),"",IFERROR((P788-J788)/(O788-I788),""))</f>
        <v/>
      </c>
    </row>
    <row r="789">
      <c r="A789" s="36" t="n"/>
      <c r="B789" s="32" t="n"/>
      <c r="C789" s="37" t="n"/>
      <c r="D789" s="31" t="n"/>
      <c r="E789" s="32" t="n"/>
      <c r="F789" s="32" t="n"/>
      <c r="G789" s="32" t="n"/>
      <c r="H789" s="36" t="n"/>
      <c r="I789" s="31" t="n"/>
      <c r="J789" s="38" t="n"/>
      <c r="K789" s="32" t="n"/>
      <c r="L789" s="34">
        <f>IF(OR(A789="",D789=""),"",IF(D789&gt;Config!$B$5,0,DATEDIF(D789,Config!$B$5,"m")))</f>
        <v/>
      </c>
      <c r="M789" s="39">
        <f>IF(A789="","",IF(K789&lt;&gt;"",K789,IF(OR(C789="",D789=""),"Sem dados",IFERROR(IF(C789="M",INDEX(Config!$B$11:$B$14,MATCH(L789,Config!$A$11:$A$14,1)),IF(C789="F",INDEX(Config!$C$11:$C$14,MATCH(L789,Config!$A$11:$A$14,1)),"Sem dados")),"Verificar"))))</f>
        <v/>
      </c>
      <c r="N789" s="39">
        <f>IF(A789="","",IF(COUNTIFS('Movimentações'!$C$6:$C$1505,A789,'Movimentações'!$B$6:$B$1505,"Venda")&gt;0,"Vendido",IF(COUNTIFS('Movimentações'!$C$6:$C$1505,A789,'Movimentações'!$B$6:$B$1505,"Morte")&gt;0,"Morto","Ativo")))</f>
        <v/>
      </c>
      <c r="O789" s="40">
        <f>IF(A789="","",IF(COUNTIF('Pesagens'!$B$6:$B$2005,A789)=0,"",SUMPRODUCT(MAX(('Pesagens'!$B$6:$B$2005=A789)*'Pesagens'!$A$6:$A$2005))))</f>
        <v/>
      </c>
      <c r="P789" s="41">
        <f>IF(A789="","",IF(O789="",IF(J789="","",J789),IFERROR(AVERAGEIFS('Pesagens'!$C$6:$C$2005,'Pesagens'!$B$6:$B$2005,A789,'Pesagens'!$A$6:$A$2005,O789),"")))</f>
        <v/>
      </c>
      <c r="Q789" s="42">
        <f>IF(OR(A789="",O789="",I789="",J789=""),"",IFERROR((P789-J789)/(O789-I789),""))</f>
        <v/>
      </c>
    </row>
    <row r="790">
      <c r="A790" s="36" t="n"/>
      <c r="B790" s="32" t="n"/>
      <c r="C790" s="37" t="n"/>
      <c r="D790" s="31" t="n"/>
      <c r="E790" s="32" t="n"/>
      <c r="F790" s="32" t="n"/>
      <c r="G790" s="32" t="n"/>
      <c r="H790" s="36" t="n"/>
      <c r="I790" s="31" t="n"/>
      <c r="J790" s="38" t="n"/>
      <c r="K790" s="32" t="n"/>
      <c r="L790" s="34">
        <f>IF(OR(A790="",D790=""),"",IF(D790&gt;Config!$B$5,0,DATEDIF(D790,Config!$B$5,"m")))</f>
        <v/>
      </c>
      <c r="M790" s="39">
        <f>IF(A790="","",IF(K790&lt;&gt;"",K790,IF(OR(C790="",D790=""),"Sem dados",IFERROR(IF(C790="M",INDEX(Config!$B$11:$B$14,MATCH(L790,Config!$A$11:$A$14,1)),IF(C790="F",INDEX(Config!$C$11:$C$14,MATCH(L790,Config!$A$11:$A$14,1)),"Sem dados")),"Verificar"))))</f>
        <v/>
      </c>
      <c r="N790" s="39">
        <f>IF(A790="","",IF(COUNTIFS('Movimentações'!$C$6:$C$1505,A790,'Movimentações'!$B$6:$B$1505,"Venda")&gt;0,"Vendido",IF(COUNTIFS('Movimentações'!$C$6:$C$1505,A790,'Movimentações'!$B$6:$B$1505,"Morte")&gt;0,"Morto","Ativo")))</f>
        <v/>
      </c>
      <c r="O790" s="40">
        <f>IF(A790="","",IF(COUNTIF('Pesagens'!$B$6:$B$2005,A790)=0,"",SUMPRODUCT(MAX(('Pesagens'!$B$6:$B$2005=A790)*'Pesagens'!$A$6:$A$2005))))</f>
        <v/>
      </c>
      <c r="P790" s="41">
        <f>IF(A790="","",IF(O790="",IF(J790="","",J790),IFERROR(AVERAGEIFS('Pesagens'!$C$6:$C$2005,'Pesagens'!$B$6:$B$2005,A790,'Pesagens'!$A$6:$A$2005,O790),"")))</f>
        <v/>
      </c>
      <c r="Q790" s="42">
        <f>IF(OR(A790="",O790="",I790="",J790=""),"",IFERROR((P790-J790)/(O790-I790),""))</f>
        <v/>
      </c>
    </row>
    <row r="791">
      <c r="A791" s="36" t="n"/>
      <c r="B791" s="32" t="n"/>
      <c r="C791" s="37" t="n"/>
      <c r="D791" s="31" t="n"/>
      <c r="E791" s="32" t="n"/>
      <c r="F791" s="32" t="n"/>
      <c r="G791" s="32" t="n"/>
      <c r="H791" s="36" t="n"/>
      <c r="I791" s="31" t="n"/>
      <c r="J791" s="38" t="n"/>
      <c r="K791" s="32" t="n"/>
      <c r="L791" s="34">
        <f>IF(OR(A791="",D791=""),"",IF(D791&gt;Config!$B$5,0,DATEDIF(D791,Config!$B$5,"m")))</f>
        <v/>
      </c>
      <c r="M791" s="39">
        <f>IF(A791="","",IF(K791&lt;&gt;"",K791,IF(OR(C791="",D791=""),"Sem dados",IFERROR(IF(C791="M",INDEX(Config!$B$11:$B$14,MATCH(L791,Config!$A$11:$A$14,1)),IF(C791="F",INDEX(Config!$C$11:$C$14,MATCH(L791,Config!$A$11:$A$14,1)),"Sem dados")),"Verificar"))))</f>
        <v/>
      </c>
      <c r="N791" s="39">
        <f>IF(A791="","",IF(COUNTIFS('Movimentações'!$C$6:$C$1505,A791,'Movimentações'!$B$6:$B$1505,"Venda")&gt;0,"Vendido",IF(COUNTIFS('Movimentações'!$C$6:$C$1505,A791,'Movimentações'!$B$6:$B$1505,"Morte")&gt;0,"Morto","Ativo")))</f>
        <v/>
      </c>
      <c r="O791" s="40">
        <f>IF(A791="","",IF(COUNTIF('Pesagens'!$B$6:$B$2005,A791)=0,"",SUMPRODUCT(MAX(('Pesagens'!$B$6:$B$2005=A791)*'Pesagens'!$A$6:$A$2005))))</f>
        <v/>
      </c>
      <c r="P791" s="41">
        <f>IF(A791="","",IF(O791="",IF(J791="","",J791),IFERROR(AVERAGEIFS('Pesagens'!$C$6:$C$2005,'Pesagens'!$B$6:$B$2005,A791,'Pesagens'!$A$6:$A$2005,O791),"")))</f>
        <v/>
      </c>
      <c r="Q791" s="42">
        <f>IF(OR(A791="",O791="",I791="",J791=""),"",IFERROR((P791-J791)/(O791-I791),""))</f>
        <v/>
      </c>
    </row>
    <row r="792">
      <c r="A792" s="36" t="n"/>
      <c r="B792" s="32" t="n"/>
      <c r="C792" s="37" t="n"/>
      <c r="D792" s="31" t="n"/>
      <c r="E792" s="32" t="n"/>
      <c r="F792" s="32" t="n"/>
      <c r="G792" s="32" t="n"/>
      <c r="H792" s="36" t="n"/>
      <c r="I792" s="31" t="n"/>
      <c r="J792" s="38" t="n"/>
      <c r="K792" s="32" t="n"/>
      <c r="L792" s="34">
        <f>IF(OR(A792="",D792=""),"",IF(D792&gt;Config!$B$5,0,DATEDIF(D792,Config!$B$5,"m")))</f>
        <v/>
      </c>
      <c r="M792" s="39">
        <f>IF(A792="","",IF(K792&lt;&gt;"",K792,IF(OR(C792="",D792=""),"Sem dados",IFERROR(IF(C792="M",INDEX(Config!$B$11:$B$14,MATCH(L792,Config!$A$11:$A$14,1)),IF(C792="F",INDEX(Config!$C$11:$C$14,MATCH(L792,Config!$A$11:$A$14,1)),"Sem dados")),"Verificar"))))</f>
        <v/>
      </c>
      <c r="N792" s="39">
        <f>IF(A792="","",IF(COUNTIFS('Movimentações'!$C$6:$C$1505,A792,'Movimentações'!$B$6:$B$1505,"Venda")&gt;0,"Vendido",IF(COUNTIFS('Movimentações'!$C$6:$C$1505,A792,'Movimentações'!$B$6:$B$1505,"Morte")&gt;0,"Morto","Ativo")))</f>
        <v/>
      </c>
      <c r="O792" s="40">
        <f>IF(A792="","",IF(COUNTIF('Pesagens'!$B$6:$B$2005,A792)=0,"",SUMPRODUCT(MAX(('Pesagens'!$B$6:$B$2005=A792)*'Pesagens'!$A$6:$A$2005))))</f>
        <v/>
      </c>
      <c r="P792" s="41">
        <f>IF(A792="","",IF(O792="",IF(J792="","",J792),IFERROR(AVERAGEIFS('Pesagens'!$C$6:$C$2005,'Pesagens'!$B$6:$B$2005,A792,'Pesagens'!$A$6:$A$2005,O792),"")))</f>
        <v/>
      </c>
      <c r="Q792" s="42">
        <f>IF(OR(A792="",O792="",I792="",J792=""),"",IFERROR((P792-J792)/(O792-I792),""))</f>
        <v/>
      </c>
    </row>
    <row r="793">
      <c r="A793" s="36" t="n"/>
      <c r="B793" s="32" t="n"/>
      <c r="C793" s="37" t="n"/>
      <c r="D793" s="31" t="n"/>
      <c r="E793" s="32" t="n"/>
      <c r="F793" s="32" t="n"/>
      <c r="G793" s="32" t="n"/>
      <c r="H793" s="36" t="n"/>
      <c r="I793" s="31" t="n"/>
      <c r="J793" s="38" t="n"/>
      <c r="K793" s="32" t="n"/>
      <c r="L793" s="34">
        <f>IF(OR(A793="",D793=""),"",IF(D793&gt;Config!$B$5,0,DATEDIF(D793,Config!$B$5,"m")))</f>
        <v/>
      </c>
      <c r="M793" s="39">
        <f>IF(A793="","",IF(K793&lt;&gt;"",K793,IF(OR(C793="",D793=""),"Sem dados",IFERROR(IF(C793="M",INDEX(Config!$B$11:$B$14,MATCH(L793,Config!$A$11:$A$14,1)),IF(C793="F",INDEX(Config!$C$11:$C$14,MATCH(L793,Config!$A$11:$A$14,1)),"Sem dados")),"Verificar"))))</f>
        <v/>
      </c>
      <c r="N793" s="39">
        <f>IF(A793="","",IF(COUNTIFS('Movimentações'!$C$6:$C$1505,A793,'Movimentações'!$B$6:$B$1505,"Venda")&gt;0,"Vendido",IF(COUNTIFS('Movimentações'!$C$6:$C$1505,A793,'Movimentações'!$B$6:$B$1505,"Morte")&gt;0,"Morto","Ativo")))</f>
        <v/>
      </c>
      <c r="O793" s="40">
        <f>IF(A793="","",IF(COUNTIF('Pesagens'!$B$6:$B$2005,A793)=0,"",SUMPRODUCT(MAX(('Pesagens'!$B$6:$B$2005=A793)*'Pesagens'!$A$6:$A$2005))))</f>
        <v/>
      </c>
      <c r="P793" s="41">
        <f>IF(A793="","",IF(O793="",IF(J793="","",J793),IFERROR(AVERAGEIFS('Pesagens'!$C$6:$C$2005,'Pesagens'!$B$6:$B$2005,A793,'Pesagens'!$A$6:$A$2005,O793),"")))</f>
        <v/>
      </c>
      <c r="Q793" s="42">
        <f>IF(OR(A793="",O793="",I793="",J793=""),"",IFERROR((P793-J793)/(O793-I793),""))</f>
        <v/>
      </c>
    </row>
    <row r="794">
      <c r="A794" s="36" t="n"/>
      <c r="B794" s="32" t="n"/>
      <c r="C794" s="37" t="n"/>
      <c r="D794" s="31" t="n"/>
      <c r="E794" s="32" t="n"/>
      <c r="F794" s="32" t="n"/>
      <c r="G794" s="32" t="n"/>
      <c r="H794" s="36" t="n"/>
      <c r="I794" s="31" t="n"/>
      <c r="J794" s="38" t="n"/>
      <c r="K794" s="32" t="n"/>
      <c r="L794" s="34">
        <f>IF(OR(A794="",D794=""),"",IF(D794&gt;Config!$B$5,0,DATEDIF(D794,Config!$B$5,"m")))</f>
        <v/>
      </c>
      <c r="M794" s="39">
        <f>IF(A794="","",IF(K794&lt;&gt;"",K794,IF(OR(C794="",D794=""),"Sem dados",IFERROR(IF(C794="M",INDEX(Config!$B$11:$B$14,MATCH(L794,Config!$A$11:$A$14,1)),IF(C794="F",INDEX(Config!$C$11:$C$14,MATCH(L794,Config!$A$11:$A$14,1)),"Sem dados")),"Verificar"))))</f>
        <v/>
      </c>
      <c r="N794" s="39">
        <f>IF(A794="","",IF(COUNTIFS('Movimentações'!$C$6:$C$1505,A794,'Movimentações'!$B$6:$B$1505,"Venda")&gt;0,"Vendido",IF(COUNTIFS('Movimentações'!$C$6:$C$1505,A794,'Movimentações'!$B$6:$B$1505,"Morte")&gt;0,"Morto","Ativo")))</f>
        <v/>
      </c>
      <c r="O794" s="40">
        <f>IF(A794="","",IF(COUNTIF('Pesagens'!$B$6:$B$2005,A794)=0,"",SUMPRODUCT(MAX(('Pesagens'!$B$6:$B$2005=A794)*'Pesagens'!$A$6:$A$2005))))</f>
        <v/>
      </c>
      <c r="P794" s="41">
        <f>IF(A794="","",IF(O794="",IF(J794="","",J794),IFERROR(AVERAGEIFS('Pesagens'!$C$6:$C$2005,'Pesagens'!$B$6:$B$2005,A794,'Pesagens'!$A$6:$A$2005,O794),"")))</f>
        <v/>
      </c>
      <c r="Q794" s="42">
        <f>IF(OR(A794="",O794="",I794="",J794=""),"",IFERROR((P794-J794)/(O794-I794),""))</f>
        <v/>
      </c>
    </row>
    <row r="795">
      <c r="A795" s="36" t="n"/>
      <c r="B795" s="32" t="n"/>
      <c r="C795" s="37" t="n"/>
      <c r="D795" s="31" t="n"/>
      <c r="E795" s="32" t="n"/>
      <c r="F795" s="32" t="n"/>
      <c r="G795" s="32" t="n"/>
      <c r="H795" s="36" t="n"/>
      <c r="I795" s="31" t="n"/>
      <c r="J795" s="38" t="n"/>
      <c r="K795" s="32" t="n"/>
      <c r="L795" s="34">
        <f>IF(OR(A795="",D795=""),"",IF(D795&gt;Config!$B$5,0,DATEDIF(D795,Config!$B$5,"m")))</f>
        <v/>
      </c>
      <c r="M795" s="39">
        <f>IF(A795="","",IF(K795&lt;&gt;"",K795,IF(OR(C795="",D795=""),"Sem dados",IFERROR(IF(C795="M",INDEX(Config!$B$11:$B$14,MATCH(L795,Config!$A$11:$A$14,1)),IF(C795="F",INDEX(Config!$C$11:$C$14,MATCH(L795,Config!$A$11:$A$14,1)),"Sem dados")),"Verificar"))))</f>
        <v/>
      </c>
      <c r="N795" s="39">
        <f>IF(A795="","",IF(COUNTIFS('Movimentações'!$C$6:$C$1505,A795,'Movimentações'!$B$6:$B$1505,"Venda")&gt;0,"Vendido",IF(COUNTIFS('Movimentações'!$C$6:$C$1505,A795,'Movimentações'!$B$6:$B$1505,"Morte")&gt;0,"Morto","Ativo")))</f>
        <v/>
      </c>
      <c r="O795" s="40">
        <f>IF(A795="","",IF(COUNTIF('Pesagens'!$B$6:$B$2005,A795)=0,"",SUMPRODUCT(MAX(('Pesagens'!$B$6:$B$2005=A795)*'Pesagens'!$A$6:$A$2005))))</f>
        <v/>
      </c>
      <c r="P795" s="41">
        <f>IF(A795="","",IF(O795="",IF(J795="","",J795),IFERROR(AVERAGEIFS('Pesagens'!$C$6:$C$2005,'Pesagens'!$B$6:$B$2005,A795,'Pesagens'!$A$6:$A$2005,O795),"")))</f>
        <v/>
      </c>
      <c r="Q795" s="42">
        <f>IF(OR(A795="",O795="",I795="",J795=""),"",IFERROR((P795-J795)/(O795-I795),""))</f>
        <v/>
      </c>
    </row>
    <row r="796">
      <c r="A796" s="36" t="n"/>
      <c r="B796" s="32" t="n"/>
      <c r="C796" s="37" t="n"/>
      <c r="D796" s="31" t="n"/>
      <c r="E796" s="32" t="n"/>
      <c r="F796" s="32" t="n"/>
      <c r="G796" s="32" t="n"/>
      <c r="H796" s="36" t="n"/>
      <c r="I796" s="31" t="n"/>
      <c r="J796" s="38" t="n"/>
      <c r="K796" s="32" t="n"/>
      <c r="L796" s="34">
        <f>IF(OR(A796="",D796=""),"",IF(D796&gt;Config!$B$5,0,DATEDIF(D796,Config!$B$5,"m")))</f>
        <v/>
      </c>
      <c r="M796" s="39">
        <f>IF(A796="","",IF(K796&lt;&gt;"",K796,IF(OR(C796="",D796=""),"Sem dados",IFERROR(IF(C796="M",INDEX(Config!$B$11:$B$14,MATCH(L796,Config!$A$11:$A$14,1)),IF(C796="F",INDEX(Config!$C$11:$C$14,MATCH(L796,Config!$A$11:$A$14,1)),"Sem dados")),"Verificar"))))</f>
        <v/>
      </c>
      <c r="N796" s="39">
        <f>IF(A796="","",IF(COUNTIFS('Movimentações'!$C$6:$C$1505,A796,'Movimentações'!$B$6:$B$1505,"Venda")&gt;0,"Vendido",IF(COUNTIFS('Movimentações'!$C$6:$C$1505,A796,'Movimentações'!$B$6:$B$1505,"Morte")&gt;0,"Morto","Ativo")))</f>
        <v/>
      </c>
      <c r="O796" s="40">
        <f>IF(A796="","",IF(COUNTIF('Pesagens'!$B$6:$B$2005,A796)=0,"",SUMPRODUCT(MAX(('Pesagens'!$B$6:$B$2005=A796)*'Pesagens'!$A$6:$A$2005))))</f>
        <v/>
      </c>
      <c r="P796" s="41">
        <f>IF(A796="","",IF(O796="",IF(J796="","",J796),IFERROR(AVERAGEIFS('Pesagens'!$C$6:$C$2005,'Pesagens'!$B$6:$B$2005,A796,'Pesagens'!$A$6:$A$2005,O796),"")))</f>
        <v/>
      </c>
      <c r="Q796" s="42">
        <f>IF(OR(A796="",O796="",I796="",J796=""),"",IFERROR((P796-J796)/(O796-I796),""))</f>
        <v/>
      </c>
    </row>
    <row r="797">
      <c r="A797" s="36" t="n"/>
      <c r="B797" s="32" t="n"/>
      <c r="C797" s="37" t="n"/>
      <c r="D797" s="31" t="n"/>
      <c r="E797" s="32" t="n"/>
      <c r="F797" s="32" t="n"/>
      <c r="G797" s="32" t="n"/>
      <c r="H797" s="36" t="n"/>
      <c r="I797" s="31" t="n"/>
      <c r="J797" s="38" t="n"/>
      <c r="K797" s="32" t="n"/>
      <c r="L797" s="34">
        <f>IF(OR(A797="",D797=""),"",IF(D797&gt;Config!$B$5,0,DATEDIF(D797,Config!$B$5,"m")))</f>
        <v/>
      </c>
      <c r="M797" s="39">
        <f>IF(A797="","",IF(K797&lt;&gt;"",K797,IF(OR(C797="",D797=""),"Sem dados",IFERROR(IF(C797="M",INDEX(Config!$B$11:$B$14,MATCH(L797,Config!$A$11:$A$14,1)),IF(C797="F",INDEX(Config!$C$11:$C$14,MATCH(L797,Config!$A$11:$A$14,1)),"Sem dados")),"Verificar"))))</f>
        <v/>
      </c>
      <c r="N797" s="39">
        <f>IF(A797="","",IF(COUNTIFS('Movimentações'!$C$6:$C$1505,A797,'Movimentações'!$B$6:$B$1505,"Venda")&gt;0,"Vendido",IF(COUNTIFS('Movimentações'!$C$6:$C$1505,A797,'Movimentações'!$B$6:$B$1505,"Morte")&gt;0,"Morto","Ativo")))</f>
        <v/>
      </c>
      <c r="O797" s="40">
        <f>IF(A797="","",IF(COUNTIF('Pesagens'!$B$6:$B$2005,A797)=0,"",SUMPRODUCT(MAX(('Pesagens'!$B$6:$B$2005=A797)*'Pesagens'!$A$6:$A$2005))))</f>
        <v/>
      </c>
      <c r="P797" s="41">
        <f>IF(A797="","",IF(O797="",IF(J797="","",J797),IFERROR(AVERAGEIFS('Pesagens'!$C$6:$C$2005,'Pesagens'!$B$6:$B$2005,A797,'Pesagens'!$A$6:$A$2005,O797),"")))</f>
        <v/>
      </c>
      <c r="Q797" s="42">
        <f>IF(OR(A797="",O797="",I797="",J797=""),"",IFERROR((P797-J797)/(O797-I797),""))</f>
        <v/>
      </c>
    </row>
    <row r="798">
      <c r="A798" s="36" t="n"/>
      <c r="B798" s="32" t="n"/>
      <c r="C798" s="37" t="n"/>
      <c r="D798" s="31" t="n"/>
      <c r="E798" s="32" t="n"/>
      <c r="F798" s="32" t="n"/>
      <c r="G798" s="32" t="n"/>
      <c r="H798" s="36" t="n"/>
      <c r="I798" s="31" t="n"/>
      <c r="J798" s="38" t="n"/>
      <c r="K798" s="32" t="n"/>
      <c r="L798" s="34">
        <f>IF(OR(A798="",D798=""),"",IF(D798&gt;Config!$B$5,0,DATEDIF(D798,Config!$B$5,"m")))</f>
        <v/>
      </c>
      <c r="M798" s="39">
        <f>IF(A798="","",IF(K798&lt;&gt;"",K798,IF(OR(C798="",D798=""),"Sem dados",IFERROR(IF(C798="M",INDEX(Config!$B$11:$B$14,MATCH(L798,Config!$A$11:$A$14,1)),IF(C798="F",INDEX(Config!$C$11:$C$14,MATCH(L798,Config!$A$11:$A$14,1)),"Sem dados")),"Verificar"))))</f>
        <v/>
      </c>
      <c r="N798" s="39">
        <f>IF(A798="","",IF(COUNTIFS('Movimentações'!$C$6:$C$1505,A798,'Movimentações'!$B$6:$B$1505,"Venda")&gt;0,"Vendido",IF(COUNTIFS('Movimentações'!$C$6:$C$1505,A798,'Movimentações'!$B$6:$B$1505,"Morte")&gt;0,"Morto","Ativo")))</f>
        <v/>
      </c>
      <c r="O798" s="40">
        <f>IF(A798="","",IF(COUNTIF('Pesagens'!$B$6:$B$2005,A798)=0,"",SUMPRODUCT(MAX(('Pesagens'!$B$6:$B$2005=A798)*'Pesagens'!$A$6:$A$2005))))</f>
        <v/>
      </c>
      <c r="P798" s="41">
        <f>IF(A798="","",IF(O798="",IF(J798="","",J798),IFERROR(AVERAGEIFS('Pesagens'!$C$6:$C$2005,'Pesagens'!$B$6:$B$2005,A798,'Pesagens'!$A$6:$A$2005,O798),"")))</f>
        <v/>
      </c>
      <c r="Q798" s="42">
        <f>IF(OR(A798="",O798="",I798="",J798=""),"",IFERROR((P798-J798)/(O798-I798),""))</f>
        <v/>
      </c>
    </row>
    <row r="799">
      <c r="A799" s="36" t="n"/>
      <c r="B799" s="32" t="n"/>
      <c r="C799" s="37" t="n"/>
      <c r="D799" s="31" t="n"/>
      <c r="E799" s="32" t="n"/>
      <c r="F799" s="32" t="n"/>
      <c r="G799" s="32" t="n"/>
      <c r="H799" s="36" t="n"/>
      <c r="I799" s="31" t="n"/>
      <c r="J799" s="38" t="n"/>
      <c r="K799" s="32" t="n"/>
      <c r="L799" s="34">
        <f>IF(OR(A799="",D799=""),"",IF(D799&gt;Config!$B$5,0,DATEDIF(D799,Config!$B$5,"m")))</f>
        <v/>
      </c>
      <c r="M799" s="39">
        <f>IF(A799="","",IF(K799&lt;&gt;"",K799,IF(OR(C799="",D799=""),"Sem dados",IFERROR(IF(C799="M",INDEX(Config!$B$11:$B$14,MATCH(L799,Config!$A$11:$A$14,1)),IF(C799="F",INDEX(Config!$C$11:$C$14,MATCH(L799,Config!$A$11:$A$14,1)),"Sem dados")),"Verificar"))))</f>
        <v/>
      </c>
      <c r="N799" s="39">
        <f>IF(A799="","",IF(COUNTIFS('Movimentações'!$C$6:$C$1505,A799,'Movimentações'!$B$6:$B$1505,"Venda")&gt;0,"Vendido",IF(COUNTIFS('Movimentações'!$C$6:$C$1505,A799,'Movimentações'!$B$6:$B$1505,"Morte")&gt;0,"Morto","Ativo")))</f>
        <v/>
      </c>
      <c r="O799" s="40">
        <f>IF(A799="","",IF(COUNTIF('Pesagens'!$B$6:$B$2005,A799)=0,"",SUMPRODUCT(MAX(('Pesagens'!$B$6:$B$2005=A799)*'Pesagens'!$A$6:$A$2005))))</f>
        <v/>
      </c>
      <c r="P799" s="41">
        <f>IF(A799="","",IF(O799="",IF(J799="","",J799),IFERROR(AVERAGEIFS('Pesagens'!$C$6:$C$2005,'Pesagens'!$B$6:$B$2005,A799,'Pesagens'!$A$6:$A$2005,O799),"")))</f>
        <v/>
      </c>
      <c r="Q799" s="42">
        <f>IF(OR(A799="",O799="",I799="",J799=""),"",IFERROR((P799-J799)/(O799-I799),""))</f>
        <v/>
      </c>
    </row>
    <row r="800">
      <c r="A800" s="36" t="n"/>
      <c r="B800" s="32" t="n"/>
      <c r="C800" s="37" t="n"/>
      <c r="D800" s="31" t="n"/>
      <c r="E800" s="32" t="n"/>
      <c r="F800" s="32" t="n"/>
      <c r="G800" s="32" t="n"/>
      <c r="H800" s="36" t="n"/>
      <c r="I800" s="31" t="n"/>
      <c r="J800" s="38" t="n"/>
      <c r="K800" s="32" t="n"/>
      <c r="L800" s="34">
        <f>IF(OR(A800="",D800=""),"",IF(D800&gt;Config!$B$5,0,DATEDIF(D800,Config!$B$5,"m")))</f>
        <v/>
      </c>
      <c r="M800" s="39">
        <f>IF(A800="","",IF(K800&lt;&gt;"",K800,IF(OR(C800="",D800=""),"Sem dados",IFERROR(IF(C800="M",INDEX(Config!$B$11:$B$14,MATCH(L800,Config!$A$11:$A$14,1)),IF(C800="F",INDEX(Config!$C$11:$C$14,MATCH(L800,Config!$A$11:$A$14,1)),"Sem dados")),"Verificar"))))</f>
        <v/>
      </c>
      <c r="N800" s="39">
        <f>IF(A800="","",IF(COUNTIFS('Movimentações'!$C$6:$C$1505,A800,'Movimentações'!$B$6:$B$1505,"Venda")&gt;0,"Vendido",IF(COUNTIFS('Movimentações'!$C$6:$C$1505,A800,'Movimentações'!$B$6:$B$1505,"Morte")&gt;0,"Morto","Ativo")))</f>
        <v/>
      </c>
      <c r="O800" s="40">
        <f>IF(A800="","",IF(COUNTIF('Pesagens'!$B$6:$B$2005,A800)=0,"",SUMPRODUCT(MAX(('Pesagens'!$B$6:$B$2005=A800)*'Pesagens'!$A$6:$A$2005))))</f>
        <v/>
      </c>
      <c r="P800" s="41">
        <f>IF(A800="","",IF(O800="",IF(J800="","",J800),IFERROR(AVERAGEIFS('Pesagens'!$C$6:$C$2005,'Pesagens'!$B$6:$B$2005,A800,'Pesagens'!$A$6:$A$2005,O800),"")))</f>
        <v/>
      </c>
      <c r="Q800" s="42">
        <f>IF(OR(A800="",O800="",I800="",J800=""),"",IFERROR((P800-J800)/(O800-I800),""))</f>
        <v/>
      </c>
    </row>
    <row r="801">
      <c r="A801" s="36" t="n"/>
      <c r="B801" s="32" t="n"/>
      <c r="C801" s="37" t="n"/>
      <c r="D801" s="31" t="n"/>
      <c r="E801" s="32" t="n"/>
      <c r="F801" s="32" t="n"/>
      <c r="G801" s="32" t="n"/>
      <c r="H801" s="36" t="n"/>
      <c r="I801" s="31" t="n"/>
      <c r="J801" s="38" t="n"/>
      <c r="K801" s="32" t="n"/>
      <c r="L801" s="34">
        <f>IF(OR(A801="",D801=""),"",IF(D801&gt;Config!$B$5,0,DATEDIF(D801,Config!$B$5,"m")))</f>
        <v/>
      </c>
      <c r="M801" s="39">
        <f>IF(A801="","",IF(K801&lt;&gt;"",K801,IF(OR(C801="",D801=""),"Sem dados",IFERROR(IF(C801="M",INDEX(Config!$B$11:$B$14,MATCH(L801,Config!$A$11:$A$14,1)),IF(C801="F",INDEX(Config!$C$11:$C$14,MATCH(L801,Config!$A$11:$A$14,1)),"Sem dados")),"Verificar"))))</f>
        <v/>
      </c>
      <c r="N801" s="39">
        <f>IF(A801="","",IF(COUNTIFS('Movimentações'!$C$6:$C$1505,A801,'Movimentações'!$B$6:$B$1505,"Venda")&gt;0,"Vendido",IF(COUNTIFS('Movimentações'!$C$6:$C$1505,A801,'Movimentações'!$B$6:$B$1505,"Morte")&gt;0,"Morto","Ativo")))</f>
        <v/>
      </c>
      <c r="O801" s="40">
        <f>IF(A801="","",IF(COUNTIF('Pesagens'!$B$6:$B$2005,A801)=0,"",SUMPRODUCT(MAX(('Pesagens'!$B$6:$B$2005=A801)*'Pesagens'!$A$6:$A$2005))))</f>
        <v/>
      </c>
      <c r="P801" s="41">
        <f>IF(A801="","",IF(O801="",IF(J801="","",J801),IFERROR(AVERAGEIFS('Pesagens'!$C$6:$C$2005,'Pesagens'!$B$6:$B$2005,A801,'Pesagens'!$A$6:$A$2005,O801),"")))</f>
        <v/>
      </c>
      <c r="Q801" s="42">
        <f>IF(OR(A801="",O801="",I801="",J801=""),"",IFERROR((P801-J801)/(O801-I801),""))</f>
        <v/>
      </c>
    </row>
    <row r="802">
      <c r="A802" s="36" t="n"/>
      <c r="B802" s="32" t="n"/>
      <c r="C802" s="37" t="n"/>
      <c r="D802" s="31" t="n"/>
      <c r="E802" s="32" t="n"/>
      <c r="F802" s="32" t="n"/>
      <c r="G802" s="32" t="n"/>
      <c r="H802" s="36" t="n"/>
      <c r="I802" s="31" t="n"/>
      <c r="J802" s="38" t="n"/>
      <c r="K802" s="32" t="n"/>
      <c r="L802" s="34">
        <f>IF(OR(A802="",D802=""),"",IF(D802&gt;Config!$B$5,0,DATEDIF(D802,Config!$B$5,"m")))</f>
        <v/>
      </c>
      <c r="M802" s="39">
        <f>IF(A802="","",IF(K802&lt;&gt;"",K802,IF(OR(C802="",D802=""),"Sem dados",IFERROR(IF(C802="M",INDEX(Config!$B$11:$B$14,MATCH(L802,Config!$A$11:$A$14,1)),IF(C802="F",INDEX(Config!$C$11:$C$14,MATCH(L802,Config!$A$11:$A$14,1)),"Sem dados")),"Verificar"))))</f>
        <v/>
      </c>
      <c r="N802" s="39">
        <f>IF(A802="","",IF(COUNTIFS('Movimentações'!$C$6:$C$1505,A802,'Movimentações'!$B$6:$B$1505,"Venda")&gt;0,"Vendido",IF(COUNTIFS('Movimentações'!$C$6:$C$1505,A802,'Movimentações'!$B$6:$B$1505,"Morte")&gt;0,"Morto","Ativo")))</f>
        <v/>
      </c>
      <c r="O802" s="40">
        <f>IF(A802="","",IF(COUNTIF('Pesagens'!$B$6:$B$2005,A802)=0,"",SUMPRODUCT(MAX(('Pesagens'!$B$6:$B$2005=A802)*'Pesagens'!$A$6:$A$2005))))</f>
        <v/>
      </c>
      <c r="P802" s="41">
        <f>IF(A802="","",IF(O802="",IF(J802="","",J802),IFERROR(AVERAGEIFS('Pesagens'!$C$6:$C$2005,'Pesagens'!$B$6:$B$2005,A802,'Pesagens'!$A$6:$A$2005,O802),"")))</f>
        <v/>
      </c>
      <c r="Q802" s="42">
        <f>IF(OR(A802="",O802="",I802="",J802=""),"",IFERROR((P802-J802)/(O802-I802),""))</f>
        <v/>
      </c>
    </row>
    <row r="803">
      <c r="A803" s="36" t="n"/>
      <c r="B803" s="32" t="n"/>
      <c r="C803" s="37" t="n"/>
      <c r="D803" s="31" t="n"/>
      <c r="E803" s="32" t="n"/>
      <c r="F803" s="32" t="n"/>
      <c r="G803" s="32" t="n"/>
      <c r="H803" s="36" t="n"/>
      <c r="I803" s="31" t="n"/>
      <c r="J803" s="38" t="n"/>
      <c r="K803" s="32" t="n"/>
      <c r="L803" s="34">
        <f>IF(OR(A803="",D803=""),"",IF(D803&gt;Config!$B$5,0,DATEDIF(D803,Config!$B$5,"m")))</f>
        <v/>
      </c>
      <c r="M803" s="39">
        <f>IF(A803="","",IF(K803&lt;&gt;"",K803,IF(OR(C803="",D803=""),"Sem dados",IFERROR(IF(C803="M",INDEX(Config!$B$11:$B$14,MATCH(L803,Config!$A$11:$A$14,1)),IF(C803="F",INDEX(Config!$C$11:$C$14,MATCH(L803,Config!$A$11:$A$14,1)),"Sem dados")),"Verificar"))))</f>
        <v/>
      </c>
      <c r="N803" s="39">
        <f>IF(A803="","",IF(COUNTIFS('Movimentações'!$C$6:$C$1505,A803,'Movimentações'!$B$6:$B$1505,"Venda")&gt;0,"Vendido",IF(COUNTIFS('Movimentações'!$C$6:$C$1505,A803,'Movimentações'!$B$6:$B$1505,"Morte")&gt;0,"Morto","Ativo")))</f>
        <v/>
      </c>
      <c r="O803" s="40">
        <f>IF(A803="","",IF(COUNTIF('Pesagens'!$B$6:$B$2005,A803)=0,"",SUMPRODUCT(MAX(('Pesagens'!$B$6:$B$2005=A803)*'Pesagens'!$A$6:$A$2005))))</f>
        <v/>
      </c>
      <c r="P803" s="41">
        <f>IF(A803="","",IF(O803="",IF(J803="","",J803),IFERROR(AVERAGEIFS('Pesagens'!$C$6:$C$2005,'Pesagens'!$B$6:$B$2005,A803,'Pesagens'!$A$6:$A$2005,O803),"")))</f>
        <v/>
      </c>
      <c r="Q803" s="42">
        <f>IF(OR(A803="",O803="",I803="",J803=""),"",IFERROR((P803-J803)/(O803-I803),""))</f>
        <v/>
      </c>
    </row>
    <row r="804">
      <c r="A804" s="36" t="n"/>
      <c r="B804" s="32" t="n"/>
      <c r="C804" s="37" t="n"/>
      <c r="D804" s="31" t="n"/>
      <c r="E804" s="32" t="n"/>
      <c r="F804" s="32" t="n"/>
      <c r="G804" s="32" t="n"/>
      <c r="H804" s="36" t="n"/>
      <c r="I804" s="31" t="n"/>
      <c r="J804" s="38" t="n"/>
      <c r="K804" s="32" t="n"/>
      <c r="L804" s="34">
        <f>IF(OR(A804="",D804=""),"",IF(D804&gt;Config!$B$5,0,DATEDIF(D804,Config!$B$5,"m")))</f>
        <v/>
      </c>
      <c r="M804" s="39">
        <f>IF(A804="","",IF(K804&lt;&gt;"",K804,IF(OR(C804="",D804=""),"Sem dados",IFERROR(IF(C804="M",INDEX(Config!$B$11:$B$14,MATCH(L804,Config!$A$11:$A$14,1)),IF(C804="F",INDEX(Config!$C$11:$C$14,MATCH(L804,Config!$A$11:$A$14,1)),"Sem dados")),"Verificar"))))</f>
        <v/>
      </c>
      <c r="N804" s="39">
        <f>IF(A804="","",IF(COUNTIFS('Movimentações'!$C$6:$C$1505,A804,'Movimentações'!$B$6:$B$1505,"Venda")&gt;0,"Vendido",IF(COUNTIFS('Movimentações'!$C$6:$C$1505,A804,'Movimentações'!$B$6:$B$1505,"Morte")&gt;0,"Morto","Ativo")))</f>
        <v/>
      </c>
      <c r="O804" s="40">
        <f>IF(A804="","",IF(COUNTIF('Pesagens'!$B$6:$B$2005,A804)=0,"",SUMPRODUCT(MAX(('Pesagens'!$B$6:$B$2005=A804)*'Pesagens'!$A$6:$A$2005))))</f>
        <v/>
      </c>
      <c r="P804" s="41">
        <f>IF(A804="","",IF(O804="",IF(J804="","",J804),IFERROR(AVERAGEIFS('Pesagens'!$C$6:$C$2005,'Pesagens'!$B$6:$B$2005,A804,'Pesagens'!$A$6:$A$2005,O804),"")))</f>
        <v/>
      </c>
      <c r="Q804" s="42">
        <f>IF(OR(A804="",O804="",I804="",J804=""),"",IFERROR((P804-J804)/(O804-I804),""))</f>
        <v/>
      </c>
    </row>
    <row r="805">
      <c r="A805" s="36" t="n"/>
      <c r="B805" s="32" t="n"/>
      <c r="C805" s="37" t="n"/>
      <c r="D805" s="31" t="n"/>
      <c r="E805" s="32" t="n"/>
      <c r="F805" s="32" t="n"/>
      <c r="G805" s="32" t="n"/>
      <c r="H805" s="36" t="n"/>
      <c r="I805" s="31" t="n"/>
      <c r="J805" s="38" t="n"/>
      <c r="K805" s="32" t="n"/>
      <c r="L805" s="34">
        <f>IF(OR(A805="",D805=""),"",IF(D805&gt;Config!$B$5,0,DATEDIF(D805,Config!$B$5,"m")))</f>
        <v/>
      </c>
      <c r="M805" s="39">
        <f>IF(A805="","",IF(K805&lt;&gt;"",K805,IF(OR(C805="",D805=""),"Sem dados",IFERROR(IF(C805="M",INDEX(Config!$B$11:$B$14,MATCH(L805,Config!$A$11:$A$14,1)),IF(C805="F",INDEX(Config!$C$11:$C$14,MATCH(L805,Config!$A$11:$A$14,1)),"Sem dados")),"Verificar"))))</f>
        <v/>
      </c>
      <c r="N805" s="39">
        <f>IF(A805="","",IF(COUNTIFS('Movimentações'!$C$6:$C$1505,A805,'Movimentações'!$B$6:$B$1505,"Venda")&gt;0,"Vendido",IF(COUNTIFS('Movimentações'!$C$6:$C$1505,A805,'Movimentações'!$B$6:$B$1505,"Morte")&gt;0,"Morto","Ativo")))</f>
        <v/>
      </c>
      <c r="O805" s="40">
        <f>IF(A805="","",IF(COUNTIF('Pesagens'!$B$6:$B$2005,A805)=0,"",SUMPRODUCT(MAX(('Pesagens'!$B$6:$B$2005=A805)*'Pesagens'!$A$6:$A$2005))))</f>
        <v/>
      </c>
      <c r="P805" s="41">
        <f>IF(A805="","",IF(O805="",IF(J805="","",J805),IFERROR(AVERAGEIFS('Pesagens'!$C$6:$C$2005,'Pesagens'!$B$6:$B$2005,A805,'Pesagens'!$A$6:$A$2005,O805),"")))</f>
        <v/>
      </c>
      <c r="Q805" s="42">
        <f>IF(OR(A805="",O805="",I805="",J805=""),"",IFERROR((P805-J805)/(O805-I805),""))</f>
        <v/>
      </c>
    </row>
    <row r="806">
      <c r="A806" s="36" t="n"/>
      <c r="B806" s="32" t="n"/>
      <c r="C806" s="37" t="n"/>
      <c r="D806" s="31" t="n"/>
      <c r="E806" s="32" t="n"/>
      <c r="F806" s="32" t="n"/>
      <c r="G806" s="32" t="n"/>
      <c r="H806" s="36" t="n"/>
      <c r="I806" s="31" t="n"/>
      <c r="J806" s="38" t="n"/>
      <c r="K806" s="32" t="n"/>
      <c r="L806" s="34">
        <f>IF(OR(A806="",D806=""),"",IF(D806&gt;Config!$B$5,0,DATEDIF(D806,Config!$B$5,"m")))</f>
        <v/>
      </c>
      <c r="M806" s="39">
        <f>IF(A806="","",IF(K806&lt;&gt;"",K806,IF(OR(C806="",D806=""),"Sem dados",IFERROR(IF(C806="M",INDEX(Config!$B$11:$B$14,MATCH(L806,Config!$A$11:$A$14,1)),IF(C806="F",INDEX(Config!$C$11:$C$14,MATCH(L806,Config!$A$11:$A$14,1)),"Sem dados")),"Verificar"))))</f>
        <v/>
      </c>
      <c r="N806" s="39">
        <f>IF(A806="","",IF(COUNTIFS('Movimentações'!$C$6:$C$1505,A806,'Movimentações'!$B$6:$B$1505,"Venda")&gt;0,"Vendido",IF(COUNTIFS('Movimentações'!$C$6:$C$1505,A806,'Movimentações'!$B$6:$B$1505,"Morte")&gt;0,"Morto","Ativo")))</f>
        <v/>
      </c>
      <c r="O806" s="40">
        <f>IF(A806="","",IF(COUNTIF('Pesagens'!$B$6:$B$2005,A806)=0,"",SUMPRODUCT(MAX(('Pesagens'!$B$6:$B$2005=A806)*'Pesagens'!$A$6:$A$2005))))</f>
        <v/>
      </c>
      <c r="P806" s="41">
        <f>IF(A806="","",IF(O806="",IF(J806="","",J806),IFERROR(AVERAGEIFS('Pesagens'!$C$6:$C$2005,'Pesagens'!$B$6:$B$2005,A806,'Pesagens'!$A$6:$A$2005,O806),"")))</f>
        <v/>
      </c>
      <c r="Q806" s="42">
        <f>IF(OR(A806="",O806="",I806="",J806=""),"",IFERROR((P806-J806)/(O806-I806),""))</f>
        <v/>
      </c>
    </row>
    <row r="807">
      <c r="A807" s="36" t="n"/>
      <c r="B807" s="32" t="n"/>
      <c r="C807" s="37" t="n"/>
      <c r="D807" s="31" t="n"/>
      <c r="E807" s="32" t="n"/>
      <c r="F807" s="32" t="n"/>
      <c r="G807" s="32" t="n"/>
      <c r="H807" s="36" t="n"/>
      <c r="I807" s="31" t="n"/>
      <c r="J807" s="38" t="n"/>
      <c r="K807" s="32" t="n"/>
      <c r="L807" s="34">
        <f>IF(OR(A807="",D807=""),"",IF(D807&gt;Config!$B$5,0,DATEDIF(D807,Config!$B$5,"m")))</f>
        <v/>
      </c>
      <c r="M807" s="39">
        <f>IF(A807="","",IF(K807&lt;&gt;"",K807,IF(OR(C807="",D807=""),"Sem dados",IFERROR(IF(C807="M",INDEX(Config!$B$11:$B$14,MATCH(L807,Config!$A$11:$A$14,1)),IF(C807="F",INDEX(Config!$C$11:$C$14,MATCH(L807,Config!$A$11:$A$14,1)),"Sem dados")),"Verificar"))))</f>
        <v/>
      </c>
      <c r="N807" s="39">
        <f>IF(A807="","",IF(COUNTIFS('Movimentações'!$C$6:$C$1505,A807,'Movimentações'!$B$6:$B$1505,"Venda")&gt;0,"Vendido",IF(COUNTIFS('Movimentações'!$C$6:$C$1505,A807,'Movimentações'!$B$6:$B$1505,"Morte")&gt;0,"Morto","Ativo")))</f>
        <v/>
      </c>
      <c r="O807" s="40">
        <f>IF(A807="","",IF(COUNTIF('Pesagens'!$B$6:$B$2005,A807)=0,"",SUMPRODUCT(MAX(('Pesagens'!$B$6:$B$2005=A807)*'Pesagens'!$A$6:$A$2005))))</f>
        <v/>
      </c>
      <c r="P807" s="41">
        <f>IF(A807="","",IF(O807="",IF(J807="","",J807),IFERROR(AVERAGEIFS('Pesagens'!$C$6:$C$2005,'Pesagens'!$B$6:$B$2005,A807,'Pesagens'!$A$6:$A$2005,O807),"")))</f>
        <v/>
      </c>
      <c r="Q807" s="42">
        <f>IF(OR(A807="",O807="",I807="",J807=""),"",IFERROR((P807-J807)/(O807-I807),""))</f>
        <v/>
      </c>
    </row>
    <row r="808">
      <c r="A808" s="36" t="n"/>
      <c r="B808" s="32" t="n"/>
      <c r="C808" s="37" t="n"/>
      <c r="D808" s="31" t="n"/>
      <c r="E808" s="32" t="n"/>
      <c r="F808" s="32" t="n"/>
      <c r="G808" s="32" t="n"/>
      <c r="H808" s="36" t="n"/>
      <c r="I808" s="31" t="n"/>
      <c r="J808" s="38" t="n"/>
      <c r="K808" s="32" t="n"/>
      <c r="L808" s="34">
        <f>IF(OR(A808="",D808=""),"",IF(D808&gt;Config!$B$5,0,DATEDIF(D808,Config!$B$5,"m")))</f>
        <v/>
      </c>
      <c r="M808" s="39">
        <f>IF(A808="","",IF(K808&lt;&gt;"",K808,IF(OR(C808="",D808=""),"Sem dados",IFERROR(IF(C808="M",INDEX(Config!$B$11:$B$14,MATCH(L808,Config!$A$11:$A$14,1)),IF(C808="F",INDEX(Config!$C$11:$C$14,MATCH(L808,Config!$A$11:$A$14,1)),"Sem dados")),"Verificar"))))</f>
        <v/>
      </c>
      <c r="N808" s="39">
        <f>IF(A808="","",IF(COUNTIFS('Movimentações'!$C$6:$C$1505,A808,'Movimentações'!$B$6:$B$1505,"Venda")&gt;0,"Vendido",IF(COUNTIFS('Movimentações'!$C$6:$C$1505,A808,'Movimentações'!$B$6:$B$1505,"Morte")&gt;0,"Morto","Ativo")))</f>
        <v/>
      </c>
      <c r="O808" s="40">
        <f>IF(A808="","",IF(COUNTIF('Pesagens'!$B$6:$B$2005,A808)=0,"",SUMPRODUCT(MAX(('Pesagens'!$B$6:$B$2005=A808)*'Pesagens'!$A$6:$A$2005))))</f>
        <v/>
      </c>
      <c r="P808" s="41">
        <f>IF(A808="","",IF(O808="",IF(J808="","",J808),IFERROR(AVERAGEIFS('Pesagens'!$C$6:$C$2005,'Pesagens'!$B$6:$B$2005,A808,'Pesagens'!$A$6:$A$2005,O808),"")))</f>
        <v/>
      </c>
      <c r="Q808" s="42">
        <f>IF(OR(A808="",O808="",I808="",J808=""),"",IFERROR((P808-J808)/(O808-I808),""))</f>
        <v/>
      </c>
    </row>
    <row r="809">
      <c r="A809" s="36" t="n"/>
      <c r="B809" s="32" t="n"/>
      <c r="C809" s="37" t="n"/>
      <c r="D809" s="31" t="n"/>
      <c r="E809" s="32" t="n"/>
      <c r="F809" s="32" t="n"/>
      <c r="G809" s="32" t="n"/>
      <c r="H809" s="36" t="n"/>
      <c r="I809" s="31" t="n"/>
      <c r="J809" s="38" t="n"/>
      <c r="K809" s="32" t="n"/>
      <c r="L809" s="34">
        <f>IF(OR(A809="",D809=""),"",IF(D809&gt;Config!$B$5,0,DATEDIF(D809,Config!$B$5,"m")))</f>
        <v/>
      </c>
      <c r="M809" s="39">
        <f>IF(A809="","",IF(K809&lt;&gt;"",K809,IF(OR(C809="",D809=""),"Sem dados",IFERROR(IF(C809="M",INDEX(Config!$B$11:$B$14,MATCH(L809,Config!$A$11:$A$14,1)),IF(C809="F",INDEX(Config!$C$11:$C$14,MATCH(L809,Config!$A$11:$A$14,1)),"Sem dados")),"Verificar"))))</f>
        <v/>
      </c>
      <c r="N809" s="39">
        <f>IF(A809="","",IF(COUNTIFS('Movimentações'!$C$6:$C$1505,A809,'Movimentações'!$B$6:$B$1505,"Venda")&gt;0,"Vendido",IF(COUNTIFS('Movimentações'!$C$6:$C$1505,A809,'Movimentações'!$B$6:$B$1505,"Morte")&gt;0,"Morto","Ativo")))</f>
        <v/>
      </c>
      <c r="O809" s="40">
        <f>IF(A809="","",IF(COUNTIF('Pesagens'!$B$6:$B$2005,A809)=0,"",SUMPRODUCT(MAX(('Pesagens'!$B$6:$B$2005=A809)*'Pesagens'!$A$6:$A$2005))))</f>
        <v/>
      </c>
      <c r="P809" s="41">
        <f>IF(A809="","",IF(O809="",IF(J809="","",J809),IFERROR(AVERAGEIFS('Pesagens'!$C$6:$C$2005,'Pesagens'!$B$6:$B$2005,A809,'Pesagens'!$A$6:$A$2005,O809),"")))</f>
        <v/>
      </c>
      <c r="Q809" s="42">
        <f>IF(OR(A809="",O809="",I809="",J809=""),"",IFERROR((P809-J809)/(O809-I809),""))</f>
        <v/>
      </c>
    </row>
    <row r="810">
      <c r="A810" s="36" t="n"/>
      <c r="B810" s="32" t="n"/>
      <c r="C810" s="37" t="n"/>
      <c r="D810" s="31" t="n"/>
      <c r="E810" s="32" t="n"/>
      <c r="F810" s="32" t="n"/>
      <c r="G810" s="32" t="n"/>
      <c r="H810" s="36" t="n"/>
      <c r="I810" s="31" t="n"/>
      <c r="J810" s="38" t="n"/>
      <c r="K810" s="32" t="n"/>
      <c r="L810" s="34">
        <f>IF(OR(A810="",D810=""),"",IF(D810&gt;Config!$B$5,0,DATEDIF(D810,Config!$B$5,"m")))</f>
        <v/>
      </c>
      <c r="M810" s="39">
        <f>IF(A810="","",IF(K810&lt;&gt;"",K810,IF(OR(C810="",D810=""),"Sem dados",IFERROR(IF(C810="M",INDEX(Config!$B$11:$B$14,MATCH(L810,Config!$A$11:$A$14,1)),IF(C810="F",INDEX(Config!$C$11:$C$14,MATCH(L810,Config!$A$11:$A$14,1)),"Sem dados")),"Verificar"))))</f>
        <v/>
      </c>
      <c r="N810" s="39">
        <f>IF(A810="","",IF(COUNTIFS('Movimentações'!$C$6:$C$1505,A810,'Movimentações'!$B$6:$B$1505,"Venda")&gt;0,"Vendido",IF(COUNTIFS('Movimentações'!$C$6:$C$1505,A810,'Movimentações'!$B$6:$B$1505,"Morte")&gt;0,"Morto","Ativo")))</f>
        <v/>
      </c>
      <c r="O810" s="40">
        <f>IF(A810="","",IF(COUNTIF('Pesagens'!$B$6:$B$2005,A810)=0,"",SUMPRODUCT(MAX(('Pesagens'!$B$6:$B$2005=A810)*'Pesagens'!$A$6:$A$2005))))</f>
        <v/>
      </c>
      <c r="P810" s="41">
        <f>IF(A810="","",IF(O810="",IF(J810="","",J810),IFERROR(AVERAGEIFS('Pesagens'!$C$6:$C$2005,'Pesagens'!$B$6:$B$2005,A810,'Pesagens'!$A$6:$A$2005,O810),"")))</f>
        <v/>
      </c>
      <c r="Q810" s="42">
        <f>IF(OR(A810="",O810="",I810="",J810=""),"",IFERROR((P810-J810)/(O810-I810),""))</f>
        <v/>
      </c>
    </row>
    <row r="811">
      <c r="A811" s="36" t="n"/>
      <c r="B811" s="32" t="n"/>
      <c r="C811" s="37" t="n"/>
      <c r="D811" s="31" t="n"/>
      <c r="E811" s="32" t="n"/>
      <c r="F811" s="32" t="n"/>
      <c r="G811" s="32" t="n"/>
      <c r="H811" s="36" t="n"/>
      <c r="I811" s="31" t="n"/>
      <c r="J811" s="38" t="n"/>
      <c r="K811" s="32" t="n"/>
      <c r="L811" s="34">
        <f>IF(OR(A811="",D811=""),"",IF(D811&gt;Config!$B$5,0,DATEDIF(D811,Config!$B$5,"m")))</f>
        <v/>
      </c>
      <c r="M811" s="39">
        <f>IF(A811="","",IF(K811&lt;&gt;"",K811,IF(OR(C811="",D811=""),"Sem dados",IFERROR(IF(C811="M",INDEX(Config!$B$11:$B$14,MATCH(L811,Config!$A$11:$A$14,1)),IF(C811="F",INDEX(Config!$C$11:$C$14,MATCH(L811,Config!$A$11:$A$14,1)),"Sem dados")),"Verificar"))))</f>
        <v/>
      </c>
      <c r="N811" s="39">
        <f>IF(A811="","",IF(COUNTIFS('Movimentações'!$C$6:$C$1505,A811,'Movimentações'!$B$6:$B$1505,"Venda")&gt;0,"Vendido",IF(COUNTIFS('Movimentações'!$C$6:$C$1505,A811,'Movimentações'!$B$6:$B$1505,"Morte")&gt;0,"Morto","Ativo")))</f>
        <v/>
      </c>
      <c r="O811" s="40">
        <f>IF(A811="","",IF(COUNTIF('Pesagens'!$B$6:$B$2005,A811)=0,"",SUMPRODUCT(MAX(('Pesagens'!$B$6:$B$2005=A811)*'Pesagens'!$A$6:$A$2005))))</f>
        <v/>
      </c>
      <c r="P811" s="41">
        <f>IF(A811="","",IF(O811="",IF(J811="","",J811),IFERROR(AVERAGEIFS('Pesagens'!$C$6:$C$2005,'Pesagens'!$B$6:$B$2005,A811,'Pesagens'!$A$6:$A$2005,O811),"")))</f>
        <v/>
      </c>
      <c r="Q811" s="42">
        <f>IF(OR(A811="",O811="",I811="",J811=""),"",IFERROR((P811-J811)/(O811-I811),""))</f>
        <v/>
      </c>
    </row>
    <row r="812">
      <c r="A812" s="36" t="n"/>
      <c r="B812" s="32" t="n"/>
      <c r="C812" s="37" t="n"/>
      <c r="D812" s="31" t="n"/>
      <c r="E812" s="32" t="n"/>
      <c r="F812" s="32" t="n"/>
      <c r="G812" s="32" t="n"/>
      <c r="H812" s="36" t="n"/>
      <c r="I812" s="31" t="n"/>
      <c r="J812" s="38" t="n"/>
      <c r="K812" s="32" t="n"/>
      <c r="L812" s="34">
        <f>IF(OR(A812="",D812=""),"",IF(D812&gt;Config!$B$5,0,DATEDIF(D812,Config!$B$5,"m")))</f>
        <v/>
      </c>
      <c r="M812" s="39">
        <f>IF(A812="","",IF(K812&lt;&gt;"",K812,IF(OR(C812="",D812=""),"Sem dados",IFERROR(IF(C812="M",INDEX(Config!$B$11:$B$14,MATCH(L812,Config!$A$11:$A$14,1)),IF(C812="F",INDEX(Config!$C$11:$C$14,MATCH(L812,Config!$A$11:$A$14,1)),"Sem dados")),"Verificar"))))</f>
        <v/>
      </c>
      <c r="N812" s="39">
        <f>IF(A812="","",IF(COUNTIFS('Movimentações'!$C$6:$C$1505,A812,'Movimentações'!$B$6:$B$1505,"Venda")&gt;0,"Vendido",IF(COUNTIFS('Movimentações'!$C$6:$C$1505,A812,'Movimentações'!$B$6:$B$1505,"Morte")&gt;0,"Morto","Ativo")))</f>
        <v/>
      </c>
      <c r="O812" s="40">
        <f>IF(A812="","",IF(COUNTIF('Pesagens'!$B$6:$B$2005,A812)=0,"",SUMPRODUCT(MAX(('Pesagens'!$B$6:$B$2005=A812)*'Pesagens'!$A$6:$A$2005))))</f>
        <v/>
      </c>
      <c r="P812" s="41">
        <f>IF(A812="","",IF(O812="",IF(J812="","",J812),IFERROR(AVERAGEIFS('Pesagens'!$C$6:$C$2005,'Pesagens'!$B$6:$B$2005,A812,'Pesagens'!$A$6:$A$2005,O812),"")))</f>
        <v/>
      </c>
      <c r="Q812" s="42">
        <f>IF(OR(A812="",O812="",I812="",J812=""),"",IFERROR((P812-J812)/(O812-I812),""))</f>
        <v/>
      </c>
    </row>
    <row r="813">
      <c r="A813" s="36" t="n"/>
      <c r="B813" s="32" t="n"/>
      <c r="C813" s="37" t="n"/>
      <c r="D813" s="31" t="n"/>
      <c r="E813" s="32" t="n"/>
      <c r="F813" s="32" t="n"/>
      <c r="G813" s="32" t="n"/>
      <c r="H813" s="36" t="n"/>
      <c r="I813" s="31" t="n"/>
      <c r="J813" s="38" t="n"/>
      <c r="K813" s="32" t="n"/>
      <c r="L813" s="34">
        <f>IF(OR(A813="",D813=""),"",IF(D813&gt;Config!$B$5,0,DATEDIF(D813,Config!$B$5,"m")))</f>
        <v/>
      </c>
      <c r="M813" s="39">
        <f>IF(A813="","",IF(K813&lt;&gt;"",K813,IF(OR(C813="",D813=""),"Sem dados",IFERROR(IF(C813="M",INDEX(Config!$B$11:$B$14,MATCH(L813,Config!$A$11:$A$14,1)),IF(C813="F",INDEX(Config!$C$11:$C$14,MATCH(L813,Config!$A$11:$A$14,1)),"Sem dados")),"Verificar"))))</f>
        <v/>
      </c>
      <c r="N813" s="39">
        <f>IF(A813="","",IF(COUNTIFS('Movimentações'!$C$6:$C$1505,A813,'Movimentações'!$B$6:$B$1505,"Venda")&gt;0,"Vendido",IF(COUNTIFS('Movimentações'!$C$6:$C$1505,A813,'Movimentações'!$B$6:$B$1505,"Morte")&gt;0,"Morto","Ativo")))</f>
        <v/>
      </c>
      <c r="O813" s="40">
        <f>IF(A813="","",IF(COUNTIF('Pesagens'!$B$6:$B$2005,A813)=0,"",SUMPRODUCT(MAX(('Pesagens'!$B$6:$B$2005=A813)*'Pesagens'!$A$6:$A$2005))))</f>
        <v/>
      </c>
      <c r="P813" s="41">
        <f>IF(A813="","",IF(O813="",IF(J813="","",J813),IFERROR(AVERAGEIFS('Pesagens'!$C$6:$C$2005,'Pesagens'!$B$6:$B$2005,A813,'Pesagens'!$A$6:$A$2005,O813),"")))</f>
        <v/>
      </c>
      <c r="Q813" s="42">
        <f>IF(OR(A813="",O813="",I813="",J813=""),"",IFERROR((P813-J813)/(O813-I813),""))</f>
        <v/>
      </c>
    </row>
    <row r="814">
      <c r="A814" s="36" t="n"/>
      <c r="B814" s="32" t="n"/>
      <c r="C814" s="37" t="n"/>
      <c r="D814" s="31" t="n"/>
      <c r="E814" s="32" t="n"/>
      <c r="F814" s="32" t="n"/>
      <c r="G814" s="32" t="n"/>
      <c r="H814" s="36" t="n"/>
      <c r="I814" s="31" t="n"/>
      <c r="J814" s="38" t="n"/>
      <c r="K814" s="32" t="n"/>
      <c r="L814" s="34">
        <f>IF(OR(A814="",D814=""),"",IF(D814&gt;Config!$B$5,0,DATEDIF(D814,Config!$B$5,"m")))</f>
        <v/>
      </c>
      <c r="M814" s="39">
        <f>IF(A814="","",IF(K814&lt;&gt;"",K814,IF(OR(C814="",D814=""),"Sem dados",IFERROR(IF(C814="M",INDEX(Config!$B$11:$B$14,MATCH(L814,Config!$A$11:$A$14,1)),IF(C814="F",INDEX(Config!$C$11:$C$14,MATCH(L814,Config!$A$11:$A$14,1)),"Sem dados")),"Verificar"))))</f>
        <v/>
      </c>
      <c r="N814" s="39">
        <f>IF(A814="","",IF(COUNTIFS('Movimentações'!$C$6:$C$1505,A814,'Movimentações'!$B$6:$B$1505,"Venda")&gt;0,"Vendido",IF(COUNTIFS('Movimentações'!$C$6:$C$1505,A814,'Movimentações'!$B$6:$B$1505,"Morte")&gt;0,"Morto","Ativo")))</f>
        <v/>
      </c>
      <c r="O814" s="40">
        <f>IF(A814="","",IF(COUNTIF('Pesagens'!$B$6:$B$2005,A814)=0,"",SUMPRODUCT(MAX(('Pesagens'!$B$6:$B$2005=A814)*'Pesagens'!$A$6:$A$2005))))</f>
        <v/>
      </c>
      <c r="P814" s="41">
        <f>IF(A814="","",IF(O814="",IF(J814="","",J814),IFERROR(AVERAGEIFS('Pesagens'!$C$6:$C$2005,'Pesagens'!$B$6:$B$2005,A814,'Pesagens'!$A$6:$A$2005,O814),"")))</f>
        <v/>
      </c>
      <c r="Q814" s="42">
        <f>IF(OR(A814="",O814="",I814="",J814=""),"",IFERROR((P814-J814)/(O814-I814),""))</f>
        <v/>
      </c>
    </row>
    <row r="815">
      <c r="A815" s="36" t="n"/>
      <c r="B815" s="32" t="n"/>
      <c r="C815" s="37" t="n"/>
      <c r="D815" s="31" t="n"/>
      <c r="E815" s="32" t="n"/>
      <c r="F815" s="32" t="n"/>
      <c r="G815" s="32" t="n"/>
      <c r="H815" s="36" t="n"/>
      <c r="I815" s="31" t="n"/>
      <c r="J815" s="38" t="n"/>
      <c r="K815" s="32" t="n"/>
      <c r="L815" s="34">
        <f>IF(OR(A815="",D815=""),"",IF(D815&gt;Config!$B$5,0,DATEDIF(D815,Config!$B$5,"m")))</f>
        <v/>
      </c>
      <c r="M815" s="39">
        <f>IF(A815="","",IF(K815&lt;&gt;"",K815,IF(OR(C815="",D815=""),"Sem dados",IFERROR(IF(C815="M",INDEX(Config!$B$11:$B$14,MATCH(L815,Config!$A$11:$A$14,1)),IF(C815="F",INDEX(Config!$C$11:$C$14,MATCH(L815,Config!$A$11:$A$14,1)),"Sem dados")),"Verificar"))))</f>
        <v/>
      </c>
      <c r="N815" s="39">
        <f>IF(A815="","",IF(COUNTIFS('Movimentações'!$C$6:$C$1505,A815,'Movimentações'!$B$6:$B$1505,"Venda")&gt;0,"Vendido",IF(COUNTIFS('Movimentações'!$C$6:$C$1505,A815,'Movimentações'!$B$6:$B$1505,"Morte")&gt;0,"Morto","Ativo")))</f>
        <v/>
      </c>
      <c r="O815" s="40">
        <f>IF(A815="","",IF(COUNTIF('Pesagens'!$B$6:$B$2005,A815)=0,"",SUMPRODUCT(MAX(('Pesagens'!$B$6:$B$2005=A815)*'Pesagens'!$A$6:$A$2005))))</f>
        <v/>
      </c>
      <c r="P815" s="41">
        <f>IF(A815="","",IF(O815="",IF(J815="","",J815),IFERROR(AVERAGEIFS('Pesagens'!$C$6:$C$2005,'Pesagens'!$B$6:$B$2005,A815,'Pesagens'!$A$6:$A$2005,O815),"")))</f>
        <v/>
      </c>
      <c r="Q815" s="42">
        <f>IF(OR(A815="",O815="",I815="",J815=""),"",IFERROR((P815-J815)/(O815-I815),""))</f>
        <v/>
      </c>
    </row>
    <row r="816">
      <c r="A816" s="36" t="n"/>
      <c r="B816" s="32" t="n"/>
      <c r="C816" s="37" t="n"/>
      <c r="D816" s="31" t="n"/>
      <c r="E816" s="32" t="n"/>
      <c r="F816" s="32" t="n"/>
      <c r="G816" s="32" t="n"/>
      <c r="H816" s="36" t="n"/>
      <c r="I816" s="31" t="n"/>
      <c r="J816" s="38" t="n"/>
      <c r="K816" s="32" t="n"/>
      <c r="L816" s="34">
        <f>IF(OR(A816="",D816=""),"",IF(D816&gt;Config!$B$5,0,DATEDIF(D816,Config!$B$5,"m")))</f>
        <v/>
      </c>
      <c r="M816" s="39">
        <f>IF(A816="","",IF(K816&lt;&gt;"",K816,IF(OR(C816="",D816=""),"Sem dados",IFERROR(IF(C816="M",INDEX(Config!$B$11:$B$14,MATCH(L816,Config!$A$11:$A$14,1)),IF(C816="F",INDEX(Config!$C$11:$C$14,MATCH(L816,Config!$A$11:$A$14,1)),"Sem dados")),"Verificar"))))</f>
        <v/>
      </c>
      <c r="N816" s="39">
        <f>IF(A816="","",IF(COUNTIFS('Movimentações'!$C$6:$C$1505,A816,'Movimentações'!$B$6:$B$1505,"Venda")&gt;0,"Vendido",IF(COUNTIFS('Movimentações'!$C$6:$C$1505,A816,'Movimentações'!$B$6:$B$1505,"Morte")&gt;0,"Morto","Ativo")))</f>
        <v/>
      </c>
      <c r="O816" s="40">
        <f>IF(A816="","",IF(COUNTIF('Pesagens'!$B$6:$B$2005,A816)=0,"",SUMPRODUCT(MAX(('Pesagens'!$B$6:$B$2005=A816)*'Pesagens'!$A$6:$A$2005))))</f>
        <v/>
      </c>
      <c r="P816" s="41">
        <f>IF(A816="","",IF(O816="",IF(J816="","",J816),IFERROR(AVERAGEIFS('Pesagens'!$C$6:$C$2005,'Pesagens'!$B$6:$B$2005,A816,'Pesagens'!$A$6:$A$2005,O816),"")))</f>
        <v/>
      </c>
      <c r="Q816" s="42">
        <f>IF(OR(A816="",O816="",I816="",J816=""),"",IFERROR((P816-J816)/(O816-I816),""))</f>
        <v/>
      </c>
    </row>
    <row r="817">
      <c r="A817" s="36" t="n"/>
      <c r="B817" s="32" t="n"/>
      <c r="C817" s="37" t="n"/>
      <c r="D817" s="31" t="n"/>
      <c r="E817" s="32" t="n"/>
      <c r="F817" s="32" t="n"/>
      <c r="G817" s="32" t="n"/>
      <c r="H817" s="36" t="n"/>
      <c r="I817" s="31" t="n"/>
      <c r="J817" s="38" t="n"/>
      <c r="K817" s="32" t="n"/>
      <c r="L817" s="34">
        <f>IF(OR(A817="",D817=""),"",IF(D817&gt;Config!$B$5,0,DATEDIF(D817,Config!$B$5,"m")))</f>
        <v/>
      </c>
      <c r="M817" s="39">
        <f>IF(A817="","",IF(K817&lt;&gt;"",K817,IF(OR(C817="",D817=""),"Sem dados",IFERROR(IF(C817="M",INDEX(Config!$B$11:$B$14,MATCH(L817,Config!$A$11:$A$14,1)),IF(C817="F",INDEX(Config!$C$11:$C$14,MATCH(L817,Config!$A$11:$A$14,1)),"Sem dados")),"Verificar"))))</f>
        <v/>
      </c>
      <c r="N817" s="39">
        <f>IF(A817="","",IF(COUNTIFS('Movimentações'!$C$6:$C$1505,A817,'Movimentações'!$B$6:$B$1505,"Venda")&gt;0,"Vendido",IF(COUNTIFS('Movimentações'!$C$6:$C$1505,A817,'Movimentações'!$B$6:$B$1505,"Morte")&gt;0,"Morto","Ativo")))</f>
        <v/>
      </c>
      <c r="O817" s="40">
        <f>IF(A817="","",IF(COUNTIF('Pesagens'!$B$6:$B$2005,A817)=0,"",SUMPRODUCT(MAX(('Pesagens'!$B$6:$B$2005=A817)*'Pesagens'!$A$6:$A$2005))))</f>
        <v/>
      </c>
      <c r="P817" s="41">
        <f>IF(A817="","",IF(O817="",IF(J817="","",J817),IFERROR(AVERAGEIFS('Pesagens'!$C$6:$C$2005,'Pesagens'!$B$6:$B$2005,A817,'Pesagens'!$A$6:$A$2005,O817),"")))</f>
        <v/>
      </c>
      <c r="Q817" s="42">
        <f>IF(OR(A817="",O817="",I817="",J817=""),"",IFERROR((P817-J817)/(O817-I817),""))</f>
        <v/>
      </c>
    </row>
    <row r="818">
      <c r="A818" s="36" t="n"/>
      <c r="B818" s="32" t="n"/>
      <c r="C818" s="37" t="n"/>
      <c r="D818" s="31" t="n"/>
      <c r="E818" s="32" t="n"/>
      <c r="F818" s="32" t="n"/>
      <c r="G818" s="32" t="n"/>
      <c r="H818" s="36" t="n"/>
      <c r="I818" s="31" t="n"/>
      <c r="J818" s="38" t="n"/>
      <c r="K818" s="32" t="n"/>
      <c r="L818" s="34">
        <f>IF(OR(A818="",D818=""),"",IF(D818&gt;Config!$B$5,0,DATEDIF(D818,Config!$B$5,"m")))</f>
        <v/>
      </c>
      <c r="M818" s="39">
        <f>IF(A818="","",IF(K818&lt;&gt;"",K818,IF(OR(C818="",D818=""),"Sem dados",IFERROR(IF(C818="M",INDEX(Config!$B$11:$B$14,MATCH(L818,Config!$A$11:$A$14,1)),IF(C818="F",INDEX(Config!$C$11:$C$14,MATCH(L818,Config!$A$11:$A$14,1)),"Sem dados")),"Verificar"))))</f>
        <v/>
      </c>
      <c r="N818" s="39">
        <f>IF(A818="","",IF(COUNTIFS('Movimentações'!$C$6:$C$1505,A818,'Movimentações'!$B$6:$B$1505,"Venda")&gt;0,"Vendido",IF(COUNTIFS('Movimentações'!$C$6:$C$1505,A818,'Movimentações'!$B$6:$B$1505,"Morte")&gt;0,"Morto","Ativo")))</f>
        <v/>
      </c>
      <c r="O818" s="40">
        <f>IF(A818="","",IF(COUNTIF('Pesagens'!$B$6:$B$2005,A818)=0,"",SUMPRODUCT(MAX(('Pesagens'!$B$6:$B$2005=A818)*'Pesagens'!$A$6:$A$2005))))</f>
        <v/>
      </c>
      <c r="P818" s="41">
        <f>IF(A818="","",IF(O818="",IF(J818="","",J818),IFERROR(AVERAGEIFS('Pesagens'!$C$6:$C$2005,'Pesagens'!$B$6:$B$2005,A818,'Pesagens'!$A$6:$A$2005,O818),"")))</f>
        <v/>
      </c>
      <c r="Q818" s="42">
        <f>IF(OR(A818="",O818="",I818="",J818=""),"",IFERROR((P818-J818)/(O818-I818),""))</f>
        <v/>
      </c>
    </row>
    <row r="819">
      <c r="A819" s="36" t="n"/>
      <c r="B819" s="32" t="n"/>
      <c r="C819" s="37" t="n"/>
      <c r="D819" s="31" t="n"/>
      <c r="E819" s="32" t="n"/>
      <c r="F819" s="32" t="n"/>
      <c r="G819" s="32" t="n"/>
      <c r="H819" s="36" t="n"/>
      <c r="I819" s="31" t="n"/>
      <c r="J819" s="38" t="n"/>
      <c r="K819" s="32" t="n"/>
      <c r="L819" s="34">
        <f>IF(OR(A819="",D819=""),"",IF(D819&gt;Config!$B$5,0,DATEDIF(D819,Config!$B$5,"m")))</f>
        <v/>
      </c>
      <c r="M819" s="39">
        <f>IF(A819="","",IF(K819&lt;&gt;"",K819,IF(OR(C819="",D819=""),"Sem dados",IFERROR(IF(C819="M",INDEX(Config!$B$11:$B$14,MATCH(L819,Config!$A$11:$A$14,1)),IF(C819="F",INDEX(Config!$C$11:$C$14,MATCH(L819,Config!$A$11:$A$14,1)),"Sem dados")),"Verificar"))))</f>
        <v/>
      </c>
      <c r="N819" s="39">
        <f>IF(A819="","",IF(COUNTIFS('Movimentações'!$C$6:$C$1505,A819,'Movimentações'!$B$6:$B$1505,"Venda")&gt;0,"Vendido",IF(COUNTIFS('Movimentações'!$C$6:$C$1505,A819,'Movimentações'!$B$6:$B$1505,"Morte")&gt;0,"Morto","Ativo")))</f>
        <v/>
      </c>
      <c r="O819" s="40">
        <f>IF(A819="","",IF(COUNTIF('Pesagens'!$B$6:$B$2005,A819)=0,"",SUMPRODUCT(MAX(('Pesagens'!$B$6:$B$2005=A819)*'Pesagens'!$A$6:$A$2005))))</f>
        <v/>
      </c>
      <c r="P819" s="41">
        <f>IF(A819="","",IF(O819="",IF(J819="","",J819),IFERROR(AVERAGEIFS('Pesagens'!$C$6:$C$2005,'Pesagens'!$B$6:$B$2005,A819,'Pesagens'!$A$6:$A$2005,O819),"")))</f>
        <v/>
      </c>
      <c r="Q819" s="42">
        <f>IF(OR(A819="",O819="",I819="",J819=""),"",IFERROR((P819-J819)/(O819-I819),""))</f>
        <v/>
      </c>
    </row>
    <row r="820">
      <c r="A820" s="36" t="n"/>
      <c r="B820" s="32" t="n"/>
      <c r="C820" s="37" t="n"/>
      <c r="D820" s="31" t="n"/>
      <c r="E820" s="32" t="n"/>
      <c r="F820" s="32" t="n"/>
      <c r="G820" s="32" t="n"/>
      <c r="H820" s="36" t="n"/>
      <c r="I820" s="31" t="n"/>
      <c r="J820" s="38" t="n"/>
      <c r="K820" s="32" t="n"/>
      <c r="L820" s="34">
        <f>IF(OR(A820="",D820=""),"",IF(D820&gt;Config!$B$5,0,DATEDIF(D820,Config!$B$5,"m")))</f>
        <v/>
      </c>
      <c r="M820" s="39">
        <f>IF(A820="","",IF(K820&lt;&gt;"",K820,IF(OR(C820="",D820=""),"Sem dados",IFERROR(IF(C820="M",INDEX(Config!$B$11:$B$14,MATCH(L820,Config!$A$11:$A$14,1)),IF(C820="F",INDEX(Config!$C$11:$C$14,MATCH(L820,Config!$A$11:$A$14,1)),"Sem dados")),"Verificar"))))</f>
        <v/>
      </c>
      <c r="N820" s="39">
        <f>IF(A820="","",IF(COUNTIFS('Movimentações'!$C$6:$C$1505,A820,'Movimentações'!$B$6:$B$1505,"Venda")&gt;0,"Vendido",IF(COUNTIFS('Movimentações'!$C$6:$C$1505,A820,'Movimentações'!$B$6:$B$1505,"Morte")&gt;0,"Morto","Ativo")))</f>
        <v/>
      </c>
      <c r="O820" s="40">
        <f>IF(A820="","",IF(COUNTIF('Pesagens'!$B$6:$B$2005,A820)=0,"",SUMPRODUCT(MAX(('Pesagens'!$B$6:$B$2005=A820)*'Pesagens'!$A$6:$A$2005))))</f>
        <v/>
      </c>
      <c r="P820" s="41">
        <f>IF(A820="","",IF(O820="",IF(J820="","",J820),IFERROR(AVERAGEIFS('Pesagens'!$C$6:$C$2005,'Pesagens'!$B$6:$B$2005,A820,'Pesagens'!$A$6:$A$2005,O820),"")))</f>
        <v/>
      </c>
      <c r="Q820" s="42">
        <f>IF(OR(A820="",O820="",I820="",J820=""),"",IFERROR((P820-J820)/(O820-I820),""))</f>
        <v/>
      </c>
    </row>
    <row r="821">
      <c r="A821" s="36" t="n"/>
      <c r="B821" s="32" t="n"/>
      <c r="C821" s="37" t="n"/>
      <c r="D821" s="31" t="n"/>
      <c r="E821" s="32" t="n"/>
      <c r="F821" s="32" t="n"/>
      <c r="G821" s="32" t="n"/>
      <c r="H821" s="36" t="n"/>
      <c r="I821" s="31" t="n"/>
      <c r="J821" s="38" t="n"/>
      <c r="K821" s="32" t="n"/>
      <c r="L821" s="34">
        <f>IF(OR(A821="",D821=""),"",IF(D821&gt;Config!$B$5,0,DATEDIF(D821,Config!$B$5,"m")))</f>
        <v/>
      </c>
      <c r="M821" s="39">
        <f>IF(A821="","",IF(K821&lt;&gt;"",K821,IF(OR(C821="",D821=""),"Sem dados",IFERROR(IF(C821="M",INDEX(Config!$B$11:$B$14,MATCH(L821,Config!$A$11:$A$14,1)),IF(C821="F",INDEX(Config!$C$11:$C$14,MATCH(L821,Config!$A$11:$A$14,1)),"Sem dados")),"Verificar"))))</f>
        <v/>
      </c>
      <c r="N821" s="39">
        <f>IF(A821="","",IF(COUNTIFS('Movimentações'!$C$6:$C$1505,A821,'Movimentações'!$B$6:$B$1505,"Venda")&gt;0,"Vendido",IF(COUNTIFS('Movimentações'!$C$6:$C$1505,A821,'Movimentações'!$B$6:$B$1505,"Morte")&gt;0,"Morto","Ativo")))</f>
        <v/>
      </c>
      <c r="O821" s="40">
        <f>IF(A821="","",IF(COUNTIF('Pesagens'!$B$6:$B$2005,A821)=0,"",SUMPRODUCT(MAX(('Pesagens'!$B$6:$B$2005=A821)*'Pesagens'!$A$6:$A$2005))))</f>
        <v/>
      </c>
      <c r="P821" s="41">
        <f>IF(A821="","",IF(O821="",IF(J821="","",J821),IFERROR(AVERAGEIFS('Pesagens'!$C$6:$C$2005,'Pesagens'!$B$6:$B$2005,A821,'Pesagens'!$A$6:$A$2005,O821),"")))</f>
        <v/>
      </c>
      <c r="Q821" s="42">
        <f>IF(OR(A821="",O821="",I821="",J821=""),"",IFERROR((P821-J821)/(O821-I821),""))</f>
        <v/>
      </c>
    </row>
    <row r="822">
      <c r="A822" s="36" t="n"/>
      <c r="B822" s="32" t="n"/>
      <c r="C822" s="37" t="n"/>
      <c r="D822" s="31" t="n"/>
      <c r="E822" s="32" t="n"/>
      <c r="F822" s="32" t="n"/>
      <c r="G822" s="32" t="n"/>
      <c r="H822" s="36" t="n"/>
      <c r="I822" s="31" t="n"/>
      <c r="J822" s="38" t="n"/>
      <c r="K822" s="32" t="n"/>
      <c r="L822" s="34">
        <f>IF(OR(A822="",D822=""),"",IF(D822&gt;Config!$B$5,0,DATEDIF(D822,Config!$B$5,"m")))</f>
        <v/>
      </c>
      <c r="M822" s="39">
        <f>IF(A822="","",IF(K822&lt;&gt;"",K822,IF(OR(C822="",D822=""),"Sem dados",IFERROR(IF(C822="M",INDEX(Config!$B$11:$B$14,MATCH(L822,Config!$A$11:$A$14,1)),IF(C822="F",INDEX(Config!$C$11:$C$14,MATCH(L822,Config!$A$11:$A$14,1)),"Sem dados")),"Verificar"))))</f>
        <v/>
      </c>
      <c r="N822" s="39">
        <f>IF(A822="","",IF(COUNTIFS('Movimentações'!$C$6:$C$1505,A822,'Movimentações'!$B$6:$B$1505,"Venda")&gt;0,"Vendido",IF(COUNTIFS('Movimentações'!$C$6:$C$1505,A822,'Movimentações'!$B$6:$B$1505,"Morte")&gt;0,"Morto","Ativo")))</f>
        <v/>
      </c>
      <c r="O822" s="40">
        <f>IF(A822="","",IF(COUNTIF('Pesagens'!$B$6:$B$2005,A822)=0,"",SUMPRODUCT(MAX(('Pesagens'!$B$6:$B$2005=A822)*'Pesagens'!$A$6:$A$2005))))</f>
        <v/>
      </c>
      <c r="P822" s="41">
        <f>IF(A822="","",IF(O822="",IF(J822="","",J822),IFERROR(AVERAGEIFS('Pesagens'!$C$6:$C$2005,'Pesagens'!$B$6:$B$2005,A822,'Pesagens'!$A$6:$A$2005,O822),"")))</f>
        <v/>
      </c>
      <c r="Q822" s="42">
        <f>IF(OR(A822="",O822="",I822="",J822=""),"",IFERROR((P822-J822)/(O822-I822),""))</f>
        <v/>
      </c>
    </row>
    <row r="823">
      <c r="A823" s="36" t="n"/>
      <c r="B823" s="32" t="n"/>
      <c r="C823" s="37" t="n"/>
      <c r="D823" s="31" t="n"/>
      <c r="E823" s="32" t="n"/>
      <c r="F823" s="32" t="n"/>
      <c r="G823" s="32" t="n"/>
      <c r="H823" s="36" t="n"/>
      <c r="I823" s="31" t="n"/>
      <c r="J823" s="38" t="n"/>
      <c r="K823" s="32" t="n"/>
      <c r="L823" s="34">
        <f>IF(OR(A823="",D823=""),"",IF(D823&gt;Config!$B$5,0,DATEDIF(D823,Config!$B$5,"m")))</f>
        <v/>
      </c>
      <c r="M823" s="39">
        <f>IF(A823="","",IF(K823&lt;&gt;"",K823,IF(OR(C823="",D823=""),"Sem dados",IFERROR(IF(C823="M",INDEX(Config!$B$11:$B$14,MATCH(L823,Config!$A$11:$A$14,1)),IF(C823="F",INDEX(Config!$C$11:$C$14,MATCH(L823,Config!$A$11:$A$14,1)),"Sem dados")),"Verificar"))))</f>
        <v/>
      </c>
      <c r="N823" s="39">
        <f>IF(A823="","",IF(COUNTIFS('Movimentações'!$C$6:$C$1505,A823,'Movimentações'!$B$6:$B$1505,"Venda")&gt;0,"Vendido",IF(COUNTIFS('Movimentações'!$C$6:$C$1505,A823,'Movimentações'!$B$6:$B$1505,"Morte")&gt;0,"Morto","Ativo")))</f>
        <v/>
      </c>
      <c r="O823" s="40">
        <f>IF(A823="","",IF(COUNTIF('Pesagens'!$B$6:$B$2005,A823)=0,"",SUMPRODUCT(MAX(('Pesagens'!$B$6:$B$2005=A823)*'Pesagens'!$A$6:$A$2005))))</f>
        <v/>
      </c>
      <c r="P823" s="41">
        <f>IF(A823="","",IF(O823="",IF(J823="","",J823),IFERROR(AVERAGEIFS('Pesagens'!$C$6:$C$2005,'Pesagens'!$B$6:$B$2005,A823,'Pesagens'!$A$6:$A$2005,O823),"")))</f>
        <v/>
      </c>
      <c r="Q823" s="42">
        <f>IF(OR(A823="",O823="",I823="",J823=""),"",IFERROR((P823-J823)/(O823-I823),""))</f>
        <v/>
      </c>
    </row>
    <row r="824">
      <c r="A824" s="36" t="n"/>
      <c r="B824" s="32" t="n"/>
      <c r="C824" s="37" t="n"/>
      <c r="D824" s="31" t="n"/>
      <c r="E824" s="32" t="n"/>
      <c r="F824" s="32" t="n"/>
      <c r="G824" s="32" t="n"/>
      <c r="H824" s="36" t="n"/>
      <c r="I824" s="31" t="n"/>
      <c r="J824" s="38" t="n"/>
      <c r="K824" s="32" t="n"/>
      <c r="L824" s="34">
        <f>IF(OR(A824="",D824=""),"",IF(D824&gt;Config!$B$5,0,DATEDIF(D824,Config!$B$5,"m")))</f>
        <v/>
      </c>
      <c r="M824" s="39">
        <f>IF(A824="","",IF(K824&lt;&gt;"",K824,IF(OR(C824="",D824=""),"Sem dados",IFERROR(IF(C824="M",INDEX(Config!$B$11:$B$14,MATCH(L824,Config!$A$11:$A$14,1)),IF(C824="F",INDEX(Config!$C$11:$C$14,MATCH(L824,Config!$A$11:$A$14,1)),"Sem dados")),"Verificar"))))</f>
        <v/>
      </c>
      <c r="N824" s="39">
        <f>IF(A824="","",IF(COUNTIFS('Movimentações'!$C$6:$C$1505,A824,'Movimentações'!$B$6:$B$1505,"Venda")&gt;0,"Vendido",IF(COUNTIFS('Movimentações'!$C$6:$C$1505,A824,'Movimentações'!$B$6:$B$1505,"Morte")&gt;0,"Morto","Ativo")))</f>
        <v/>
      </c>
      <c r="O824" s="40">
        <f>IF(A824="","",IF(COUNTIF('Pesagens'!$B$6:$B$2005,A824)=0,"",SUMPRODUCT(MAX(('Pesagens'!$B$6:$B$2005=A824)*'Pesagens'!$A$6:$A$2005))))</f>
        <v/>
      </c>
      <c r="P824" s="41">
        <f>IF(A824="","",IF(O824="",IF(J824="","",J824),IFERROR(AVERAGEIFS('Pesagens'!$C$6:$C$2005,'Pesagens'!$B$6:$B$2005,A824,'Pesagens'!$A$6:$A$2005,O824),"")))</f>
        <v/>
      </c>
      <c r="Q824" s="42">
        <f>IF(OR(A824="",O824="",I824="",J824=""),"",IFERROR((P824-J824)/(O824-I824),""))</f>
        <v/>
      </c>
    </row>
    <row r="825">
      <c r="A825" s="36" t="n"/>
      <c r="B825" s="32" t="n"/>
      <c r="C825" s="37" t="n"/>
      <c r="D825" s="31" t="n"/>
      <c r="E825" s="32" t="n"/>
      <c r="F825" s="32" t="n"/>
      <c r="G825" s="32" t="n"/>
      <c r="H825" s="36" t="n"/>
      <c r="I825" s="31" t="n"/>
      <c r="J825" s="38" t="n"/>
      <c r="K825" s="32" t="n"/>
      <c r="L825" s="34">
        <f>IF(OR(A825="",D825=""),"",IF(D825&gt;Config!$B$5,0,DATEDIF(D825,Config!$B$5,"m")))</f>
        <v/>
      </c>
      <c r="M825" s="39">
        <f>IF(A825="","",IF(K825&lt;&gt;"",K825,IF(OR(C825="",D825=""),"Sem dados",IFERROR(IF(C825="M",INDEX(Config!$B$11:$B$14,MATCH(L825,Config!$A$11:$A$14,1)),IF(C825="F",INDEX(Config!$C$11:$C$14,MATCH(L825,Config!$A$11:$A$14,1)),"Sem dados")),"Verificar"))))</f>
        <v/>
      </c>
      <c r="N825" s="39">
        <f>IF(A825="","",IF(COUNTIFS('Movimentações'!$C$6:$C$1505,A825,'Movimentações'!$B$6:$B$1505,"Venda")&gt;0,"Vendido",IF(COUNTIFS('Movimentações'!$C$6:$C$1505,A825,'Movimentações'!$B$6:$B$1505,"Morte")&gt;0,"Morto","Ativo")))</f>
        <v/>
      </c>
      <c r="O825" s="40">
        <f>IF(A825="","",IF(COUNTIF('Pesagens'!$B$6:$B$2005,A825)=0,"",SUMPRODUCT(MAX(('Pesagens'!$B$6:$B$2005=A825)*'Pesagens'!$A$6:$A$2005))))</f>
        <v/>
      </c>
      <c r="P825" s="41">
        <f>IF(A825="","",IF(O825="",IF(J825="","",J825),IFERROR(AVERAGEIFS('Pesagens'!$C$6:$C$2005,'Pesagens'!$B$6:$B$2005,A825,'Pesagens'!$A$6:$A$2005,O825),"")))</f>
        <v/>
      </c>
      <c r="Q825" s="42">
        <f>IF(OR(A825="",O825="",I825="",J825=""),"",IFERROR((P825-J825)/(O825-I825),""))</f>
        <v/>
      </c>
    </row>
    <row r="826">
      <c r="A826" s="36" t="n"/>
      <c r="B826" s="32" t="n"/>
      <c r="C826" s="37" t="n"/>
      <c r="D826" s="31" t="n"/>
      <c r="E826" s="32" t="n"/>
      <c r="F826" s="32" t="n"/>
      <c r="G826" s="32" t="n"/>
      <c r="H826" s="36" t="n"/>
      <c r="I826" s="31" t="n"/>
      <c r="J826" s="38" t="n"/>
      <c r="K826" s="32" t="n"/>
      <c r="L826" s="34">
        <f>IF(OR(A826="",D826=""),"",IF(D826&gt;Config!$B$5,0,DATEDIF(D826,Config!$B$5,"m")))</f>
        <v/>
      </c>
      <c r="M826" s="39">
        <f>IF(A826="","",IF(K826&lt;&gt;"",K826,IF(OR(C826="",D826=""),"Sem dados",IFERROR(IF(C826="M",INDEX(Config!$B$11:$B$14,MATCH(L826,Config!$A$11:$A$14,1)),IF(C826="F",INDEX(Config!$C$11:$C$14,MATCH(L826,Config!$A$11:$A$14,1)),"Sem dados")),"Verificar"))))</f>
        <v/>
      </c>
      <c r="N826" s="39">
        <f>IF(A826="","",IF(COUNTIFS('Movimentações'!$C$6:$C$1505,A826,'Movimentações'!$B$6:$B$1505,"Venda")&gt;0,"Vendido",IF(COUNTIFS('Movimentações'!$C$6:$C$1505,A826,'Movimentações'!$B$6:$B$1505,"Morte")&gt;0,"Morto","Ativo")))</f>
        <v/>
      </c>
      <c r="O826" s="40">
        <f>IF(A826="","",IF(COUNTIF('Pesagens'!$B$6:$B$2005,A826)=0,"",SUMPRODUCT(MAX(('Pesagens'!$B$6:$B$2005=A826)*'Pesagens'!$A$6:$A$2005))))</f>
        <v/>
      </c>
      <c r="P826" s="41">
        <f>IF(A826="","",IF(O826="",IF(J826="","",J826),IFERROR(AVERAGEIFS('Pesagens'!$C$6:$C$2005,'Pesagens'!$B$6:$B$2005,A826,'Pesagens'!$A$6:$A$2005,O826),"")))</f>
        <v/>
      </c>
      <c r="Q826" s="42">
        <f>IF(OR(A826="",O826="",I826="",J826=""),"",IFERROR((P826-J826)/(O826-I826),""))</f>
        <v/>
      </c>
    </row>
    <row r="827">
      <c r="A827" s="36" t="n"/>
      <c r="B827" s="32" t="n"/>
      <c r="C827" s="37" t="n"/>
      <c r="D827" s="31" t="n"/>
      <c r="E827" s="32" t="n"/>
      <c r="F827" s="32" t="n"/>
      <c r="G827" s="32" t="n"/>
      <c r="H827" s="36" t="n"/>
      <c r="I827" s="31" t="n"/>
      <c r="J827" s="38" t="n"/>
      <c r="K827" s="32" t="n"/>
      <c r="L827" s="34">
        <f>IF(OR(A827="",D827=""),"",IF(D827&gt;Config!$B$5,0,DATEDIF(D827,Config!$B$5,"m")))</f>
        <v/>
      </c>
      <c r="M827" s="39">
        <f>IF(A827="","",IF(K827&lt;&gt;"",K827,IF(OR(C827="",D827=""),"Sem dados",IFERROR(IF(C827="M",INDEX(Config!$B$11:$B$14,MATCH(L827,Config!$A$11:$A$14,1)),IF(C827="F",INDEX(Config!$C$11:$C$14,MATCH(L827,Config!$A$11:$A$14,1)),"Sem dados")),"Verificar"))))</f>
        <v/>
      </c>
      <c r="N827" s="39">
        <f>IF(A827="","",IF(COUNTIFS('Movimentações'!$C$6:$C$1505,A827,'Movimentações'!$B$6:$B$1505,"Venda")&gt;0,"Vendido",IF(COUNTIFS('Movimentações'!$C$6:$C$1505,A827,'Movimentações'!$B$6:$B$1505,"Morte")&gt;0,"Morto","Ativo")))</f>
        <v/>
      </c>
      <c r="O827" s="40">
        <f>IF(A827="","",IF(COUNTIF('Pesagens'!$B$6:$B$2005,A827)=0,"",SUMPRODUCT(MAX(('Pesagens'!$B$6:$B$2005=A827)*'Pesagens'!$A$6:$A$2005))))</f>
        <v/>
      </c>
      <c r="P827" s="41">
        <f>IF(A827="","",IF(O827="",IF(J827="","",J827),IFERROR(AVERAGEIFS('Pesagens'!$C$6:$C$2005,'Pesagens'!$B$6:$B$2005,A827,'Pesagens'!$A$6:$A$2005,O827),"")))</f>
        <v/>
      </c>
      <c r="Q827" s="42">
        <f>IF(OR(A827="",O827="",I827="",J827=""),"",IFERROR((P827-J827)/(O827-I827),""))</f>
        <v/>
      </c>
    </row>
    <row r="828">
      <c r="A828" s="36" t="n"/>
      <c r="B828" s="32" t="n"/>
      <c r="C828" s="37" t="n"/>
      <c r="D828" s="31" t="n"/>
      <c r="E828" s="32" t="n"/>
      <c r="F828" s="32" t="n"/>
      <c r="G828" s="32" t="n"/>
      <c r="H828" s="36" t="n"/>
      <c r="I828" s="31" t="n"/>
      <c r="J828" s="38" t="n"/>
      <c r="K828" s="32" t="n"/>
      <c r="L828" s="34">
        <f>IF(OR(A828="",D828=""),"",IF(D828&gt;Config!$B$5,0,DATEDIF(D828,Config!$B$5,"m")))</f>
        <v/>
      </c>
      <c r="M828" s="39">
        <f>IF(A828="","",IF(K828&lt;&gt;"",K828,IF(OR(C828="",D828=""),"Sem dados",IFERROR(IF(C828="M",INDEX(Config!$B$11:$B$14,MATCH(L828,Config!$A$11:$A$14,1)),IF(C828="F",INDEX(Config!$C$11:$C$14,MATCH(L828,Config!$A$11:$A$14,1)),"Sem dados")),"Verificar"))))</f>
        <v/>
      </c>
      <c r="N828" s="39">
        <f>IF(A828="","",IF(COUNTIFS('Movimentações'!$C$6:$C$1505,A828,'Movimentações'!$B$6:$B$1505,"Venda")&gt;0,"Vendido",IF(COUNTIFS('Movimentações'!$C$6:$C$1505,A828,'Movimentações'!$B$6:$B$1505,"Morte")&gt;0,"Morto","Ativo")))</f>
        <v/>
      </c>
      <c r="O828" s="40">
        <f>IF(A828="","",IF(COUNTIF('Pesagens'!$B$6:$B$2005,A828)=0,"",SUMPRODUCT(MAX(('Pesagens'!$B$6:$B$2005=A828)*'Pesagens'!$A$6:$A$2005))))</f>
        <v/>
      </c>
      <c r="P828" s="41">
        <f>IF(A828="","",IF(O828="",IF(J828="","",J828),IFERROR(AVERAGEIFS('Pesagens'!$C$6:$C$2005,'Pesagens'!$B$6:$B$2005,A828,'Pesagens'!$A$6:$A$2005,O828),"")))</f>
        <v/>
      </c>
      <c r="Q828" s="42">
        <f>IF(OR(A828="",O828="",I828="",J828=""),"",IFERROR((P828-J828)/(O828-I828),""))</f>
        <v/>
      </c>
    </row>
    <row r="829">
      <c r="A829" s="36" t="n"/>
      <c r="B829" s="32" t="n"/>
      <c r="C829" s="37" t="n"/>
      <c r="D829" s="31" t="n"/>
      <c r="E829" s="32" t="n"/>
      <c r="F829" s="32" t="n"/>
      <c r="G829" s="32" t="n"/>
      <c r="H829" s="36" t="n"/>
      <c r="I829" s="31" t="n"/>
      <c r="J829" s="38" t="n"/>
      <c r="K829" s="32" t="n"/>
      <c r="L829" s="34">
        <f>IF(OR(A829="",D829=""),"",IF(D829&gt;Config!$B$5,0,DATEDIF(D829,Config!$B$5,"m")))</f>
        <v/>
      </c>
      <c r="M829" s="39">
        <f>IF(A829="","",IF(K829&lt;&gt;"",K829,IF(OR(C829="",D829=""),"Sem dados",IFERROR(IF(C829="M",INDEX(Config!$B$11:$B$14,MATCH(L829,Config!$A$11:$A$14,1)),IF(C829="F",INDEX(Config!$C$11:$C$14,MATCH(L829,Config!$A$11:$A$14,1)),"Sem dados")),"Verificar"))))</f>
        <v/>
      </c>
      <c r="N829" s="39">
        <f>IF(A829="","",IF(COUNTIFS('Movimentações'!$C$6:$C$1505,A829,'Movimentações'!$B$6:$B$1505,"Venda")&gt;0,"Vendido",IF(COUNTIFS('Movimentações'!$C$6:$C$1505,A829,'Movimentações'!$B$6:$B$1505,"Morte")&gt;0,"Morto","Ativo")))</f>
        <v/>
      </c>
      <c r="O829" s="40">
        <f>IF(A829="","",IF(COUNTIF('Pesagens'!$B$6:$B$2005,A829)=0,"",SUMPRODUCT(MAX(('Pesagens'!$B$6:$B$2005=A829)*'Pesagens'!$A$6:$A$2005))))</f>
        <v/>
      </c>
      <c r="P829" s="41">
        <f>IF(A829="","",IF(O829="",IF(J829="","",J829),IFERROR(AVERAGEIFS('Pesagens'!$C$6:$C$2005,'Pesagens'!$B$6:$B$2005,A829,'Pesagens'!$A$6:$A$2005,O829),"")))</f>
        <v/>
      </c>
      <c r="Q829" s="42">
        <f>IF(OR(A829="",O829="",I829="",J829=""),"",IFERROR((P829-J829)/(O829-I829),""))</f>
        <v/>
      </c>
    </row>
    <row r="830">
      <c r="A830" s="36" t="n"/>
      <c r="B830" s="32" t="n"/>
      <c r="C830" s="37" t="n"/>
      <c r="D830" s="31" t="n"/>
      <c r="E830" s="32" t="n"/>
      <c r="F830" s="32" t="n"/>
      <c r="G830" s="32" t="n"/>
      <c r="H830" s="36" t="n"/>
      <c r="I830" s="31" t="n"/>
      <c r="J830" s="38" t="n"/>
      <c r="K830" s="32" t="n"/>
      <c r="L830" s="34">
        <f>IF(OR(A830="",D830=""),"",IF(D830&gt;Config!$B$5,0,DATEDIF(D830,Config!$B$5,"m")))</f>
        <v/>
      </c>
      <c r="M830" s="39">
        <f>IF(A830="","",IF(K830&lt;&gt;"",K830,IF(OR(C830="",D830=""),"Sem dados",IFERROR(IF(C830="M",INDEX(Config!$B$11:$B$14,MATCH(L830,Config!$A$11:$A$14,1)),IF(C830="F",INDEX(Config!$C$11:$C$14,MATCH(L830,Config!$A$11:$A$14,1)),"Sem dados")),"Verificar"))))</f>
        <v/>
      </c>
      <c r="N830" s="39">
        <f>IF(A830="","",IF(COUNTIFS('Movimentações'!$C$6:$C$1505,A830,'Movimentações'!$B$6:$B$1505,"Venda")&gt;0,"Vendido",IF(COUNTIFS('Movimentações'!$C$6:$C$1505,A830,'Movimentações'!$B$6:$B$1505,"Morte")&gt;0,"Morto","Ativo")))</f>
        <v/>
      </c>
      <c r="O830" s="40">
        <f>IF(A830="","",IF(COUNTIF('Pesagens'!$B$6:$B$2005,A830)=0,"",SUMPRODUCT(MAX(('Pesagens'!$B$6:$B$2005=A830)*'Pesagens'!$A$6:$A$2005))))</f>
        <v/>
      </c>
      <c r="P830" s="41">
        <f>IF(A830="","",IF(O830="",IF(J830="","",J830),IFERROR(AVERAGEIFS('Pesagens'!$C$6:$C$2005,'Pesagens'!$B$6:$B$2005,A830,'Pesagens'!$A$6:$A$2005,O830),"")))</f>
        <v/>
      </c>
      <c r="Q830" s="42">
        <f>IF(OR(A830="",O830="",I830="",J830=""),"",IFERROR((P830-J830)/(O830-I830),""))</f>
        <v/>
      </c>
    </row>
    <row r="831">
      <c r="A831" s="36" t="n"/>
      <c r="B831" s="32" t="n"/>
      <c r="C831" s="37" t="n"/>
      <c r="D831" s="31" t="n"/>
      <c r="E831" s="32" t="n"/>
      <c r="F831" s="32" t="n"/>
      <c r="G831" s="32" t="n"/>
      <c r="H831" s="36" t="n"/>
      <c r="I831" s="31" t="n"/>
      <c r="J831" s="38" t="n"/>
      <c r="K831" s="32" t="n"/>
      <c r="L831" s="34">
        <f>IF(OR(A831="",D831=""),"",IF(D831&gt;Config!$B$5,0,DATEDIF(D831,Config!$B$5,"m")))</f>
        <v/>
      </c>
      <c r="M831" s="39">
        <f>IF(A831="","",IF(K831&lt;&gt;"",K831,IF(OR(C831="",D831=""),"Sem dados",IFERROR(IF(C831="M",INDEX(Config!$B$11:$B$14,MATCH(L831,Config!$A$11:$A$14,1)),IF(C831="F",INDEX(Config!$C$11:$C$14,MATCH(L831,Config!$A$11:$A$14,1)),"Sem dados")),"Verificar"))))</f>
        <v/>
      </c>
      <c r="N831" s="39">
        <f>IF(A831="","",IF(COUNTIFS('Movimentações'!$C$6:$C$1505,A831,'Movimentações'!$B$6:$B$1505,"Venda")&gt;0,"Vendido",IF(COUNTIFS('Movimentações'!$C$6:$C$1505,A831,'Movimentações'!$B$6:$B$1505,"Morte")&gt;0,"Morto","Ativo")))</f>
        <v/>
      </c>
      <c r="O831" s="40">
        <f>IF(A831="","",IF(COUNTIF('Pesagens'!$B$6:$B$2005,A831)=0,"",SUMPRODUCT(MAX(('Pesagens'!$B$6:$B$2005=A831)*'Pesagens'!$A$6:$A$2005))))</f>
        <v/>
      </c>
      <c r="P831" s="41">
        <f>IF(A831="","",IF(O831="",IF(J831="","",J831),IFERROR(AVERAGEIFS('Pesagens'!$C$6:$C$2005,'Pesagens'!$B$6:$B$2005,A831,'Pesagens'!$A$6:$A$2005,O831),"")))</f>
        <v/>
      </c>
      <c r="Q831" s="42">
        <f>IF(OR(A831="",O831="",I831="",J831=""),"",IFERROR((P831-J831)/(O831-I831),""))</f>
        <v/>
      </c>
    </row>
    <row r="832">
      <c r="A832" s="36" t="n"/>
      <c r="B832" s="32" t="n"/>
      <c r="C832" s="37" t="n"/>
      <c r="D832" s="31" t="n"/>
      <c r="E832" s="32" t="n"/>
      <c r="F832" s="32" t="n"/>
      <c r="G832" s="32" t="n"/>
      <c r="H832" s="36" t="n"/>
      <c r="I832" s="31" t="n"/>
      <c r="J832" s="38" t="n"/>
      <c r="K832" s="32" t="n"/>
      <c r="L832" s="34">
        <f>IF(OR(A832="",D832=""),"",IF(D832&gt;Config!$B$5,0,DATEDIF(D832,Config!$B$5,"m")))</f>
        <v/>
      </c>
      <c r="M832" s="39">
        <f>IF(A832="","",IF(K832&lt;&gt;"",K832,IF(OR(C832="",D832=""),"Sem dados",IFERROR(IF(C832="M",INDEX(Config!$B$11:$B$14,MATCH(L832,Config!$A$11:$A$14,1)),IF(C832="F",INDEX(Config!$C$11:$C$14,MATCH(L832,Config!$A$11:$A$14,1)),"Sem dados")),"Verificar"))))</f>
        <v/>
      </c>
      <c r="N832" s="39">
        <f>IF(A832="","",IF(COUNTIFS('Movimentações'!$C$6:$C$1505,A832,'Movimentações'!$B$6:$B$1505,"Venda")&gt;0,"Vendido",IF(COUNTIFS('Movimentações'!$C$6:$C$1505,A832,'Movimentações'!$B$6:$B$1505,"Morte")&gt;0,"Morto","Ativo")))</f>
        <v/>
      </c>
      <c r="O832" s="40">
        <f>IF(A832="","",IF(COUNTIF('Pesagens'!$B$6:$B$2005,A832)=0,"",SUMPRODUCT(MAX(('Pesagens'!$B$6:$B$2005=A832)*'Pesagens'!$A$6:$A$2005))))</f>
        <v/>
      </c>
      <c r="P832" s="41">
        <f>IF(A832="","",IF(O832="",IF(J832="","",J832),IFERROR(AVERAGEIFS('Pesagens'!$C$6:$C$2005,'Pesagens'!$B$6:$B$2005,A832,'Pesagens'!$A$6:$A$2005,O832),"")))</f>
        <v/>
      </c>
      <c r="Q832" s="42">
        <f>IF(OR(A832="",O832="",I832="",J832=""),"",IFERROR((P832-J832)/(O832-I832),""))</f>
        <v/>
      </c>
    </row>
    <row r="833">
      <c r="A833" s="36" t="n"/>
      <c r="B833" s="32" t="n"/>
      <c r="C833" s="37" t="n"/>
      <c r="D833" s="31" t="n"/>
      <c r="E833" s="32" t="n"/>
      <c r="F833" s="32" t="n"/>
      <c r="G833" s="32" t="n"/>
      <c r="H833" s="36" t="n"/>
      <c r="I833" s="31" t="n"/>
      <c r="J833" s="38" t="n"/>
      <c r="K833" s="32" t="n"/>
      <c r="L833" s="34">
        <f>IF(OR(A833="",D833=""),"",IF(D833&gt;Config!$B$5,0,DATEDIF(D833,Config!$B$5,"m")))</f>
        <v/>
      </c>
      <c r="M833" s="39">
        <f>IF(A833="","",IF(K833&lt;&gt;"",K833,IF(OR(C833="",D833=""),"Sem dados",IFERROR(IF(C833="M",INDEX(Config!$B$11:$B$14,MATCH(L833,Config!$A$11:$A$14,1)),IF(C833="F",INDEX(Config!$C$11:$C$14,MATCH(L833,Config!$A$11:$A$14,1)),"Sem dados")),"Verificar"))))</f>
        <v/>
      </c>
      <c r="N833" s="39">
        <f>IF(A833="","",IF(COUNTIFS('Movimentações'!$C$6:$C$1505,A833,'Movimentações'!$B$6:$B$1505,"Venda")&gt;0,"Vendido",IF(COUNTIFS('Movimentações'!$C$6:$C$1505,A833,'Movimentações'!$B$6:$B$1505,"Morte")&gt;0,"Morto","Ativo")))</f>
        <v/>
      </c>
      <c r="O833" s="40">
        <f>IF(A833="","",IF(COUNTIF('Pesagens'!$B$6:$B$2005,A833)=0,"",SUMPRODUCT(MAX(('Pesagens'!$B$6:$B$2005=A833)*'Pesagens'!$A$6:$A$2005))))</f>
        <v/>
      </c>
      <c r="P833" s="41">
        <f>IF(A833="","",IF(O833="",IF(J833="","",J833),IFERROR(AVERAGEIFS('Pesagens'!$C$6:$C$2005,'Pesagens'!$B$6:$B$2005,A833,'Pesagens'!$A$6:$A$2005,O833),"")))</f>
        <v/>
      </c>
      <c r="Q833" s="42">
        <f>IF(OR(A833="",O833="",I833="",J833=""),"",IFERROR((P833-J833)/(O833-I833),""))</f>
        <v/>
      </c>
    </row>
    <row r="834">
      <c r="A834" s="36" t="n"/>
      <c r="B834" s="32" t="n"/>
      <c r="C834" s="37" t="n"/>
      <c r="D834" s="31" t="n"/>
      <c r="E834" s="32" t="n"/>
      <c r="F834" s="32" t="n"/>
      <c r="G834" s="32" t="n"/>
      <c r="H834" s="36" t="n"/>
      <c r="I834" s="31" t="n"/>
      <c r="J834" s="38" t="n"/>
      <c r="K834" s="32" t="n"/>
      <c r="L834" s="34">
        <f>IF(OR(A834="",D834=""),"",IF(D834&gt;Config!$B$5,0,DATEDIF(D834,Config!$B$5,"m")))</f>
        <v/>
      </c>
      <c r="M834" s="39">
        <f>IF(A834="","",IF(K834&lt;&gt;"",K834,IF(OR(C834="",D834=""),"Sem dados",IFERROR(IF(C834="M",INDEX(Config!$B$11:$B$14,MATCH(L834,Config!$A$11:$A$14,1)),IF(C834="F",INDEX(Config!$C$11:$C$14,MATCH(L834,Config!$A$11:$A$14,1)),"Sem dados")),"Verificar"))))</f>
        <v/>
      </c>
      <c r="N834" s="39">
        <f>IF(A834="","",IF(COUNTIFS('Movimentações'!$C$6:$C$1505,A834,'Movimentações'!$B$6:$B$1505,"Venda")&gt;0,"Vendido",IF(COUNTIFS('Movimentações'!$C$6:$C$1505,A834,'Movimentações'!$B$6:$B$1505,"Morte")&gt;0,"Morto","Ativo")))</f>
        <v/>
      </c>
      <c r="O834" s="40">
        <f>IF(A834="","",IF(COUNTIF('Pesagens'!$B$6:$B$2005,A834)=0,"",SUMPRODUCT(MAX(('Pesagens'!$B$6:$B$2005=A834)*'Pesagens'!$A$6:$A$2005))))</f>
        <v/>
      </c>
      <c r="P834" s="41">
        <f>IF(A834="","",IF(O834="",IF(J834="","",J834),IFERROR(AVERAGEIFS('Pesagens'!$C$6:$C$2005,'Pesagens'!$B$6:$B$2005,A834,'Pesagens'!$A$6:$A$2005,O834),"")))</f>
        <v/>
      </c>
      <c r="Q834" s="42">
        <f>IF(OR(A834="",O834="",I834="",J834=""),"",IFERROR((P834-J834)/(O834-I834),""))</f>
        <v/>
      </c>
    </row>
    <row r="835">
      <c r="A835" s="36" t="n"/>
      <c r="B835" s="32" t="n"/>
      <c r="C835" s="37" t="n"/>
      <c r="D835" s="31" t="n"/>
      <c r="E835" s="32" t="n"/>
      <c r="F835" s="32" t="n"/>
      <c r="G835" s="32" t="n"/>
      <c r="H835" s="36" t="n"/>
      <c r="I835" s="31" t="n"/>
      <c r="J835" s="38" t="n"/>
      <c r="K835" s="32" t="n"/>
      <c r="L835" s="34">
        <f>IF(OR(A835="",D835=""),"",IF(D835&gt;Config!$B$5,0,DATEDIF(D835,Config!$B$5,"m")))</f>
        <v/>
      </c>
      <c r="M835" s="39">
        <f>IF(A835="","",IF(K835&lt;&gt;"",K835,IF(OR(C835="",D835=""),"Sem dados",IFERROR(IF(C835="M",INDEX(Config!$B$11:$B$14,MATCH(L835,Config!$A$11:$A$14,1)),IF(C835="F",INDEX(Config!$C$11:$C$14,MATCH(L835,Config!$A$11:$A$14,1)),"Sem dados")),"Verificar"))))</f>
        <v/>
      </c>
      <c r="N835" s="39">
        <f>IF(A835="","",IF(COUNTIFS('Movimentações'!$C$6:$C$1505,A835,'Movimentações'!$B$6:$B$1505,"Venda")&gt;0,"Vendido",IF(COUNTIFS('Movimentações'!$C$6:$C$1505,A835,'Movimentações'!$B$6:$B$1505,"Morte")&gt;0,"Morto","Ativo")))</f>
        <v/>
      </c>
      <c r="O835" s="40">
        <f>IF(A835="","",IF(COUNTIF('Pesagens'!$B$6:$B$2005,A835)=0,"",SUMPRODUCT(MAX(('Pesagens'!$B$6:$B$2005=A835)*'Pesagens'!$A$6:$A$2005))))</f>
        <v/>
      </c>
      <c r="P835" s="41">
        <f>IF(A835="","",IF(O835="",IF(J835="","",J835),IFERROR(AVERAGEIFS('Pesagens'!$C$6:$C$2005,'Pesagens'!$B$6:$B$2005,A835,'Pesagens'!$A$6:$A$2005,O835),"")))</f>
        <v/>
      </c>
      <c r="Q835" s="42">
        <f>IF(OR(A835="",O835="",I835="",J835=""),"",IFERROR((P835-J835)/(O835-I835),""))</f>
        <v/>
      </c>
    </row>
    <row r="836">
      <c r="A836" s="36" t="n"/>
      <c r="B836" s="32" t="n"/>
      <c r="C836" s="37" t="n"/>
      <c r="D836" s="31" t="n"/>
      <c r="E836" s="32" t="n"/>
      <c r="F836" s="32" t="n"/>
      <c r="G836" s="32" t="n"/>
      <c r="H836" s="36" t="n"/>
      <c r="I836" s="31" t="n"/>
      <c r="J836" s="38" t="n"/>
      <c r="K836" s="32" t="n"/>
      <c r="L836" s="34">
        <f>IF(OR(A836="",D836=""),"",IF(D836&gt;Config!$B$5,0,DATEDIF(D836,Config!$B$5,"m")))</f>
        <v/>
      </c>
      <c r="M836" s="39">
        <f>IF(A836="","",IF(K836&lt;&gt;"",K836,IF(OR(C836="",D836=""),"Sem dados",IFERROR(IF(C836="M",INDEX(Config!$B$11:$B$14,MATCH(L836,Config!$A$11:$A$14,1)),IF(C836="F",INDEX(Config!$C$11:$C$14,MATCH(L836,Config!$A$11:$A$14,1)),"Sem dados")),"Verificar"))))</f>
        <v/>
      </c>
      <c r="N836" s="39">
        <f>IF(A836="","",IF(COUNTIFS('Movimentações'!$C$6:$C$1505,A836,'Movimentações'!$B$6:$B$1505,"Venda")&gt;0,"Vendido",IF(COUNTIFS('Movimentações'!$C$6:$C$1505,A836,'Movimentações'!$B$6:$B$1505,"Morte")&gt;0,"Morto","Ativo")))</f>
        <v/>
      </c>
      <c r="O836" s="40">
        <f>IF(A836="","",IF(COUNTIF('Pesagens'!$B$6:$B$2005,A836)=0,"",SUMPRODUCT(MAX(('Pesagens'!$B$6:$B$2005=A836)*'Pesagens'!$A$6:$A$2005))))</f>
        <v/>
      </c>
      <c r="P836" s="41">
        <f>IF(A836="","",IF(O836="",IF(J836="","",J836),IFERROR(AVERAGEIFS('Pesagens'!$C$6:$C$2005,'Pesagens'!$B$6:$B$2005,A836,'Pesagens'!$A$6:$A$2005,O836),"")))</f>
        <v/>
      </c>
      <c r="Q836" s="42">
        <f>IF(OR(A836="",O836="",I836="",J836=""),"",IFERROR((P836-J836)/(O836-I836),""))</f>
        <v/>
      </c>
    </row>
    <row r="837">
      <c r="A837" s="36" t="n"/>
      <c r="B837" s="32" t="n"/>
      <c r="C837" s="37" t="n"/>
      <c r="D837" s="31" t="n"/>
      <c r="E837" s="32" t="n"/>
      <c r="F837" s="32" t="n"/>
      <c r="G837" s="32" t="n"/>
      <c r="H837" s="36" t="n"/>
      <c r="I837" s="31" t="n"/>
      <c r="J837" s="38" t="n"/>
      <c r="K837" s="32" t="n"/>
      <c r="L837" s="34">
        <f>IF(OR(A837="",D837=""),"",IF(D837&gt;Config!$B$5,0,DATEDIF(D837,Config!$B$5,"m")))</f>
        <v/>
      </c>
      <c r="M837" s="39">
        <f>IF(A837="","",IF(K837&lt;&gt;"",K837,IF(OR(C837="",D837=""),"Sem dados",IFERROR(IF(C837="M",INDEX(Config!$B$11:$B$14,MATCH(L837,Config!$A$11:$A$14,1)),IF(C837="F",INDEX(Config!$C$11:$C$14,MATCH(L837,Config!$A$11:$A$14,1)),"Sem dados")),"Verificar"))))</f>
        <v/>
      </c>
      <c r="N837" s="39">
        <f>IF(A837="","",IF(COUNTIFS('Movimentações'!$C$6:$C$1505,A837,'Movimentações'!$B$6:$B$1505,"Venda")&gt;0,"Vendido",IF(COUNTIFS('Movimentações'!$C$6:$C$1505,A837,'Movimentações'!$B$6:$B$1505,"Morte")&gt;0,"Morto","Ativo")))</f>
        <v/>
      </c>
      <c r="O837" s="40">
        <f>IF(A837="","",IF(COUNTIF('Pesagens'!$B$6:$B$2005,A837)=0,"",SUMPRODUCT(MAX(('Pesagens'!$B$6:$B$2005=A837)*'Pesagens'!$A$6:$A$2005))))</f>
        <v/>
      </c>
      <c r="P837" s="41">
        <f>IF(A837="","",IF(O837="",IF(J837="","",J837),IFERROR(AVERAGEIFS('Pesagens'!$C$6:$C$2005,'Pesagens'!$B$6:$B$2005,A837,'Pesagens'!$A$6:$A$2005,O837),"")))</f>
        <v/>
      </c>
      <c r="Q837" s="42">
        <f>IF(OR(A837="",O837="",I837="",J837=""),"",IFERROR((P837-J837)/(O837-I837),""))</f>
        <v/>
      </c>
    </row>
    <row r="838">
      <c r="A838" s="36" t="n"/>
      <c r="B838" s="32" t="n"/>
      <c r="C838" s="37" t="n"/>
      <c r="D838" s="31" t="n"/>
      <c r="E838" s="32" t="n"/>
      <c r="F838" s="32" t="n"/>
      <c r="G838" s="32" t="n"/>
      <c r="H838" s="36" t="n"/>
      <c r="I838" s="31" t="n"/>
      <c r="J838" s="38" t="n"/>
      <c r="K838" s="32" t="n"/>
      <c r="L838" s="34">
        <f>IF(OR(A838="",D838=""),"",IF(D838&gt;Config!$B$5,0,DATEDIF(D838,Config!$B$5,"m")))</f>
        <v/>
      </c>
      <c r="M838" s="39">
        <f>IF(A838="","",IF(K838&lt;&gt;"",K838,IF(OR(C838="",D838=""),"Sem dados",IFERROR(IF(C838="M",INDEX(Config!$B$11:$B$14,MATCH(L838,Config!$A$11:$A$14,1)),IF(C838="F",INDEX(Config!$C$11:$C$14,MATCH(L838,Config!$A$11:$A$14,1)),"Sem dados")),"Verificar"))))</f>
        <v/>
      </c>
      <c r="N838" s="39">
        <f>IF(A838="","",IF(COUNTIFS('Movimentações'!$C$6:$C$1505,A838,'Movimentações'!$B$6:$B$1505,"Venda")&gt;0,"Vendido",IF(COUNTIFS('Movimentações'!$C$6:$C$1505,A838,'Movimentações'!$B$6:$B$1505,"Morte")&gt;0,"Morto","Ativo")))</f>
        <v/>
      </c>
      <c r="O838" s="40">
        <f>IF(A838="","",IF(COUNTIF('Pesagens'!$B$6:$B$2005,A838)=0,"",SUMPRODUCT(MAX(('Pesagens'!$B$6:$B$2005=A838)*'Pesagens'!$A$6:$A$2005))))</f>
        <v/>
      </c>
      <c r="P838" s="41">
        <f>IF(A838="","",IF(O838="",IF(J838="","",J838),IFERROR(AVERAGEIFS('Pesagens'!$C$6:$C$2005,'Pesagens'!$B$6:$B$2005,A838,'Pesagens'!$A$6:$A$2005,O838),"")))</f>
        <v/>
      </c>
      <c r="Q838" s="42">
        <f>IF(OR(A838="",O838="",I838="",J838=""),"",IFERROR((P838-J838)/(O838-I838),""))</f>
        <v/>
      </c>
    </row>
    <row r="839">
      <c r="A839" s="36" t="n"/>
      <c r="B839" s="32" t="n"/>
      <c r="C839" s="37" t="n"/>
      <c r="D839" s="31" t="n"/>
      <c r="E839" s="32" t="n"/>
      <c r="F839" s="32" t="n"/>
      <c r="G839" s="32" t="n"/>
      <c r="H839" s="36" t="n"/>
      <c r="I839" s="31" t="n"/>
      <c r="J839" s="38" t="n"/>
      <c r="K839" s="32" t="n"/>
      <c r="L839" s="34">
        <f>IF(OR(A839="",D839=""),"",IF(D839&gt;Config!$B$5,0,DATEDIF(D839,Config!$B$5,"m")))</f>
        <v/>
      </c>
      <c r="M839" s="39">
        <f>IF(A839="","",IF(K839&lt;&gt;"",K839,IF(OR(C839="",D839=""),"Sem dados",IFERROR(IF(C839="M",INDEX(Config!$B$11:$B$14,MATCH(L839,Config!$A$11:$A$14,1)),IF(C839="F",INDEX(Config!$C$11:$C$14,MATCH(L839,Config!$A$11:$A$14,1)),"Sem dados")),"Verificar"))))</f>
        <v/>
      </c>
      <c r="N839" s="39">
        <f>IF(A839="","",IF(COUNTIFS('Movimentações'!$C$6:$C$1505,A839,'Movimentações'!$B$6:$B$1505,"Venda")&gt;0,"Vendido",IF(COUNTIFS('Movimentações'!$C$6:$C$1505,A839,'Movimentações'!$B$6:$B$1505,"Morte")&gt;0,"Morto","Ativo")))</f>
        <v/>
      </c>
      <c r="O839" s="40">
        <f>IF(A839="","",IF(COUNTIF('Pesagens'!$B$6:$B$2005,A839)=0,"",SUMPRODUCT(MAX(('Pesagens'!$B$6:$B$2005=A839)*'Pesagens'!$A$6:$A$2005))))</f>
        <v/>
      </c>
      <c r="P839" s="41">
        <f>IF(A839="","",IF(O839="",IF(J839="","",J839),IFERROR(AVERAGEIFS('Pesagens'!$C$6:$C$2005,'Pesagens'!$B$6:$B$2005,A839,'Pesagens'!$A$6:$A$2005,O839),"")))</f>
        <v/>
      </c>
      <c r="Q839" s="42">
        <f>IF(OR(A839="",O839="",I839="",J839=""),"",IFERROR((P839-J839)/(O839-I839),""))</f>
        <v/>
      </c>
    </row>
    <row r="840">
      <c r="A840" s="36" t="n"/>
      <c r="B840" s="32" t="n"/>
      <c r="C840" s="37" t="n"/>
      <c r="D840" s="31" t="n"/>
      <c r="E840" s="32" t="n"/>
      <c r="F840" s="32" t="n"/>
      <c r="G840" s="32" t="n"/>
      <c r="H840" s="36" t="n"/>
      <c r="I840" s="31" t="n"/>
      <c r="J840" s="38" t="n"/>
      <c r="K840" s="32" t="n"/>
      <c r="L840" s="34">
        <f>IF(OR(A840="",D840=""),"",IF(D840&gt;Config!$B$5,0,DATEDIF(D840,Config!$B$5,"m")))</f>
        <v/>
      </c>
      <c r="M840" s="39">
        <f>IF(A840="","",IF(K840&lt;&gt;"",K840,IF(OR(C840="",D840=""),"Sem dados",IFERROR(IF(C840="M",INDEX(Config!$B$11:$B$14,MATCH(L840,Config!$A$11:$A$14,1)),IF(C840="F",INDEX(Config!$C$11:$C$14,MATCH(L840,Config!$A$11:$A$14,1)),"Sem dados")),"Verificar"))))</f>
        <v/>
      </c>
      <c r="N840" s="39">
        <f>IF(A840="","",IF(COUNTIFS('Movimentações'!$C$6:$C$1505,A840,'Movimentações'!$B$6:$B$1505,"Venda")&gt;0,"Vendido",IF(COUNTIFS('Movimentações'!$C$6:$C$1505,A840,'Movimentações'!$B$6:$B$1505,"Morte")&gt;0,"Morto","Ativo")))</f>
        <v/>
      </c>
      <c r="O840" s="40">
        <f>IF(A840="","",IF(COUNTIF('Pesagens'!$B$6:$B$2005,A840)=0,"",SUMPRODUCT(MAX(('Pesagens'!$B$6:$B$2005=A840)*'Pesagens'!$A$6:$A$2005))))</f>
        <v/>
      </c>
      <c r="P840" s="41">
        <f>IF(A840="","",IF(O840="",IF(J840="","",J840),IFERROR(AVERAGEIFS('Pesagens'!$C$6:$C$2005,'Pesagens'!$B$6:$B$2005,A840,'Pesagens'!$A$6:$A$2005,O840),"")))</f>
        <v/>
      </c>
      <c r="Q840" s="42">
        <f>IF(OR(A840="",O840="",I840="",J840=""),"",IFERROR((P840-J840)/(O840-I840),""))</f>
        <v/>
      </c>
    </row>
    <row r="841">
      <c r="A841" s="36" t="n"/>
      <c r="B841" s="32" t="n"/>
      <c r="C841" s="37" t="n"/>
      <c r="D841" s="31" t="n"/>
      <c r="E841" s="32" t="n"/>
      <c r="F841" s="32" t="n"/>
      <c r="G841" s="32" t="n"/>
      <c r="H841" s="36" t="n"/>
      <c r="I841" s="31" t="n"/>
      <c r="J841" s="38" t="n"/>
      <c r="K841" s="32" t="n"/>
      <c r="L841" s="34">
        <f>IF(OR(A841="",D841=""),"",IF(D841&gt;Config!$B$5,0,DATEDIF(D841,Config!$B$5,"m")))</f>
        <v/>
      </c>
      <c r="M841" s="39">
        <f>IF(A841="","",IF(K841&lt;&gt;"",K841,IF(OR(C841="",D841=""),"Sem dados",IFERROR(IF(C841="M",INDEX(Config!$B$11:$B$14,MATCH(L841,Config!$A$11:$A$14,1)),IF(C841="F",INDEX(Config!$C$11:$C$14,MATCH(L841,Config!$A$11:$A$14,1)),"Sem dados")),"Verificar"))))</f>
        <v/>
      </c>
      <c r="N841" s="39">
        <f>IF(A841="","",IF(COUNTIFS('Movimentações'!$C$6:$C$1505,A841,'Movimentações'!$B$6:$B$1505,"Venda")&gt;0,"Vendido",IF(COUNTIFS('Movimentações'!$C$6:$C$1505,A841,'Movimentações'!$B$6:$B$1505,"Morte")&gt;0,"Morto","Ativo")))</f>
        <v/>
      </c>
      <c r="O841" s="40">
        <f>IF(A841="","",IF(COUNTIF('Pesagens'!$B$6:$B$2005,A841)=0,"",SUMPRODUCT(MAX(('Pesagens'!$B$6:$B$2005=A841)*'Pesagens'!$A$6:$A$2005))))</f>
        <v/>
      </c>
      <c r="P841" s="41">
        <f>IF(A841="","",IF(O841="",IF(J841="","",J841),IFERROR(AVERAGEIFS('Pesagens'!$C$6:$C$2005,'Pesagens'!$B$6:$B$2005,A841,'Pesagens'!$A$6:$A$2005,O841),"")))</f>
        <v/>
      </c>
      <c r="Q841" s="42">
        <f>IF(OR(A841="",O841="",I841="",J841=""),"",IFERROR((P841-J841)/(O841-I841),""))</f>
        <v/>
      </c>
    </row>
    <row r="842">
      <c r="A842" s="36" t="n"/>
      <c r="B842" s="32" t="n"/>
      <c r="C842" s="37" t="n"/>
      <c r="D842" s="31" t="n"/>
      <c r="E842" s="32" t="n"/>
      <c r="F842" s="32" t="n"/>
      <c r="G842" s="32" t="n"/>
      <c r="H842" s="36" t="n"/>
      <c r="I842" s="31" t="n"/>
      <c r="J842" s="38" t="n"/>
      <c r="K842" s="32" t="n"/>
      <c r="L842" s="34">
        <f>IF(OR(A842="",D842=""),"",IF(D842&gt;Config!$B$5,0,DATEDIF(D842,Config!$B$5,"m")))</f>
        <v/>
      </c>
      <c r="M842" s="39">
        <f>IF(A842="","",IF(K842&lt;&gt;"",K842,IF(OR(C842="",D842=""),"Sem dados",IFERROR(IF(C842="M",INDEX(Config!$B$11:$B$14,MATCH(L842,Config!$A$11:$A$14,1)),IF(C842="F",INDEX(Config!$C$11:$C$14,MATCH(L842,Config!$A$11:$A$14,1)),"Sem dados")),"Verificar"))))</f>
        <v/>
      </c>
      <c r="N842" s="39">
        <f>IF(A842="","",IF(COUNTIFS('Movimentações'!$C$6:$C$1505,A842,'Movimentações'!$B$6:$B$1505,"Venda")&gt;0,"Vendido",IF(COUNTIFS('Movimentações'!$C$6:$C$1505,A842,'Movimentações'!$B$6:$B$1505,"Morte")&gt;0,"Morto","Ativo")))</f>
        <v/>
      </c>
      <c r="O842" s="40">
        <f>IF(A842="","",IF(COUNTIF('Pesagens'!$B$6:$B$2005,A842)=0,"",SUMPRODUCT(MAX(('Pesagens'!$B$6:$B$2005=A842)*'Pesagens'!$A$6:$A$2005))))</f>
        <v/>
      </c>
      <c r="P842" s="41">
        <f>IF(A842="","",IF(O842="",IF(J842="","",J842),IFERROR(AVERAGEIFS('Pesagens'!$C$6:$C$2005,'Pesagens'!$B$6:$B$2005,A842,'Pesagens'!$A$6:$A$2005,O842),"")))</f>
        <v/>
      </c>
      <c r="Q842" s="42">
        <f>IF(OR(A842="",O842="",I842="",J842=""),"",IFERROR((P842-J842)/(O842-I842),""))</f>
        <v/>
      </c>
    </row>
    <row r="843">
      <c r="A843" s="36" t="n"/>
      <c r="B843" s="32" t="n"/>
      <c r="C843" s="37" t="n"/>
      <c r="D843" s="31" t="n"/>
      <c r="E843" s="32" t="n"/>
      <c r="F843" s="32" t="n"/>
      <c r="G843" s="32" t="n"/>
      <c r="H843" s="36" t="n"/>
      <c r="I843" s="31" t="n"/>
      <c r="J843" s="38" t="n"/>
      <c r="K843" s="32" t="n"/>
      <c r="L843" s="34">
        <f>IF(OR(A843="",D843=""),"",IF(D843&gt;Config!$B$5,0,DATEDIF(D843,Config!$B$5,"m")))</f>
        <v/>
      </c>
      <c r="M843" s="39">
        <f>IF(A843="","",IF(K843&lt;&gt;"",K843,IF(OR(C843="",D843=""),"Sem dados",IFERROR(IF(C843="M",INDEX(Config!$B$11:$B$14,MATCH(L843,Config!$A$11:$A$14,1)),IF(C843="F",INDEX(Config!$C$11:$C$14,MATCH(L843,Config!$A$11:$A$14,1)),"Sem dados")),"Verificar"))))</f>
        <v/>
      </c>
      <c r="N843" s="39">
        <f>IF(A843="","",IF(COUNTIFS('Movimentações'!$C$6:$C$1505,A843,'Movimentações'!$B$6:$B$1505,"Venda")&gt;0,"Vendido",IF(COUNTIFS('Movimentações'!$C$6:$C$1505,A843,'Movimentações'!$B$6:$B$1505,"Morte")&gt;0,"Morto","Ativo")))</f>
        <v/>
      </c>
      <c r="O843" s="40">
        <f>IF(A843="","",IF(COUNTIF('Pesagens'!$B$6:$B$2005,A843)=0,"",SUMPRODUCT(MAX(('Pesagens'!$B$6:$B$2005=A843)*'Pesagens'!$A$6:$A$2005))))</f>
        <v/>
      </c>
      <c r="P843" s="41">
        <f>IF(A843="","",IF(O843="",IF(J843="","",J843),IFERROR(AVERAGEIFS('Pesagens'!$C$6:$C$2005,'Pesagens'!$B$6:$B$2005,A843,'Pesagens'!$A$6:$A$2005,O843),"")))</f>
        <v/>
      </c>
      <c r="Q843" s="42">
        <f>IF(OR(A843="",O843="",I843="",J843=""),"",IFERROR((P843-J843)/(O843-I843),""))</f>
        <v/>
      </c>
    </row>
    <row r="844">
      <c r="A844" s="36" t="n"/>
      <c r="B844" s="32" t="n"/>
      <c r="C844" s="37" t="n"/>
      <c r="D844" s="31" t="n"/>
      <c r="E844" s="32" t="n"/>
      <c r="F844" s="32" t="n"/>
      <c r="G844" s="32" t="n"/>
      <c r="H844" s="36" t="n"/>
      <c r="I844" s="31" t="n"/>
      <c r="J844" s="38" t="n"/>
      <c r="K844" s="32" t="n"/>
      <c r="L844" s="34">
        <f>IF(OR(A844="",D844=""),"",IF(D844&gt;Config!$B$5,0,DATEDIF(D844,Config!$B$5,"m")))</f>
        <v/>
      </c>
      <c r="M844" s="39">
        <f>IF(A844="","",IF(K844&lt;&gt;"",K844,IF(OR(C844="",D844=""),"Sem dados",IFERROR(IF(C844="M",INDEX(Config!$B$11:$B$14,MATCH(L844,Config!$A$11:$A$14,1)),IF(C844="F",INDEX(Config!$C$11:$C$14,MATCH(L844,Config!$A$11:$A$14,1)),"Sem dados")),"Verificar"))))</f>
        <v/>
      </c>
      <c r="N844" s="39">
        <f>IF(A844="","",IF(COUNTIFS('Movimentações'!$C$6:$C$1505,A844,'Movimentações'!$B$6:$B$1505,"Venda")&gt;0,"Vendido",IF(COUNTIFS('Movimentações'!$C$6:$C$1505,A844,'Movimentações'!$B$6:$B$1505,"Morte")&gt;0,"Morto","Ativo")))</f>
        <v/>
      </c>
      <c r="O844" s="40">
        <f>IF(A844="","",IF(COUNTIF('Pesagens'!$B$6:$B$2005,A844)=0,"",SUMPRODUCT(MAX(('Pesagens'!$B$6:$B$2005=A844)*'Pesagens'!$A$6:$A$2005))))</f>
        <v/>
      </c>
      <c r="P844" s="41">
        <f>IF(A844="","",IF(O844="",IF(J844="","",J844),IFERROR(AVERAGEIFS('Pesagens'!$C$6:$C$2005,'Pesagens'!$B$6:$B$2005,A844,'Pesagens'!$A$6:$A$2005,O844),"")))</f>
        <v/>
      </c>
      <c r="Q844" s="42">
        <f>IF(OR(A844="",O844="",I844="",J844=""),"",IFERROR((P844-J844)/(O844-I844),""))</f>
        <v/>
      </c>
    </row>
    <row r="845">
      <c r="A845" s="36" t="n"/>
      <c r="B845" s="32" t="n"/>
      <c r="C845" s="37" t="n"/>
      <c r="D845" s="31" t="n"/>
      <c r="E845" s="32" t="n"/>
      <c r="F845" s="32" t="n"/>
      <c r="G845" s="32" t="n"/>
      <c r="H845" s="36" t="n"/>
      <c r="I845" s="31" t="n"/>
      <c r="J845" s="38" t="n"/>
      <c r="K845" s="32" t="n"/>
      <c r="L845" s="34">
        <f>IF(OR(A845="",D845=""),"",IF(D845&gt;Config!$B$5,0,DATEDIF(D845,Config!$B$5,"m")))</f>
        <v/>
      </c>
      <c r="M845" s="39">
        <f>IF(A845="","",IF(K845&lt;&gt;"",K845,IF(OR(C845="",D845=""),"Sem dados",IFERROR(IF(C845="M",INDEX(Config!$B$11:$B$14,MATCH(L845,Config!$A$11:$A$14,1)),IF(C845="F",INDEX(Config!$C$11:$C$14,MATCH(L845,Config!$A$11:$A$14,1)),"Sem dados")),"Verificar"))))</f>
        <v/>
      </c>
      <c r="N845" s="39">
        <f>IF(A845="","",IF(COUNTIFS('Movimentações'!$C$6:$C$1505,A845,'Movimentações'!$B$6:$B$1505,"Venda")&gt;0,"Vendido",IF(COUNTIFS('Movimentações'!$C$6:$C$1505,A845,'Movimentações'!$B$6:$B$1505,"Morte")&gt;0,"Morto","Ativo")))</f>
        <v/>
      </c>
      <c r="O845" s="40">
        <f>IF(A845="","",IF(COUNTIF('Pesagens'!$B$6:$B$2005,A845)=0,"",SUMPRODUCT(MAX(('Pesagens'!$B$6:$B$2005=A845)*'Pesagens'!$A$6:$A$2005))))</f>
        <v/>
      </c>
      <c r="P845" s="41">
        <f>IF(A845="","",IF(O845="",IF(J845="","",J845),IFERROR(AVERAGEIFS('Pesagens'!$C$6:$C$2005,'Pesagens'!$B$6:$B$2005,A845,'Pesagens'!$A$6:$A$2005,O845),"")))</f>
        <v/>
      </c>
      <c r="Q845" s="42">
        <f>IF(OR(A845="",O845="",I845="",J845=""),"",IFERROR((P845-J845)/(O845-I845),""))</f>
        <v/>
      </c>
    </row>
    <row r="846">
      <c r="A846" s="36" t="n"/>
      <c r="B846" s="32" t="n"/>
      <c r="C846" s="37" t="n"/>
      <c r="D846" s="31" t="n"/>
      <c r="E846" s="32" t="n"/>
      <c r="F846" s="32" t="n"/>
      <c r="G846" s="32" t="n"/>
      <c r="H846" s="36" t="n"/>
      <c r="I846" s="31" t="n"/>
      <c r="J846" s="38" t="n"/>
      <c r="K846" s="32" t="n"/>
      <c r="L846" s="34">
        <f>IF(OR(A846="",D846=""),"",IF(D846&gt;Config!$B$5,0,DATEDIF(D846,Config!$B$5,"m")))</f>
        <v/>
      </c>
      <c r="M846" s="39">
        <f>IF(A846="","",IF(K846&lt;&gt;"",K846,IF(OR(C846="",D846=""),"Sem dados",IFERROR(IF(C846="M",INDEX(Config!$B$11:$B$14,MATCH(L846,Config!$A$11:$A$14,1)),IF(C846="F",INDEX(Config!$C$11:$C$14,MATCH(L846,Config!$A$11:$A$14,1)),"Sem dados")),"Verificar"))))</f>
        <v/>
      </c>
      <c r="N846" s="39">
        <f>IF(A846="","",IF(COUNTIFS('Movimentações'!$C$6:$C$1505,A846,'Movimentações'!$B$6:$B$1505,"Venda")&gt;0,"Vendido",IF(COUNTIFS('Movimentações'!$C$6:$C$1505,A846,'Movimentações'!$B$6:$B$1505,"Morte")&gt;0,"Morto","Ativo")))</f>
        <v/>
      </c>
      <c r="O846" s="40">
        <f>IF(A846="","",IF(COUNTIF('Pesagens'!$B$6:$B$2005,A846)=0,"",SUMPRODUCT(MAX(('Pesagens'!$B$6:$B$2005=A846)*'Pesagens'!$A$6:$A$2005))))</f>
        <v/>
      </c>
      <c r="P846" s="41">
        <f>IF(A846="","",IF(O846="",IF(J846="","",J846),IFERROR(AVERAGEIFS('Pesagens'!$C$6:$C$2005,'Pesagens'!$B$6:$B$2005,A846,'Pesagens'!$A$6:$A$2005,O846),"")))</f>
        <v/>
      </c>
      <c r="Q846" s="42">
        <f>IF(OR(A846="",O846="",I846="",J846=""),"",IFERROR((P846-J846)/(O846-I846),""))</f>
        <v/>
      </c>
    </row>
    <row r="847">
      <c r="A847" s="36" t="n"/>
      <c r="B847" s="32" t="n"/>
      <c r="C847" s="37" t="n"/>
      <c r="D847" s="31" t="n"/>
      <c r="E847" s="32" t="n"/>
      <c r="F847" s="32" t="n"/>
      <c r="G847" s="32" t="n"/>
      <c r="H847" s="36" t="n"/>
      <c r="I847" s="31" t="n"/>
      <c r="J847" s="38" t="n"/>
      <c r="K847" s="32" t="n"/>
      <c r="L847" s="34">
        <f>IF(OR(A847="",D847=""),"",IF(D847&gt;Config!$B$5,0,DATEDIF(D847,Config!$B$5,"m")))</f>
        <v/>
      </c>
      <c r="M847" s="39">
        <f>IF(A847="","",IF(K847&lt;&gt;"",K847,IF(OR(C847="",D847=""),"Sem dados",IFERROR(IF(C847="M",INDEX(Config!$B$11:$B$14,MATCH(L847,Config!$A$11:$A$14,1)),IF(C847="F",INDEX(Config!$C$11:$C$14,MATCH(L847,Config!$A$11:$A$14,1)),"Sem dados")),"Verificar"))))</f>
        <v/>
      </c>
      <c r="N847" s="39">
        <f>IF(A847="","",IF(COUNTIFS('Movimentações'!$C$6:$C$1505,A847,'Movimentações'!$B$6:$B$1505,"Venda")&gt;0,"Vendido",IF(COUNTIFS('Movimentações'!$C$6:$C$1505,A847,'Movimentações'!$B$6:$B$1505,"Morte")&gt;0,"Morto","Ativo")))</f>
        <v/>
      </c>
      <c r="O847" s="40">
        <f>IF(A847="","",IF(COUNTIF('Pesagens'!$B$6:$B$2005,A847)=0,"",SUMPRODUCT(MAX(('Pesagens'!$B$6:$B$2005=A847)*'Pesagens'!$A$6:$A$2005))))</f>
        <v/>
      </c>
      <c r="P847" s="41">
        <f>IF(A847="","",IF(O847="",IF(J847="","",J847),IFERROR(AVERAGEIFS('Pesagens'!$C$6:$C$2005,'Pesagens'!$B$6:$B$2005,A847,'Pesagens'!$A$6:$A$2005,O847),"")))</f>
        <v/>
      </c>
      <c r="Q847" s="42">
        <f>IF(OR(A847="",O847="",I847="",J847=""),"",IFERROR((P847-J847)/(O847-I847),""))</f>
        <v/>
      </c>
    </row>
    <row r="848">
      <c r="A848" s="36" t="n"/>
      <c r="B848" s="32" t="n"/>
      <c r="C848" s="37" t="n"/>
      <c r="D848" s="31" t="n"/>
      <c r="E848" s="32" t="n"/>
      <c r="F848" s="32" t="n"/>
      <c r="G848" s="32" t="n"/>
      <c r="H848" s="36" t="n"/>
      <c r="I848" s="31" t="n"/>
      <c r="J848" s="38" t="n"/>
      <c r="K848" s="32" t="n"/>
      <c r="L848" s="34">
        <f>IF(OR(A848="",D848=""),"",IF(D848&gt;Config!$B$5,0,DATEDIF(D848,Config!$B$5,"m")))</f>
        <v/>
      </c>
      <c r="M848" s="39">
        <f>IF(A848="","",IF(K848&lt;&gt;"",K848,IF(OR(C848="",D848=""),"Sem dados",IFERROR(IF(C848="M",INDEX(Config!$B$11:$B$14,MATCH(L848,Config!$A$11:$A$14,1)),IF(C848="F",INDEX(Config!$C$11:$C$14,MATCH(L848,Config!$A$11:$A$14,1)),"Sem dados")),"Verificar"))))</f>
        <v/>
      </c>
      <c r="N848" s="39">
        <f>IF(A848="","",IF(COUNTIFS('Movimentações'!$C$6:$C$1505,A848,'Movimentações'!$B$6:$B$1505,"Venda")&gt;0,"Vendido",IF(COUNTIFS('Movimentações'!$C$6:$C$1505,A848,'Movimentações'!$B$6:$B$1505,"Morte")&gt;0,"Morto","Ativo")))</f>
        <v/>
      </c>
      <c r="O848" s="40">
        <f>IF(A848="","",IF(COUNTIF('Pesagens'!$B$6:$B$2005,A848)=0,"",SUMPRODUCT(MAX(('Pesagens'!$B$6:$B$2005=A848)*'Pesagens'!$A$6:$A$2005))))</f>
        <v/>
      </c>
      <c r="P848" s="41">
        <f>IF(A848="","",IF(O848="",IF(J848="","",J848),IFERROR(AVERAGEIFS('Pesagens'!$C$6:$C$2005,'Pesagens'!$B$6:$B$2005,A848,'Pesagens'!$A$6:$A$2005,O848),"")))</f>
        <v/>
      </c>
      <c r="Q848" s="42">
        <f>IF(OR(A848="",O848="",I848="",J848=""),"",IFERROR((P848-J848)/(O848-I848),""))</f>
        <v/>
      </c>
    </row>
    <row r="849">
      <c r="A849" s="36" t="n"/>
      <c r="B849" s="32" t="n"/>
      <c r="C849" s="37" t="n"/>
      <c r="D849" s="31" t="n"/>
      <c r="E849" s="32" t="n"/>
      <c r="F849" s="32" t="n"/>
      <c r="G849" s="32" t="n"/>
      <c r="H849" s="36" t="n"/>
      <c r="I849" s="31" t="n"/>
      <c r="J849" s="38" t="n"/>
      <c r="K849" s="32" t="n"/>
      <c r="L849" s="34">
        <f>IF(OR(A849="",D849=""),"",IF(D849&gt;Config!$B$5,0,DATEDIF(D849,Config!$B$5,"m")))</f>
        <v/>
      </c>
      <c r="M849" s="39">
        <f>IF(A849="","",IF(K849&lt;&gt;"",K849,IF(OR(C849="",D849=""),"Sem dados",IFERROR(IF(C849="M",INDEX(Config!$B$11:$B$14,MATCH(L849,Config!$A$11:$A$14,1)),IF(C849="F",INDEX(Config!$C$11:$C$14,MATCH(L849,Config!$A$11:$A$14,1)),"Sem dados")),"Verificar"))))</f>
        <v/>
      </c>
      <c r="N849" s="39">
        <f>IF(A849="","",IF(COUNTIFS('Movimentações'!$C$6:$C$1505,A849,'Movimentações'!$B$6:$B$1505,"Venda")&gt;0,"Vendido",IF(COUNTIFS('Movimentações'!$C$6:$C$1505,A849,'Movimentações'!$B$6:$B$1505,"Morte")&gt;0,"Morto","Ativo")))</f>
        <v/>
      </c>
      <c r="O849" s="40">
        <f>IF(A849="","",IF(COUNTIF('Pesagens'!$B$6:$B$2005,A849)=0,"",SUMPRODUCT(MAX(('Pesagens'!$B$6:$B$2005=A849)*'Pesagens'!$A$6:$A$2005))))</f>
        <v/>
      </c>
      <c r="P849" s="41">
        <f>IF(A849="","",IF(O849="",IF(J849="","",J849),IFERROR(AVERAGEIFS('Pesagens'!$C$6:$C$2005,'Pesagens'!$B$6:$B$2005,A849,'Pesagens'!$A$6:$A$2005,O849),"")))</f>
        <v/>
      </c>
      <c r="Q849" s="42">
        <f>IF(OR(A849="",O849="",I849="",J849=""),"",IFERROR((P849-J849)/(O849-I849),""))</f>
        <v/>
      </c>
    </row>
    <row r="850">
      <c r="A850" s="36" t="n"/>
      <c r="B850" s="32" t="n"/>
      <c r="C850" s="37" t="n"/>
      <c r="D850" s="31" t="n"/>
      <c r="E850" s="32" t="n"/>
      <c r="F850" s="32" t="n"/>
      <c r="G850" s="32" t="n"/>
      <c r="H850" s="36" t="n"/>
      <c r="I850" s="31" t="n"/>
      <c r="J850" s="38" t="n"/>
      <c r="K850" s="32" t="n"/>
      <c r="L850" s="34">
        <f>IF(OR(A850="",D850=""),"",IF(D850&gt;Config!$B$5,0,DATEDIF(D850,Config!$B$5,"m")))</f>
        <v/>
      </c>
      <c r="M850" s="39">
        <f>IF(A850="","",IF(K850&lt;&gt;"",K850,IF(OR(C850="",D850=""),"Sem dados",IFERROR(IF(C850="M",INDEX(Config!$B$11:$B$14,MATCH(L850,Config!$A$11:$A$14,1)),IF(C850="F",INDEX(Config!$C$11:$C$14,MATCH(L850,Config!$A$11:$A$14,1)),"Sem dados")),"Verificar"))))</f>
        <v/>
      </c>
      <c r="N850" s="39">
        <f>IF(A850="","",IF(COUNTIFS('Movimentações'!$C$6:$C$1505,A850,'Movimentações'!$B$6:$B$1505,"Venda")&gt;0,"Vendido",IF(COUNTIFS('Movimentações'!$C$6:$C$1505,A850,'Movimentações'!$B$6:$B$1505,"Morte")&gt;0,"Morto","Ativo")))</f>
        <v/>
      </c>
      <c r="O850" s="40">
        <f>IF(A850="","",IF(COUNTIF('Pesagens'!$B$6:$B$2005,A850)=0,"",SUMPRODUCT(MAX(('Pesagens'!$B$6:$B$2005=A850)*'Pesagens'!$A$6:$A$2005))))</f>
        <v/>
      </c>
      <c r="P850" s="41">
        <f>IF(A850="","",IF(O850="",IF(J850="","",J850),IFERROR(AVERAGEIFS('Pesagens'!$C$6:$C$2005,'Pesagens'!$B$6:$B$2005,A850,'Pesagens'!$A$6:$A$2005,O850),"")))</f>
        <v/>
      </c>
      <c r="Q850" s="42">
        <f>IF(OR(A850="",O850="",I850="",J850=""),"",IFERROR((P850-J850)/(O850-I850),""))</f>
        <v/>
      </c>
    </row>
    <row r="851">
      <c r="A851" s="36" t="n"/>
      <c r="B851" s="32" t="n"/>
      <c r="C851" s="37" t="n"/>
      <c r="D851" s="31" t="n"/>
      <c r="E851" s="32" t="n"/>
      <c r="F851" s="32" t="n"/>
      <c r="G851" s="32" t="n"/>
      <c r="H851" s="36" t="n"/>
      <c r="I851" s="31" t="n"/>
      <c r="J851" s="38" t="n"/>
      <c r="K851" s="32" t="n"/>
      <c r="L851" s="34">
        <f>IF(OR(A851="",D851=""),"",IF(D851&gt;Config!$B$5,0,DATEDIF(D851,Config!$B$5,"m")))</f>
        <v/>
      </c>
      <c r="M851" s="39">
        <f>IF(A851="","",IF(K851&lt;&gt;"",K851,IF(OR(C851="",D851=""),"Sem dados",IFERROR(IF(C851="M",INDEX(Config!$B$11:$B$14,MATCH(L851,Config!$A$11:$A$14,1)),IF(C851="F",INDEX(Config!$C$11:$C$14,MATCH(L851,Config!$A$11:$A$14,1)),"Sem dados")),"Verificar"))))</f>
        <v/>
      </c>
      <c r="N851" s="39">
        <f>IF(A851="","",IF(COUNTIFS('Movimentações'!$C$6:$C$1505,A851,'Movimentações'!$B$6:$B$1505,"Venda")&gt;0,"Vendido",IF(COUNTIFS('Movimentações'!$C$6:$C$1505,A851,'Movimentações'!$B$6:$B$1505,"Morte")&gt;0,"Morto","Ativo")))</f>
        <v/>
      </c>
      <c r="O851" s="40">
        <f>IF(A851="","",IF(COUNTIF('Pesagens'!$B$6:$B$2005,A851)=0,"",SUMPRODUCT(MAX(('Pesagens'!$B$6:$B$2005=A851)*'Pesagens'!$A$6:$A$2005))))</f>
        <v/>
      </c>
      <c r="P851" s="41">
        <f>IF(A851="","",IF(O851="",IF(J851="","",J851),IFERROR(AVERAGEIFS('Pesagens'!$C$6:$C$2005,'Pesagens'!$B$6:$B$2005,A851,'Pesagens'!$A$6:$A$2005,O851),"")))</f>
        <v/>
      </c>
      <c r="Q851" s="42">
        <f>IF(OR(A851="",O851="",I851="",J851=""),"",IFERROR((P851-J851)/(O851-I851),""))</f>
        <v/>
      </c>
    </row>
    <row r="852">
      <c r="A852" s="36" t="n"/>
      <c r="B852" s="32" t="n"/>
      <c r="C852" s="37" t="n"/>
      <c r="D852" s="31" t="n"/>
      <c r="E852" s="32" t="n"/>
      <c r="F852" s="32" t="n"/>
      <c r="G852" s="32" t="n"/>
      <c r="H852" s="36" t="n"/>
      <c r="I852" s="31" t="n"/>
      <c r="J852" s="38" t="n"/>
      <c r="K852" s="32" t="n"/>
      <c r="L852" s="34">
        <f>IF(OR(A852="",D852=""),"",IF(D852&gt;Config!$B$5,0,DATEDIF(D852,Config!$B$5,"m")))</f>
        <v/>
      </c>
      <c r="M852" s="39">
        <f>IF(A852="","",IF(K852&lt;&gt;"",K852,IF(OR(C852="",D852=""),"Sem dados",IFERROR(IF(C852="M",INDEX(Config!$B$11:$B$14,MATCH(L852,Config!$A$11:$A$14,1)),IF(C852="F",INDEX(Config!$C$11:$C$14,MATCH(L852,Config!$A$11:$A$14,1)),"Sem dados")),"Verificar"))))</f>
        <v/>
      </c>
      <c r="N852" s="39">
        <f>IF(A852="","",IF(COUNTIFS('Movimentações'!$C$6:$C$1505,A852,'Movimentações'!$B$6:$B$1505,"Venda")&gt;0,"Vendido",IF(COUNTIFS('Movimentações'!$C$6:$C$1505,A852,'Movimentações'!$B$6:$B$1505,"Morte")&gt;0,"Morto","Ativo")))</f>
        <v/>
      </c>
      <c r="O852" s="40">
        <f>IF(A852="","",IF(COUNTIF('Pesagens'!$B$6:$B$2005,A852)=0,"",SUMPRODUCT(MAX(('Pesagens'!$B$6:$B$2005=A852)*'Pesagens'!$A$6:$A$2005))))</f>
        <v/>
      </c>
      <c r="P852" s="41">
        <f>IF(A852="","",IF(O852="",IF(J852="","",J852),IFERROR(AVERAGEIFS('Pesagens'!$C$6:$C$2005,'Pesagens'!$B$6:$B$2005,A852,'Pesagens'!$A$6:$A$2005,O852),"")))</f>
        <v/>
      </c>
      <c r="Q852" s="42">
        <f>IF(OR(A852="",O852="",I852="",J852=""),"",IFERROR((P852-J852)/(O852-I852),""))</f>
        <v/>
      </c>
    </row>
    <row r="853">
      <c r="A853" s="36" t="n"/>
      <c r="B853" s="32" t="n"/>
      <c r="C853" s="37" t="n"/>
      <c r="D853" s="31" t="n"/>
      <c r="E853" s="32" t="n"/>
      <c r="F853" s="32" t="n"/>
      <c r="G853" s="32" t="n"/>
      <c r="H853" s="36" t="n"/>
      <c r="I853" s="31" t="n"/>
      <c r="J853" s="38" t="n"/>
      <c r="K853" s="32" t="n"/>
      <c r="L853" s="34">
        <f>IF(OR(A853="",D853=""),"",IF(D853&gt;Config!$B$5,0,DATEDIF(D853,Config!$B$5,"m")))</f>
        <v/>
      </c>
      <c r="M853" s="39">
        <f>IF(A853="","",IF(K853&lt;&gt;"",K853,IF(OR(C853="",D853=""),"Sem dados",IFERROR(IF(C853="M",INDEX(Config!$B$11:$B$14,MATCH(L853,Config!$A$11:$A$14,1)),IF(C853="F",INDEX(Config!$C$11:$C$14,MATCH(L853,Config!$A$11:$A$14,1)),"Sem dados")),"Verificar"))))</f>
        <v/>
      </c>
      <c r="N853" s="39">
        <f>IF(A853="","",IF(COUNTIFS('Movimentações'!$C$6:$C$1505,A853,'Movimentações'!$B$6:$B$1505,"Venda")&gt;0,"Vendido",IF(COUNTIFS('Movimentações'!$C$6:$C$1505,A853,'Movimentações'!$B$6:$B$1505,"Morte")&gt;0,"Morto","Ativo")))</f>
        <v/>
      </c>
      <c r="O853" s="40">
        <f>IF(A853="","",IF(COUNTIF('Pesagens'!$B$6:$B$2005,A853)=0,"",SUMPRODUCT(MAX(('Pesagens'!$B$6:$B$2005=A853)*'Pesagens'!$A$6:$A$2005))))</f>
        <v/>
      </c>
      <c r="P853" s="41">
        <f>IF(A853="","",IF(O853="",IF(J853="","",J853),IFERROR(AVERAGEIFS('Pesagens'!$C$6:$C$2005,'Pesagens'!$B$6:$B$2005,A853,'Pesagens'!$A$6:$A$2005,O853),"")))</f>
        <v/>
      </c>
      <c r="Q853" s="42">
        <f>IF(OR(A853="",O853="",I853="",J853=""),"",IFERROR((P853-J853)/(O853-I853),""))</f>
        <v/>
      </c>
    </row>
    <row r="854">
      <c r="A854" s="36" t="n"/>
      <c r="B854" s="32" t="n"/>
      <c r="C854" s="37" t="n"/>
      <c r="D854" s="31" t="n"/>
      <c r="E854" s="32" t="n"/>
      <c r="F854" s="32" t="n"/>
      <c r="G854" s="32" t="n"/>
      <c r="H854" s="36" t="n"/>
      <c r="I854" s="31" t="n"/>
      <c r="J854" s="38" t="n"/>
      <c r="K854" s="32" t="n"/>
      <c r="L854" s="34">
        <f>IF(OR(A854="",D854=""),"",IF(D854&gt;Config!$B$5,0,DATEDIF(D854,Config!$B$5,"m")))</f>
        <v/>
      </c>
      <c r="M854" s="39">
        <f>IF(A854="","",IF(K854&lt;&gt;"",K854,IF(OR(C854="",D854=""),"Sem dados",IFERROR(IF(C854="M",INDEX(Config!$B$11:$B$14,MATCH(L854,Config!$A$11:$A$14,1)),IF(C854="F",INDEX(Config!$C$11:$C$14,MATCH(L854,Config!$A$11:$A$14,1)),"Sem dados")),"Verificar"))))</f>
        <v/>
      </c>
      <c r="N854" s="39">
        <f>IF(A854="","",IF(COUNTIFS('Movimentações'!$C$6:$C$1505,A854,'Movimentações'!$B$6:$B$1505,"Venda")&gt;0,"Vendido",IF(COUNTIFS('Movimentações'!$C$6:$C$1505,A854,'Movimentações'!$B$6:$B$1505,"Morte")&gt;0,"Morto","Ativo")))</f>
        <v/>
      </c>
      <c r="O854" s="40">
        <f>IF(A854="","",IF(COUNTIF('Pesagens'!$B$6:$B$2005,A854)=0,"",SUMPRODUCT(MAX(('Pesagens'!$B$6:$B$2005=A854)*'Pesagens'!$A$6:$A$2005))))</f>
        <v/>
      </c>
      <c r="P854" s="41">
        <f>IF(A854="","",IF(O854="",IF(J854="","",J854),IFERROR(AVERAGEIFS('Pesagens'!$C$6:$C$2005,'Pesagens'!$B$6:$B$2005,A854,'Pesagens'!$A$6:$A$2005,O854),"")))</f>
        <v/>
      </c>
      <c r="Q854" s="42">
        <f>IF(OR(A854="",O854="",I854="",J854=""),"",IFERROR((P854-J854)/(O854-I854),""))</f>
        <v/>
      </c>
    </row>
    <row r="855">
      <c r="A855" s="36" t="n"/>
      <c r="B855" s="32" t="n"/>
      <c r="C855" s="37" t="n"/>
      <c r="D855" s="31" t="n"/>
      <c r="E855" s="32" t="n"/>
      <c r="F855" s="32" t="n"/>
      <c r="G855" s="32" t="n"/>
      <c r="H855" s="36" t="n"/>
      <c r="I855" s="31" t="n"/>
      <c r="J855" s="38" t="n"/>
      <c r="K855" s="32" t="n"/>
      <c r="L855" s="34">
        <f>IF(OR(A855="",D855=""),"",IF(D855&gt;Config!$B$5,0,DATEDIF(D855,Config!$B$5,"m")))</f>
        <v/>
      </c>
      <c r="M855" s="39">
        <f>IF(A855="","",IF(K855&lt;&gt;"",K855,IF(OR(C855="",D855=""),"Sem dados",IFERROR(IF(C855="M",INDEX(Config!$B$11:$B$14,MATCH(L855,Config!$A$11:$A$14,1)),IF(C855="F",INDEX(Config!$C$11:$C$14,MATCH(L855,Config!$A$11:$A$14,1)),"Sem dados")),"Verificar"))))</f>
        <v/>
      </c>
      <c r="N855" s="39">
        <f>IF(A855="","",IF(COUNTIFS('Movimentações'!$C$6:$C$1505,A855,'Movimentações'!$B$6:$B$1505,"Venda")&gt;0,"Vendido",IF(COUNTIFS('Movimentações'!$C$6:$C$1505,A855,'Movimentações'!$B$6:$B$1505,"Morte")&gt;0,"Morto","Ativo")))</f>
        <v/>
      </c>
      <c r="O855" s="40">
        <f>IF(A855="","",IF(COUNTIF('Pesagens'!$B$6:$B$2005,A855)=0,"",SUMPRODUCT(MAX(('Pesagens'!$B$6:$B$2005=A855)*'Pesagens'!$A$6:$A$2005))))</f>
        <v/>
      </c>
      <c r="P855" s="41">
        <f>IF(A855="","",IF(O855="",IF(J855="","",J855),IFERROR(AVERAGEIFS('Pesagens'!$C$6:$C$2005,'Pesagens'!$B$6:$B$2005,A855,'Pesagens'!$A$6:$A$2005,O855),"")))</f>
        <v/>
      </c>
      <c r="Q855" s="42">
        <f>IF(OR(A855="",O855="",I855="",J855=""),"",IFERROR((P855-J855)/(O855-I855),""))</f>
        <v/>
      </c>
    </row>
    <row r="856">
      <c r="A856" s="36" t="n"/>
      <c r="B856" s="32" t="n"/>
      <c r="C856" s="37" t="n"/>
      <c r="D856" s="31" t="n"/>
      <c r="E856" s="32" t="n"/>
      <c r="F856" s="32" t="n"/>
      <c r="G856" s="32" t="n"/>
      <c r="H856" s="36" t="n"/>
      <c r="I856" s="31" t="n"/>
      <c r="J856" s="38" t="n"/>
      <c r="K856" s="32" t="n"/>
      <c r="L856" s="34">
        <f>IF(OR(A856="",D856=""),"",IF(D856&gt;Config!$B$5,0,DATEDIF(D856,Config!$B$5,"m")))</f>
        <v/>
      </c>
      <c r="M856" s="39">
        <f>IF(A856="","",IF(K856&lt;&gt;"",K856,IF(OR(C856="",D856=""),"Sem dados",IFERROR(IF(C856="M",INDEX(Config!$B$11:$B$14,MATCH(L856,Config!$A$11:$A$14,1)),IF(C856="F",INDEX(Config!$C$11:$C$14,MATCH(L856,Config!$A$11:$A$14,1)),"Sem dados")),"Verificar"))))</f>
        <v/>
      </c>
      <c r="N856" s="39">
        <f>IF(A856="","",IF(COUNTIFS('Movimentações'!$C$6:$C$1505,A856,'Movimentações'!$B$6:$B$1505,"Venda")&gt;0,"Vendido",IF(COUNTIFS('Movimentações'!$C$6:$C$1505,A856,'Movimentações'!$B$6:$B$1505,"Morte")&gt;0,"Morto","Ativo")))</f>
        <v/>
      </c>
      <c r="O856" s="40">
        <f>IF(A856="","",IF(COUNTIF('Pesagens'!$B$6:$B$2005,A856)=0,"",SUMPRODUCT(MAX(('Pesagens'!$B$6:$B$2005=A856)*'Pesagens'!$A$6:$A$2005))))</f>
        <v/>
      </c>
      <c r="P856" s="41">
        <f>IF(A856="","",IF(O856="",IF(J856="","",J856),IFERROR(AVERAGEIFS('Pesagens'!$C$6:$C$2005,'Pesagens'!$B$6:$B$2005,A856,'Pesagens'!$A$6:$A$2005,O856),"")))</f>
        <v/>
      </c>
      <c r="Q856" s="42">
        <f>IF(OR(A856="",O856="",I856="",J856=""),"",IFERROR((P856-J856)/(O856-I856),""))</f>
        <v/>
      </c>
    </row>
    <row r="857">
      <c r="A857" s="36" t="n"/>
      <c r="B857" s="32" t="n"/>
      <c r="C857" s="37" t="n"/>
      <c r="D857" s="31" t="n"/>
      <c r="E857" s="32" t="n"/>
      <c r="F857" s="32" t="n"/>
      <c r="G857" s="32" t="n"/>
      <c r="H857" s="36" t="n"/>
      <c r="I857" s="31" t="n"/>
      <c r="J857" s="38" t="n"/>
      <c r="K857" s="32" t="n"/>
      <c r="L857" s="34">
        <f>IF(OR(A857="",D857=""),"",IF(D857&gt;Config!$B$5,0,DATEDIF(D857,Config!$B$5,"m")))</f>
        <v/>
      </c>
      <c r="M857" s="39">
        <f>IF(A857="","",IF(K857&lt;&gt;"",K857,IF(OR(C857="",D857=""),"Sem dados",IFERROR(IF(C857="M",INDEX(Config!$B$11:$B$14,MATCH(L857,Config!$A$11:$A$14,1)),IF(C857="F",INDEX(Config!$C$11:$C$14,MATCH(L857,Config!$A$11:$A$14,1)),"Sem dados")),"Verificar"))))</f>
        <v/>
      </c>
      <c r="N857" s="39">
        <f>IF(A857="","",IF(COUNTIFS('Movimentações'!$C$6:$C$1505,A857,'Movimentações'!$B$6:$B$1505,"Venda")&gt;0,"Vendido",IF(COUNTIFS('Movimentações'!$C$6:$C$1505,A857,'Movimentações'!$B$6:$B$1505,"Morte")&gt;0,"Morto","Ativo")))</f>
        <v/>
      </c>
      <c r="O857" s="40">
        <f>IF(A857="","",IF(COUNTIF('Pesagens'!$B$6:$B$2005,A857)=0,"",SUMPRODUCT(MAX(('Pesagens'!$B$6:$B$2005=A857)*'Pesagens'!$A$6:$A$2005))))</f>
        <v/>
      </c>
      <c r="P857" s="41">
        <f>IF(A857="","",IF(O857="",IF(J857="","",J857),IFERROR(AVERAGEIFS('Pesagens'!$C$6:$C$2005,'Pesagens'!$B$6:$B$2005,A857,'Pesagens'!$A$6:$A$2005,O857),"")))</f>
        <v/>
      </c>
      <c r="Q857" s="42">
        <f>IF(OR(A857="",O857="",I857="",J857=""),"",IFERROR((P857-J857)/(O857-I857),""))</f>
        <v/>
      </c>
    </row>
    <row r="858">
      <c r="A858" s="36" t="n"/>
      <c r="B858" s="32" t="n"/>
      <c r="C858" s="37" t="n"/>
      <c r="D858" s="31" t="n"/>
      <c r="E858" s="32" t="n"/>
      <c r="F858" s="32" t="n"/>
      <c r="G858" s="32" t="n"/>
      <c r="H858" s="36" t="n"/>
      <c r="I858" s="31" t="n"/>
      <c r="J858" s="38" t="n"/>
      <c r="K858" s="32" t="n"/>
      <c r="L858" s="34">
        <f>IF(OR(A858="",D858=""),"",IF(D858&gt;Config!$B$5,0,DATEDIF(D858,Config!$B$5,"m")))</f>
        <v/>
      </c>
      <c r="M858" s="39">
        <f>IF(A858="","",IF(K858&lt;&gt;"",K858,IF(OR(C858="",D858=""),"Sem dados",IFERROR(IF(C858="M",INDEX(Config!$B$11:$B$14,MATCH(L858,Config!$A$11:$A$14,1)),IF(C858="F",INDEX(Config!$C$11:$C$14,MATCH(L858,Config!$A$11:$A$14,1)),"Sem dados")),"Verificar"))))</f>
        <v/>
      </c>
      <c r="N858" s="39">
        <f>IF(A858="","",IF(COUNTIFS('Movimentações'!$C$6:$C$1505,A858,'Movimentações'!$B$6:$B$1505,"Venda")&gt;0,"Vendido",IF(COUNTIFS('Movimentações'!$C$6:$C$1505,A858,'Movimentações'!$B$6:$B$1505,"Morte")&gt;0,"Morto","Ativo")))</f>
        <v/>
      </c>
      <c r="O858" s="40">
        <f>IF(A858="","",IF(COUNTIF('Pesagens'!$B$6:$B$2005,A858)=0,"",SUMPRODUCT(MAX(('Pesagens'!$B$6:$B$2005=A858)*'Pesagens'!$A$6:$A$2005))))</f>
        <v/>
      </c>
      <c r="P858" s="41">
        <f>IF(A858="","",IF(O858="",IF(J858="","",J858),IFERROR(AVERAGEIFS('Pesagens'!$C$6:$C$2005,'Pesagens'!$B$6:$B$2005,A858,'Pesagens'!$A$6:$A$2005,O858),"")))</f>
        <v/>
      </c>
      <c r="Q858" s="42">
        <f>IF(OR(A858="",O858="",I858="",J858=""),"",IFERROR((P858-J858)/(O858-I858),""))</f>
        <v/>
      </c>
    </row>
    <row r="859">
      <c r="A859" s="36" t="n"/>
      <c r="B859" s="32" t="n"/>
      <c r="C859" s="37" t="n"/>
      <c r="D859" s="31" t="n"/>
      <c r="E859" s="32" t="n"/>
      <c r="F859" s="32" t="n"/>
      <c r="G859" s="32" t="n"/>
      <c r="H859" s="36" t="n"/>
      <c r="I859" s="31" t="n"/>
      <c r="J859" s="38" t="n"/>
      <c r="K859" s="32" t="n"/>
      <c r="L859" s="34">
        <f>IF(OR(A859="",D859=""),"",IF(D859&gt;Config!$B$5,0,DATEDIF(D859,Config!$B$5,"m")))</f>
        <v/>
      </c>
      <c r="M859" s="39">
        <f>IF(A859="","",IF(K859&lt;&gt;"",K859,IF(OR(C859="",D859=""),"Sem dados",IFERROR(IF(C859="M",INDEX(Config!$B$11:$B$14,MATCH(L859,Config!$A$11:$A$14,1)),IF(C859="F",INDEX(Config!$C$11:$C$14,MATCH(L859,Config!$A$11:$A$14,1)),"Sem dados")),"Verificar"))))</f>
        <v/>
      </c>
      <c r="N859" s="39">
        <f>IF(A859="","",IF(COUNTIFS('Movimentações'!$C$6:$C$1505,A859,'Movimentações'!$B$6:$B$1505,"Venda")&gt;0,"Vendido",IF(COUNTIFS('Movimentações'!$C$6:$C$1505,A859,'Movimentações'!$B$6:$B$1505,"Morte")&gt;0,"Morto","Ativo")))</f>
        <v/>
      </c>
      <c r="O859" s="40">
        <f>IF(A859="","",IF(COUNTIF('Pesagens'!$B$6:$B$2005,A859)=0,"",SUMPRODUCT(MAX(('Pesagens'!$B$6:$B$2005=A859)*'Pesagens'!$A$6:$A$2005))))</f>
        <v/>
      </c>
      <c r="P859" s="41">
        <f>IF(A859="","",IF(O859="",IF(J859="","",J859),IFERROR(AVERAGEIFS('Pesagens'!$C$6:$C$2005,'Pesagens'!$B$6:$B$2005,A859,'Pesagens'!$A$6:$A$2005,O859),"")))</f>
        <v/>
      </c>
      <c r="Q859" s="42">
        <f>IF(OR(A859="",O859="",I859="",J859=""),"",IFERROR((P859-J859)/(O859-I859),""))</f>
        <v/>
      </c>
    </row>
    <row r="860">
      <c r="A860" s="36" t="n"/>
      <c r="B860" s="32" t="n"/>
      <c r="C860" s="37" t="n"/>
      <c r="D860" s="31" t="n"/>
      <c r="E860" s="32" t="n"/>
      <c r="F860" s="32" t="n"/>
      <c r="G860" s="32" t="n"/>
      <c r="H860" s="36" t="n"/>
      <c r="I860" s="31" t="n"/>
      <c r="J860" s="38" t="n"/>
      <c r="K860" s="32" t="n"/>
      <c r="L860" s="34">
        <f>IF(OR(A860="",D860=""),"",IF(D860&gt;Config!$B$5,0,DATEDIF(D860,Config!$B$5,"m")))</f>
        <v/>
      </c>
      <c r="M860" s="39">
        <f>IF(A860="","",IF(K860&lt;&gt;"",K860,IF(OR(C860="",D860=""),"Sem dados",IFERROR(IF(C860="M",INDEX(Config!$B$11:$B$14,MATCH(L860,Config!$A$11:$A$14,1)),IF(C860="F",INDEX(Config!$C$11:$C$14,MATCH(L860,Config!$A$11:$A$14,1)),"Sem dados")),"Verificar"))))</f>
        <v/>
      </c>
      <c r="N860" s="39">
        <f>IF(A860="","",IF(COUNTIFS('Movimentações'!$C$6:$C$1505,A860,'Movimentações'!$B$6:$B$1505,"Venda")&gt;0,"Vendido",IF(COUNTIFS('Movimentações'!$C$6:$C$1505,A860,'Movimentações'!$B$6:$B$1505,"Morte")&gt;0,"Morto","Ativo")))</f>
        <v/>
      </c>
      <c r="O860" s="40">
        <f>IF(A860="","",IF(COUNTIF('Pesagens'!$B$6:$B$2005,A860)=0,"",SUMPRODUCT(MAX(('Pesagens'!$B$6:$B$2005=A860)*'Pesagens'!$A$6:$A$2005))))</f>
        <v/>
      </c>
      <c r="P860" s="41">
        <f>IF(A860="","",IF(O860="",IF(J860="","",J860),IFERROR(AVERAGEIFS('Pesagens'!$C$6:$C$2005,'Pesagens'!$B$6:$B$2005,A860,'Pesagens'!$A$6:$A$2005,O860),"")))</f>
        <v/>
      </c>
      <c r="Q860" s="42">
        <f>IF(OR(A860="",O860="",I860="",J860=""),"",IFERROR((P860-J860)/(O860-I860),""))</f>
        <v/>
      </c>
    </row>
    <row r="861">
      <c r="A861" s="36" t="n"/>
      <c r="B861" s="32" t="n"/>
      <c r="C861" s="37" t="n"/>
      <c r="D861" s="31" t="n"/>
      <c r="E861" s="32" t="n"/>
      <c r="F861" s="32" t="n"/>
      <c r="G861" s="32" t="n"/>
      <c r="H861" s="36" t="n"/>
      <c r="I861" s="31" t="n"/>
      <c r="J861" s="38" t="n"/>
      <c r="K861" s="32" t="n"/>
      <c r="L861" s="34">
        <f>IF(OR(A861="",D861=""),"",IF(D861&gt;Config!$B$5,0,DATEDIF(D861,Config!$B$5,"m")))</f>
        <v/>
      </c>
      <c r="M861" s="39">
        <f>IF(A861="","",IF(K861&lt;&gt;"",K861,IF(OR(C861="",D861=""),"Sem dados",IFERROR(IF(C861="M",INDEX(Config!$B$11:$B$14,MATCH(L861,Config!$A$11:$A$14,1)),IF(C861="F",INDEX(Config!$C$11:$C$14,MATCH(L861,Config!$A$11:$A$14,1)),"Sem dados")),"Verificar"))))</f>
        <v/>
      </c>
      <c r="N861" s="39">
        <f>IF(A861="","",IF(COUNTIFS('Movimentações'!$C$6:$C$1505,A861,'Movimentações'!$B$6:$B$1505,"Venda")&gt;0,"Vendido",IF(COUNTIFS('Movimentações'!$C$6:$C$1505,A861,'Movimentações'!$B$6:$B$1505,"Morte")&gt;0,"Morto","Ativo")))</f>
        <v/>
      </c>
      <c r="O861" s="40">
        <f>IF(A861="","",IF(COUNTIF('Pesagens'!$B$6:$B$2005,A861)=0,"",SUMPRODUCT(MAX(('Pesagens'!$B$6:$B$2005=A861)*'Pesagens'!$A$6:$A$2005))))</f>
        <v/>
      </c>
      <c r="P861" s="41">
        <f>IF(A861="","",IF(O861="",IF(J861="","",J861),IFERROR(AVERAGEIFS('Pesagens'!$C$6:$C$2005,'Pesagens'!$B$6:$B$2005,A861,'Pesagens'!$A$6:$A$2005,O861),"")))</f>
        <v/>
      </c>
      <c r="Q861" s="42">
        <f>IF(OR(A861="",O861="",I861="",J861=""),"",IFERROR((P861-J861)/(O861-I861),""))</f>
        <v/>
      </c>
    </row>
    <row r="862">
      <c r="A862" s="36" t="n"/>
      <c r="B862" s="32" t="n"/>
      <c r="C862" s="37" t="n"/>
      <c r="D862" s="31" t="n"/>
      <c r="E862" s="32" t="n"/>
      <c r="F862" s="32" t="n"/>
      <c r="G862" s="32" t="n"/>
      <c r="H862" s="36" t="n"/>
      <c r="I862" s="31" t="n"/>
      <c r="J862" s="38" t="n"/>
      <c r="K862" s="32" t="n"/>
      <c r="L862" s="34">
        <f>IF(OR(A862="",D862=""),"",IF(D862&gt;Config!$B$5,0,DATEDIF(D862,Config!$B$5,"m")))</f>
        <v/>
      </c>
      <c r="M862" s="39">
        <f>IF(A862="","",IF(K862&lt;&gt;"",K862,IF(OR(C862="",D862=""),"Sem dados",IFERROR(IF(C862="M",INDEX(Config!$B$11:$B$14,MATCH(L862,Config!$A$11:$A$14,1)),IF(C862="F",INDEX(Config!$C$11:$C$14,MATCH(L862,Config!$A$11:$A$14,1)),"Sem dados")),"Verificar"))))</f>
        <v/>
      </c>
      <c r="N862" s="39">
        <f>IF(A862="","",IF(COUNTIFS('Movimentações'!$C$6:$C$1505,A862,'Movimentações'!$B$6:$B$1505,"Venda")&gt;0,"Vendido",IF(COUNTIFS('Movimentações'!$C$6:$C$1505,A862,'Movimentações'!$B$6:$B$1505,"Morte")&gt;0,"Morto","Ativo")))</f>
        <v/>
      </c>
      <c r="O862" s="40">
        <f>IF(A862="","",IF(COUNTIF('Pesagens'!$B$6:$B$2005,A862)=0,"",SUMPRODUCT(MAX(('Pesagens'!$B$6:$B$2005=A862)*'Pesagens'!$A$6:$A$2005))))</f>
        <v/>
      </c>
      <c r="P862" s="41">
        <f>IF(A862="","",IF(O862="",IF(J862="","",J862),IFERROR(AVERAGEIFS('Pesagens'!$C$6:$C$2005,'Pesagens'!$B$6:$B$2005,A862,'Pesagens'!$A$6:$A$2005,O862),"")))</f>
        <v/>
      </c>
      <c r="Q862" s="42">
        <f>IF(OR(A862="",O862="",I862="",J862=""),"",IFERROR((P862-J862)/(O862-I862),""))</f>
        <v/>
      </c>
    </row>
    <row r="863">
      <c r="A863" s="36" t="n"/>
      <c r="B863" s="32" t="n"/>
      <c r="C863" s="37" t="n"/>
      <c r="D863" s="31" t="n"/>
      <c r="E863" s="32" t="n"/>
      <c r="F863" s="32" t="n"/>
      <c r="G863" s="32" t="n"/>
      <c r="H863" s="36" t="n"/>
      <c r="I863" s="31" t="n"/>
      <c r="J863" s="38" t="n"/>
      <c r="K863" s="32" t="n"/>
      <c r="L863" s="34">
        <f>IF(OR(A863="",D863=""),"",IF(D863&gt;Config!$B$5,0,DATEDIF(D863,Config!$B$5,"m")))</f>
        <v/>
      </c>
      <c r="M863" s="39">
        <f>IF(A863="","",IF(K863&lt;&gt;"",K863,IF(OR(C863="",D863=""),"Sem dados",IFERROR(IF(C863="M",INDEX(Config!$B$11:$B$14,MATCH(L863,Config!$A$11:$A$14,1)),IF(C863="F",INDEX(Config!$C$11:$C$14,MATCH(L863,Config!$A$11:$A$14,1)),"Sem dados")),"Verificar"))))</f>
        <v/>
      </c>
      <c r="N863" s="39">
        <f>IF(A863="","",IF(COUNTIFS('Movimentações'!$C$6:$C$1505,A863,'Movimentações'!$B$6:$B$1505,"Venda")&gt;0,"Vendido",IF(COUNTIFS('Movimentações'!$C$6:$C$1505,A863,'Movimentações'!$B$6:$B$1505,"Morte")&gt;0,"Morto","Ativo")))</f>
        <v/>
      </c>
      <c r="O863" s="40">
        <f>IF(A863="","",IF(COUNTIF('Pesagens'!$B$6:$B$2005,A863)=0,"",SUMPRODUCT(MAX(('Pesagens'!$B$6:$B$2005=A863)*'Pesagens'!$A$6:$A$2005))))</f>
        <v/>
      </c>
      <c r="P863" s="41">
        <f>IF(A863="","",IF(O863="",IF(J863="","",J863),IFERROR(AVERAGEIFS('Pesagens'!$C$6:$C$2005,'Pesagens'!$B$6:$B$2005,A863,'Pesagens'!$A$6:$A$2005,O863),"")))</f>
        <v/>
      </c>
      <c r="Q863" s="42">
        <f>IF(OR(A863="",O863="",I863="",J863=""),"",IFERROR((P863-J863)/(O863-I863),""))</f>
        <v/>
      </c>
    </row>
    <row r="864">
      <c r="A864" s="36" t="n"/>
      <c r="B864" s="32" t="n"/>
      <c r="C864" s="37" t="n"/>
      <c r="D864" s="31" t="n"/>
      <c r="E864" s="32" t="n"/>
      <c r="F864" s="32" t="n"/>
      <c r="G864" s="32" t="n"/>
      <c r="H864" s="36" t="n"/>
      <c r="I864" s="31" t="n"/>
      <c r="J864" s="38" t="n"/>
      <c r="K864" s="32" t="n"/>
      <c r="L864" s="34">
        <f>IF(OR(A864="",D864=""),"",IF(D864&gt;Config!$B$5,0,DATEDIF(D864,Config!$B$5,"m")))</f>
        <v/>
      </c>
      <c r="M864" s="39">
        <f>IF(A864="","",IF(K864&lt;&gt;"",K864,IF(OR(C864="",D864=""),"Sem dados",IFERROR(IF(C864="M",INDEX(Config!$B$11:$B$14,MATCH(L864,Config!$A$11:$A$14,1)),IF(C864="F",INDEX(Config!$C$11:$C$14,MATCH(L864,Config!$A$11:$A$14,1)),"Sem dados")),"Verificar"))))</f>
        <v/>
      </c>
      <c r="N864" s="39">
        <f>IF(A864="","",IF(COUNTIFS('Movimentações'!$C$6:$C$1505,A864,'Movimentações'!$B$6:$B$1505,"Venda")&gt;0,"Vendido",IF(COUNTIFS('Movimentações'!$C$6:$C$1505,A864,'Movimentações'!$B$6:$B$1505,"Morte")&gt;0,"Morto","Ativo")))</f>
        <v/>
      </c>
      <c r="O864" s="40">
        <f>IF(A864="","",IF(COUNTIF('Pesagens'!$B$6:$B$2005,A864)=0,"",SUMPRODUCT(MAX(('Pesagens'!$B$6:$B$2005=A864)*'Pesagens'!$A$6:$A$2005))))</f>
        <v/>
      </c>
      <c r="P864" s="41">
        <f>IF(A864="","",IF(O864="",IF(J864="","",J864),IFERROR(AVERAGEIFS('Pesagens'!$C$6:$C$2005,'Pesagens'!$B$6:$B$2005,A864,'Pesagens'!$A$6:$A$2005,O864),"")))</f>
        <v/>
      </c>
      <c r="Q864" s="42">
        <f>IF(OR(A864="",O864="",I864="",J864=""),"",IFERROR((P864-J864)/(O864-I864),""))</f>
        <v/>
      </c>
    </row>
    <row r="865">
      <c r="A865" s="36" t="n"/>
      <c r="B865" s="32" t="n"/>
      <c r="C865" s="37" t="n"/>
      <c r="D865" s="31" t="n"/>
      <c r="E865" s="32" t="n"/>
      <c r="F865" s="32" t="n"/>
      <c r="G865" s="32" t="n"/>
      <c r="H865" s="36" t="n"/>
      <c r="I865" s="31" t="n"/>
      <c r="J865" s="38" t="n"/>
      <c r="K865" s="32" t="n"/>
      <c r="L865" s="34">
        <f>IF(OR(A865="",D865=""),"",IF(D865&gt;Config!$B$5,0,DATEDIF(D865,Config!$B$5,"m")))</f>
        <v/>
      </c>
      <c r="M865" s="39">
        <f>IF(A865="","",IF(K865&lt;&gt;"",K865,IF(OR(C865="",D865=""),"Sem dados",IFERROR(IF(C865="M",INDEX(Config!$B$11:$B$14,MATCH(L865,Config!$A$11:$A$14,1)),IF(C865="F",INDEX(Config!$C$11:$C$14,MATCH(L865,Config!$A$11:$A$14,1)),"Sem dados")),"Verificar"))))</f>
        <v/>
      </c>
      <c r="N865" s="39">
        <f>IF(A865="","",IF(COUNTIFS('Movimentações'!$C$6:$C$1505,A865,'Movimentações'!$B$6:$B$1505,"Venda")&gt;0,"Vendido",IF(COUNTIFS('Movimentações'!$C$6:$C$1505,A865,'Movimentações'!$B$6:$B$1505,"Morte")&gt;0,"Morto","Ativo")))</f>
        <v/>
      </c>
      <c r="O865" s="40">
        <f>IF(A865="","",IF(COUNTIF('Pesagens'!$B$6:$B$2005,A865)=0,"",SUMPRODUCT(MAX(('Pesagens'!$B$6:$B$2005=A865)*'Pesagens'!$A$6:$A$2005))))</f>
        <v/>
      </c>
      <c r="P865" s="41">
        <f>IF(A865="","",IF(O865="",IF(J865="","",J865),IFERROR(AVERAGEIFS('Pesagens'!$C$6:$C$2005,'Pesagens'!$B$6:$B$2005,A865,'Pesagens'!$A$6:$A$2005,O865),"")))</f>
        <v/>
      </c>
      <c r="Q865" s="42">
        <f>IF(OR(A865="",O865="",I865="",J865=""),"",IFERROR((P865-J865)/(O865-I865),""))</f>
        <v/>
      </c>
    </row>
    <row r="866">
      <c r="A866" s="36" t="n"/>
      <c r="B866" s="32" t="n"/>
      <c r="C866" s="37" t="n"/>
      <c r="D866" s="31" t="n"/>
      <c r="E866" s="32" t="n"/>
      <c r="F866" s="32" t="n"/>
      <c r="G866" s="32" t="n"/>
      <c r="H866" s="36" t="n"/>
      <c r="I866" s="31" t="n"/>
      <c r="J866" s="38" t="n"/>
      <c r="K866" s="32" t="n"/>
      <c r="L866" s="34">
        <f>IF(OR(A866="",D866=""),"",IF(D866&gt;Config!$B$5,0,DATEDIF(D866,Config!$B$5,"m")))</f>
        <v/>
      </c>
      <c r="M866" s="39">
        <f>IF(A866="","",IF(K866&lt;&gt;"",K866,IF(OR(C866="",D866=""),"Sem dados",IFERROR(IF(C866="M",INDEX(Config!$B$11:$B$14,MATCH(L866,Config!$A$11:$A$14,1)),IF(C866="F",INDEX(Config!$C$11:$C$14,MATCH(L866,Config!$A$11:$A$14,1)),"Sem dados")),"Verificar"))))</f>
        <v/>
      </c>
      <c r="N866" s="39">
        <f>IF(A866="","",IF(COUNTIFS('Movimentações'!$C$6:$C$1505,A866,'Movimentações'!$B$6:$B$1505,"Venda")&gt;0,"Vendido",IF(COUNTIFS('Movimentações'!$C$6:$C$1505,A866,'Movimentações'!$B$6:$B$1505,"Morte")&gt;0,"Morto","Ativo")))</f>
        <v/>
      </c>
      <c r="O866" s="40">
        <f>IF(A866="","",IF(COUNTIF('Pesagens'!$B$6:$B$2005,A866)=0,"",SUMPRODUCT(MAX(('Pesagens'!$B$6:$B$2005=A866)*'Pesagens'!$A$6:$A$2005))))</f>
        <v/>
      </c>
      <c r="P866" s="41">
        <f>IF(A866="","",IF(O866="",IF(J866="","",J866),IFERROR(AVERAGEIFS('Pesagens'!$C$6:$C$2005,'Pesagens'!$B$6:$B$2005,A866,'Pesagens'!$A$6:$A$2005,O866),"")))</f>
        <v/>
      </c>
      <c r="Q866" s="42">
        <f>IF(OR(A866="",O866="",I866="",J866=""),"",IFERROR((P866-J866)/(O866-I866),""))</f>
        <v/>
      </c>
    </row>
    <row r="867">
      <c r="A867" s="36" t="n"/>
      <c r="B867" s="32" t="n"/>
      <c r="C867" s="37" t="n"/>
      <c r="D867" s="31" t="n"/>
      <c r="E867" s="32" t="n"/>
      <c r="F867" s="32" t="n"/>
      <c r="G867" s="32" t="n"/>
      <c r="H867" s="36" t="n"/>
      <c r="I867" s="31" t="n"/>
      <c r="J867" s="38" t="n"/>
      <c r="K867" s="32" t="n"/>
      <c r="L867" s="34">
        <f>IF(OR(A867="",D867=""),"",IF(D867&gt;Config!$B$5,0,DATEDIF(D867,Config!$B$5,"m")))</f>
        <v/>
      </c>
      <c r="M867" s="39">
        <f>IF(A867="","",IF(K867&lt;&gt;"",K867,IF(OR(C867="",D867=""),"Sem dados",IFERROR(IF(C867="M",INDEX(Config!$B$11:$B$14,MATCH(L867,Config!$A$11:$A$14,1)),IF(C867="F",INDEX(Config!$C$11:$C$14,MATCH(L867,Config!$A$11:$A$14,1)),"Sem dados")),"Verificar"))))</f>
        <v/>
      </c>
      <c r="N867" s="39">
        <f>IF(A867="","",IF(COUNTIFS('Movimentações'!$C$6:$C$1505,A867,'Movimentações'!$B$6:$B$1505,"Venda")&gt;0,"Vendido",IF(COUNTIFS('Movimentações'!$C$6:$C$1505,A867,'Movimentações'!$B$6:$B$1505,"Morte")&gt;0,"Morto","Ativo")))</f>
        <v/>
      </c>
      <c r="O867" s="40">
        <f>IF(A867="","",IF(COUNTIF('Pesagens'!$B$6:$B$2005,A867)=0,"",SUMPRODUCT(MAX(('Pesagens'!$B$6:$B$2005=A867)*'Pesagens'!$A$6:$A$2005))))</f>
        <v/>
      </c>
      <c r="P867" s="41">
        <f>IF(A867="","",IF(O867="",IF(J867="","",J867),IFERROR(AVERAGEIFS('Pesagens'!$C$6:$C$2005,'Pesagens'!$B$6:$B$2005,A867,'Pesagens'!$A$6:$A$2005,O867),"")))</f>
        <v/>
      </c>
      <c r="Q867" s="42">
        <f>IF(OR(A867="",O867="",I867="",J867=""),"",IFERROR((P867-J867)/(O867-I867),""))</f>
        <v/>
      </c>
    </row>
    <row r="868">
      <c r="A868" s="36" t="n"/>
      <c r="B868" s="32" t="n"/>
      <c r="C868" s="37" t="n"/>
      <c r="D868" s="31" t="n"/>
      <c r="E868" s="32" t="n"/>
      <c r="F868" s="32" t="n"/>
      <c r="G868" s="32" t="n"/>
      <c r="H868" s="36" t="n"/>
      <c r="I868" s="31" t="n"/>
      <c r="J868" s="38" t="n"/>
      <c r="K868" s="32" t="n"/>
      <c r="L868" s="34">
        <f>IF(OR(A868="",D868=""),"",IF(D868&gt;Config!$B$5,0,DATEDIF(D868,Config!$B$5,"m")))</f>
        <v/>
      </c>
      <c r="M868" s="39">
        <f>IF(A868="","",IF(K868&lt;&gt;"",K868,IF(OR(C868="",D868=""),"Sem dados",IFERROR(IF(C868="M",INDEX(Config!$B$11:$B$14,MATCH(L868,Config!$A$11:$A$14,1)),IF(C868="F",INDEX(Config!$C$11:$C$14,MATCH(L868,Config!$A$11:$A$14,1)),"Sem dados")),"Verificar"))))</f>
        <v/>
      </c>
      <c r="N868" s="39">
        <f>IF(A868="","",IF(COUNTIFS('Movimentações'!$C$6:$C$1505,A868,'Movimentações'!$B$6:$B$1505,"Venda")&gt;0,"Vendido",IF(COUNTIFS('Movimentações'!$C$6:$C$1505,A868,'Movimentações'!$B$6:$B$1505,"Morte")&gt;0,"Morto","Ativo")))</f>
        <v/>
      </c>
      <c r="O868" s="40">
        <f>IF(A868="","",IF(COUNTIF('Pesagens'!$B$6:$B$2005,A868)=0,"",SUMPRODUCT(MAX(('Pesagens'!$B$6:$B$2005=A868)*'Pesagens'!$A$6:$A$2005))))</f>
        <v/>
      </c>
      <c r="P868" s="41">
        <f>IF(A868="","",IF(O868="",IF(J868="","",J868),IFERROR(AVERAGEIFS('Pesagens'!$C$6:$C$2005,'Pesagens'!$B$6:$B$2005,A868,'Pesagens'!$A$6:$A$2005,O868),"")))</f>
        <v/>
      </c>
      <c r="Q868" s="42">
        <f>IF(OR(A868="",O868="",I868="",J868=""),"",IFERROR((P868-J868)/(O868-I868),""))</f>
        <v/>
      </c>
    </row>
    <row r="869">
      <c r="A869" s="36" t="n"/>
      <c r="B869" s="32" t="n"/>
      <c r="C869" s="37" t="n"/>
      <c r="D869" s="31" t="n"/>
      <c r="E869" s="32" t="n"/>
      <c r="F869" s="32" t="n"/>
      <c r="G869" s="32" t="n"/>
      <c r="H869" s="36" t="n"/>
      <c r="I869" s="31" t="n"/>
      <c r="J869" s="38" t="n"/>
      <c r="K869" s="32" t="n"/>
      <c r="L869" s="34">
        <f>IF(OR(A869="",D869=""),"",IF(D869&gt;Config!$B$5,0,DATEDIF(D869,Config!$B$5,"m")))</f>
        <v/>
      </c>
      <c r="M869" s="39">
        <f>IF(A869="","",IF(K869&lt;&gt;"",K869,IF(OR(C869="",D869=""),"Sem dados",IFERROR(IF(C869="M",INDEX(Config!$B$11:$B$14,MATCH(L869,Config!$A$11:$A$14,1)),IF(C869="F",INDEX(Config!$C$11:$C$14,MATCH(L869,Config!$A$11:$A$14,1)),"Sem dados")),"Verificar"))))</f>
        <v/>
      </c>
      <c r="N869" s="39">
        <f>IF(A869="","",IF(COUNTIFS('Movimentações'!$C$6:$C$1505,A869,'Movimentações'!$B$6:$B$1505,"Venda")&gt;0,"Vendido",IF(COUNTIFS('Movimentações'!$C$6:$C$1505,A869,'Movimentações'!$B$6:$B$1505,"Morte")&gt;0,"Morto","Ativo")))</f>
        <v/>
      </c>
      <c r="O869" s="40">
        <f>IF(A869="","",IF(COUNTIF('Pesagens'!$B$6:$B$2005,A869)=0,"",SUMPRODUCT(MAX(('Pesagens'!$B$6:$B$2005=A869)*'Pesagens'!$A$6:$A$2005))))</f>
        <v/>
      </c>
      <c r="P869" s="41">
        <f>IF(A869="","",IF(O869="",IF(J869="","",J869),IFERROR(AVERAGEIFS('Pesagens'!$C$6:$C$2005,'Pesagens'!$B$6:$B$2005,A869,'Pesagens'!$A$6:$A$2005,O869),"")))</f>
        <v/>
      </c>
      <c r="Q869" s="42">
        <f>IF(OR(A869="",O869="",I869="",J869=""),"",IFERROR((P869-J869)/(O869-I869),""))</f>
        <v/>
      </c>
    </row>
    <row r="870">
      <c r="A870" s="36" t="n"/>
      <c r="B870" s="32" t="n"/>
      <c r="C870" s="37" t="n"/>
      <c r="D870" s="31" t="n"/>
      <c r="E870" s="32" t="n"/>
      <c r="F870" s="32" t="n"/>
      <c r="G870" s="32" t="n"/>
      <c r="H870" s="36" t="n"/>
      <c r="I870" s="31" t="n"/>
      <c r="J870" s="38" t="n"/>
      <c r="K870" s="32" t="n"/>
      <c r="L870" s="34">
        <f>IF(OR(A870="",D870=""),"",IF(D870&gt;Config!$B$5,0,DATEDIF(D870,Config!$B$5,"m")))</f>
        <v/>
      </c>
      <c r="M870" s="39">
        <f>IF(A870="","",IF(K870&lt;&gt;"",K870,IF(OR(C870="",D870=""),"Sem dados",IFERROR(IF(C870="M",INDEX(Config!$B$11:$B$14,MATCH(L870,Config!$A$11:$A$14,1)),IF(C870="F",INDEX(Config!$C$11:$C$14,MATCH(L870,Config!$A$11:$A$14,1)),"Sem dados")),"Verificar"))))</f>
        <v/>
      </c>
      <c r="N870" s="39">
        <f>IF(A870="","",IF(COUNTIFS('Movimentações'!$C$6:$C$1505,A870,'Movimentações'!$B$6:$B$1505,"Venda")&gt;0,"Vendido",IF(COUNTIFS('Movimentações'!$C$6:$C$1505,A870,'Movimentações'!$B$6:$B$1505,"Morte")&gt;0,"Morto","Ativo")))</f>
        <v/>
      </c>
      <c r="O870" s="40">
        <f>IF(A870="","",IF(COUNTIF('Pesagens'!$B$6:$B$2005,A870)=0,"",SUMPRODUCT(MAX(('Pesagens'!$B$6:$B$2005=A870)*'Pesagens'!$A$6:$A$2005))))</f>
        <v/>
      </c>
      <c r="P870" s="41">
        <f>IF(A870="","",IF(O870="",IF(J870="","",J870),IFERROR(AVERAGEIFS('Pesagens'!$C$6:$C$2005,'Pesagens'!$B$6:$B$2005,A870,'Pesagens'!$A$6:$A$2005,O870),"")))</f>
        <v/>
      </c>
      <c r="Q870" s="42">
        <f>IF(OR(A870="",O870="",I870="",J870=""),"",IFERROR((P870-J870)/(O870-I870),""))</f>
        <v/>
      </c>
    </row>
    <row r="871">
      <c r="A871" s="36" t="n"/>
      <c r="B871" s="32" t="n"/>
      <c r="C871" s="37" t="n"/>
      <c r="D871" s="31" t="n"/>
      <c r="E871" s="32" t="n"/>
      <c r="F871" s="32" t="n"/>
      <c r="G871" s="32" t="n"/>
      <c r="H871" s="36" t="n"/>
      <c r="I871" s="31" t="n"/>
      <c r="J871" s="38" t="n"/>
      <c r="K871" s="32" t="n"/>
      <c r="L871" s="34">
        <f>IF(OR(A871="",D871=""),"",IF(D871&gt;Config!$B$5,0,DATEDIF(D871,Config!$B$5,"m")))</f>
        <v/>
      </c>
      <c r="M871" s="39">
        <f>IF(A871="","",IF(K871&lt;&gt;"",K871,IF(OR(C871="",D871=""),"Sem dados",IFERROR(IF(C871="M",INDEX(Config!$B$11:$B$14,MATCH(L871,Config!$A$11:$A$14,1)),IF(C871="F",INDEX(Config!$C$11:$C$14,MATCH(L871,Config!$A$11:$A$14,1)),"Sem dados")),"Verificar"))))</f>
        <v/>
      </c>
      <c r="N871" s="39">
        <f>IF(A871="","",IF(COUNTIFS('Movimentações'!$C$6:$C$1505,A871,'Movimentações'!$B$6:$B$1505,"Venda")&gt;0,"Vendido",IF(COUNTIFS('Movimentações'!$C$6:$C$1505,A871,'Movimentações'!$B$6:$B$1505,"Morte")&gt;0,"Morto","Ativo")))</f>
        <v/>
      </c>
      <c r="O871" s="40">
        <f>IF(A871="","",IF(COUNTIF('Pesagens'!$B$6:$B$2005,A871)=0,"",SUMPRODUCT(MAX(('Pesagens'!$B$6:$B$2005=A871)*'Pesagens'!$A$6:$A$2005))))</f>
        <v/>
      </c>
      <c r="P871" s="41">
        <f>IF(A871="","",IF(O871="",IF(J871="","",J871),IFERROR(AVERAGEIFS('Pesagens'!$C$6:$C$2005,'Pesagens'!$B$6:$B$2005,A871,'Pesagens'!$A$6:$A$2005,O871),"")))</f>
        <v/>
      </c>
      <c r="Q871" s="42">
        <f>IF(OR(A871="",O871="",I871="",J871=""),"",IFERROR((P871-J871)/(O871-I871),""))</f>
        <v/>
      </c>
    </row>
    <row r="872">
      <c r="A872" s="36" t="n"/>
      <c r="B872" s="32" t="n"/>
      <c r="C872" s="37" t="n"/>
      <c r="D872" s="31" t="n"/>
      <c r="E872" s="32" t="n"/>
      <c r="F872" s="32" t="n"/>
      <c r="G872" s="32" t="n"/>
      <c r="H872" s="36" t="n"/>
      <c r="I872" s="31" t="n"/>
      <c r="J872" s="38" t="n"/>
      <c r="K872" s="32" t="n"/>
      <c r="L872" s="34">
        <f>IF(OR(A872="",D872=""),"",IF(D872&gt;Config!$B$5,0,DATEDIF(D872,Config!$B$5,"m")))</f>
        <v/>
      </c>
      <c r="M872" s="39">
        <f>IF(A872="","",IF(K872&lt;&gt;"",K872,IF(OR(C872="",D872=""),"Sem dados",IFERROR(IF(C872="M",INDEX(Config!$B$11:$B$14,MATCH(L872,Config!$A$11:$A$14,1)),IF(C872="F",INDEX(Config!$C$11:$C$14,MATCH(L872,Config!$A$11:$A$14,1)),"Sem dados")),"Verificar"))))</f>
        <v/>
      </c>
      <c r="N872" s="39">
        <f>IF(A872="","",IF(COUNTIFS('Movimentações'!$C$6:$C$1505,A872,'Movimentações'!$B$6:$B$1505,"Venda")&gt;0,"Vendido",IF(COUNTIFS('Movimentações'!$C$6:$C$1505,A872,'Movimentações'!$B$6:$B$1505,"Morte")&gt;0,"Morto","Ativo")))</f>
        <v/>
      </c>
      <c r="O872" s="40">
        <f>IF(A872="","",IF(COUNTIF('Pesagens'!$B$6:$B$2005,A872)=0,"",SUMPRODUCT(MAX(('Pesagens'!$B$6:$B$2005=A872)*'Pesagens'!$A$6:$A$2005))))</f>
        <v/>
      </c>
      <c r="P872" s="41">
        <f>IF(A872="","",IF(O872="",IF(J872="","",J872),IFERROR(AVERAGEIFS('Pesagens'!$C$6:$C$2005,'Pesagens'!$B$6:$B$2005,A872,'Pesagens'!$A$6:$A$2005,O872),"")))</f>
        <v/>
      </c>
      <c r="Q872" s="42">
        <f>IF(OR(A872="",O872="",I872="",J872=""),"",IFERROR((P872-J872)/(O872-I872),""))</f>
        <v/>
      </c>
    </row>
    <row r="873">
      <c r="A873" s="36" t="n"/>
      <c r="B873" s="32" t="n"/>
      <c r="C873" s="37" t="n"/>
      <c r="D873" s="31" t="n"/>
      <c r="E873" s="32" t="n"/>
      <c r="F873" s="32" t="n"/>
      <c r="G873" s="32" t="n"/>
      <c r="H873" s="36" t="n"/>
      <c r="I873" s="31" t="n"/>
      <c r="J873" s="38" t="n"/>
      <c r="K873" s="32" t="n"/>
      <c r="L873" s="34">
        <f>IF(OR(A873="",D873=""),"",IF(D873&gt;Config!$B$5,0,DATEDIF(D873,Config!$B$5,"m")))</f>
        <v/>
      </c>
      <c r="M873" s="39">
        <f>IF(A873="","",IF(K873&lt;&gt;"",K873,IF(OR(C873="",D873=""),"Sem dados",IFERROR(IF(C873="M",INDEX(Config!$B$11:$B$14,MATCH(L873,Config!$A$11:$A$14,1)),IF(C873="F",INDEX(Config!$C$11:$C$14,MATCH(L873,Config!$A$11:$A$14,1)),"Sem dados")),"Verificar"))))</f>
        <v/>
      </c>
      <c r="N873" s="39">
        <f>IF(A873="","",IF(COUNTIFS('Movimentações'!$C$6:$C$1505,A873,'Movimentações'!$B$6:$B$1505,"Venda")&gt;0,"Vendido",IF(COUNTIFS('Movimentações'!$C$6:$C$1505,A873,'Movimentações'!$B$6:$B$1505,"Morte")&gt;0,"Morto","Ativo")))</f>
        <v/>
      </c>
      <c r="O873" s="40">
        <f>IF(A873="","",IF(COUNTIF('Pesagens'!$B$6:$B$2005,A873)=0,"",SUMPRODUCT(MAX(('Pesagens'!$B$6:$B$2005=A873)*'Pesagens'!$A$6:$A$2005))))</f>
        <v/>
      </c>
      <c r="P873" s="41">
        <f>IF(A873="","",IF(O873="",IF(J873="","",J873),IFERROR(AVERAGEIFS('Pesagens'!$C$6:$C$2005,'Pesagens'!$B$6:$B$2005,A873,'Pesagens'!$A$6:$A$2005,O873),"")))</f>
        <v/>
      </c>
      <c r="Q873" s="42">
        <f>IF(OR(A873="",O873="",I873="",J873=""),"",IFERROR((P873-J873)/(O873-I873),""))</f>
        <v/>
      </c>
    </row>
    <row r="874">
      <c r="A874" s="36" t="n"/>
      <c r="B874" s="32" t="n"/>
      <c r="C874" s="37" t="n"/>
      <c r="D874" s="31" t="n"/>
      <c r="E874" s="32" t="n"/>
      <c r="F874" s="32" t="n"/>
      <c r="G874" s="32" t="n"/>
      <c r="H874" s="36" t="n"/>
      <c r="I874" s="31" t="n"/>
      <c r="J874" s="38" t="n"/>
      <c r="K874" s="32" t="n"/>
      <c r="L874" s="34">
        <f>IF(OR(A874="",D874=""),"",IF(D874&gt;Config!$B$5,0,DATEDIF(D874,Config!$B$5,"m")))</f>
        <v/>
      </c>
      <c r="M874" s="39">
        <f>IF(A874="","",IF(K874&lt;&gt;"",K874,IF(OR(C874="",D874=""),"Sem dados",IFERROR(IF(C874="M",INDEX(Config!$B$11:$B$14,MATCH(L874,Config!$A$11:$A$14,1)),IF(C874="F",INDEX(Config!$C$11:$C$14,MATCH(L874,Config!$A$11:$A$14,1)),"Sem dados")),"Verificar"))))</f>
        <v/>
      </c>
      <c r="N874" s="39">
        <f>IF(A874="","",IF(COUNTIFS('Movimentações'!$C$6:$C$1505,A874,'Movimentações'!$B$6:$B$1505,"Venda")&gt;0,"Vendido",IF(COUNTIFS('Movimentações'!$C$6:$C$1505,A874,'Movimentações'!$B$6:$B$1505,"Morte")&gt;0,"Morto","Ativo")))</f>
        <v/>
      </c>
      <c r="O874" s="40">
        <f>IF(A874="","",IF(COUNTIF('Pesagens'!$B$6:$B$2005,A874)=0,"",SUMPRODUCT(MAX(('Pesagens'!$B$6:$B$2005=A874)*'Pesagens'!$A$6:$A$2005))))</f>
        <v/>
      </c>
      <c r="P874" s="41">
        <f>IF(A874="","",IF(O874="",IF(J874="","",J874),IFERROR(AVERAGEIFS('Pesagens'!$C$6:$C$2005,'Pesagens'!$B$6:$B$2005,A874,'Pesagens'!$A$6:$A$2005,O874),"")))</f>
        <v/>
      </c>
      <c r="Q874" s="42">
        <f>IF(OR(A874="",O874="",I874="",J874=""),"",IFERROR((P874-J874)/(O874-I874),""))</f>
        <v/>
      </c>
    </row>
    <row r="875">
      <c r="A875" s="36" t="n"/>
      <c r="B875" s="32" t="n"/>
      <c r="C875" s="37" t="n"/>
      <c r="D875" s="31" t="n"/>
      <c r="E875" s="32" t="n"/>
      <c r="F875" s="32" t="n"/>
      <c r="G875" s="32" t="n"/>
      <c r="H875" s="36" t="n"/>
      <c r="I875" s="31" t="n"/>
      <c r="J875" s="38" t="n"/>
      <c r="K875" s="32" t="n"/>
      <c r="L875" s="34">
        <f>IF(OR(A875="",D875=""),"",IF(D875&gt;Config!$B$5,0,DATEDIF(D875,Config!$B$5,"m")))</f>
        <v/>
      </c>
      <c r="M875" s="39">
        <f>IF(A875="","",IF(K875&lt;&gt;"",K875,IF(OR(C875="",D875=""),"Sem dados",IFERROR(IF(C875="M",INDEX(Config!$B$11:$B$14,MATCH(L875,Config!$A$11:$A$14,1)),IF(C875="F",INDEX(Config!$C$11:$C$14,MATCH(L875,Config!$A$11:$A$14,1)),"Sem dados")),"Verificar"))))</f>
        <v/>
      </c>
      <c r="N875" s="39">
        <f>IF(A875="","",IF(COUNTIFS('Movimentações'!$C$6:$C$1505,A875,'Movimentações'!$B$6:$B$1505,"Venda")&gt;0,"Vendido",IF(COUNTIFS('Movimentações'!$C$6:$C$1505,A875,'Movimentações'!$B$6:$B$1505,"Morte")&gt;0,"Morto","Ativo")))</f>
        <v/>
      </c>
      <c r="O875" s="40">
        <f>IF(A875="","",IF(COUNTIF('Pesagens'!$B$6:$B$2005,A875)=0,"",SUMPRODUCT(MAX(('Pesagens'!$B$6:$B$2005=A875)*'Pesagens'!$A$6:$A$2005))))</f>
        <v/>
      </c>
      <c r="P875" s="41">
        <f>IF(A875="","",IF(O875="",IF(J875="","",J875),IFERROR(AVERAGEIFS('Pesagens'!$C$6:$C$2005,'Pesagens'!$B$6:$B$2005,A875,'Pesagens'!$A$6:$A$2005,O875),"")))</f>
        <v/>
      </c>
      <c r="Q875" s="42">
        <f>IF(OR(A875="",O875="",I875="",J875=""),"",IFERROR((P875-J875)/(O875-I875),""))</f>
        <v/>
      </c>
    </row>
    <row r="876">
      <c r="A876" s="36" t="n"/>
      <c r="B876" s="32" t="n"/>
      <c r="C876" s="37" t="n"/>
      <c r="D876" s="31" t="n"/>
      <c r="E876" s="32" t="n"/>
      <c r="F876" s="32" t="n"/>
      <c r="G876" s="32" t="n"/>
      <c r="H876" s="36" t="n"/>
      <c r="I876" s="31" t="n"/>
      <c r="J876" s="38" t="n"/>
      <c r="K876" s="32" t="n"/>
      <c r="L876" s="34">
        <f>IF(OR(A876="",D876=""),"",IF(D876&gt;Config!$B$5,0,DATEDIF(D876,Config!$B$5,"m")))</f>
        <v/>
      </c>
      <c r="M876" s="39">
        <f>IF(A876="","",IF(K876&lt;&gt;"",K876,IF(OR(C876="",D876=""),"Sem dados",IFERROR(IF(C876="M",INDEX(Config!$B$11:$B$14,MATCH(L876,Config!$A$11:$A$14,1)),IF(C876="F",INDEX(Config!$C$11:$C$14,MATCH(L876,Config!$A$11:$A$14,1)),"Sem dados")),"Verificar"))))</f>
        <v/>
      </c>
      <c r="N876" s="39">
        <f>IF(A876="","",IF(COUNTIFS('Movimentações'!$C$6:$C$1505,A876,'Movimentações'!$B$6:$B$1505,"Venda")&gt;0,"Vendido",IF(COUNTIFS('Movimentações'!$C$6:$C$1505,A876,'Movimentações'!$B$6:$B$1505,"Morte")&gt;0,"Morto","Ativo")))</f>
        <v/>
      </c>
      <c r="O876" s="40">
        <f>IF(A876="","",IF(COUNTIF('Pesagens'!$B$6:$B$2005,A876)=0,"",SUMPRODUCT(MAX(('Pesagens'!$B$6:$B$2005=A876)*'Pesagens'!$A$6:$A$2005))))</f>
        <v/>
      </c>
      <c r="P876" s="41">
        <f>IF(A876="","",IF(O876="",IF(J876="","",J876),IFERROR(AVERAGEIFS('Pesagens'!$C$6:$C$2005,'Pesagens'!$B$6:$B$2005,A876,'Pesagens'!$A$6:$A$2005,O876),"")))</f>
        <v/>
      </c>
      <c r="Q876" s="42">
        <f>IF(OR(A876="",O876="",I876="",J876=""),"",IFERROR((P876-J876)/(O876-I876),""))</f>
        <v/>
      </c>
    </row>
    <row r="877">
      <c r="A877" s="36" t="n"/>
      <c r="B877" s="32" t="n"/>
      <c r="C877" s="37" t="n"/>
      <c r="D877" s="31" t="n"/>
      <c r="E877" s="32" t="n"/>
      <c r="F877" s="32" t="n"/>
      <c r="G877" s="32" t="n"/>
      <c r="H877" s="36" t="n"/>
      <c r="I877" s="31" t="n"/>
      <c r="J877" s="38" t="n"/>
      <c r="K877" s="32" t="n"/>
      <c r="L877" s="34">
        <f>IF(OR(A877="",D877=""),"",IF(D877&gt;Config!$B$5,0,DATEDIF(D877,Config!$B$5,"m")))</f>
        <v/>
      </c>
      <c r="M877" s="39">
        <f>IF(A877="","",IF(K877&lt;&gt;"",K877,IF(OR(C877="",D877=""),"Sem dados",IFERROR(IF(C877="M",INDEX(Config!$B$11:$B$14,MATCH(L877,Config!$A$11:$A$14,1)),IF(C877="F",INDEX(Config!$C$11:$C$14,MATCH(L877,Config!$A$11:$A$14,1)),"Sem dados")),"Verificar"))))</f>
        <v/>
      </c>
      <c r="N877" s="39">
        <f>IF(A877="","",IF(COUNTIFS('Movimentações'!$C$6:$C$1505,A877,'Movimentações'!$B$6:$B$1505,"Venda")&gt;0,"Vendido",IF(COUNTIFS('Movimentações'!$C$6:$C$1505,A877,'Movimentações'!$B$6:$B$1505,"Morte")&gt;0,"Morto","Ativo")))</f>
        <v/>
      </c>
      <c r="O877" s="40">
        <f>IF(A877="","",IF(COUNTIF('Pesagens'!$B$6:$B$2005,A877)=0,"",SUMPRODUCT(MAX(('Pesagens'!$B$6:$B$2005=A877)*'Pesagens'!$A$6:$A$2005))))</f>
        <v/>
      </c>
      <c r="P877" s="41">
        <f>IF(A877="","",IF(O877="",IF(J877="","",J877),IFERROR(AVERAGEIFS('Pesagens'!$C$6:$C$2005,'Pesagens'!$B$6:$B$2005,A877,'Pesagens'!$A$6:$A$2005,O877),"")))</f>
        <v/>
      </c>
      <c r="Q877" s="42">
        <f>IF(OR(A877="",O877="",I877="",J877=""),"",IFERROR((P877-J877)/(O877-I877),""))</f>
        <v/>
      </c>
    </row>
    <row r="878">
      <c r="A878" s="36" t="n"/>
      <c r="B878" s="32" t="n"/>
      <c r="C878" s="37" t="n"/>
      <c r="D878" s="31" t="n"/>
      <c r="E878" s="32" t="n"/>
      <c r="F878" s="32" t="n"/>
      <c r="G878" s="32" t="n"/>
      <c r="H878" s="36" t="n"/>
      <c r="I878" s="31" t="n"/>
      <c r="J878" s="38" t="n"/>
      <c r="K878" s="32" t="n"/>
      <c r="L878" s="34">
        <f>IF(OR(A878="",D878=""),"",IF(D878&gt;Config!$B$5,0,DATEDIF(D878,Config!$B$5,"m")))</f>
        <v/>
      </c>
      <c r="M878" s="39">
        <f>IF(A878="","",IF(K878&lt;&gt;"",K878,IF(OR(C878="",D878=""),"Sem dados",IFERROR(IF(C878="M",INDEX(Config!$B$11:$B$14,MATCH(L878,Config!$A$11:$A$14,1)),IF(C878="F",INDEX(Config!$C$11:$C$14,MATCH(L878,Config!$A$11:$A$14,1)),"Sem dados")),"Verificar"))))</f>
        <v/>
      </c>
      <c r="N878" s="39">
        <f>IF(A878="","",IF(COUNTIFS('Movimentações'!$C$6:$C$1505,A878,'Movimentações'!$B$6:$B$1505,"Venda")&gt;0,"Vendido",IF(COUNTIFS('Movimentações'!$C$6:$C$1505,A878,'Movimentações'!$B$6:$B$1505,"Morte")&gt;0,"Morto","Ativo")))</f>
        <v/>
      </c>
      <c r="O878" s="40">
        <f>IF(A878="","",IF(COUNTIF('Pesagens'!$B$6:$B$2005,A878)=0,"",SUMPRODUCT(MAX(('Pesagens'!$B$6:$B$2005=A878)*'Pesagens'!$A$6:$A$2005))))</f>
        <v/>
      </c>
      <c r="P878" s="41">
        <f>IF(A878="","",IF(O878="",IF(J878="","",J878),IFERROR(AVERAGEIFS('Pesagens'!$C$6:$C$2005,'Pesagens'!$B$6:$B$2005,A878,'Pesagens'!$A$6:$A$2005,O878),"")))</f>
        <v/>
      </c>
      <c r="Q878" s="42">
        <f>IF(OR(A878="",O878="",I878="",J878=""),"",IFERROR((P878-J878)/(O878-I878),""))</f>
        <v/>
      </c>
    </row>
    <row r="879">
      <c r="A879" s="36" t="n"/>
      <c r="B879" s="32" t="n"/>
      <c r="C879" s="37" t="n"/>
      <c r="D879" s="31" t="n"/>
      <c r="E879" s="32" t="n"/>
      <c r="F879" s="32" t="n"/>
      <c r="G879" s="32" t="n"/>
      <c r="H879" s="36" t="n"/>
      <c r="I879" s="31" t="n"/>
      <c r="J879" s="38" t="n"/>
      <c r="K879" s="32" t="n"/>
      <c r="L879" s="34">
        <f>IF(OR(A879="",D879=""),"",IF(D879&gt;Config!$B$5,0,DATEDIF(D879,Config!$B$5,"m")))</f>
        <v/>
      </c>
      <c r="M879" s="39">
        <f>IF(A879="","",IF(K879&lt;&gt;"",K879,IF(OR(C879="",D879=""),"Sem dados",IFERROR(IF(C879="M",INDEX(Config!$B$11:$B$14,MATCH(L879,Config!$A$11:$A$14,1)),IF(C879="F",INDEX(Config!$C$11:$C$14,MATCH(L879,Config!$A$11:$A$14,1)),"Sem dados")),"Verificar"))))</f>
        <v/>
      </c>
      <c r="N879" s="39">
        <f>IF(A879="","",IF(COUNTIFS('Movimentações'!$C$6:$C$1505,A879,'Movimentações'!$B$6:$B$1505,"Venda")&gt;0,"Vendido",IF(COUNTIFS('Movimentações'!$C$6:$C$1505,A879,'Movimentações'!$B$6:$B$1505,"Morte")&gt;0,"Morto","Ativo")))</f>
        <v/>
      </c>
      <c r="O879" s="40">
        <f>IF(A879="","",IF(COUNTIF('Pesagens'!$B$6:$B$2005,A879)=0,"",SUMPRODUCT(MAX(('Pesagens'!$B$6:$B$2005=A879)*'Pesagens'!$A$6:$A$2005))))</f>
        <v/>
      </c>
      <c r="P879" s="41">
        <f>IF(A879="","",IF(O879="",IF(J879="","",J879),IFERROR(AVERAGEIFS('Pesagens'!$C$6:$C$2005,'Pesagens'!$B$6:$B$2005,A879,'Pesagens'!$A$6:$A$2005,O879),"")))</f>
        <v/>
      </c>
      <c r="Q879" s="42">
        <f>IF(OR(A879="",O879="",I879="",J879=""),"",IFERROR((P879-J879)/(O879-I879),""))</f>
        <v/>
      </c>
    </row>
    <row r="880">
      <c r="A880" s="36" t="n"/>
      <c r="B880" s="32" t="n"/>
      <c r="C880" s="37" t="n"/>
      <c r="D880" s="31" t="n"/>
      <c r="E880" s="32" t="n"/>
      <c r="F880" s="32" t="n"/>
      <c r="G880" s="32" t="n"/>
      <c r="H880" s="36" t="n"/>
      <c r="I880" s="31" t="n"/>
      <c r="J880" s="38" t="n"/>
      <c r="K880" s="32" t="n"/>
      <c r="L880" s="34">
        <f>IF(OR(A880="",D880=""),"",IF(D880&gt;Config!$B$5,0,DATEDIF(D880,Config!$B$5,"m")))</f>
        <v/>
      </c>
      <c r="M880" s="39">
        <f>IF(A880="","",IF(K880&lt;&gt;"",K880,IF(OR(C880="",D880=""),"Sem dados",IFERROR(IF(C880="M",INDEX(Config!$B$11:$B$14,MATCH(L880,Config!$A$11:$A$14,1)),IF(C880="F",INDEX(Config!$C$11:$C$14,MATCH(L880,Config!$A$11:$A$14,1)),"Sem dados")),"Verificar"))))</f>
        <v/>
      </c>
      <c r="N880" s="39">
        <f>IF(A880="","",IF(COUNTIFS('Movimentações'!$C$6:$C$1505,A880,'Movimentações'!$B$6:$B$1505,"Venda")&gt;0,"Vendido",IF(COUNTIFS('Movimentações'!$C$6:$C$1505,A880,'Movimentações'!$B$6:$B$1505,"Morte")&gt;0,"Morto","Ativo")))</f>
        <v/>
      </c>
      <c r="O880" s="40">
        <f>IF(A880="","",IF(COUNTIF('Pesagens'!$B$6:$B$2005,A880)=0,"",SUMPRODUCT(MAX(('Pesagens'!$B$6:$B$2005=A880)*'Pesagens'!$A$6:$A$2005))))</f>
        <v/>
      </c>
      <c r="P880" s="41">
        <f>IF(A880="","",IF(O880="",IF(J880="","",J880),IFERROR(AVERAGEIFS('Pesagens'!$C$6:$C$2005,'Pesagens'!$B$6:$B$2005,A880,'Pesagens'!$A$6:$A$2005,O880),"")))</f>
        <v/>
      </c>
      <c r="Q880" s="42">
        <f>IF(OR(A880="",O880="",I880="",J880=""),"",IFERROR((P880-J880)/(O880-I880),""))</f>
        <v/>
      </c>
    </row>
    <row r="881">
      <c r="A881" s="36" t="n"/>
      <c r="B881" s="32" t="n"/>
      <c r="C881" s="37" t="n"/>
      <c r="D881" s="31" t="n"/>
      <c r="E881" s="32" t="n"/>
      <c r="F881" s="32" t="n"/>
      <c r="G881" s="32" t="n"/>
      <c r="H881" s="36" t="n"/>
      <c r="I881" s="31" t="n"/>
      <c r="J881" s="38" t="n"/>
      <c r="K881" s="32" t="n"/>
      <c r="L881" s="34">
        <f>IF(OR(A881="",D881=""),"",IF(D881&gt;Config!$B$5,0,DATEDIF(D881,Config!$B$5,"m")))</f>
        <v/>
      </c>
      <c r="M881" s="39">
        <f>IF(A881="","",IF(K881&lt;&gt;"",K881,IF(OR(C881="",D881=""),"Sem dados",IFERROR(IF(C881="M",INDEX(Config!$B$11:$B$14,MATCH(L881,Config!$A$11:$A$14,1)),IF(C881="F",INDEX(Config!$C$11:$C$14,MATCH(L881,Config!$A$11:$A$14,1)),"Sem dados")),"Verificar"))))</f>
        <v/>
      </c>
      <c r="N881" s="39">
        <f>IF(A881="","",IF(COUNTIFS('Movimentações'!$C$6:$C$1505,A881,'Movimentações'!$B$6:$B$1505,"Venda")&gt;0,"Vendido",IF(COUNTIFS('Movimentações'!$C$6:$C$1505,A881,'Movimentações'!$B$6:$B$1505,"Morte")&gt;0,"Morto","Ativo")))</f>
        <v/>
      </c>
      <c r="O881" s="40">
        <f>IF(A881="","",IF(COUNTIF('Pesagens'!$B$6:$B$2005,A881)=0,"",SUMPRODUCT(MAX(('Pesagens'!$B$6:$B$2005=A881)*'Pesagens'!$A$6:$A$2005))))</f>
        <v/>
      </c>
      <c r="P881" s="41">
        <f>IF(A881="","",IF(O881="",IF(J881="","",J881),IFERROR(AVERAGEIFS('Pesagens'!$C$6:$C$2005,'Pesagens'!$B$6:$B$2005,A881,'Pesagens'!$A$6:$A$2005,O881),"")))</f>
        <v/>
      </c>
      <c r="Q881" s="42">
        <f>IF(OR(A881="",O881="",I881="",J881=""),"",IFERROR((P881-J881)/(O881-I881),""))</f>
        <v/>
      </c>
    </row>
    <row r="882">
      <c r="A882" s="36" t="n"/>
      <c r="B882" s="32" t="n"/>
      <c r="C882" s="37" t="n"/>
      <c r="D882" s="31" t="n"/>
      <c r="E882" s="32" t="n"/>
      <c r="F882" s="32" t="n"/>
      <c r="G882" s="32" t="n"/>
      <c r="H882" s="36" t="n"/>
      <c r="I882" s="31" t="n"/>
      <c r="J882" s="38" t="n"/>
      <c r="K882" s="32" t="n"/>
      <c r="L882" s="34">
        <f>IF(OR(A882="",D882=""),"",IF(D882&gt;Config!$B$5,0,DATEDIF(D882,Config!$B$5,"m")))</f>
        <v/>
      </c>
      <c r="M882" s="39">
        <f>IF(A882="","",IF(K882&lt;&gt;"",K882,IF(OR(C882="",D882=""),"Sem dados",IFERROR(IF(C882="M",INDEX(Config!$B$11:$B$14,MATCH(L882,Config!$A$11:$A$14,1)),IF(C882="F",INDEX(Config!$C$11:$C$14,MATCH(L882,Config!$A$11:$A$14,1)),"Sem dados")),"Verificar"))))</f>
        <v/>
      </c>
      <c r="N882" s="39">
        <f>IF(A882="","",IF(COUNTIFS('Movimentações'!$C$6:$C$1505,A882,'Movimentações'!$B$6:$B$1505,"Venda")&gt;0,"Vendido",IF(COUNTIFS('Movimentações'!$C$6:$C$1505,A882,'Movimentações'!$B$6:$B$1505,"Morte")&gt;0,"Morto","Ativo")))</f>
        <v/>
      </c>
      <c r="O882" s="40">
        <f>IF(A882="","",IF(COUNTIF('Pesagens'!$B$6:$B$2005,A882)=0,"",SUMPRODUCT(MAX(('Pesagens'!$B$6:$B$2005=A882)*'Pesagens'!$A$6:$A$2005))))</f>
        <v/>
      </c>
      <c r="P882" s="41">
        <f>IF(A882="","",IF(O882="",IF(J882="","",J882),IFERROR(AVERAGEIFS('Pesagens'!$C$6:$C$2005,'Pesagens'!$B$6:$B$2005,A882,'Pesagens'!$A$6:$A$2005,O882),"")))</f>
        <v/>
      </c>
      <c r="Q882" s="42">
        <f>IF(OR(A882="",O882="",I882="",J882=""),"",IFERROR((P882-J882)/(O882-I882),""))</f>
        <v/>
      </c>
    </row>
    <row r="883">
      <c r="A883" s="36" t="n"/>
      <c r="B883" s="32" t="n"/>
      <c r="C883" s="37" t="n"/>
      <c r="D883" s="31" t="n"/>
      <c r="E883" s="32" t="n"/>
      <c r="F883" s="32" t="n"/>
      <c r="G883" s="32" t="n"/>
      <c r="H883" s="36" t="n"/>
      <c r="I883" s="31" t="n"/>
      <c r="J883" s="38" t="n"/>
      <c r="K883" s="32" t="n"/>
      <c r="L883" s="34">
        <f>IF(OR(A883="",D883=""),"",IF(D883&gt;Config!$B$5,0,DATEDIF(D883,Config!$B$5,"m")))</f>
        <v/>
      </c>
      <c r="M883" s="39">
        <f>IF(A883="","",IF(K883&lt;&gt;"",K883,IF(OR(C883="",D883=""),"Sem dados",IFERROR(IF(C883="M",INDEX(Config!$B$11:$B$14,MATCH(L883,Config!$A$11:$A$14,1)),IF(C883="F",INDEX(Config!$C$11:$C$14,MATCH(L883,Config!$A$11:$A$14,1)),"Sem dados")),"Verificar"))))</f>
        <v/>
      </c>
      <c r="N883" s="39">
        <f>IF(A883="","",IF(COUNTIFS('Movimentações'!$C$6:$C$1505,A883,'Movimentações'!$B$6:$B$1505,"Venda")&gt;0,"Vendido",IF(COUNTIFS('Movimentações'!$C$6:$C$1505,A883,'Movimentações'!$B$6:$B$1505,"Morte")&gt;0,"Morto","Ativo")))</f>
        <v/>
      </c>
      <c r="O883" s="40">
        <f>IF(A883="","",IF(COUNTIF('Pesagens'!$B$6:$B$2005,A883)=0,"",SUMPRODUCT(MAX(('Pesagens'!$B$6:$B$2005=A883)*'Pesagens'!$A$6:$A$2005))))</f>
        <v/>
      </c>
      <c r="P883" s="41">
        <f>IF(A883="","",IF(O883="",IF(J883="","",J883),IFERROR(AVERAGEIFS('Pesagens'!$C$6:$C$2005,'Pesagens'!$B$6:$B$2005,A883,'Pesagens'!$A$6:$A$2005,O883),"")))</f>
        <v/>
      </c>
      <c r="Q883" s="42">
        <f>IF(OR(A883="",O883="",I883="",J883=""),"",IFERROR((P883-J883)/(O883-I883),""))</f>
        <v/>
      </c>
    </row>
    <row r="884">
      <c r="A884" s="36" t="n"/>
      <c r="B884" s="32" t="n"/>
      <c r="C884" s="37" t="n"/>
      <c r="D884" s="31" t="n"/>
      <c r="E884" s="32" t="n"/>
      <c r="F884" s="32" t="n"/>
      <c r="G884" s="32" t="n"/>
      <c r="H884" s="36" t="n"/>
      <c r="I884" s="31" t="n"/>
      <c r="J884" s="38" t="n"/>
      <c r="K884" s="32" t="n"/>
      <c r="L884" s="34">
        <f>IF(OR(A884="",D884=""),"",IF(D884&gt;Config!$B$5,0,DATEDIF(D884,Config!$B$5,"m")))</f>
        <v/>
      </c>
      <c r="M884" s="39">
        <f>IF(A884="","",IF(K884&lt;&gt;"",K884,IF(OR(C884="",D884=""),"Sem dados",IFERROR(IF(C884="M",INDEX(Config!$B$11:$B$14,MATCH(L884,Config!$A$11:$A$14,1)),IF(C884="F",INDEX(Config!$C$11:$C$14,MATCH(L884,Config!$A$11:$A$14,1)),"Sem dados")),"Verificar"))))</f>
        <v/>
      </c>
      <c r="N884" s="39">
        <f>IF(A884="","",IF(COUNTIFS('Movimentações'!$C$6:$C$1505,A884,'Movimentações'!$B$6:$B$1505,"Venda")&gt;0,"Vendido",IF(COUNTIFS('Movimentações'!$C$6:$C$1505,A884,'Movimentações'!$B$6:$B$1505,"Morte")&gt;0,"Morto","Ativo")))</f>
        <v/>
      </c>
      <c r="O884" s="40">
        <f>IF(A884="","",IF(COUNTIF('Pesagens'!$B$6:$B$2005,A884)=0,"",SUMPRODUCT(MAX(('Pesagens'!$B$6:$B$2005=A884)*'Pesagens'!$A$6:$A$2005))))</f>
        <v/>
      </c>
      <c r="P884" s="41">
        <f>IF(A884="","",IF(O884="",IF(J884="","",J884),IFERROR(AVERAGEIFS('Pesagens'!$C$6:$C$2005,'Pesagens'!$B$6:$B$2005,A884,'Pesagens'!$A$6:$A$2005,O884),"")))</f>
        <v/>
      </c>
      <c r="Q884" s="42">
        <f>IF(OR(A884="",O884="",I884="",J884=""),"",IFERROR((P884-J884)/(O884-I884),""))</f>
        <v/>
      </c>
    </row>
    <row r="885">
      <c r="A885" s="36" t="n"/>
      <c r="B885" s="32" t="n"/>
      <c r="C885" s="37" t="n"/>
      <c r="D885" s="31" t="n"/>
      <c r="E885" s="32" t="n"/>
      <c r="F885" s="32" t="n"/>
      <c r="G885" s="32" t="n"/>
      <c r="H885" s="36" t="n"/>
      <c r="I885" s="31" t="n"/>
      <c r="J885" s="38" t="n"/>
      <c r="K885" s="32" t="n"/>
      <c r="L885" s="34">
        <f>IF(OR(A885="",D885=""),"",IF(D885&gt;Config!$B$5,0,DATEDIF(D885,Config!$B$5,"m")))</f>
        <v/>
      </c>
      <c r="M885" s="39">
        <f>IF(A885="","",IF(K885&lt;&gt;"",K885,IF(OR(C885="",D885=""),"Sem dados",IFERROR(IF(C885="M",INDEX(Config!$B$11:$B$14,MATCH(L885,Config!$A$11:$A$14,1)),IF(C885="F",INDEX(Config!$C$11:$C$14,MATCH(L885,Config!$A$11:$A$14,1)),"Sem dados")),"Verificar"))))</f>
        <v/>
      </c>
      <c r="N885" s="39">
        <f>IF(A885="","",IF(COUNTIFS('Movimentações'!$C$6:$C$1505,A885,'Movimentações'!$B$6:$B$1505,"Venda")&gt;0,"Vendido",IF(COUNTIFS('Movimentações'!$C$6:$C$1505,A885,'Movimentações'!$B$6:$B$1505,"Morte")&gt;0,"Morto","Ativo")))</f>
        <v/>
      </c>
      <c r="O885" s="40">
        <f>IF(A885="","",IF(COUNTIF('Pesagens'!$B$6:$B$2005,A885)=0,"",SUMPRODUCT(MAX(('Pesagens'!$B$6:$B$2005=A885)*'Pesagens'!$A$6:$A$2005))))</f>
        <v/>
      </c>
      <c r="P885" s="41">
        <f>IF(A885="","",IF(O885="",IF(J885="","",J885),IFERROR(AVERAGEIFS('Pesagens'!$C$6:$C$2005,'Pesagens'!$B$6:$B$2005,A885,'Pesagens'!$A$6:$A$2005,O885),"")))</f>
        <v/>
      </c>
      <c r="Q885" s="42">
        <f>IF(OR(A885="",O885="",I885="",J885=""),"",IFERROR((P885-J885)/(O885-I885),""))</f>
        <v/>
      </c>
    </row>
    <row r="886">
      <c r="A886" s="36" t="n"/>
      <c r="B886" s="32" t="n"/>
      <c r="C886" s="37" t="n"/>
      <c r="D886" s="31" t="n"/>
      <c r="E886" s="32" t="n"/>
      <c r="F886" s="32" t="n"/>
      <c r="G886" s="32" t="n"/>
      <c r="H886" s="36" t="n"/>
      <c r="I886" s="31" t="n"/>
      <c r="J886" s="38" t="n"/>
      <c r="K886" s="32" t="n"/>
      <c r="L886" s="34">
        <f>IF(OR(A886="",D886=""),"",IF(D886&gt;Config!$B$5,0,DATEDIF(D886,Config!$B$5,"m")))</f>
        <v/>
      </c>
      <c r="M886" s="39">
        <f>IF(A886="","",IF(K886&lt;&gt;"",K886,IF(OR(C886="",D886=""),"Sem dados",IFERROR(IF(C886="M",INDEX(Config!$B$11:$B$14,MATCH(L886,Config!$A$11:$A$14,1)),IF(C886="F",INDEX(Config!$C$11:$C$14,MATCH(L886,Config!$A$11:$A$14,1)),"Sem dados")),"Verificar"))))</f>
        <v/>
      </c>
      <c r="N886" s="39">
        <f>IF(A886="","",IF(COUNTIFS('Movimentações'!$C$6:$C$1505,A886,'Movimentações'!$B$6:$B$1505,"Venda")&gt;0,"Vendido",IF(COUNTIFS('Movimentações'!$C$6:$C$1505,A886,'Movimentações'!$B$6:$B$1505,"Morte")&gt;0,"Morto","Ativo")))</f>
        <v/>
      </c>
      <c r="O886" s="40">
        <f>IF(A886="","",IF(COUNTIF('Pesagens'!$B$6:$B$2005,A886)=0,"",SUMPRODUCT(MAX(('Pesagens'!$B$6:$B$2005=A886)*'Pesagens'!$A$6:$A$2005))))</f>
        <v/>
      </c>
      <c r="P886" s="41">
        <f>IF(A886="","",IF(O886="",IF(J886="","",J886),IFERROR(AVERAGEIFS('Pesagens'!$C$6:$C$2005,'Pesagens'!$B$6:$B$2005,A886,'Pesagens'!$A$6:$A$2005,O886),"")))</f>
        <v/>
      </c>
      <c r="Q886" s="42">
        <f>IF(OR(A886="",O886="",I886="",J886=""),"",IFERROR((P886-J886)/(O886-I886),""))</f>
        <v/>
      </c>
    </row>
    <row r="887">
      <c r="A887" s="36" t="n"/>
      <c r="B887" s="32" t="n"/>
      <c r="C887" s="37" t="n"/>
      <c r="D887" s="31" t="n"/>
      <c r="E887" s="32" t="n"/>
      <c r="F887" s="32" t="n"/>
      <c r="G887" s="32" t="n"/>
      <c r="H887" s="36" t="n"/>
      <c r="I887" s="31" t="n"/>
      <c r="J887" s="38" t="n"/>
      <c r="K887" s="32" t="n"/>
      <c r="L887" s="34">
        <f>IF(OR(A887="",D887=""),"",IF(D887&gt;Config!$B$5,0,DATEDIF(D887,Config!$B$5,"m")))</f>
        <v/>
      </c>
      <c r="M887" s="39">
        <f>IF(A887="","",IF(K887&lt;&gt;"",K887,IF(OR(C887="",D887=""),"Sem dados",IFERROR(IF(C887="M",INDEX(Config!$B$11:$B$14,MATCH(L887,Config!$A$11:$A$14,1)),IF(C887="F",INDEX(Config!$C$11:$C$14,MATCH(L887,Config!$A$11:$A$14,1)),"Sem dados")),"Verificar"))))</f>
        <v/>
      </c>
      <c r="N887" s="39">
        <f>IF(A887="","",IF(COUNTIFS('Movimentações'!$C$6:$C$1505,A887,'Movimentações'!$B$6:$B$1505,"Venda")&gt;0,"Vendido",IF(COUNTIFS('Movimentações'!$C$6:$C$1505,A887,'Movimentações'!$B$6:$B$1505,"Morte")&gt;0,"Morto","Ativo")))</f>
        <v/>
      </c>
      <c r="O887" s="40">
        <f>IF(A887="","",IF(COUNTIF('Pesagens'!$B$6:$B$2005,A887)=0,"",SUMPRODUCT(MAX(('Pesagens'!$B$6:$B$2005=A887)*'Pesagens'!$A$6:$A$2005))))</f>
        <v/>
      </c>
      <c r="P887" s="41">
        <f>IF(A887="","",IF(O887="",IF(J887="","",J887),IFERROR(AVERAGEIFS('Pesagens'!$C$6:$C$2005,'Pesagens'!$B$6:$B$2005,A887,'Pesagens'!$A$6:$A$2005,O887),"")))</f>
        <v/>
      </c>
      <c r="Q887" s="42">
        <f>IF(OR(A887="",O887="",I887="",J887=""),"",IFERROR((P887-J887)/(O887-I887),""))</f>
        <v/>
      </c>
    </row>
    <row r="888">
      <c r="A888" s="36" t="n"/>
      <c r="B888" s="32" t="n"/>
      <c r="C888" s="37" t="n"/>
      <c r="D888" s="31" t="n"/>
      <c r="E888" s="32" t="n"/>
      <c r="F888" s="32" t="n"/>
      <c r="G888" s="32" t="n"/>
      <c r="H888" s="36" t="n"/>
      <c r="I888" s="31" t="n"/>
      <c r="J888" s="38" t="n"/>
      <c r="K888" s="32" t="n"/>
      <c r="L888" s="34">
        <f>IF(OR(A888="",D888=""),"",IF(D888&gt;Config!$B$5,0,DATEDIF(D888,Config!$B$5,"m")))</f>
        <v/>
      </c>
      <c r="M888" s="39">
        <f>IF(A888="","",IF(K888&lt;&gt;"",K888,IF(OR(C888="",D888=""),"Sem dados",IFERROR(IF(C888="M",INDEX(Config!$B$11:$B$14,MATCH(L888,Config!$A$11:$A$14,1)),IF(C888="F",INDEX(Config!$C$11:$C$14,MATCH(L888,Config!$A$11:$A$14,1)),"Sem dados")),"Verificar"))))</f>
        <v/>
      </c>
      <c r="N888" s="39">
        <f>IF(A888="","",IF(COUNTIFS('Movimentações'!$C$6:$C$1505,A888,'Movimentações'!$B$6:$B$1505,"Venda")&gt;0,"Vendido",IF(COUNTIFS('Movimentações'!$C$6:$C$1505,A888,'Movimentações'!$B$6:$B$1505,"Morte")&gt;0,"Morto","Ativo")))</f>
        <v/>
      </c>
      <c r="O888" s="40">
        <f>IF(A888="","",IF(COUNTIF('Pesagens'!$B$6:$B$2005,A888)=0,"",SUMPRODUCT(MAX(('Pesagens'!$B$6:$B$2005=A888)*'Pesagens'!$A$6:$A$2005))))</f>
        <v/>
      </c>
      <c r="P888" s="41">
        <f>IF(A888="","",IF(O888="",IF(J888="","",J888),IFERROR(AVERAGEIFS('Pesagens'!$C$6:$C$2005,'Pesagens'!$B$6:$B$2005,A888,'Pesagens'!$A$6:$A$2005,O888),"")))</f>
        <v/>
      </c>
      <c r="Q888" s="42">
        <f>IF(OR(A888="",O888="",I888="",J888=""),"",IFERROR((P888-J888)/(O888-I888),""))</f>
        <v/>
      </c>
    </row>
    <row r="889">
      <c r="A889" s="36" t="n"/>
      <c r="B889" s="32" t="n"/>
      <c r="C889" s="37" t="n"/>
      <c r="D889" s="31" t="n"/>
      <c r="E889" s="32" t="n"/>
      <c r="F889" s="32" t="n"/>
      <c r="G889" s="32" t="n"/>
      <c r="H889" s="36" t="n"/>
      <c r="I889" s="31" t="n"/>
      <c r="J889" s="38" t="n"/>
      <c r="K889" s="32" t="n"/>
      <c r="L889" s="34">
        <f>IF(OR(A889="",D889=""),"",IF(D889&gt;Config!$B$5,0,DATEDIF(D889,Config!$B$5,"m")))</f>
        <v/>
      </c>
      <c r="M889" s="39">
        <f>IF(A889="","",IF(K889&lt;&gt;"",K889,IF(OR(C889="",D889=""),"Sem dados",IFERROR(IF(C889="M",INDEX(Config!$B$11:$B$14,MATCH(L889,Config!$A$11:$A$14,1)),IF(C889="F",INDEX(Config!$C$11:$C$14,MATCH(L889,Config!$A$11:$A$14,1)),"Sem dados")),"Verificar"))))</f>
        <v/>
      </c>
      <c r="N889" s="39">
        <f>IF(A889="","",IF(COUNTIFS('Movimentações'!$C$6:$C$1505,A889,'Movimentações'!$B$6:$B$1505,"Venda")&gt;0,"Vendido",IF(COUNTIFS('Movimentações'!$C$6:$C$1505,A889,'Movimentações'!$B$6:$B$1505,"Morte")&gt;0,"Morto","Ativo")))</f>
        <v/>
      </c>
      <c r="O889" s="40">
        <f>IF(A889="","",IF(COUNTIF('Pesagens'!$B$6:$B$2005,A889)=0,"",SUMPRODUCT(MAX(('Pesagens'!$B$6:$B$2005=A889)*'Pesagens'!$A$6:$A$2005))))</f>
        <v/>
      </c>
      <c r="P889" s="41">
        <f>IF(A889="","",IF(O889="",IF(J889="","",J889),IFERROR(AVERAGEIFS('Pesagens'!$C$6:$C$2005,'Pesagens'!$B$6:$B$2005,A889,'Pesagens'!$A$6:$A$2005,O889),"")))</f>
        <v/>
      </c>
      <c r="Q889" s="42">
        <f>IF(OR(A889="",O889="",I889="",J889=""),"",IFERROR((P889-J889)/(O889-I889),""))</f>
        <v/>
      </c>
    </row>
    <row r="890">
      <c r="A890" s="36" t="n"/>
      <c r="B890" s="32" t="n"/>
      <c r="C890" s="37" t="n"/>
      <c r="D890" s="31" t="n"/>
      <c r="E890" s="32" t="n"/>
      <c r="F890" s="32" t="n"/>
      <c r="G890" s="32" t="n"/>
      <c r="H890" s="36" t="n"/>
      <c r="I890" s="31" t="n"/>
      <c r="J890" s="38" t="n"/>
      <c r="K890" s="32" t="n"/>
      <c r="L890" s="34">
        <f>IF(OR(A890="",D890=""),"",IF(D890&gt;Config!$B$5,0,DATEDIF(D890,Config!$B$5,"m")))</f>
        <v/>
      </c>
      <c r="M890" s="39">
        <f>IF(A890="","",IF(K890&lt;&gt;"",K890,IF(OR(C890="",D890=""),"Sem dados",IFERROR(IF(C890="M",INDEX(Config!$B$11:$B$14,MATCH(L890,Config!$A$11:$A$14,1)),IF(C890="F",INDEX(Config!$C$11:$C$14,MATCH(L890,Config!$A$11:$A$14,1)),"Sem dados")),"Verificar"))))</f>
        <v/>
      </c>
      <c r="N890" s="39">
        <f>IF(A890="","",IF(COUNTIFS('Movimentações'!$C$6:$C$1505,A890,'Movimentações'!$B$6:$B$1505,"Venda")&gt;0,"Vendido",IF(COUNTIFS('Movimentações'!$C$6:$C$1505,A890,'Movimentações'!$B$6:$B$1505,"Morte")&gt;0,"Morto","Ativo")))</f>
        <v/>
      </c>
      <c r="O890" s="40">
        <f>IF(A890="","",IF(COUNTIF('Pesagens'!$B$6:$B$2005,A890)=0,"",SUMPRODUCT(MAX(('Pesagens'!$B$6:$B$2005=A890)*'Pesagens'!$A$6:$A$2005))))</f>
        <v/>
      </c>
      <c r="P890" s="41">
        <f>IF(A890="","",IF(O890="",IF(J890="","",J890),IFERROR(AVERAGEIFS('Pesagens'!$C$6:$C$2005,'Pesagens'!$B$6:$B$2005,A890,'Pesagens'!$A$6:$A$2005,O890),"")))</f>
        <v/>
      </c>
      <c r="Q890" s="42">
        <f>IF(OR(A890="",O890="",I890="",J890=""),"",IFERROR((P890-J890)/(O890-I890),""))</f>
        <v/>
      </c>
    </row>
    <row r="891">
      <c r="A891" s="36" t="n"/>
      <c r="B891" s="32" t="n"/>
      <c r="C891" s="37" t="n"/>
      <c r="D891" s="31" t="n"/>
      <c r="E891" s="32" t="n"/>
      <c r="F891" s="32" t="n"/>
      <c r="G891" s="32" t="n"/>
      <c r="H891" s="36" t="n"/>
      <c r="I891" s="31" t="n"/>
      <c r="J891" s="38" t="n"/>
      <c r="K891" s="32" t="n"/>
      <c r="L891" s="34">
        <f>IF(OR(A891="",D891=""),"",IF(D891&gt;Config!$B$5,0,DATEDIF(D891,Config!$B$5,"m")))</f>
        <v/>
      </c>
      <c r="M891" s="39">
        <f>IF(A891="","",IF(K891&lt;&gt;"",K891,IF(OR(C891="",D891=""),"Sem dados",IFERROR(IF(C891="M",INDEX(Config!$B$11:$B$14,MATCH(L891,Config!$A$11:$A$14,1)),IF(C891="F",INDEX(Config!$C$11:$C$14,MATCH(L891,Config!$A$11:$A$14,1)),"Sem dados")),"Verificar"))))</f>
        <v/>
      </c>
      <c r="N891" s="39">
        <f>IF(A891="","",IF(COUNTIFS('Movimentações'!$C$6:$C$1505,A891,'Movimentações'!$B$6:$B$1505,"Venda")&gt;0,"Vendido",IF(COUNTIFS('Movimentações'!$C$6:$C$1505,A891,'Movimentações'!$B$6:$B$1505,"Morte")&gt;0,"Morto","Ativo")))</f>
        <v/>
      </c>
      <c r="O891" s="40">
        <f>IF(A891="","",IF(COUNTIF('Pesagens'!$B$6:$B$2005,A891)=0,"",SUMPRODUCT(MAX(('Pesagens'!$B$6:$B$2005=A891)*'Pesagens'!$A$6:$A$2005))))</f>
        <v/>
      </c>
      <c r="P891" s="41">
        <f>IF(A891="","",IF(O891="",IF(J891="","",J891),IFERROR(AVERAGEIFS('Pesagens'!$C$6:$C$2005,'Pesagens'!$B$6:$B$2005,A891,'Pesagens'!$A$6:$A$2005,O891),"")))</f>
        <v/>
      </c>
      <c r="Q891" s="42">
        <f>IF(OR(A891="",O891="",I891="",J891=""),"",IFERROR((P891-J891)/(O891-I891),""))</f>
        <v/>
      </c>
    </row>
    <row r="892">
      <c r="A892" s="36" t="n"/>
      <c r="B892" s="32" t="n"/>
      <c r="C892" s="37" t="n"/>
      <c r="D892" s="31" t="n"/>
      <c r="E892" s="32" t="n"/>
      <c r="F892" s="32" t="n"/>
      <c r="G892" s="32" t="n"/>
      <c r="H892" s="36" t="n"/>
      <c r="I892" s="31" t="n"/>
      <c r="J892" s="38" t="n"/>
      <c r="K892" s="32" t="n"/>
      <c r="L892" s="34">
        <f>IF(OR(A892="",D892=""),"",IF(D892&gt;Config!$B$5,0,DATEDIF(D892,Config!$B$5,"m")))</f>
        <v/>
      </c>
      <c r="M892" s="39">
        <f>IF(A892="","",IF(K892&lt;&gt;"",K892,IF(OR(C892="",D892=""),"Sem dados",IFERROR(IF(C892="M",INDEX(Config!$B$11:$B$14,MATCH(L892,Config!$A$11:$A$14,1)),IF(C892="F",INDEX(Config!$C$11:$C$14,MATCH(L892,Config!$A$11:$A$14,1)),"Sem dados")),"Verificar"))))</f>
        <v/>
      </c>
      <c r="N892" s="39">
        <f>IF(A892="","",IF(COUNTIFS('Movimentações'!$C$6:$C$1505,A892,'Movimentações'!$B$6:$B$1505,"Venda")&gt;0,"Vendido",IF(COUNTIFS('Movimentações'!$C$6:$C$1505,A892,'Movimentações'!$B$6:$B$1505,"Morte")&gt;0,"Morto","Ativo")))</f>
        <v/>
      </c>
      <c r="O892" s="40">
        <f>IF(A892="","",IF(COUNTIF('Pesagens'!$B$6:$B$2005,A892)=0,"",SUMPRODUCT(MAX(('Pesagens'!$B$6:$B$2005=A892)*'Pesagens'!$A$6:$A$2005))))</f>
        <v/>
      </c>
      <c r="P892" s="41">
        <f>IF(A892="","",IF(O892="",IF(J892="","",J892),IFERROR(AVERAGEIFS('Pesagens'!$C$6:$C$2005,'Pesagens'!$B$6:$B$2005,A892,'Pesagens'!$A$6:$A$2005,O892),"")))</f>
        <v/>
      </c>
      <c r="Q892" s="42">
        <f>IF(OR(A892="",O892="",I892="",J892=""),"",IFERROR((P892-J892)/(O892-I892),""))</f>
        <v/>
      </c>
    </row>
    <row r="893">
      <c r="A893" s="36" t="n"/>
      <c r="B893" s="32" t="n"/>
      <c r="C893" s="37" t="n"/>
      <c r="D893" s="31" t="n"/>
      <c r="E893" s="32" t="n"/>
      <c r="F893" s="32" t="n"/>
      <c r="G893" s="32" t="n"/>
      <c r="H893" s="36" t="n"/>
      <c r="I893" s="31" t="n"/>
      <c r="J893" s="38" t="n"/>
      <c r="K893" s="32" t="n"/>
      <c r="L893" s="34">
        <f>IF(OR(A893="",D893=""),"",IF(D893&gt;Config!$B$5,0,DATEDIF(D893,Config!$B$5,"m")))</f>
        <v/>
      </c>
      <c r="M893" s="39">
        <f>IF(A893="","",IF(K893&lt;&gt;"",K893,IF(OR(C893="",D893=""),"Sem dados",IFERROR(IF(C893="M",INDEX(Config!$B$11:$B$14,MATCH(L893,Config!$A$11:$A$14,1)),IF(C893="F",INDEX(Config!$C$11:$C$14,MATCH(L893,Config!$A$11:$A$14,1)),"Sem dados")),"Verificar"))))</f>
        <v/>
      </c>
      <c r="N893" s="39">
        <f>IF(A893="","",IF(COUNTIFS('Movimentações'!$C$6:$C$1505,A893,'Movimentações'!$B$6:$B$1505,"Venda")&gt;0,"Vendido",IF(COUNTIFS('Movimentações'!$C$6:$C$1505,A893,'Movimentações'!$B$6:$B$1505,"Morte")&gt;0,"Morto","Ativo")))</f>
        <v/>
      </c>
      <c r="O893" s="40">
        <f>IF(A893="","",IF(COUNTIF('Pesagens'!$B$6:$B$2005,A893)=0,"",SUMPRODUCT(MAX(('Pesagens'!$B$6:$B$2005=A893)*'Pesagens'!$A$6:$A$2005))))</f>
        <v/>
      </c>
      <c r="P893" s="41">
        <f>IF(A893="","",IF(O893="",IF(J893="","",J893),IFERROR(AVERAGEIFS('Pesagens'!$C$6:$C$2005,'Pesagens'!$B$6:$B$2005,A893,'Pesagens'!$A$6:$A$2005,O893),"")))</f>
        <v/>
      </c>
      <c r="Q893" s="42">
        <f>IF(OR(A893="",O893="",I893="",J893=""),"",IFERROR((P893-J893)/(O893-I893),""))</f>
        <v/>
      </c>
    </row>
    <row r="894">
      <c r="A894" s="36" t="n"/>
      <c r="B894" s="32" t="n"/>
      <c r="C894" s="37" t="n"/>
      <c r="D894" s="31" t="n"/>
      <c r="E894" s="32" t="n"/>
      <c r="F894" s="32" t="n"/>
      <c r="G894" s="32" t="n"/>
      <c r="H894" s="36" t="n"/>
      <c r="I894" s="31" t="n"/>
      <c r="J894" s="38" t="n"/>
      <c r="K894" s="32" t="n"/>
      <c r="L894" s="34">
        <f>IF(OR(A894="",D894=""),"",IF(D894&gt;Config!$B$5,0,DATEDIF(D894,Config!$B$5,"m")))</f>
        <v/>
      </c>
      <c r="M894" s="39">
        <f>IF(A894="","",IF(K894&lt;&gt;"",K894,IF(OR(C894="",D894=""),"Sem dados",IFERROR(IF(C894="M",INDEX(Config!$B$11:$B$14,MATCH(L894,Config!$A$11:$A$14,1)),IF(C894="F",INDEX(Config!$C$11:$C$14,MATCH(L894,Config!$A$11:$A$14,1)),"Sem dados")),"Verificar"))))</f>
        <v/>
      </c>
      <c r="N894" s="39">
        <f>IF(A894="","",IF(COUNTIFS('Movimentações'!$C$6:$C$1505,A894,'Movimentações'!$B$6:$B$1505,"Venda")&gt;0,"Vendido",IF(COUNTIFS('Movimentações'!$C$6:$C$1505,A894,'Movimentações'!$B$6:$B$1505,"Morte")&gt;0,"Morto","Ativo")))</f>
        <v/>
      </c>
      <c r="O894" s="40">
        <f>IF(A894="","",IF(COUNTIF('Pesagens'!$B$6:$B$2005,A894)=0,"",SUMPRODUCT(MAX(('Pesagens'!$B$6:$B$2005=A894)*'Pesagens'!$A$6:$A$2005))))</f>
        <v/>
      </c>
      <c r="P894" s="41">
        <f>IF(A894="","",IF(O894="",IF(J894="","",J894),IFERROR(AVERAGEIFS('Pesagens'!$C$6:$C$2005,'Pesagens'!$B$6:$B$2005,A894,'Pesagens'!$A$6:$A$2005,O894),"")))</f>
        <v/>
      </c>
      <c r="Q894" s="42">
        <f>IF(OR(A894="",O894="",I894="",J894=""),"",IFERROR((P894-J894)/(O894-I894),""))</f>
        <v/>
      </c>
    </row>
    <row r="895">
      <c r="A895" s="36" t="n"/>
      <c r="B895" s="32" t="n"/>
      <c r="C895" s="37" t="n"/>
      <c r="D895" s="31" t="n"/>
      <c r="E895" s="32" t="n"/>
      <c r="F895" s="32" t="n"/>
      <c r="G895" s="32" t="n"/>
      <c r="H895" s="36" t="n"/>
      <c r="I895" s="31" t="n"/>
      <c r="J895" s="38" t="n"/>
      <c r="K895" s="32" t="n"/>
      <c r="L895" s="34">
        <f>IF(OR(A895="",D895=""),"",IF(D895&gt;Config!$B$5,0,DATEDIF(D895,Config!$B$5,"m")))</f>
        <v/>
      </c>
      <c r="M895" s="39">
        <f>IF(A895="","",IF(K895&lt;&gt;"",K895,IF(OR(C895="",D895=""),"Sem dados",IFERROR(IF(C895="M",INDEX(Config!$B$11:$B$14,MATCH(L895,Config!$A$11:$A$14,1)),IF(C895="F",INDEX(Config!$C$11:$C$14,MATCH(L895,Config!$A$11:$A$14,1)),"Sem dados")),"Verificar"))))</f>
        <v/>
      </c>
      <c r="N895" s="39">
        <f>IF(A895="","",IF(COUNTIFS('Movimentações'!$C$6:$C$1505,A895,'Movimentações'!$B$6:$B$1505,"Venda")&gt;0,"Vendido",IF(COUNTIFS('Movimentações'!$C$6:$C$1505,A895,'Movimentações'!$B$6:$B$1505,"Morte")&gt;0,"Morto","Ativo")))</f>
        <v/>
      </c>
      <c r="O895" s="40">
        <f>IF(A895="","",IF(COUNTIF('Pesagens'!$B$6:$B$2005,A895)=0,"",SUMPRODUCT(MAX(('Pesagens'!$B$6:$B$2005=A895)*'Pesagens'!$A$6:$A$2005))))</f>
        <v/>
      </c>
      <c r="P895" s="41">
        <f>IF(A895="","",IF(O895="",IF(J895="","",J895),IFERROR(AVERAGEIFS('Pesagens'!$C$6:$C$2005,'Pesagens'!$B$6:$B$2005,A895,'Pesagens'!$A$6:$A$2005,O895),"")))</f>
        <v/>
      </c>
      <c r="Q895" s="42">
        <f>IF(OR(A895="",O895="",I895="",J895=""),"",IFERROR((P895-J895)/(O895-I895),""))</f>
        <v/>
      </c>
    </row>
    <row r="896">
      <c r="A896" s="36" t="n"/>
      <c r="B896" s="32" t="n"/>
      <c r="C896" s="37" t="n"/>
      <c r="D896" s="31" t="n"/>
      <c r="E896" s="32" t="n"/>
      <c r="F896" s="32" t="n"/>
      <c r="G896" s="32" t="n"/>
      <c r="H896" s="36" t="n"/>
      <c r="I896" s="31" t="n"/>
      <c r="J896" s="38" t="n"/>
      <c r="K896" s="32" t="n"/>
      <c r="L896" s="34">
        <f>IF(OR(A896="",D896=""),"",IF(D896&gt;Config!$B$5,0,DATEDIF(D896,Config!$B$5,"m")))</f>
        <v/>
      </c>
      <c r="M896" s="39">
        <f>IF(A896="","",IF(K896&lt;&gt;"",K896,IF(OR(C896="",D896=""),"Sem dados",IFERROR(IF(C896="M",INDEX(Config!$B$11:$B$14,MATCH(L896,Config!$A$11:$A$14,1)),IF(C896="F",INDEX(Config!$C$11:$C$14,MATCH(L896,Config!$A$11:$A$14,1)),"Sem dados")),"Verificar"))))</f>
        <v/>
      </c>
      <c r="N896" s="39">
        <f>IF(A896="","",IF(COUNTIFS('Movimentações'!$C$6:$C$1505,A896,'Movimentações'!$B$6:$B$1505,"Venda")&gt;0,"Vendido",IF(COUNTIFS('Movimentações'!$C$6:$C$1505,A896,'Movimentações'!$B$6:$B$1505,"Morte")&gt;0,"Morto","Ativo")))</f>
        <v/>
      </c>
      <c r="O896" s="40">
        <f>IF(A896="","",IF(COUNTIF('Pesagens'!$B$6:$B$2005,A896)=0,"",SUMPRODUCT(MAX(('Pesagens'!$B$6:$B$2005=A896)*'Pesagens'!$A$6:$A$2005))))</f>
        <v/>
      </c>
      <c r="P896" s="41">
        <f>IF(A896="","",IF(O896="",IF(J896="","",J896),IFERROR(AVERAGEIFS('Pesagens'!$C$6:$C$2005,'Pesagens'!$B$6:$B$2005,A896,'Pesagens'!$A$6:$A$2005,O896),"")))</f>
        <v/>
      </c>
      <c r="Q896" s="42">
        <f>IF(OR(A896="",O896="",I896="",J896=""),"",IFERROR((P896-J896)/(O896-I896),""))</f>
        <v/>
      </c>
    </row>
    <row r="897">
      <c r="A897" s="36" t="n"/>
      <c r="B897" s="32" t="n"/>
      <c r="C897" s="37" t="n"/>
      <c r="D897" s="31" t="n"/>
      <c r="E897" s="32" t="n"/>
      <c r="F897" s="32" t="n"/>
      <c r="G897" s="32" t="n"/>
      <c r="H897" s="36" t="n"/>
      <c r="I897" s="31" t="n"/>
      <c r="J897" s="38" t="n"/>
      <c r="K897" s="32" t="n"/>
      <c r="L897" s="34">
        <f>IF(OR(A897="",D897=""),"",IF(D897&gt;Config!$B$5,0,DATEDIF(D897,Config!$B$5,"m")))</f>
        <v/>
      </c>
      <c r="M897" s="39">
        <f>IF(A897="","",IF(K897&lt;&gt;"",K897,IF(OR(C897="",D897=""),"Sem dados",IFERROR(IF(C897="M",INDEX(Config!$B$11:$B$14,MATCH(L897,Config!$A$11:$A$14,1)),IF(C897="F",INDEX(Config!$C$11:$C$14,MATCH(L897,Config!$A$11:$A$14,1)),"Sem dados")),"Verificar"))))</f>
        <v/>
      </c>
      <c r="N897" s="39">
        <f>IF(A897="","",IF(COUNTIFS('Movimentações'!$C$6:$C$1505,A897,'Movimentações'!$B$6:$B$1505,"Venda")&gt;0,"Vendido",IF(COUNTIFS('Movimentações'!$C$6:$C$1505,A897,'Movimentações'!$B$6:$B$1505,"Morte")&gt;0,"Morto","Ativo")))</f>
        <v/>
      </c>
      <c r="O897" s="40">
        <f>IF(A897="","",IF(COUNTIF('Pesagens'!$B$6:$B$2005,A897)=0,"",SUMPRODUCT(MAX(('Pesagens'!$B$6:$B$2005=A897)*'Pesagens'!$A$6:$A$2005))))</f>
        <v/>
      </c>
      <c r="P897" s="41">
        <f>IF(A897="","",IF(O897="",IF(J897="","",J897),IFERROR(AVERAGEIFS('Pesagens'!$C$6:$C$2005,'Pesagens'!$B$6:$B$2005,A897,'Pesagens'!$A$6:$A$2005,O897),"")))</f>
        <v/>
      </c>
      <c r="Q897" s="42">
        <f>IF(OR(A897="",O897="",I897="",J897=""),"",IFERROR((P897-J897)/(O897-I897),""))</f>
        <v/>
      </c>
    </row>
    <row r="898">
      <c r="A898" s="36" t="n"/>
      <c r="B898" s="32" t="n"/>
      <c r="C898" s="37" t="n"/>
      <c r="D898" s="31" t="n"/>
      <c r="E898" s="32" t="n"/>
      <c r="F898" s="32" t="n"/>
      <c r="G898" s="32" t="n"/>
      <c r="H898" s="36" t="n"/>
      <c r="I898" s="31" t="n"/>
      <c r="J898" s="38" t="n"/>
      <c r="K898" s="32" t="n"/>
      <c r="L898" s="34">
        <f>IF(OR(A898="",D898=""),"",IF(D898&gt;Config!$B$5,0,DATEDIF(D898,Config!$B$5,"m")))</f>
        <v/>
      </c>
      <c r="M898" s="39">
        <f>IF(A898="","",IF(K898&lt;&gt;"",K898,IF(OR(C898="",D898=""),"Sem dados",IFERROR(IF(C898="M",INDEX(Config!$B$11:$B$14,MATCH(L898,Config!$A$11:$A$14,1)),IF(C898="F",INDEX(Config!$C$11:$C$14,MATCH(L898,Config!$A$11:$A$14,1)),"Sem dados")),"Verificar"))))</f>
        <v/>
      </c>
      <c r="N898" s="39">
        <f>IF(A898="","",IF(COUNTIFS('Movimentações'!$C$6:$C$1505,A898,'Movimentações'!$B$6:$B$1505,"Venda")&gt;0,"Vendido",IF(COUNTIFS('Movimentações'!$C$6:$C$1505,A898,'Movimentações'!$B$6:$B$1505,"Morte")&gt;0,"Morto","Ativo")))</f>
        <v/>
      </c>
      <c r="O898" s="40">
        <f>IF(A898="","",IF(COUNTIF('Pesagens'!$B$6:$B$2005,A898)=0,"",SUMPRODUCT(MAX(('Pesagens'!$B$6:$B$2005=A898)*'Pesagens'!$A$6:$A$2005))))</f>
        <v/>
      </c>
      <c r="P898" s="41">
        <f>IF(A898="","",IF(O898="",IF(J898="","",J898),IFERROR(AVERAGEIFS('Pesagens'!$C$6:$C$2005,'Pesagens'!$B$6:$B$2005,A898,'Pesagens'!$A$6:$A$2005,O898),"")))</f>
        <v/>
      </c>
      <c r="Q898" s="42">
        <f>IF(OR(A898="",O898="",I898="",J898=""),"",IFERROR((P898-J898)/(O898-I898),""))</f>
        <v/>
      </c>
    </row>
    <row r="899">
      <c r="A899" s="36" t="n"/>
      <c r="B899" s="32" t="n"/>
      <c r="C899" s="37" t="n"/>
      <c r="D899" s="31" t="n"/>
      <c r="E899" s="32" t="n"/>
      <c r="F899" s="32" t="n"/>
      <c r="G899" s="32" t="n"/>
      <c r="H899" s="36" t="n"/>
      <c r="I899" s="31" t="n"/>
      <c r="J899" s="38" t="n"/>
      <c r="K899" s="32" t="n"/>
      <c r="L899" s="34">
        <f>IF(OR(A899="",D899=""),"",IF(D899&gt;Config!$B$5,0,DATEDIF(D899,Config!$B$5,"m")))</f>
        <v/>
      </c>
      <c r="M899" s="39">
        <f>IF(A899="","",IF(K899&lt;&gt;"",K899,IF(OR(C899="",D899=""),"Sem dados",IFERROR(IF(C899="M",INDEX(Config!$B$11:$B$14,MATCH(L899,Config!$A$11:$A$14,1)),IF(C899="F",INDEX(Config!$C$11:$C$14,MATCH(L899,Config!$A$11:$A$14,1)),"Sem dados")),"Verificar"))))</f>
        <v/>
      </c>
      <c r="N899" s="39">
        <f>IF(A899="","",IF(COUNTIFS('Movimentações'!$C$6:$C$1505,A899,'Movimentações'!$B$6:$B$1505,"Venda")&gt;0,"Vendido",IF(COUNTIFS('Movimentações'!$C$6:$C$1505,A899,'Movimentações'!$B$6:$B$1505,"Morte")&gt;0,"Morto","Ativo")))</f>
        <v/>
      </c>
      <c r="O899" s="40">
        <f>IF(A899="","",IF(COUNTIF('Pesagens'!$B$6:$B$2005,A899)=0,"",SUMPRODUCT(MAX(('Pesagens'!$B$6:$B$2005=A899)*'Pesagens'!$A$6:$A$2005))))</f>
        <v/>
      </c>
      <c r="P899" s="41">
        <f>IF(A899="","",IF(O899="",IF(J899="","",J899),IFERROR(AVERAGEIFS('Pesagens'!$C$6:$C$2005,'Pesagens'!$B$6:$B$2005,A899,'Pesagens'!$A$6:$A$2005,O899),"")))</f>
        <v/>
      </c>
      <c r="Q899" s="42">
        <f>IF(OR(A899="",O899="",I899="",J899=""),"",IFERROR((P899-J899)/(O899-I899),""))</f>
        <v/>
      </c>
    </row>
    <row r="900">
      <c r="A900" s="36" t="n"/>
      <c r="B900" s="32" t="n"/>
      <c r="C900" s="37" t="n"/>
      <c r="D900" s="31" t="n"/>
      <c r="E900" s="32" t="n"/>
      <c r="F900" s="32" t="n"/>
      <c r="G900" s="32" t="n"/>
      <c r="H900" s="36" t="n"/>
      <c r="I900" s="31" t="n"/>
      <c r="J900" s="38" t="n"/>
      <c r="K900" s="32" t="n"/>
      <c r="L900" s="34">
        <f>IF(OR(A900="",D900=""),"",IF(D900&gt;Config!$B$5,0,DATEDIF(D900,Config!$B$5,"m")))</f>
        <v/>
      </c>
      <c r="M900" s="39">
        <f>IF(A900="","",IF(K900&lt;&gt;"",K900,IF(OR(C900="",D900=""),"Sem dados",IFERROR(IF(C900="M",INDEX(Config!$B$11:$B$14,MATCH(L900,Config!$A$11:$A$14,1)),IF(C900="F",INDEX(Config!$C$11:$C$14,MATCH(L900,Config!$A$11:$A$14,1)),"Sem dados")),"Verificar"))))</f>
        <v/>
      </c>
      <c r="N900" s="39">
        <f>IF(A900="","",IF(COUNTIFS('Movimentações'!$C$6:$C$1505,A900,'Movimentações'!$B$6:$B$1505,"Venda")&gt;0,"Vendido",IF(COUNTIFS('Movimentações'!$C$6:$C$1505,A900,'Movimentações'!$B$6:$B$1505,"Morte")&gt;0,"Morto","Ativo")))</f>
        <v/>
      </c>
      <c r="O900" s="40">
        <f>IF(A900="","",IF(COUNTIF('Pesagens'!$B$6:$B$2005,A900)=0,"",SUMPRODUCT(MAX(('Pesagens'!$B$6:$B$2005=A900)*'Pesagens'!$A$6:$A$2005))))</f>
        <v/>
      </c>
      <c r="P900" s="41">
        <f>IF(A900="","",IF(O900="",IF(J900="","",J900),IFERROR(AVERAGEIFS('Pesagens'!$C$6:$C$2005,'Pesagens'!$B$6:$B$2005,A900,'Pesagens'!$A$6:$A$2005,O900),"")))</f>
        <v/>
      </c>
      <c r="Q900" s="42">
        <f>IF(OR(A900="",O900="",I900="",J900=""),"",IFERROR((P900-J900)/(O900-I900),""))</f>
        <v/>
      </c>
    </row>
    <row r="901">
      <c r="A901" s="36" t="n"/>
      <c r="B901" s="32" t="n"/>
      <c r="C901" s="37" t="n"/>
      <c r="D901" s="31" t="n"/>
      <c r="E901" s="32" t="n"/>
      <c r="F901" s="32" t="n"/>
      <c r="G901" s="32" t="n"/>
      <c r="H901" s="36" t="n"/>
      <c r="I901" s="31" t="n"/>
      <c r="J901" s="38" t="n"/>
      <c r="K901" s="32" t="n"/>
      <c r="L901" s="34">
        <f>IF(OR(A901="",D901=""),"",IF(D901&gt;Config!$B$5,0,DATEDIF(D901,Config!$B$5,"m")))</f>
        <v/>
      </c>
      <c r="M901" s="39">
        <f>IF(A901="","",IF(K901&lt;&gt;"",K901,IF(OR(C901="",D901=""),"Sem dados",IFERROR(IF(C901="M",INDEX(Config!$B$11:$B$14,MATCH(L901,Config!$A$11:$A$14,1)),IF(C901="F",INDEX(Config!$C$11:$C$14,MATCH(L901,Config!$A$11:$A$14,1)),"Sem dados")),"Verificar"))))</f>
        <v/>
      </c>
      <c r="N901" s="39">
        <f>IF(A901="","",IF(COUNTIFS('Movimentações'!$C$6:$C$1505,A901,'Movimentações'!$B$6:$B$1505,"Venda")&gt;0,"Vendido",IF(COUNTIFS('Movimentações'!$C$6:$C$1505,A901,'Movimentações'!$B$6:$B$1505,"Morte")&gt;0,"Morto","Ativo")))</f>
        <v/>
      </c>
      <c r="O901" s="40">
        <f>IF(A901="","",IF(COUNTIF('Pesagens'!$B$6:$B$2005,A901)=0,"",SUMPRODUCT(MAX(('Pesagens'!$B$6:$B$2005=A901)*'Pesagens'!$A$6:$A$2005))))</f>
        <v/>
      </c>
      <c r="P901" s="41">
        <f>IF(A901="","",IF(O901="",IF(J901="","",J901),IFERROR(AVERAGEIFS('Pesagens'!$C$6:$C$2005,'Pesagens'!$B$6:$B$2005,A901,'Pesagens'!$A$6:$A$2005,O901),"")))</f>
        <v/>
      </c>
      <c r="Q901" s="42">
        <f>IF(OR(A901="",O901="",I901="",J901=""),"",IFERROR((P901-J901)/(O901-I901),""))</f>
        <v/>
      </c>
    </row>
    <row r="902">
      <c r="A902" s="36" t="n"/>
      <c r="B902" s="32" t="n"/>
      <c r="C902" s="37" t="n"/>
      <c r="D902" s="31" t="n"/>
      <c r="E902" s="32" t="n"/>
      <c r="F902" s="32" t="n"/>
      <c r="G902" s="32" t="n"/>
      <c r="H902" s="36" t="n"/>
      <c r="I902" s="31" t="n"/>
      <c r="J902" s="38" t="n"/>
      <c r="K902" s="32" t="n"/>
      <c r="L902" s="34">
        <f>IF(OR(A902="",D902=""),"",IF(D902&gt;Config!$B$5,0,DATEDIF(D902,Config!$B$5,"m")))</f>
        <v/>
      </c>
      <c r="M902" s="39">
        <f>IF(A902="","",IF(K902&lt;&gt;"",K902,IF(OR(C902="",D902=""),"Sem dados",IFERROR(IF(C902="M",INDEX(Config!$B$11:$B$14,MATCH(L902,Config!$A$11:$A$14,1)),IF(C902="F",INDEX(Config!$C$11:$C$14,MATCH(L902,Config!$A$11:$A$14,1)),"Sem dados")),"Verificar"))))</f>
        <v/>
      </c>
      <c r="N902" s="39">
        <f>IF(A902="","",IF(COUNTIFS('Movimentações'!$C$6:$C$1505,A902,'Movimentações'!$B$6:$B$1505,"Venda")&gt;0,"Vendido",IF(COUNTIFS('Movimentações'!$C$6:$C$1505,A902,'Movimentações'!$B$6:$B$1505,"Morte")&gt;0,"Morto","Ativo")))</f>
        <v/>
      </c>
      <c r="O902" s="40">
        <f>IF(A902="","",IF(COUNTIF('Pesagens'!$B$6:$B$2005,A902)=0,"",SUMPRODUCT(MAX(('Pesagens'!$B$6:$B$2005=A902)*'Pesagens'!$A$6:$A$2005))))</f>
        <v/>
      </c>
      <c r="P902" s="41">
        <f>IF(A902="","",IF(O902="",IF(J902="","",J902),IFERROR(AVERAGEIFS('Pesagens'!$C$6:$C$2005,'Pesagens'!$B$6:$B$2005,A902,'Pesagens'!$A$6:$A$2005,O902),"")))</f>
        <v/>
      </c>
      <c r="Q902" s="42">
        <f>IF(OR(A902="",O902="",I902="",J902=""),"",IFERROR((P902-J902)/(O902-I902),""))</f>
        <v/>
      </c>
    </row>
    <row r="903">
      <c r="A903" s="36" t="n"/>
      <c r="B903" s="32" t="n"/>
      <c r="C903" s="37" t="n"/>
      <c r="D903" s="31" t="n"/>
      <c r="E903" s="32" t="n"/>
      <c r="F903" s="32" t="n"/>
      <c r="G903" s="32" t="n"/>
      <c r="H903" s="36" t="n"/>
      <c r="I903" s="31" t="n"/>
      <c r="J903" s="38" t="n"/>
      <c r="K903" s="32" t="n"/>
      <c r="L903" s="34">
        <f>IF(OR(A903="",D903=""),"",IF(D903&gt;Config!$B$5,0,DATEDIF(D903,Config!$B$5,"m")))</f>
        <v/>
      </c>
      <c r="M903" s="39">
        <f>IF(A903="","",IF(K903&lt;&gt;"",K903,IF(OR(C903="",D903=""),"Sem dados",IFERROR(IF(C903="M",INDEX(Config!$B$11:$B$14,MATCH(L903,Config!$A$11:$A$14,1)),IF(C903="F",INDEX(Config!$C$11:$C$14,MATCH(L903,Config!$A$11:$A$14,1)),"Sem dados")),"Verificar"))))</f>
        <v/>
      </c>
      <c r="N903" s="39">
        <f>IF(A903="","",IF(COUNTIFS('Movimentações'!$C$6:$C$1505,A903,'Movimentações'!$B$6:$B$1505,"Venda")&gt;0,"Vendido",IF(COUNTIFS('Movimentações'!$C$6:$C$1505,A903,'Movimentações'!$B$6:$B$1505,"Morte")&gt;0,"Morto","Ativo")))</f>
        <v/>
      </c>
      <c r="O903" s="40">
        <f>IF(A903="","",IF(COUNTIF('Pesagens'!$B$6:$B$2005,A903)=0,"",SUMPRODUCT(MAX(('Pesagens'!$B$6:$B$2005=A903)*'Pesagens'!$A$6:$A$2005))))</f>
        <v/>
      </c>
      <c r="P903" s="41">
        <f>IF(A903="","",IF(O903="",IF(J903="","",J903),IFERROR(AVERAGEIFS('Pesagens'!$C$6:$C$2005,'Pesagens'!$B$6:$B$2005,A903,'Pesagens'!$A$6:$A$2005,O903),"")))</f>
        <v/>
      </c>
      <c r="Q903" s="42">
        <f>IF(OR(A903="",O903="",I903="",J903=""),"",IFERROR((P903-J903)/(O903-I903),""))</f>
        <v/>
      </c>
    </row>
    <row r="904">
      <c r="A904" s="36" t="n"/>
      <c r="B904" s="32" t="n"/>
      <c r="C904" s="37" t="n"/>
      <c r="D904" s="31" t="n"/>
      <c r="E904" s="32" t="n"/>
      <c r="F904" s="32" t="n"/>
      <c r="G904" s="32" t="n"/>
      <c r="H904" s="36" t="n"/>
      <c r="I904" s="31" t="n"/>
      <c r="J904" s="38" t="n"/>
      <c r="K904" s="32" t="n"/>
      <c r="L904" s="34">
        <f>IF(OR(A904="",D904=""),"",IF(D904&gt;Config!$B$5,0,DATEDIF(D904,Config!$B$5,"m")))</f>
        <v/>
      </c>
      <c r="M904" s="39">
        <f>IF(A904="","",IF(K904&lt;&gt;"",K904,IF(OR(C904="",D904=""),"Sem dados",IFERROR(IF(C904="M",INDEX(Config!$B$11:$B$14,MATCH(L904,Config!$A$11:$A$14,1)),IF(C904="F",INDEX(Config!$C$11:$C$14,MATCH(L904,Config!$A$11:$A$14,1)),"Sem dados")),"Verificar"))))</f>
        <v/>
      </c>
      <c r="N904" s="39">
        <f>IF(A904="","",IF(COUNTIFS('Movimentações'!$C$6:$C$1505,A904,'Movimentações'!$B$6:$B$1505,"Venda")&gt;0,"Vendido",IF(COUNTIFS('Movimentações'!$C$6:$C$1505,A904,'Movimentações'!$B$6:$B$1505,"Morte")&gt;0,"Morto","Ativo")))</f>
        <v/>
      </c>
      <c r="O904" s="40">
        <f>IF(A904="","",IF(COUNTIF('Pesagens'!$B$6:$B$2005,A904)=0,"",SUMPRODUCT(MAX(('Pesagens'!$B$6:$B$2005=A904)*'Pesagens'!$A$6:$A$2005))))</f>
        <v/>
      </c>
      <c r="P904" s="41">
        <f>IF(A904="","",IF(O904="",IF(J904="","",J904),IFERROR(AVERAGEIFS('Pesagens'!$C$6:$C$2005,'Pesagens'!$B$6:$B$2005,A904,'Pesagens'!$A$6:$A$2005,O904),"")))</f>
        <v/>
      </c>
      <c r="Q904" s="42">
        <f>IF(OR(A904="",O904="",I904="",J904=""),"",IFERROR((P904-J904)/(O904-I904),""))</f>
        <v/>
      </c>
    </row>
    <row r="905">
      <c r="A905" s="36" t="n"/>
      <c r="B905" s="32" t="n"/>
      <c r="C905" s="37" t="n"/>
      <c r="D905" s="31" t="n"/>
      <c r="E905" s="32" t="n"/>
      <c r="F905" s="32" t="n"/>
      <c r="G905" s="32" t="n"/>
      <c r="H905" s="36" t="n"/>
      <c r="I905" s="31" t="n"/>
      <c r="J905" s="38" t="n"/>
      <c r="K905" s="32" t="n"/>
      <c r="L905" s="34">
        <f>IF(OR(A905="",D905=""),"",IF(D905&gt;Config!$B$5,0,DATEDIF(D905,Config!$B$5,"m")))</f>
        <v/>
      </c>
      <c r="M905" s="39">
        <f>IF(A905="","",IF(K905&lt;&gt;"",K905,IF(OR(C905="",D905=""),"Sem dados",IFERROR(IF(C905="M",INDEX(Config!$B$11:$B$14,MATCH(L905,Config!$A$11:$A$14,1)),IF(C905="F",INDEX(Config!$C$11:$C$14,MATCH(L905,Config!$A$11:$A$14,1)),"Sem dados")),"Verificar"))))</f>
        <v/>
      </c>
      <c r="N905" s="39">
        <f>IF(A905="","",IF(COUNTIFS('Movimentações'!$C$6:$C$1505,A905,'Movimentações'!$B$6:$B$1505,"Venda")&gt;0,"Vendido",IF(COUNTIFS('Movimentações'!$C$6:$C$1505,A905,'Movimentações'!$B$6:$B$1505,"Morte")&gt;0,"Morto","Ativo")))</f>
        <v/>
      </c>
      <c r="O905" s="40">
        <f>IF(A905="","",IF(COUNTIF('Pesagens'!$B$6:$B$2005,A905)=0,"",SUMPRODUCT(MAX(('Pesagens'!$B$6:$B$2005=A905)*'Pesagens'!$A$6:$A$2005))))</f>
        <v/>
      </c>
      <c r="P905" s="41">
        <f>IF(A905="","",IF(O905="",IF(J905="","",J905),IFERROR(AVERAGEIFS('Pesagens'!$C$6:$C$2005,'Pesagens'!$B$6:$B$2005,A905,'Pesagens'!$A$6:$A$2005,O905),"")))</f>
        <v/>
      </c>
      <c r="Q905" s="42">
        <f>IF(OR(A905="",O905="",I905="",J905=""),"",IFERROR((P905-J905)/(O905-I905),""))</f>
        <v/>
      </c>
    </row>
    <row r="906">
      <c r="A906" s="36" t="n"/>
      <c r="B906" s="32" t="n"/>
      <c r="C906" s="37" t="n"/>
      <c r="D906" s="31" t="n"/>
      <c r="E906" s="32" t="n"/>
      <c r="F906" s="32" t="n"/>
      <c r="G906" s="32" t="n"/>
      <c r="H906" s="36" t="n"/>
      <c r="I906" s="31" t="n"/>
      <c r="J906" s="38" t="n"/>
      <c r="K906" s="32" t="n"/>
      <c r="L906" s="34">
        <f>IF(OR(A906="",D906=""),"",IF(D906&gt;Config!$B$5,0,DATEDIF(D906,Config!$B$5,"m")))</f>
        <v/>
      </c>
      <c r="M906" s="39">
        <f>IF(A906="","",IF(K906&lt;&gt;"",K906,IF(OR(C906="",D906=""),"Sem dados",IFERROR(IF(C906="M",INDEX(Config!$B$11:$B$14,MATCH(L906,Config!$A$11:$A$14,1)),IF(C906="F",INDEX(Config!$C$11:$C$14,MATCH(L906,Config!$A$11:$A$14,1)),"Sem dados")),"Verificar"))))</f>
        <v/>
      </c>
      <c r="N906" s="39">
        <f>IF(A906="","",IF(COUNTIFS('Movimentações'!$C$6:$C$1505,A906,'Movimentações'!$B$6:$B$1505,"Venda")&gt;0,"Vendido",IF(COUNTIFS('Movimentações'!$C$6:$C$1505,A906,'Movimentações'!$B$6:$B$1505,"Morte")&gt;0,"Morto","Ativo")))</f>
        <v/>
      </c>
      <c r="O906" s="40">
        <f>IF(A906="","",IF(COUNTIF('Pesagens'!$B$6:$B$2005,A906)=0,"",SUMPRODUCT(MAX(('Pesagens'!$B$6:$B$2005=A906)*'Pesagens'!$A$6:$A$2005))))</f>
        <v/>
      </c>
      <c r="P906" s="41">
        <f>IF(A906="","",IF(O906="",IF(J906="","",J906),IFERROR(AVERAGEIFS('Pesagens'!$C$6:$C$2005,'Pesagens'!$B$6:$B$2005,A906,'Pesagens'!$A$6:$A$2005,O906),"")))</f>
        <v/>
      </c>
      <c r="Q906" s="42">
        <f>IF(OR(A906="",O906="",I906="",J906=""),"",IFERROR((P906-J906)/(O906-I906),""))</f>
        <v/>
      </c>
    </row>
    <row r="907">
      <c r="A907" s="36" t="n"/>
      <c r="B907" s="32" t="n"/>
      <c r="C907" s="37" t="n"/>
      <c r="D907" s="31" t="n"/>
      <c r="E907" s="32" t="n"/>
      <c r="F907" s="32" t="n"/>
      <c r="G907" s="32" t="n"/>
      <c r="H907" s="36" t="n"/>
      <c r="I907" s="31" t="n"/>
      <c r="J907" s="38" t="n"/>
      <c r="K907" s="32" t="n"/>
      <c r="L907" s="34">
        <f>IF(OR(A907="",D907=""),"",IF(D907&gt;Config!$B$5,0,DATEDIF(D907,Config!$B$5,"m")))</f>
        <v/>
      </c>
      <c r="M907" s="39">
        <f>IF(A907="","",IF(K907&lt;&gt;"",K907,IF(OR(C907="",D907=""),"Sem dados",IFERROR(IF(C907="M",INDEX(Config!$B$11:$B$14,MATCH(L907,Config!$A$11:$A$14,1)),IF(C907="F",INDEX(Config!$C$11:$C$14,MATCH(L907,Config!$A$11:$A$14,1)),"Sem dados")),"Verificar"))))</f>
        <v/>
      </c>
      <c r="N907" s="39">
        <f>IF(A907="","",IF(COUNTIFS('Movimentações'!$C$6:$C$1505,A907,'Movimentações'!$B$6:$B$1505,"Venda")&gt;0,"Vendido",IF(COUNTIFS('Movimentações'!$C$6:$C$1505,A907,'Movimentações'!$B$6:$B$1505,"Morte")&gt;0,"Morto","Ativo")))</f>
        <v/>
      </c>
      <c r="O907" s="40">
        <f>IF(A907="","",IF(COUNTIF('Pesagens'!$B$6:$B$2005,A907)=0,"",SUMPRODUCT(MAX(('Pesagens'!$B$6:$B$2005=A907)*'Pesagens'!$A$6:$A$2005))))</f>
        <v/>
      </c>
      <c r="P907" s="41">
        <f>IF(A907="","",IF(O907="",IF(J907="","",J907),IFERROR(AVERAGEIFS('Pesagens'!$C$6:$C$2005,'Pesagens'!$B$6:$B$2005,A907,'Pesagens'!$A$6:$A$2005,O907),"")))</f>
        <v/>
      </c>
      <c r="Q907" s="42">
        <f>IF(OR(A907="",O907="",I907="",J907=""),"",IFERROR((P907-J907)/(O907-I907),""))</f>
        <v/>
      </c>
    </row>
    <row r="908">
      <c r="A908" s="36" t="n"/>
      <c r="B908" s="32" t="n"/>
      <c r="C908" s="37" t="n"/>
      <c r="D908" s="31" t="n"/>
      <c r="E908" s="32" t="n"/>
      <c r="F908" s="32" t="n"/>
      <c r="G908" s="32" t="n"/>
      <c r="H908" s="36" t="n"/>
      <c r="I908" s="31" t="n"/>
      <c r="J908" s="38" t="n"/>
      <c r="K908" s="32" t="n"/>
      <c r="L908" s="34">
        <f>IF(OR(A908="",D908=""),"",IF(D908&gt;Config!$B$5,0,DATEDIF(D908,Config!$B$5,"m")))</f>
        <v/>
      </c>
      <c r="M908" s="39">
        <f>IF(A908="","",IF(K908&lt;&gt;"",K908,IF(OR(C908="",D908=""),"Sem dados",IFERROR(IF(C908="M",INDEX(Config!$B$11:$B$14,MATCH(L908,Config!$A$11:$A$14,1)),IF(C908="F",INDEX(Config!$C$11:$C$14,MATCH(L908,Config!$A$11:$A$14,1)),"Sem dados")),"Verificar"))))</f>
        <v/>
      </c>
      <c r="N908" s="39">
        <f>IF(A908="","",IF(COUNTIFS('Movimentações'!$C$6:$C$1505,A908,'Movimentações'!$B$6:$B$1505,"Venda")&gt;0,"Vendido",IF(COUNTIFS('Movimentações'!$C$6:$C$1505,A908,'Movimentações'!$B$6:$B$1505,"Morte")&gt;0,"Morto","Ativo")))</f>
        <v/>
      </c>
      <c r="O908" s="40">
        <f>IF(A908="","",IF(COUNTIF('Pesagens'!$B$6:$B$2005,A908)=0,"",SUMPRODUCT(MAX(('Pesagens'!$B$6:$B$2005=A908)*'Pesagens'!$A$6:$A$2005))))</f>
        <v/>
      </c>
      <c r="P908" s="41">
        <f>IF(A908="","",IF(O908="",IF(J908="","",J908),IFERROR(AVERAGEIFS('Pesagens'!$C$6:$C$2005,'Pesagens'!$B$6:$B$2005,A908,'Pesagens'!$A$6:$A$2005,O908),"")))</f>
        <v/>
      </c>
      <c r="Q908" s="42">
        <f>IF(OR(A908="",O908="",I908="",J908=""),"",IFERROR((P908-J908)/(O908-I908),""))</f>
        <v/>
      </c>
    </row>
    <row r="909">
      <c r="A909" s="36" t="n"/>
      <c r="B909" s="32" t="n"/>
      <c r="C909" s="37" t="n"/>
      <c r="D909" s="31" t="n"/>
      <c r="E909" s="32" t="n"/>
      <c r="F909" s="32" t="n"/>
      <c r="G909" s="32" t="n"/>
      <c r="H909" s="36" t="n"/>
      <c r="I909" s="31" t="n"/>
      <c r="J909" s="38" t="n"/>
      <c r="K909" s="32" t="n"/>
      <c r="L909" s="34">
        <f>IF(OR(A909="",D909=""),"",IF(D909&gt;Config!$B$5,0,DATEDIF(D909,Config!$B$5,"m")))</f>
        <v/>
      </c>
      <c r="M909" s="39">
        <f>IF(A909="","",IF(K909&lt;&gt;"",K909,IF(OR(C909="",D909=""),"Sem dados",IFERROR(IF(C909="M",INDEX(Config!$B$11:$B$14,MATCH(L909,Config!$A$11:$A$14,1)),IF(C909="F",INDEX(Config!$C$11:$C$14,MATCH(L909,Config!$A$11:$A$14,1)),"Sem dados")),"Verificar"))))</f>
        <v/>
      </c>
      <c r="N909" s="39">
        <f>IF(A909="","",IF(COUNTIFS('Movimentações'!$C$6:$C$1505,A909,'Movimentações'!$B$6:$B$1505,"Venda")&gt;0,"Vendido",IF(COUNTIFS('Movimentações'!$C$6:$C$1505,A909,'Movimentações'!$B$6:$B$1505,"Morte")&gt;0,"Morto","Ativo")))</f>
        <v/>
      </c>
      <c r="O909" s="40">
        <f>IF(A909="","",IF(COUNTIF('Pesagens'!$B$6:$B$2005,A909)=0,"",SUMPRODUCT(MAX(('Pesagens'!$B$6:$B$2005=A909)*'Pesagens'!$A$6:$A$2005))))</f>
        <v/>
      </c>
      <c r="P909" s="41">
        <f>IF(A909="","",IF(O909="",IF(J909="","",J909),IFERROR(AVERAGEIFS('Pesagens'!$C$6:$C$2005,'Pesagens'!$B$6:$B$2005,A909,'Pesagens'!$A$6:$A$2005,O909),"")))</f>
        <v/>
      </c>
      <c r="Q909" s="42">
        <f>IF(OR(A909="",O909="",I909="",J909=""),"",IFERROR((P909-J909)/(O909-I909),""))</f>
        <v/>
      </c>
    </row>
    <row r="910">
      <c r="A910" s="36" t="n"/>
      <c r="B910" s="32" t="n"/>
      <c r="C910" s="37" t="n"/>
      <c r="D910" s="31" t="n"/>
      <c r="E910" s="32" t="n"/>
      <c r="F910" s="32" t="n"/>
      <c r="G910" s="32" t="n"/>
      <c r="H910" s="36" t="n"/>
      <c r="I910" s="31" t="n"/>
      <c r="J910" s="38" t="n"/>
      <c r="K910" s="32" t="n"/>
      <c r="L910" s="34">
        <f>IF(OR(A910="",D910=""),"",IF(D910&gt;Config!$B$5,0,DATEDIF(D910,Config!$B$5,"m")))</f>
        <v/>
      </c>
      <c r="M910" s="39">
        <f>IF(A910="","",IF(K910&lt;&gt;"",K910,IF(OR(C910="",D910=""),"Sem dados",IFERROR(IF(C910="M",INDEX(Config!$B$11:$B$14,MATCH(L910,Config!$A$11:$A$14,1)),IF(C910="F",INDEX(Config!$C$11:$C$14,MATCH(L910,Config!$A$11:$A$14,1)),"Sem dados")),"Verificar"))))</f>
        <v/>
      </c>
      <c r="N910" s="39">
        <f>IF(A910="","",IF(COUNTIFS('Movimentações'!$C$6:$C$1505,A910,'Movimentações'!$B$6:$B$1505,"Venda")&gt;0,"Vendido",IF(COUNTIFS('Movimentações'!$C$6:$C$1505,A910,'Movimentações'!$B$6:$B$1505,"Morte")&gt;0,"Morto","Ativo")))</f>
        <v/>
      </c>
      <c r="O910" s="40">
        <f>IF(A910="","",IF(COUNTIF('Pesagens'!$B$6:$B$2005,A910)=0,"",SUMPRODUCT(MAX(('Pesagens'!$B$6:$B$2005=A910)*'Pesagens'!$A$6:$A$2005))))</f>
        <v/>
      </c>
      <c r="P910" s="41">
        <f>IF(A910="","",IF(O910="",IF(J910="","",J910),IFERROR(AVERAGEIFS('Pesagens'!$C$6:$C$2005,'Pesagens'!$B$6:$B$2005,A910,'Pesagens'!$A$6:$A$2005,O910),"")))</f>
        <v/>
      </c>
      <c r="Q910" s="42">
        <f>IF(OR(A910="",O910="",I910="",J910=""),"",IFERROR((P910-J910)/(O910-I910),""))</f>
        <v/>
      </c>
    </row>
    <row r="911">
      <c r="A911" s="36" t="n"/>
      <c r="B911" s="32" t="n"/>
      <c r="C911" s="37" t="n"/>
      <c r="D911" s="31" t="n"/>
      <c r="E911" s="32" t="n"/>
      <c r="F911" s="32" t="n"/>
      <c r="G911" s="32" t="n"/>
      <c r="H911" s="36" t="n"/>
      <c r="I911" s="31" t="n"/>
      <c r="J911" s="38" t="n"/>
      <c r="K911" s="32" t="n"/>
      <c r="L911" s="34">
        <f>IF(OR(A911="",D911=""),"",IF(D911&gt;Config!$B$5,0,DATEDIF(D911,Config!$B$5,"m")))</f>
        <v/>
      </c>
      <c r="M911" s="39">
        <f>IF(A911="","",IF(K911&lt;&gt;"",K911,IF(OR(C911="",D911=""),"Sem dados",IFERROR(IF(C911="M",INDEX(Config!$B$11:$B$14,MATCH(L911,Config!$A$11:$A$14,1)),IF(C911="F",INDEX(Config!$C$11:$C$14,MATCH(L911,Config!$A$11:$A$14,1)),"Sem dados")),"Verificar"))))</f>
        <v/>
      </c>
      <c r="N911" s="39">
        <f>IF(A911="","",IF(COUNTIFS('Movimentações'!$C$6:$C$1505,A911,'Movimentações'!$B$6:$B$1505,"Venda")&gt;0,"Vendido",IF(COUNTIFS('Movimentações'!$C$6:$C$1505,A911,'Movimentações'!$B$6:$B$1505,"Morte")&gt;0,"Morto","Ativo")))</f>
        <v/>
      </c>
      <c r="O911" s="40">
        <f>IF(A911="","",IF(COUNTIF('Pesagens'!$B$6:$B$2005,A911)=0,"",SUMPRODUCT(MAX(('Pesagens'!$B$6:$B$2005=A911)*'Pesagens'!$A$6:$A$2005))))</f>
        <v/>
      </c>
      <c r="P911" s="41">
        <f>IF(A911="","",IF(O911="",IF(J911="","",J911),IFERROR(AVERAGEIFS('Pesagens'!$C$6:$C$2005,'Pesagens'!$B$6:$B$2005,A911,'Pesagens'!$A$6:$A$2005,O911),"")))</f>
        <v/>
      </c>
      <c r="Q911" s="42">
        <f>IF(OR(A911="",O911="",I911="",J911=""),"",IFERROR((P911-J911)/(O911-I911),""))</f>
        <v/>
      </c>
    </row>
    <row r="912">
      <c r="A912" s="36" t="n"/>
      <c r="B912" s="32" t="n"/>
      <c r="C912" s="37" t="n"/>
      <c r="D912" s="31" t="n"/>
      <c r="E912" s="32" t="n"/>
      <c r="F912" s="32" t="n"/>
      <c r="G912" s="32" t="n"/>
      <c r="H912" s="36" t="n"/>
      <c r="I912" s="31" t="n"/>
      <c r="J912" s="38" t="n"/>
      <c r="K912" s="32" t="n"/>
      <c r="L912" s="34">
        <f>IF(OR(A912="",D912=""),"",IF(D912&gt;Config!$B$5,0,DATEDIF(D912,Config!$B$5,"m")))</f>
        <v/>
      </c>
      <c r="M912" s="39">
        <f>IF(A912="","",IF(K912&lt;&gt;"",K912,IF(OR(C912="",D912=""),"Sem dados",IFERROR(IF(C912="M",INDEX(Config!$B$11:$B$14,MATCH(L912,Config!$A$11:$A$14,1)),IF(C912="F",INDEX(Config!$C$11:$C$14,MATCH(L912,Config!$A$11:$A$14,1)),"Sem dados")),"Verificar"))))</f>
        <v/>
      </c>
      <c r="N912" s="39">
        <f>IF(A912="","",IF(COUNTIFS('Movimentações'!$C$6:$C$1505,A912,'Movimentações'!$B$6:$B$1505,"Venda")&gt;0,"Vendido",IF(COUNTIFS('Movimentações'!$C$6:$C$1505,A912,'Movimentações'!$B$6:$B$1505,"Morte")&gt;0,"Morto","Ativo")))</f>
        <v/>
      </c>
      <c r="O912" s="40">
        <f>IF(A912="","",IF(COUNTIF('Pesagens'!$B$6:$B$2005,A912)=0,"",SUMPRODUCT(MAX(('Pesagens'!$B$6:$B$2005=A912)*'Pesagens'!$A$6:$A$2005))))</f>
        <v/>
      </c>
      <c r="P912" s="41">
        <f>IF(A912="","",IF(O912="",IF(J912="","",J912),IFERROR(AVERAGEIFS('Pesagens'!$C$6:$C$2005,'Pesagens'!$B$6:$B$2005,A912,'Pesagens'!$A$6:$A$2005,O912),"")))</f>
        <v/>
      </c>
      <c r="Q912" s="42">
        <f>IF(OR(A912="",O912="",I912="",J912=""),"",IFERROR((P912-J912)/(O912-I912),""))</f>
        <v/>
      </c>
    </row>
    <row r="913">
      <c r="A913" s="36" t="n"/>
      <c r="B913" s="32" t="n"/>
      <c r="C913" s="37" t="n"/>
      <c r="D913" s="31" t="n"/>
      <c r="E913" s="32" t="n"/>
      <c r="F913" s="32" t="n"/>
      <c r="G913" s="32" t="n"/>
      <c r="H913" s="36" t="n"/>
      <c r="I913" s="31" t="n"/>
      <c r="J913" s="38" t="n"/>
      <c r="K913" s="32" t="n"/>
      <c r="L913" s="34">
        <f>IF(OR(A913="",D913=""),"",IF(D913&gt;Config!$B$5,0,DATEDIF(D913,Config!$B$5,"m")))</f>
        <v/>
      </c>
      <c r="M913" s="39">
        <f>IF(A913="","",IF(K913&lt;&gt;"",K913,IF(OR(C913="",D913=""),"Sem dados",IFERROR(IF(C913="M",INDEX(Config!$B$11:$B$14,MATCH(L913,Config!$A$11:$A$14,1)),IF(C913="F",INDEX(Config!$C$11:$C$14,MATCH(L913,Config!$A$11:$A$14,1)),"Sem dados")),"Verificar"))))</f>
        <v/>
      </c>
      <c r="N913" s="39">
        <f>IF(A913="","",IF(COUNTIFS('Movimentações'!$C$6:$C$1505,A913,'Movimentações'!$B$6:$B$1505,"Venda")&gt;0,"Vendido",IF(COUNTIFS('Movimentações'!$C$6:$C$1505,A913,'Movimentações'!$B$6:$B$1505,"Morte")&gt;0,"Morto","Ativo")))</f>
        <v/>
      </c>
      <c r="O913" s="40">
        <f>IF(A913="","",IF(COUNTIF('Pesagens'!$B$6:$B$2005,A913)=0,"",SUMPRODUCT(MAX(('Pesagens'!$B$6:$B$2005=A913)*'Pesagens'!$A$6:$A$2005))))</f>
        <v/>
      </c>
      <c r="P913" s="41">
        <f>IF(A913="","",IF(O913="",IF(J913="","",J913),IFERROR(AVERAGEIFS('Pesagens'!$C$6:$C$2005,'Pesagens'!$B$6:$B$2005,A913,'Pesagens'!$A$6:$A$2005,O913),"")))</f>
        <v/>
      </c>
      <c r="Q913" s="42">
        <f>IF(OR(A913="",O913="",I913="",J913=""),"",IFERROR((P913-J913)/(O913-I913),""))</f>
        <v/>
      </c>
    </row>
    <row r="914">
      <c r="A914" s="36" t="n"/>
      <c r="B914" s="32" t="n"/>
      <c r="C914" s="37" t="n"/>
      <c r="D914" s="31" t="n"/>
      <c r="E914" s="32" t="n"/>
      <c r="F914" s="32" t="n"/>
      <c r="G914" s="32" t="n"/>
      <c r="H914" s="36" t="n"/>
      <c r="I914" s="31" t="n"/>
      <c r="J914" s="38" t="n"/>
      <c r="K914" s="32" t="n"/>
      <c r="L914" s="34">
        <f>IF(OR(A914="",D914=""),"",IF(D914&gt;Config!$B$5,0,DATEDIF(D914,Config!$B$5,"m")))</f>
        <v/>
      </c>
      <c r="M914" s="39">
        <f>IF(A914="","",IF(K914&lt;&gt;"",K914,IF(OR(C914="",D914=""),"Sem dados",IFERROR(IF(C914="M",INDEX(Config!$B$11:$B$14,MATCH(L914,Config!$A$11:$A$14,1)),IF(C914="F",INDEX(Config!$C$11:$C$14,MATCH(L914,Config!$A$11:$A$14,1)),"Sem dados")),"Verificar"))))</f>
        <v/>
      </c>
      <c r="N914" s="39">
        <f>IF(A914="","",IF(COUNTIFS('Movimentações'!$C$6:$C$1505,A914,'Movimentações'!$B$6:$B$1505,"Venda")&gt;0,"Vendido",IF(COUNTIFS('Movimentações'!$C$6:$C$1505,A914,'Movimentações'!$B$6:$B$1505,"Morte")&gt;0,"Morto","Ativo")))</f>
        <v/>
      </c>
      <c r="O914" s="40">
        <f>IF(A914="","",IF(COUNTIF('Pesagens'!$B$6:$B$2005,A914)=0,"",SUMPRODUCT(MAX(('Pesagens'!$B$6:$B$2005=A914)*'Pesagens'!$A$6:$A$2005))))</f>
        <v/>
      </c>
      <c r="P914" s="41">
        <f>IF(A914="","",IF(O914="",IF(J914="","",J914),IFERROR(AVERAGEIFS('Pesagens'!$C$6:$C$2005,'Pesagens'!$B$6:$B$2005,A914,'Pesagens'!$A$6:$A$2005,O914),"")))</f>
        <v/>
      </c>
      <c r="Q914" s="42">
        <f>IF(OR(A914="",O914="",I914="",J914=""),"",IFERROR((P914-J914)/(O914-I914),""))</f>
        <v/>
      </c>
    </row>
    <row r="915">
      <c r="A915" s="36" t="n"/>
      <c r="B915" s="32" t="n"/>
      <c r="C915" s="37" t="n"/>
      <c r="D915" s="31" t="n"/>
      <c r="E915" s="32" t="n"/>
      <c r="F915" s="32" t="n"/>
      <c r="G915" s="32" t="n"/>
      <c r="H915" s="36" t="n"/>
      <c r="I915" s="31" t="n"/>
      <c r="J915" s="38" t="n"/>
      <c r="K915" s="32" t="n"/>
      <c r="L915" s="34">
        <f>IF(OR(A915="",D915=""),"",IF(D915&gt;Config!$B$5,0,DATEDIF(D915,Config!$B$5,"m")))</f>
        <v/>
      </c>
      <c r="M915" s="39">
        <f>IF(A915="","",IF(K915&lt;&gt;"",K915,IF(OR(C915="",D915=""),"Sem dados",IFERROR(IF(C915="M",INDEX(Config!$B$11:$B$14,MATCH(L915,Config!$A$11:$A$14,1)),IF(C915="F",INDEX(Config!$C$11:$C$14,MATCH(L915,Config!$A$11:$A$14,1)),"Sem dados")),"Verificar"))))</f>
        <v/>
      </c>
      <c r="N915" s="39">
        <f>IF(A915="","",IF(COUNTIFS('Movimentações'!$C$6:$C$1505,A915,'Movimentações'!$B$6:$B$1505,"Venda")&gt;0,"Vendido",IF(COUNTIFS('Movimentações'!$C$6:$C$1505,A915,'Movimentações'!$B$6:$B$1505,"Morte")&gt;0,"Morto","Ativo")))</f>
        <v/>
      </c>
      <c r="O915" s="40">
        <f>IF(A915="","",IF(COUNTIF('Pesagens'!$B$6:$B$2005,A915)=0,"",SUMPRODUCT(MAX(('Pesagens'!$B$6:$B$2005=A915)*'Pesagens'!$A$6:$A$2005))))</f>
        <v/>
      </c>
      <c r="P915" s="41">
        <f>IF(A915="","",IF(O915="",IF(J915="","",J915),IFERROR(AVERAGEIFS('Pesagens'!$C$6:$C$2005,'Pesagens'!$B$6:$B$2005,A915,'Pesagens'!$A$6:$A$2005,O915),"")))</f>
        <v/>
      </c>
      <c r="Q915" s="42">
        <f>IF(OR(A915="",O915="",I915="",J915=""),"",IFERROR((P915-J915)/(O915-I915),""))</f>
        <v/>
      </c>
    </row>
    <row r="916">
      <c r="A916" s="36" t="n"/>
      <c r="B916" s="32" t="n"/>
      <c r="C916" s="37" t="n"/>
      <c r="D916" s="31" t="n"/>
      <c r="E916" s="32" t="n"/>
      <c r="F916" s="32" t="n"/>
      <c r="G916" s="32" t="n"/>
      <c r="H916" s="36" t="n"/>
      <c r="I916" s="31" t="n"/>
      <c r="J916" s="38" t="n"/>
      <c r="K916" s="32" t="n"/>
      <c r="L916" s="34">
        <f>IF(OR(A916="",D916=""),"",IF(D916&gt;Config!$B$5,0,DATEDIF(D916,Config!$B$5,"m")))</f>
        <v/>
      </c>
      <c r="M916" s="39">
        <f>IF(A916="","",IF(K916&lt;&gt;"",K916,IF(OR(C916="",D916=""),"Sem dados",IFERROR(IF(C916="M",INDEX(Config!$B$11:$B$14,MATCH(L916,Config!$A$11:$A$14,1)),IF(C916="F",INDEX(Config!$C$11:$C$14,MATCH(L916,Config!$A$11:$A$14,1)),"Sem dados")),"Verificar"))))</f>
        <v/>
      </c>
      <c r="N916" s="39">
        <f>IF(A916="","",IF(COUNTIFS('Movimentações'!$C$6:$C$1505,A916,'Movimentações'!$B$6:$B$1505,"Venda")&gt;0,"Vendido",IF(COUNTIFS('Movimentações'!$C$6:$C$1505,A916,'Movimentações'!$B$6:$B$1505,"Morte")&gt;0,"Morto","Ativo")))</f>
        <v/>
      </c>
      <c r="O916" s="40">
        <f>IF(A916="","",IF(COUNTIF('Pesagens'!$B$6:$B$2005,A916)=0,"",SUMPRODUCT(MAX(('Pesagens'!$B$6:$B$2005=A916)*'Pesagens'!$A$6:$A$2005))))</f>
        <v/>
      </c>
      <c r="P916" s="41">
        <f>IF(A916="","",IF(O916="",IF(J916="","",J916),IFERROR(AVERAGEIFS('Pesagens'!$C$6:$C$2005,'Pesagens'!$B$6:$B$2005,A916,'Pesagens'!$A$6:$A$2005,O916),"")))</f>
        <v/>
      </c>
      <c r="Q916" s="42">
        <f>IF(OR(A916="",O916="",I916="",J916=""),"",IFERROR((P916-J916)/(O916-I916),""))</f>
        <v/>
      </c>
    </row>
    <row r="917">
      <c r="A917" s="36" t="n"/>
      <c r="B917" s="32" t="n"/>
      <c r="C917" s="37" t="n"/>
      <c r="D917" s="31" t="n"/>
      <c r="E917" s="32" t="n"/>
      <c r="F917" s="32" t="n"/>
      <c r="G917" s="32" t="n"/>
      <c r="H917" s="36" t="n"/>
      <c r="I917" s="31" t="n"/>
      <c r="J917" s="38" t="n"/>
      <c r="K917" s="32" t="n"/>
      <c r="L917" s="34">
        <f>IF(OR(A917="",D917=""),"",IF(D917&gt;Config!$B$5,0,DATEDIF(D917,Config!$B$5,"m")))</f>
        <v/>
      </c>
      <c r="M917" s="39">
        <f>IF(A917="","",IF(K917&lt;&gt;"",K917,IF(OR(C917="",D917=""),"Sem dados",IFERROR(IF(C917="M",INDEX(Config!$B$11:$B$14,MATCH(L917,Config!$A$11:$A$14,1)),IF(C917="F",INDEX(Config!$C$11:$C$14,MATCH(L917,Config!$A$11:$A$14,1)),"Sem dados")),"Verificar"))))</f>
        <v/>
      </c>
      <c r="N917" s="39">
        <f>IF(A917="","",IF(COUNTIFS('Movimentações'!$C$6:$C$1505,A917,'Movimentações'!$B$6:$B$1505,"Venda")&gt;0,"Vendido",IF(COUNTIFS('Movimentações'!$C$6:$C$1505,A917,'Movimentações'!$B$6:$B$1505,"Morte")&gt;0,"Morto","Ativo")))</f>
        <v/>
      </c>
      <c r="O917" s="40">
        <f>IF(A917="","",IF(COUNTIF('Pesagens'!$B$6:$B$2005,A917)=0,"",SUMPRODUCT(MAX(('Pesagens'!$B$6:$B$2005=A917)*'Pesagens'!$A$6:$A$2005))))</f>
        <v/>
      </c>
      <c r="P917" s="41">
        <f>IF(A917="","",IF(O917="",IF(J917="","",J917),IFERROR(AVERAGEIFS('Pesagens'!$C$6:$C$2005,'Pesagens'!$B$6:$B$2005,A917,'Pesagens'!$A$6:$A$2005,O917),"")))</f>
        <v/>
      </c>
      <c r="Q917" s="42">
        <f>IF(OR(A917="",O917="",I917="",J917=""),"",IFERROR((P917-J917)/(O917-I917),""))</f>
        <v/>
      </c>
    </row>
    <row r="918">
      <c r="A918" s="36" t="n"/>
      <c r="B918" s="32" t="n"/>
      <c r="C918" s="37" t="n"/>
      <c r="D918" s="31" t="n"/>
      <c r="E918" s="32" t="n"/>
      <c r="F918" s="32" t="n"/>
      <c r="G918" s="32" t="n"/>
      <c r="H918" s="36" t="n"/>
      <c r="I918" s="31" t="n"/>
      <c r="J918" s="38" t="n"/>
      <c r="K918" s="32" t="n"/>
      <c r="L918" s="34">
        <f>IF(OR(A918="",D918=""),"",IF(D918&gt;Config!$B$5,0,DATEDIF(D918,Config!$B$5,"m")))</f>
        <v/>
      </c>
      <c r="M918" s="39">
        <f>IF(A918="","",IF(K918&lt;&gt;"",K918,IF(OR(C918="",D918=""),"Sem dados",IFERROR(IF(C918="M",INDEX(Config!$B$11:$B$14,MATCH(L918,Config!$A$11:$A$14,1)),IF(C918="F",INDEX(Config!$C$11:$C$14,MATCH(L918,Config!$A$11:$A$14,1)),"Sem dados")),"Verificar"))))</f>
        <v/>
      </c>
      <c r="N918" s="39">
        <f>IF(A918="","",IF(COUNTIFS('Movimentações'!$C$6:$C$1505,A918,'Movimentações'!$B$6:$B$1505,"Venda")&gt;0,"Vendido",IF(COUNTIFS('Movimentações'!$C$6:$C$1505,A918,'Movimentações'!$B$6:$B$1505,"Morte")&gt;0,"Morto","Ativo")))</f>
        <v/>
      </c>
      <c r="O918" s="40">
        <f>IF(A918="","",IF(COUNTIF('Pesagens'!$B$6:$B$2005,A918)=0,"",SUMPRODUCT(MAX(('Pesagens'!$B$6:$B$2005=A918)*'Pesagens'!$A$6:$A$2005))))</f>
        <v/>
      </c>
      <c r="P918" s="41">
        <f>IF(A918="","",IF(O918="",IF(J918="","",J918),IFERROR(AVERAGEIFS('Pesagens'!$C$6:$C$2005,'Pesagens'!$B$6:$B$2005,A918,'Pesagens'!$A$6:$A$2005,O918),"")))</f>
        <v/>
      </c>
      <c r="Q918" s="42">
        <f>IF(OR(A918="",O918="",I918="",J918=""),"",IFERROR((P918-J918)/(O918-I918),""))</f>
        <v/>
      </c>
    </row>
    <row r="919">
      <c r="A919" s="36" t="n"/>
      <c r="B919" s="32" t="n"/>
      <c r="C919" s="37" t="n"/>
      <c r="D919" s="31" t="n"/>
      <c r="E919" s="32" t="n"/>
      <c r="F919" s="32" t="n"/>
      <c r="G919" s="32" t="n"/>
      <c r="H919" s="36" t="n"/>
      <c r="I919" s="31" t="n"/>
      <c r="J919" s="38" t="n"/>
      <c r="K919" s="32" t="n"/>
      <c r="L919" s="34">
        <f>IF(OR(A919="",D919=""),"",IF(D919&gt;Config!$B$5,0,DATEDIF(D919,Config!$B$5,"m")))</f>
        <v/>
      </c>
      <c r="M919" s="39">
        <f>IF(A919="","",IF(K919&lt;&gt;"",K919,IF(OR(C919="",D919=""),"Sem dados",IFERROR(IF(C919="M",INDEX(Config!$B$11:$B$14,MATCH(L919,Config!$A$11:$A$14,1)),IF(C919="F",INDEX(Config!$C$11:$C$14,MATCH(L919,Config!$A$11:$A$14,1)),"Sem dados")),"Verificar"))))</f>
        <v/>
      </c>
      <c r="N919" s="39">
        <f>IF(A919="","",IF(COUNTIFS('Movimentações'!$C$6:$C$1505,A919,'Movimentações'!$B$6:$B$1505,"Venda")&gt;0,"Vendido",IF(COUNTIFS('Movimentações'!$C$6:$C$1505,A919,'Movimentações'!$B$6:$B$1505,"Morte")&gt;0,"Morto","Ativo")))</f>
        <v/>
      </c>
      <c r="O919" s="40">
        <f>IF(A919="","",IF(COUNTIF('Pesagens'!$B$6:$B$2005,A919)=0,"",SUMPRODUCT(MAX(('Pesagens'!$B$6:$B$2005=A919)*'Pesagens'!$A$6:$A$2005))))</f>
        <v/>
      </c>
      <c r="P919" s="41">
        <f>IF(A919="","",IF(O919="",IF(J919="","",J919),IFERROR(AVERAGEIFS('Pesagens'!$C$6:$C$2005,'Pesagens'!$B$6:$B$2005,A919,'Pesagens'!$A$6:$A$2005,O919),"")))</f>
        <v/>
      </c>
      <c r="Q919" s="42">
        <f>IF(OR(A919="",O919="",I919="",J919=""),"",IFERROR((P919-J919)/(O919-I919),""))</f>
        <v/>
      </c>
    </row>
    <row r="920">
      <c r="A920" s="36" t="n"/>
      <c r="B920" s="32" t="n"/>
      <c r="C920" s="37" t="n"/>
      <c r="D920" s="31" t="n"/>
      <c r="E920" s="32" t="n"/>
      <c r="F920" s="32" t="n"/>
      <c r="G920" s="32" t="n"/>
      <c r="H920" s="36" t="n"/>
      <c r="I920" s="31" t="n"/>
      <c r="J920" s="38" t="n"/>
      <c r="K920" s="32" t="n"/>
      <c r="L920" s="34">
        <f>IF(OR(A920="",D920=""),"",IF(D920&gt;Config!$B$5,0,DATEDIF(D920,Config!$B$5,"m")))</f>
        <v/>
      </c>
      <c r="M920" s="39">
        <f>IF(A920="","",IF(K920&lt;&gt;"",K920,IF(OR(C920="",D920=""),"Sem dados",IFERROR(IF(C920="M",INDEX(Config!$B$11:$B$14,MATCH(L920,Config!$A$11:$A$14,1)),IF(C920="F",INDEX(Config!$C$11:$C$14,MATCH(L920,Config!$A$11:$A$14,1)),"Sem dados")),"Verificar"))))</f>
        <v/>
      </c>
      <c r="N920" s="39">
        <f>IF(A920="","",IF(COUNTIFS('Movimentações'!$C$6:$C$1505,A920,'Movimentações'!$B$6:$B$1505,"Venda")&gt;0,"Vendido",IF(COUNTIFS('Movimentações'!$C$6:$C$1505,A920,'Movimentações'!$B$6:$B$1505,"Morte")&gt;0,"Morto","Ativo")))</f>
        <v/>
      </c>
      <c r="O920" s="40">
        <f>IF(A920="","",IF(COUNTIF('Pesagens'!$B$6:$B$2005,A920)=0,"",SUMPRODUCT(MAX(('Pesagens'!$B$6:$B$2005=A920)*'Pesagens'!$A$6:$A$2005))))</f>
        <v/>
      </c>
      <c r="P920" s="41">
        <f>IF(A920="","",IF(O920="",IF(J920="","",J920),IFERROR(AVERAGEIFS('Pesagens'!$C$6:$C$2005,'Pesagens'!$B$6:$B$2005,A920,'Pesagens'!$A$6:$A$2005,O920),"")))</f>
        <v/>
      </c>
      <c r="Q920" s="42">
        <f>IF(OR(A920="",O920="",I920="",J920=""),"",IFERROR((P920-J920)/(O920-I920),""))</f>
        <v/>
      </c>
    </row>
    <row r="921">
      <c r="A921" s="36" t="n"/>
      <c r="B921" s="32" t="n"/>
      <c r="C921" s="37" t="n"/>
      <c r="D921" s="31" t="n"/>
      <c r="E921" s="32" t="n"/>
      <c r="F921" s="32" t="n"/>
      <c r="G921" s="32" t="n"/>
      <c r="H921" s="36" t="n"/>
      <c r="I921" s="31" t="n"/>
      <c r="J921" s="38" t="n"/>
      <c r="K921" s="32" t="n"/>
      <c r="L921" s="34">
        <f>IF(OR(A921="",D921=""),"",IF(D921&gt;Config!$B$5,0,DATEDIF(D921,Config!$B$5,"m")))</f>
        <v/>
      </c>
      <c r="M921" s="39">
        <f>IF(A921="","",IF(K921&lt;&gt;"",K921,IF(OR(C921="",D921=""),"Sem dados",IFERROR(IF(C921="M",INDEX(Config!$B$11:$B$14,MATCH(L921,Config!$A$11:$A$14,1)),IF(C921="F",INDEX(Config!$C$11:$C$14,MATCH(L921,Config!$A$11:$A$14,1)),"Sem dados")),"Verificar"))))</f>
        <v/>
      </c>
      <c r="N921" s="39">
        <f>IF(A921="","",IF(COUNTIFS('Movimentações'!$C$6:$C$1505,A921,'Movimentações'!$B$6:$B$1505,"Venda")&gt;0,"Vendido",IF(COUNTIFS('Movimentações'!$C$6:$C$1505,A921,'Movimentações'!$B$6:$B$1505,"Morte")&gt;0,"Morto","Ativo")))</f>
        <v/>
      </c>
      <c r="O921" s="40">
        <f>IF(A921="","",IF(COUNTIF('Pesagens'!$B$6:$B$2005,A921)=0,"",SUMPRODUCT(MAX(('Pesagens'!$B$6:$B$2005=A921)*'Pesagens'!$A$6:$A$2005))))</f>
        <v/>
      </c>
      <c r="P921" s="41">
        <f>IF(A921="","",IF(O921="",IF(J921="","",J921),IFERROR(AVERAGEIFS('Pesagens'!$C$6:$C$2005,'Pesagens'!$B$6:$B$2005,A921,'Pesagens'!$A$6:$A$2005,O921),"")))</f>
        <v/>
      </c>
      <c r="Q921" s="42">
        <f>IF(OR(A921="",O921="",I921="",J921=""),"",IFERROR((P921-J921)/(O921-I921),""))</f>
        <v/>
      </c>
    </row>
    <row r="922">
      <c r="A922" s="36" t="n"/>
      <c r="B922" s="32" t="n"/>
      <c r="C922" s="37" t="n"/>
      <c r="D922" s="31" t="n"/>
      <c r="E922" s="32" t="n"/>
      <c r="F922" s="32" t="n"/>
      <c r="G922" s="32" t="n"/>
      <c r="H922" s="36" t="n"/>
      <c r="I922" s="31" t="n"/>
      <c r="J922" s="38" t="n"/>
      <c r="K922" s="32" t="n"/>
      <c r="L922" s="34">
        <f>IF(OR(A922="",D922=""),"",IF(D922&gt;Config!$B$5,0,DATEDIF(D922,Config!$B$5,"m")))</f>
        <v/>
      </c>
      <c r="M922" s="39">
        <f>IF(A922="","",IF(K922&lt;&gt;"",K922,IF(OR(C922="",D922=""),"Sem dados",IFERROR(IF(C922="M",INDEX(Config!$B$11:$B$14,MATCH(L922,Config!$A$11:$A$14,1)),IF(C922="F",INDEX(Config!$C$11:$C$14,MATCH(L922,Config!$A$11:$A$14,1)),"Sem dados")),"Verificar"))))</f>
        <v/>
      </c>
      <c r="N922" s="39">
        <f>IF(A922="","",IF(COUNTIFS('Movimentações'!$C$6:$C$1505,A922,'Movimentações'!$B$6:$B$1505,"Venda")&gt;0,"Vendido",IF(COUNTIFS('Movimentações'!$C$6:$C$1505,A922,'Movimentações'!$B$6:$B$1505,"Morte")&gt;0,"Morto","Ativo")))</f>
        <v/>
      </c>
      <c r="O922" s="40">
        <f>IF(A922="","",IF(COUNTIF('Pesagens'!$B$6:$B$2005,A922)=0,"",SUMPRODUCT(MAX(('Pesagens'!$B$6:$B$2005=A922)*'Pesagens'!$A$6:$A$2005))))</f>
        <v/>
      </c>
      <c r="P922" s="41">
        <f>IF(A922="","",IF(O922="",IF(J922="","",J922),IFERROR(AVERAGEIFS('Pesagens'!$C$6:$C$2005,'Pesagens'!$B$6:$B$2005,A922,'Pesagens'!$A$6:$A$2005,O922),"")))</f>
        <v/>
      </c>
      <c r="Q922" s="42">
        <f>IF(OR(A922="",O922="",I922="",J922=""),"",IFERROR((P922-J922)/(O922-I922),""))</f>
        <v/>
      </c>
    </row>
    <row r="923">
      <c r="A923" s="36" t="n"/>
      <c r="B923" s="32" t="n"/>
      <c r="C923" s="37" t="n"/>
      <c r="D923" s="31" t="n"/>
      <c r="E923" s="32" t="n"/>
      <c r="F923" s="32" t="n"/>
      <c r="G923" s="32" t="n"/>
      <c r="H923" s="36" t="n"/>
      <c r="I923" s="31" t="n"/>
      <c r="J923" s="38" t="n"/>
      <c r="K923" s="32" t="n"/>
      <c r="L923" s="34">
        <f>IF(OR(A923="",D923=""),"",IF(D923&gt;Config!$B$5,0,DATEDIF(D923,Config!$B$5,"m")))</f>
        <v/>
      </c>
      <c r="M923" s="39">
        <f>IF(A923="","",IF(K923&lt;&gt;"",K923,IF(OR(C923="",D923=""),"Sem dados",IFERROR(IF(C923="M",INDEX(Config!$B$11:$B$14,MATCH(L923,Config!$A$11:$A$14,1)),IF(C923="F",INDEX(Config!$C$11:$C$14,MATCH(L923,Config!$A$11:$A$14,1)),"Sem dados")),"Verificar"))))</f>
        <v/>
      </c>
      <c r="N923" s="39">
        <f>IF(A923="","",IF(COUNTIFS('Movimentações'!$C$6:$C$1505,A923,'Movimentações'!$B$6:$B$1505,"Venda")&gt;0,"Vendido",IF(COUNTIFS('Movimentações'!$C$6:$C$1505,A923,'Movimentações'!$B$6:$B$1505,"Morte")&gt;0,"Morto","Ativo")))</f>
        <v/>
      </c>
      <c r="O923" s="40">
        <f>IF(A923="","",IF(COUNTIF('Pesagens'!$B$6:$B$2005,A923)=0,"",SUMPRODUCT(MAX(('Pesagens'!$B$6:$B$2005=A923)*'Pesagens'!$A$6:$A$2005))))</f>
        <v/>
      </c>
      <c r="P923" s="41">
        <f>IF(A923="","",IF(O923="",IF(J923="","",J923),IFERROR(AVERAGEIFS('Pesagens'!$C$6:$C$2005,'Pesagens'!$B$6:$B$2005,A923,'Pesagens'!$A$6:$A$2005,O923),"")))</f>
        <v/>
      </c>
      <c r="Q923" s="42">
        <f>IF(OR(A923="",O923="",I923="",J923=""),"",IFERROR((P923-J923)/(O923-I923),""))</f>
        <v/>
      </c>
    </row>
    <row r="924">
      <c r="A924" s="36" t="n"/>
      <c r="B924" s="32" t="n"/>
      <c r="C924" s="37" t="n"/>
      <c r="D924" s="31" t="n"/>
      <c r="E924" s="32" t="n"/>
      <c r="F924" s="32" t="n"/>
      <c r="G924" s="32" t="n"/>
      <c r="H924" s="36" t="n"/>
      <c r="I924" s="31" t="n"/>
      <c r="J924" s="38" t="n"/>
      <c r="K924" s="32" t="n"/>
      <c r="L924" s="34">
        <f>IF(OR(A924="",D924=""),"",IF(D924&gt;Config!$B$5,0,DATEDIF(D924,Config!$B$5,"m")))</f>
        <v/>
      </c>
      <c r="M924" s="39">
        <f>IF(A924="","",IF(K924&lt;&gt;"",K924,IF(OR(C924="",D924=""),"Sem dados",IFERROR(IF(C924="M",INDEX(Config!$B$11:$B$14,MATCH(L924,Config!$A$11:$A$14,1)),IF(C924="F",INDEX(Config!$C$11:$C$14,MATCH(L924,Config!$A$11:$A$14,1)),"Sem dados")),"Verificar"))))</f>
        <v/>
      </c>
      <c r="N924" s="39">
        <f>IF(A924="","",IF(COUNTIFS('Movimentações'!$C$6:$C$1505,A924,'Movimentações'!$B$6:$B$1505,"Venda")&gt;0,"Vendido",IF(COUNTIFS('Movimentações'!$C$6:$C$1505,A924,'Movimentações'!$B$6:$B$1505,"Morte")&gt;0,"Morto","Ativo")))</f>
        <v/>
      </c>
      <c r="O924" s="40">
        <f>IF(A924="","",IF(COUNTIF('Pesagens'!$B$6:$B$2005,A924)=0,"",SUMPRODUCT(MAX(('Pesagens'!$B$6:$B$2005=A924)*'Pesagens'!$A$6:$A$2005))))</f>
        <v/>
      </c>
      <c r="P924" s="41">
        <f>IF(A924="","",IF(O924="",IF(J924="","",J924),IFERROR(AVERAGEIFS('Pesagens'!$C$6:$C$2005,'Pesagens'!$B$6:$B$2005,A924,'Pesagens'!$A$6:$A$2005,O924),"")))</f>
        <v/>
      </c>
      <c r="Q924" s="42">
        <f>IF(OR(A924="",O924="",I924="",J924=""),"",IFERROR((P924-J924)/(O924-I924),""))</f>
        <v/>
      </c>
    </row>
    <row r="925">
      <c r="A925" s="36" t="n"/>
      <c r="B925" s="32" t="n"/>
      <c r="C925" s="37" t="n"/>
      <c r="D925" s="31" t="n"/>
      <c r="E925" s="32" t="n"/>
      <c r="F925" s="32" t="n"/>
      <c r="G925" s="32" t="n"/>
      <c r="H925" s="36" t="n"/>
      <c r="I925" s="31" t="n"/>
      <c r="J925" s="38" t="n"/>
      <c r="K925" s="32" t="n"/>
      <c r="L925" s="34">
        <f>IF(OR(A925="",D925=""),"",IF(D925&gt;Config!$B$5,0,DATEDIF(D925,Config!$B$5,"m")))</f>
        <v/>
      </c>
      <c r="M925" s="39">
        <f>IF(A925="","",IF(K925&lt;&gt;"",K925,IF(OR(C925="",D925=""),"Sem dados",IFERROR(IF(C925="M",INDEX(Config!$B$11:$B$14,MATCH(L925,Config!$A$11:$A$14,1)),IF(C925="F",INDEX(Config!$C$11:$C$14,MATCH(L925,Config!$A$11:$A$14,1)),"Sem dados")),"Verificar"))))</f>
        <v/>
      </c>
      <c r="N925" s="39">
        <f>IF(A925="","",IF(COUNTIFS('Movimentações'!$C$6:$C$1505,A925,'Movimentações'!$B$6:$B$1505,"Venda")&gt;0,"Vendido",IF(COUNTIFS('Movimentações'!$C$6:$C$1505,A925,'Movimentações'!$B$6:$B$1505,"Morte")&gt;0,"Morto","Ativo")))</f>
        <v/>
      </c>
      <c r="O925" s="40">
        <f>IF(A925="","",IF(COUNTIF('Pesagens'!$B$6:$B$2005,A925)=0,"",SUMPRODUCT(MAX(('Pesagens'!$B$6:$B$2005=A925)*'Pesagens'!$A$6:$A$2005))))</f>
        <v/>
      </c>
      <c r="P925" s="41">
        <f>IF(A925="","",IF(O925="",IF(J925="","",J925),IFERROR(AVERAGEIFS('Pesagens'!$C$6:$C$2005,'Pesagens'!$B$6:$B$2005,A925,'Pesagens'!$A$6:$A$2005,O925),"")))</f>
        <v/>
      </c>
      <c r="Q925" s="42">
        <f>IF(OR(A925="",O925="",I925="",J925=""),"",IFERROR((P925-J925)/(O925-I925),""))</f>
        <v/>
      </c>
    </row>
    <row r="926">
      <c r="A926" s="36" t="n"/>
      <c r="B926" s="32" t="n"/>
      <c r="C926" s="37" t="n"/>
      <c r="D926" s="31" t="n"/>
      <c r="E926" s="32" t="n"/>
      <c r="F926" s="32" t="n"/>
      <c r="G926" s="32" t="n"/>
      <c r="H926" s="36" t="n"/>
      <c r="I926" s="31" t="n"/>
      <c r="J926" s="38" t="n"/>
      <c r="K926" s="32" t="n"/>
      <c r="L926" s="34">
        <f>IF(OR(A926="",D926=""),"",IF(D926&gt;Config!$B$5,0,DATEDIF(D926,Config!$B$5,"m")))</f>
        <v/>
      </c>
      <c r="M926" s="39">
        <f>IF(A926="","",IF(K926&lt;&gt;"",K926,IF(OR(C926="",D926=""),"Sem dados",IFERROR(IF(C926="M",INDEX(Config!$B$11:$B$14,MATCH(L926,Config!$A$11:$A$14,1)),IF(C926="F",INDEX(Config!$C$11:$C$14,MATCH(L926,Config!$A$11:$A$14,1)),"Sem dados")),"Verificar"))))</f>
        <v/>
      </c>
      <c r="N926" s="39">
        <f>IF(A926="","",IF(COUNTIFS('Movimentações'!$C$6:$C$1505,A926,'Movimentações'!$B$6:$B$1505,"Venda")&gt;0,"Vendido",IF(COUNTIFS('Movimentações'!$C$6:$C$1505,A926,'Movimentações'!$B$6:$B$1505,"Morte")&gt;0,"Morto","Ativo")))</f>
        <v/>
      </c>
      <c r="O926" s="40">
        <f>IF(A926="","",IF(COUNTIF('Pesagens'!$B$6:$B$2005,A926)=0,"",SUMPRODUCT(MAX(('Pesagens'!$B$6:$B$2005=A926)*'Pesagens'!$A$6:$A$2005))))</f>
        <v/>
      </c>
      <c r="P926" s="41">
        <f>IF(A926="","",IF(O926="",IF(J926="","",J926),IFERROR(AVERAGEIFS('Pesagens'!$C$6:$C$2005,'Pesagens'!$B$6:$B$2005,A926,'Pesagens'!$A$6:$A$2005,O926),"")))</f>
        <v/>
      </c>
      <c r="Q926" s="42">
        <f>IF(OR(A926="",O926="",I926="",J926=""),"",IFERROR((P926-J926)/(O926-I926),""))</f>
        <v/>
      </c>
    </row>
    <row r="927">
      <c r="A927" s="36" t="n"/>
      <c r="B927" s="32" t="n"/>
      <c r="C927" s="37" t="n"/>
      <c r="D927" s="31" t="n"/>
      <c r="E927" s="32" t="n"/>
      <c r="F927" s="32" t="n"/>
      <c r="G927" s="32" t="n"/>
      <c r="H927" s="36" t="n"/>
      <c r="I927" s="31" t="n"/>
      <c r="J927" s="38" t="n"/>
      <c r="K927" s="32" t="n"/>
      <c r="L927" s="34">
        <f>IF(OR(A927="",D927=""),"",IF(D927&gt;Config!$B$5,0,DATEDIF(D927,Config!$B$5,"m")))</f>
        <v/>
      </c>
      <c r="M927" s="39">
        <f>IF(A927="","",IF(K927&lt;&gt;"",K927,IF(OR(C927="",D927=""),"Sem dados",IFERROR(IF(C927="M",INDEX(Config!$B$11:$B$14,MATCH(L927,Config!$A$11:$A$14,1)),IF(C927="F",INDEX(Config!$C$11:$C$14,MATCH(L927,Config!$A$11:$A$14,1)),"Sem dados")),"Verificar"))))</f>
        <v/>
      </c>
      <c r="N927" s="39">
        <f>IF(A927="","",IF(COUNTIFS('Movimentações'!$C$6:$C$1505,A927,'Movimentações'!$B$6:$B$1505,"Venda")&gt;0,"Vendido",IF(COUNTIFS('Movimentações'!$C$6:$C$1505,A927,'Movimentações'!$B$6:$B$1505,"Morte")&gt;0,"Morto","Ativo")))</f>
        <v/>
      </c>
      <c r="O927" s="40">
        <f>IF(A927="","",IF(COUNTIF('Pesagens'!$B$6:$B$2005,A927)=0,"",SUMPRODUCT(MAX(('Pesagens'!$B$6:$B$2005=A927)*'Pesagens'!$A$6:$A$2005))))</f>
        <v/>
      </c>
      <c r="P927" s="41">
        <f>IF(A927="","",IF(O927="",IF(J927="","",J927),IFERROR(AVERAGEIFS('Pesagens'!$C$6:$C$2005,'Pesagens'!$B$6:$B$2005,A927,'Pesagens'!$A$6:$A$2005,O927),"")))</f>
        <v/>
      </c>
      <c r="Q927" s="42">
        <f>IF(OR(A927="",O927="",I927="",J927=""),"",IFERROR((P927-J927)/(O927-I927),""))</f>
        <v/>
      </c>
    </row>
    <row r="928">
      <c r="A928" s="36" t="n"/>
      <c r="B928" s="32" t="n"/>
      <c r="C928" s="37" t="n"/>
      <c r="D928" s="31" t="n"/>
      <c r="E928" s="32" t="n"/>
      <c r="F928" s="32" t="n"/>
      <c r="G928" s="32" t="n"/>
      <c r="H928" s="36" t="n"/>
      <c r="I928" s="31" t="n"/>
      <c r="J928" s="38" t="n"/>
      <c r="K928" s="32" t="n"/>
      <c r="L928" s="34">
        <f>IF(OR(A928="",D928=""),"",IF(D928&gt;Config!$B$5,0,DATEDIF(D928,Config!$B$5,"m")))</f>
        <v/>
      </c>
      <c r="M928" s="39">
        <f>IF(A928="","",IF(K928&lt;&gt;"",K928,IF(OR(C928="",D928=""),"Sem dados",IFERROR(IF(C928="M",INDEX(Config!$B$11:$B$14,MATCH(L928,Config!$A$11:$A$14,1)),IF(C928="F",INDEX(Config!$C$11:$C$14,MATCH(L928,Config!$A$11:$A$14,1)),"Sem dados")),"Verificar"))))</f>
        <v/>
      </c>
      <c r="N928" s="39">
        <f>IF(A928="","",IF(COUNTIFS('Movimentações'!$C$6:$C$1505,A928,'Movimentações'!$B$6:$B$1505,"Venda")&gt;0,"Vendido",IF(COUNTIFS('Movimentações'!$C$6:$C$1505,A928,'Movimentações'!$B$6:$B$1505,"Morte")&gt;0,"Morto","Ativo")))</f>
        <v/>
      </c>
      <c r="O928" s="40">
        <f>IF(A928="","",IF(COUNTIF('Pesagens'!$B$6:$B$2005,A928)=0,"",SUMPRODUCT(MAX(('Pesagens'!$B$6:$B$2005=A928)*'Pesagens'!$A$6:$A$2005))))</f>
        <v/>
      </c>
      <c r="P928" s="41">
        <f>IF(A928="","",IF(O928="",IF(J928="","",J928),IFERROR(AVERAGEIFS('Pesagens'!$C$6:$C$2005,'Pesagens'!$B$6:$B$2005,A928,'Pesagens'!$A$6:$A$2005,O928),"")))</f>
        <v/>
      </c>
      <c r="Q928" s="42">
        <f>IF(OR(A928="",O928="",I928="",J928=""),"",IFERROR((P928-J928)/(O928-I928),""))</f>
        <v/>
      </c>
    </row>
    <row r="929">
      <c r="A929" s="36" t="n"/>
      <c r="B929" s="32" t="n"/>
      <c r="C929" s="37" t="n"/>
      <c r="D929" s="31" t="n"/>
      <c r="E929" s="32" t="n"/>
      <c r="F929" s="32" t="n"/>
      <c r="G929" s="32" t="n"/>
      <c r="H929" s="36" t="n"/>
      <c r="I929" s="31" t="n"/>
      <c r="J929" s="38" t="n"/>
      <c r="K929" s="32" t="n"/>
      <c r="L929" s="34">
        <f>IF(OR(A929="",D929=""),"",IF(D929&gt;Config!$B$5,0,DATEDIF(D929,Config!$B$5,"m")))</f>
        <v/>
      </c>
      <c r="M929" s="39">
        <f>IF(A929="","",IF(K929&lt;&gt;"",K929,IF(OR(C929="",D929=""),"Sem dados",IFERROR(IF(C929="M",INDEX(Config!$B$11:$B$14,MATCH(L929,Config!$A$11:$A$14,1)),IF(C929="F",INDEX(Config!$C$11:$C$14,MATCH(L929,Config!$A$11:$A$14,1)),"Sem dados")),"Verificar"))))</f>
        <v/>
      </c>
      <c r="N929" s="39">
        <f>IF(A929="","",IF(COUNTIFS('Movimentações'!$C$6:$C$1505,A929,'Movimentações'!$B$6:$B$1505,"Venda")&gt;0,"Vendido",IF(COUNTIFS('Movimentações'!$C$6:$C$1505,A929,'Movimentações'!$B$6:$B$1505,"Morte")&gt;0,"Morto","Ativo")))</f>
        <v/>
      </c>
      <c r="O929" s="40">
        <f>IF(A929="","",IF(COUNTIF('Pesagens'!$B$6:$B$2005,A929)=0,"",SUMPRODUCT(MAX(('Pesagens'!$B$6:$B$2005=A929)*'Pesagens'!$A$6:$A$2005))))</f>
        <v/>
      </c>
      <c r="P929" s="41">
        <f>IF(A929="","",IF(O929="",IF(J929="","",J929),IFERROR(AVERAGEIFS('Pesagens'!$C$6:$C$2005,'Pesagens'!$B$6:$B$2005,A929,'Pesagens'!$A$6:$A$2005,O929),"")))</f>
        <v/>
      </c>
      <c r="Q929" s="42">
        <f>IF(OR(A929="",O929="",I929="",J929=""),"",IFERROR((P929-J929)/(O929-I929),""))</f>
        <v/>
      </c>
    </row>
    <row r="930">
      <c r="A930" s="36" t="n"/>
      <c r="B930" s="32" t="n"/>
      <c r="C930" s="37" t="n"/>
      <c r="D930" s="31" t="n"/>
      <c r="E930" s="32" t="n"/>
      <c r="F930" s="32" t="n"/>
      <c r="G930" s="32" t="n"/>
      <c r="H930" s="36" t="n"/>
      <c r="I930" s="31" t="n"/>
      <c r="J930" s="38" t="n"/>
      <c r="K930" s="32" t="n"/>
      <c r="L930" s="34">
        <f>IF(OR(A930="",D930=""),"",IF(D930&gt;Config!$B$5,0,DATEDIF(D930,Config!$B$5,"m")))</f>
        <v/>
      </c>
      <c r="M930" s="39">
        <f>IF(A930="","",IF(K930&lt;&gt;"",K930,IF(OR(C930="",D930=""),"Sem dados",IFERROR(IF(C930="M",INDEX(Config!$B$11:$B$14,MATCH(L930,Config!$A$11:$A$14,1)),IF(C930="F",INDEX(Config!$C$11:$C$14,MATCH(L930,Config!$A$11:$A$14,1)),"Sem dados")),"Verificar"))))</f>
        <v/>
      </c>
      <c r="N930" s="39">
        <f>IF(A930="","",IF(COUNTIFS('Movimentações'!$C$6:$C$1505,A930,'Movimentações'!$B$6:$B$1505,"Venda")&gt;0,"Vendido",IF(COUNTIFS('Movimentações'!$C$6:$C$1505,A930,'Movimentações'!$B$6:$B$1505,"Morte")&gt;0,"Morto","Ativo")))</f>
        <v/>
      </c>
      <c r="O930" s="40">
        <f>IF(A930="","",IF(COUNTIF('Pesagens'!$B$6:$B$2005,A930)=0,"",SUMPRODUCT(MAX(('Pesagens'!$B$6:$B$2005=A930)*'Pesagens'!$A$6:$A$2005))))</f>
        <v/>
      </c>
      <c r="P930" s="41">
        <f>IF(A930="","",IF(O930="",IF(J930="","",J930),IFERROR(AVERAGEIFS('Pesagens'!$C$6:$C$2005,'Pesagens'!$B$6:$B$2005,A930,'Pesagens'!$A$6:$A$2005,O930),"")))</f>
        <v/>
      </c>
      <c r="Q930" s="42">
        <f>IF(OR(A930="",O930="",I930="",J930=""),"",IFERROR((P930-J930)/(O930-I930),""))</f>
        <v/>
      </c>
    </row>
    <row r="931">
      <c r="A931" s="36" t="n"/>
      <c r="B931" s="32" t="n"/>
      <c r="C931" s="37" t="n"/>
      <c r="D931" s="31" t="n"/>
      <c r="E931" s="32" t="n"/>
      <c r="F931" s="32" t="n"/>
      <c r="G931" s="32" t="n"/>
      <c r="H931" s="36" t="n"/>
      <c r="I931" s="31" t="n"/>
      <c r="J931" s="38" t="n"/>
      <c r="K931" s="32" t="n"/>
      <c r="L931" s="34">
        <f>IF(OR(A931="",D931=""),"",IF(D931&gt;Config!$B$5,0,DATEDIF(D931,Config!$B$5,"m")))</f>
        <v/>
      </c>
      <c r="M931" s="39">
        <f>IF(A931="","",IF(K931&lt;&gt;"",K931,IF(OR(C931="",D931=""),"Sem dados",IFERROR(IF(C931="M",INDEX(Config!$B$11:$B$14,MATCH(L931,Config!$A$11:$A$14,1)),IF(C931="F",INDEX(Config!$C$11:$C$14,MATCH(L931,Config!$A$11:$A$14,1)),"Sem dados")),"Verificar"))))</f>
        <v/>
      </c>
      <c r="N931" s="39">
        <f>IF(A931="","",IF(COUNTIFS('Movimentações'!$C$6:$C$1505,A931,'Movimentações'!$B$6:$B$1505,"Venda")&gt;0,"Vendido",IF(COUNTIFS('Movimentações'!$C$6:$C$1505,A931,'Movimentações'!$B$6:$B$1505,"Morte")&gt;0,"Morto","Ativo")))</f>
        <v/>
      </c>
      <c r="O931" s="40">
        <f>IF(A931="","",IF(COUNTIF('Pesagens'!$B$6:$B$2005,A931)=0,"",SUMPRODUCT(MAX(('Pesagens'!$B$6:$B$2005=A931)*'Pesagens'!$A$6:$A$2005))))</f>
        <v/>
      </c>
      <c r="P931" s="41">
        <f>IF(A931="","",IF(O931="",IF(J931="","",J931),IFERROR(AVERAGEIFS('Pesagens'!$C$6:$C$2005,'Pesagens'!$B$6:$B$2005,A931,'Pesagens'!$A$6:$A$2005,O931),"")))</f>
        <v/>
      </c>
      <c r="Q931" s="42">
        <f>IF(OR(A931="",O931="",I931="",J931=""),"",IFERROR((P931-J931)/(O931-I931),""))</f>
        <v/>
      </c>
    </row>
    <row r="932">
      <c r="A932" s="36" t="n"/>
      <c r="B932" s="32" t="n"/>
      <c r="C932" s="37" t="n"/>
      <c r="D932" s="31" t="n"/>
      <c r="E932" s="32" t="n"/>
      <c r="F932" s="32" t="n"/>
      <c r="G932" s="32" t="n"/>
      <c r="H932" s="36" t="n"/>
      <c r="I932" s="31" t="n"/>
      <c r="J932" s="38" t="n"/>
      <c r="K932" s="32" t="n"/>
      <c r="L932" s="34">
        <f>IF(OR(A932="",D932=""),"",IF(D932&gt;Config!$B$5,0,DATEDIF(D932,Config!$B$5,"m")))</f>
        <v/>
      </c>
      <c r="M932" s="39">
        <f>IF(A932="","",IF(K932&lt;&gt;"",K932,IF(OR(C932="",D932=""),"Sem dados",IFERROR(IF(C932="M",INDEX(Config!$B$11:$B$14,MATCH(L932,Config!$A$11:$A$14,1)),IF(C932="F",INDEX(Config!$C$11:$C$14,MATCH(L932,Config!$A$11:$A$14,1)),"Sem dados")),"Verificar"))))</f>
        <v/>
      </c>
      <c r="N932" s="39">
        <f>IF(A932="","",IF(COUNTIFS('Movimentações'!$C$6:$C$1505,A932,'Movimentações'!$B$6:$B$1505,"Venda")&gt;0,"Vendido",IF(COUNTIFS('Movimentações'!$C$6:$C$1505,A932,'Movimentações'!$B$6:$B$1505,"Morte")&gt;0,"Morto","Ativo")))</f>
        <v/>
      </c>
      <c r="O932" s="40">
        <f>IF(A932="","",IF(COUNTIF('Pesagens'!$B$6:$B$2005,A932)=0,"",SUMPRODUCT(MAX(('Pesagens'!$B$6:$B$2005=A932)*'Pesagens'!$A$6:$A$2005))))</f>
        <v/>
      </c>
      <c r="P932" s="41">
        <f>IF(A932="","",IF(O932="",IF(J932="","",J932),IFERROR(AVERAGEIFS('Pesagens'!$C$6:$C$2005,'Pesagens'!$B$6:$B$2005,A932,'Pesagens'!$A$6:$A$2005,O932),"")))</f>
        <v/>
      </c>
      <c r="Q932" s="42">
        <f>IF(OR(A932="",O932="",I932="",J932=""),"",IFERROR((P932-J932)/(O932-I932),""))</f>
        <v/>
      </c>
    </row>
    <row r="933">
      <c r="A933" s="36" t="n"/>
      <c r="B933" s="32" t="n"/>
      <c r="C933" s="37" t="n"/>
      <c r="D933" s="31" t="n"/>
      <c r="E933" s="32" t="n"/>
      <c r="F933" s="32" t="n"/>
      <c r="G933" s="32" t="n"/>
      <c r="H933" s="36" t="n"/>
      <c r="I933" s="31" t="n"/>
      <c r="J933" s="38" t="n"/>
      <c r="K933" s="32" t="n"/>
      <c r="L933" s="34">
        <f>IF(OR(A933="",D933=""),"",IF(D933&gt;Config!$B$5,0,DATEDIF(D933,Config!$B$5,"m")))</f>
        <v/>
      </c>
      <c r="M933" s="39">
        <f>IF(A933="","",IF(K933&lt;&gt;"",K933,IF(OR(C933="",D933=""),"Sem dados",IFERROR(IF(C933="M",INDEX(Config!$B$11:$B$14,MATCH(L933,Config!$A$11:$A$14,1)),IF(C933="F",INDEX(Config!$C$11:$C$14,MATCH(L933,Config!$A$11:$A$14,1)),"Sem dados")),"Verificar"))))</f>
        <v/>
      </c>
      <c r="N933" s="39">
        <f>IF(A933="","",IF(COUNTIFS('Movimentações'!$C$6:$C$1505,A933,'Movimentações'!$B$6:$B$1505,"Venda")&gt;0,"Vendido",IF(COUNTIFS('Movimentações'!$C$6:$C$1505,A933,'Movimentações'!$B$6:$B$1505,"Morte")&gt;0,"Morto","Ativo")))</f>
        <v/>
      </c>
      <c r="O933" s="40">
        <f>IF(A933="","",IF(COUNTIF('Pesagens'!$B$6:$B$2005,A933)=0,"",SUMPRODUCT(MAX(('Pesagens'!$B$6:$B$2005=A933)*'Pesagens'!$A$6:$A$2005))))</f>
        <v/>
      </c>
      <c r="P933" s="41">
        <f>IF(A933="","",IF(O933="",IF(J933="","",J933),IFERROR(AVERAGEIFS('Pesagens'!$C$6:$C$2005,'Pesagens'!$B$6:$B$2005,A933,'Pesagens'!$A$6:$A$2005,O933),"")))</f>
        <v/>
      </c>
      <c r="Q933" s="42">
        <f>IF(OR(A933="",O933="",I933="",J933=""),"",IFERROR((P933-J933)/(O933-I933),""))</f>
        <v/>
      </c>
    </row>
    <row r="934">
      <c r="A934" s="36" t="n"/>
      <c r="B934" s="32" t="n"/>
      <c r="C934" s="37" t="n"/>
      <c r="D934" s="31" t="n"/>
      <c r="E934" s="32" t="n"/>
      <c r="F934" s="32" t="n"/>
      <c r="G934" s="32" t="n"/>
      <c r="H934" s="36" t="n"/>
      <c r="I934" s="31" t="n"/>
      <c r="J934" s="38" t="n"/>
      <c r="K934" s="32" t="n"/>
      <c r="L934" s="34">
        <f>IF(OR(A934="",D934=""),"",IF(D934&gt;Config!$B$5,0,DATEDIF(D934,Config!$B$5,"m")))</f>
        <v/>
      </c>
      <c r="M934" s="39">
        <f>IF(A934="","",IF(K934&lt;&gt;"",K934,IF(OR(C934="",D934=""),"Sem dados",IFERROR(IF(C934="M",INDEX(Config!$B$11:$B$14,MATCH(L934,Config!$A$11:$A$14,1)),IF(C934="F",INDEX(Config!$C$11:$C$14,MATCH(L934,Config!$A$11:$A$14,1)),"Sem dados")),"Verificar"))))</f>
        <v/>
      </c>
      <c r="N934" s="39">
        <f>IF(A934="","",IF(COUNTIFS('Movimentações'!$C$6:$C$1505,A934,'Movimentações'!$B$6:$B$1505,"Venda")&gt;0,"Vendido",IF(COUNTIFS('Movimentações'!$C$6:$C$1505,A934,'Movimentações'!$B$6:$B$1505,"Morte")&gt;0,"Morto","Ativo")))</f>
        <v/>
      </c>
      <c r="O934" s="40">
        <f>IF(A934="","",IF(COUNTIF('Pesagens'!$B$6:$B$2005,A934)=0,"",SUMPRODUCT(MAX(('Pesagens'!$B$6:$B$2005=A934)*'Pesagens'!$A$6:$A$2005))))</f>
        <v/>
      </c>
      <c r="P934" s="41">
        <f>IF(A934="","",IF(O934="",IF(J934="","",J934),IFERROR(AVERAGEIFS('Pesagens'!$C$6:$C$2005,'Pesagens'!$B$6:$B$2005,A934,'Pesagens'!$A$6:$A$2005,O934),"")))</f>
        <v/>
      </c>
      <c r="Q934" s="42">
        <f>IF(OR(A934="",O934="",I934="",J934=""),"",IFERROR((P934-J934)/(O934-I934),""))</f>
        <v/>
      </c>
    </row>
    <row r="935">
      <c r="A935" s="36" t="n"/>
      <c r="B935" s="32" t="n"/>
      <c r="C935" s="37" t="n"/>
      <c r="D935" s="31" t="n"/>
      <c r="E935" s="32" t="n"/>
      <c r="F935" s="32" t="n"/>
      <c r="G935" s="32" t="n"/>
      <c r="H935" s="36" t="n"/>
      <c r="I935" s="31" t="n"/>
      <c r="J935" s="38" t="n"/>
      <c r="K935" s="32" t="n"/>
      <c r="L935" s="34">
        <f>IF(OR(A935="",D935=""),"",IF(D935&gt;Config!$B$5,0,DATEDIF(D935,Config!$B$5,"m")))</f>
        <v/>
      </c>
      <c r="M935" s="39">
        <f>IF(A935="","",IF(K935&lt;&gt;"",K935,IF(OR(C935="",D935=""),"Sem dados",IFERROR(IF(C935="M",INDEX(Config!$B$11:$B$14,MATCH(L935,Config!$A$11:$A$14,1)),IF(C935="F",INDEX(Config!$C$11:$C$14,MATCH(L935,Config!$A$11:$A$14,1)),"Sem dados")),"Verificar"))))</f>
        <v/>
      </c>
      <c r="N935" s="39">
        <f>IF(A935="","",IF(COUNTIFS('Movimentações'!$C$6:$C$1505,A935,'Movimentações'!$B$6:$B$1505,"Venda")&gt;0,"Vendido",IF(COUNTIFS('Movimentações'!$C$6:$C$1505,A935,'Movimentações'!$B$6:$B$1505,"Morte")&gt;0,"Morto","Ativo")))</f>
        <v/>
      </c>
      <c r="O935" s="40">
        <f>IF(A935="","",IF(COUNTIF('Pesagens'!$B$6:$B$2005,A935)=0,"",SUMPRODUCT(MAX(('Pesagens'!$B$6:$B$2005=A935)*'Pesagens'!$A$6:$A$2005))))</f>
        <v/>
      </c>
      <c r="P935" s="41">
        <f>IF(A935="","",IF(O935="",IF(J935="","",J935),IFERROR(AVERAGEIFS('Pesagens'!$C$6:$C$2005,'Pesagens'!$B$6:$B$2005,A935,'Pesagens'!$A$6:$A$2005,O935),"")))</f>
        <v/>
      </c>
      <c r="Q935" s="42">
        <f>IF(OR(A935="",O935="",I935="",J935=""),"",IFERROR((P935-J935)/(O935-I935),""))</f>
        <v/>
      </c>
    </row>
    <row r="936">
      <c r="A936" s="36" t="n"/>
      <c r="B936" s="32" t="n"/>
      <c r="C936" s="37" t="n"/>
      <c r="D936" s="31" t="n"/>
      <c r="E936" s="32" t="n"/>
      <c r="F936" s="32" t="n"/>
      <c r="G936" s="32" t="n"/>
      <c r="H936" s="36" t="n"/>
      <c r="I936" s="31" t="n"/>
      <c r="J936" s="38" t="n"/>
      <c r="K936" s="32" t="n"/>
      <c r="L936" s="34">
        <f>IF(OR(A936="",D936=""),"",IF(D936&gt;Config!$B$5,0,DATEDIF(D936,Config!$B$5,"m")))</f>
        <v/>
      </c>
      <c r="M936" s="39">
        <f>IF(A936="","",IF(K936&lt;&gt;"",K936,IF(OR(C936="",D936=""),"Sem dados",IFERROR(IF(C936="M",INDEX(Config!$B$11:$B$14,MATCH(L936,Config!$A$11:$A$14,1)),IF(C936="F",INDEX(Config!$C$11:$C$14,MATCH(L936,Config!$A$11:$A$14,1)),"Sem dados")),"Verificar"))))</f>
        <v/>
      </c>
      <c r="N936" s="39">
        <f>IF(A936="","",IF(COUNTIFS('Movimentações'!$C$6:$C$1505,A936,'Movimentações'!$B$6:$B$1505,"Venda")&gt;0,"Vendido",IF(COUNTIFS('Movimentações'!$C$6:$C$1505,A936,'Movimentações'!$B$6:$B$1505,"Morte")&gt;0,"Morto","Ativo")))</f>
        <v/>
      </c>
      <c r="O936" s="40">
        <f>IF(A936="","",IF(COUNTIF('Pesagens'!$B$6:$B$2005,A936)=0,"",SUMPRODUCT(MAX(('Pesagens'!$B$6:$B$2005=A936)*'Pesagens'!$A$6:$A$2005))))</f>
        <v/>
      </c>
      <c r="P936" s="41">
        <f>IF(A936="","",IF(O936="",IF(J936="","",J936),IFERROR(AVERAGEIFS('Pesagens'!$C$6:$C$2005,'Pesagens'!$B$6:$B$2005,A936,'Pesagens'!$A$6:$A$2005,O936),"")))</f>
        <v/>
      </c>
      <c r="Q936" s="42">
        <f>IF(OR(A936="",O936="",I936="",J936=""),"",IFERROR((P936-J936)/(O936-I936),""))</f>
        <v/>
      </c>
    </row>
    <row r="937">
      <c r="A937" s="36" t="n"/>
      <c r="B937" s="32" t="n"/>
      <c r="C937" s="37" t="n"/>
      <c r="D937" s="31" t="n"/>
      <c r="E937" s="32" t="n"/>
      <c r="F937" s="32" t="n"/>
      <c r="G937" s="32" t="n"/>
      <c r="H937" s="36" t="n"/>
      <c r="I937" s="31" t="n"/>
      <c r="J937" s="38" t="n"/>
      <c r="K937" s="32" t="n"/>
      <c r="L937" s="34">
        <f>IF(OR(A937="",D937=""),"",IF(D937&gt;Config!$B$5,0,DATEDIF(D937,Config!$B$5,"m")))</f>
        <v/>
      </c>
      <c r="M937" s="39">
        <f>IF(A937="","",IF(K937&lt;&gt;"",K937,IF(OR(C937="",D937=""),"Sem dados",IFERROR(IF(C937="M",INDEX(Config!$B$11:$B$14,MATCH(L937,Config!$A$11:$A$14,1)),IF(C937="F",INDEX(Config!$C$11:$C$14,MATCH(L937,Config!$A$11:$A$14,1)),"Sem dados")),"Verificar"))))</f>
        <v/>
      </c>
      <c r="N937" s="39">
        <f>IF(A937="","",IF(COUNTIFS('Movimentações'!$C$6:$C$1505,A937,'Movimentações'!$B$6:$B$1505,"Venda")&gt;0,"Vendido",IF(COUNTIFS('Movimentações'!$C$6:$C$1505,A937,'Movimentações'!$B$6:$B$1505,"Morte")&gt;0,"Morto","Ativo")))</f>
        <v/>
      </c>
      <c r="O937" s="40">
        <f>IF(A937="","",IF(COUNTIF('Pesagens'!$B$6:$B$2005,A937)=0,"",SUMPRODUCT(MAX(('Pesagens'!$B$6:$B$2005=A937)*'Pesagens'!$A$6:$A$2005))))</f>
        <v/>
      </c>
      <c r="P937" s="41">
        <f>IF(A937="","",IF(O937="",IF(J937="","",J937),IFERROR(AVERAGEIFS('Pesagens'!$C$6:$C$2005,'Pesagens'!$B$6:$B$2005,A937,'Pesagens'!$A$6:$A$2005,O937),"")))</f>
        <v/>
      </c>
      <c r="Q937" s="42">
        <f>IF(OR(A937="",O937="",I937="",J937=""),"",IFERROR((P937-J937)/(O937-I937),""))</f>
        <v/>
      </c>
    </row>
    <row r="938">
      <c r="A938" s="36" t="n"/>
      <c r="B938" s="32" t="n"/>
      <c r="C938" s="37" t="n"/>
      <c r="D938" s="31" t="n"/>
      <c r="E938" s="32" t="n"/>
      <c r="F938" s="32" t="n"/>
      <c r="G938" s="32" t="n"/>
      <c r="H938" s="36" t="n"/>
      <c r="I938" s="31" t="n"/>
      <c r="J938" s="38" t="n"/>
      <c r="K938" s="32" t="n"/>
      <c r="L938" s="34">
        <f>IF(OR(A938="",D938=""),"",IF(D938&gt;Config!$B$5,0,DATEDIF(D938,Config!$B$5,"m")))</f>
        <v/>
      </c>
      <c r="M938" s="39">
        <f>IF(A938="","",IF(K938&lt;&gt;"",K938,IF(OR(C938="",D938=""),"Sem dados",IFERROR(IF(C938="M",INDEX(Config!$B$11:$B$14,MATCH(L938,Config!$A$11:$A$14,1)),IF(C938="F",INDEX(Config!$C$11:$C$14,MATCH(L938,Config!$A$11:$A$14,1)),"Sem dados")),"Verificar"))))</f>
        <v/>
      </c>
      <c r="N938" s="39">
        <f>IF(A938="","",IF(COUNTIFS('Movimentações'!$C$6:$C$1505,A938,'Movimentações'!$B$6:$B$1505,"Venda")&gt;0,"Vendido",IF(COUNTIFS('Movimentações'!$C$6:$C$1505,A938,'Movimentações'!$B$6:$B$1505,"Morte")&gt;0,"Morto","Ativo")))</f>
        <v/>
      </c>
      <c r="O938" s="40">
        <f>IF(A938="","",IF(COUNTIF('Pesagens'!$B$6:$B$2005,A938)=0,"",SUMPRODUCT(MAX(('Pesagens'!$B$6:$B$2005=A938)*'Pesagens'!$A$6:$A$2005))))</f>
        <v/>
      </c>
      <c r="P938" s="41">
        <f>IF(A938="","",IF(O938="",IF(J938="","",J938),IFERROR(AVERAGEIFS('Pesagens'!$C$6:$C$2005,'Pesagens'!$B$6:$B$2005,A938,'Pesagens'!$A$6:$A$2005,O938),"")))</f>
        <v/>
      </c>
      <c r="Q938" s="42">
        <f>IF(OR(A938="",O938="",I938="",J938=""),"",IFERROR((P938-J938)/(O938-I938),""))</f>
        <v/>
      </c>
    </row>
    <row r="939">
      <c r="A939" s="36" t="n"/>
      <c r="B939" s="32" t="n"/>
      <c r="C939" s="37" t="n"/>
      <c r="D939" s="31" t="n"/>
      <c r="E939" s="32" t="n"/>
      <c r="F939" s="32" t="n"/>
      <c r="G939" s="32" t="n"/>
      <c r="H939" s="36" t="n"/>
      <c r="I939" s="31" t="n"/>
      <c r="J939" s="38" t="n"/>
      <c r="K939" s="32" t="n"/>
      <c r="L939" s="34">
        <f>IF(OR(A939="",D939=""),"",IF(D939&gt;Config!$B$5,0,DATEDIF(D939,Config!$B$5,"m")))</f>
        <v/>
      </c>
      <c r="M939" s="39">
        <f>IF(A939="","",IF(K939&lt;&gt;"",K939,IF(OR(C939="",D939=""),"Sem dados",IFERROR(IF(C939="M",INDEX(Config!$B$11:$B$14,MATCH(L939,Config!$A$11:$A$14,1)),IF(C939="F",INDEX(Config!$C$11:$C$14,MATCH(L939,Config!$A$11:$A$14,1)),"Sem dados")),"Verificar"))))</f>
        <v/>
      </c>
      <c r="N939" s="39">
        <f>IF(A939="","",IF(COUNTIFS('Movimentações'!$C$6:$C$1505,A939,'Movimentações'!$B$6:$B$1505,"Venda")&gt;0,"Vendido",IF(COUNTIFS('Movimentações'!$C$6:$C$1505,A939,'Movimentações'!$B$6:$B$1505,"Morte")&gt;0,"Morto","Ativo")))</f>
        <v/>
      </c>
      <c r="O939" s="40">
        <f>IF(A939="","",IF(COUNTIF('Pesagens'!$B$6:$B$2005,A939)=0,"",SUMPRODUCT(MAX(('Pesagens'!$B$6:$B$2005=A939)*'Pesagens'!$A$6:$A$2005))))</f>
        <v/>
      </c>
      <c r="P939" s="41">
        <f>IF(A939="","",IF(O939="",IF(J939="","",J939),IFERROR(AVERAGEIFS('Pesagens'!$C$6:$C$2005,'Pesagens'!$B$6:$B$2005,A939,'Pesagens'!$A$6:$A$2005,O939),"")))</f>
        <v/>
      </c>
      <c r="Q939" s="42">
        <f>IF(OR(A939="",O939="",I939="",J939=""),"",IFERROR((P939-J939)/(O939-I939),""))</f>
        <v/>
      </c>
    </row>
    <row r="940">
      <c r="A940" s="36" t="n"/>
      <c r="B940" s="32" t="n"/>
      <c r="C940" s="37" t="n"/>
      <c r="D940" s="31" t="n"/>
      <c r="E940" s="32" t="n"/>
      <c r="F940" s="32" t="n"/>
      <c r="G940" s="32" t="n"/>
      <c r="H940" s="36" t="n"/>
      <c r="I940" s="31" t="n"/>
      <c r="J940" s="38" t="n"/>
      <c r="K940" s="32" t="n"/>
      <c r="L940" s="34">
        <f>IF(OR(A940="",D940=""),"",IF(D940&gt;Config!$B$5,0,DATEDIF(D940,Config!$B$5,"m")))</f>
        <v/>
      </c>
      <c r="M940" s="39">
        <f>IF(A940="","",IF(K940&lt;&gt;"",K940,IF(OR(C940="",D940=""),"Sem dados",IFERROR(IF(C940="M",INDEX(Config!$B$11:$B$14,MATCH(L940,Config!$A$11:$A$14,1)),IF(C940="F",INDEX(Config!$C$11:$C$14,MATCH(L940,Config!$A$11:$A$14,1)),"Sem dados")),"Verificar"))))</f>
        <v/>
      </c>
      <c r="N940" s="39">
        <f>IF(A940="","",IF(COUNTIFS('Movimentações'!$C$6:$C$1505,A940,'Movimentações'!$B$6:$B$1505,"Venda")&gt;0,"Vendido",IF(COUNTIFS('Movimentações'!$C$6:$C$1505,A940,'Movimentações'!$B$6:$B$1505,"Morte")&gt;0,"Morto","Ativo")))</f>
        <v/>
      </c>
      <c r="O940" s="40">
        <f>IF(A940="","",IF(COUNTIF('Pesagens'!$B$6:$B$2005,A940)=0,"",SUMPRODUCT(MAX(('Pesagens'!$B$6:$B$2005=A940)*'Pesagens'!$A$6:$A$2005))))</f>
        <v/>
      </c>
      <c r="P940" s="41">
        <f>IF(A940="","",IF(O940="",IF(J940="","",J940),IFERROR(AVERAGEIFS('Pesagens'!$C$6:$C$2005,'Pesagens'!$B$6:$B$2005,A940,'Pesagens'!$A$6:$A$2005,O940),"")))</f>
        <v/>
      </c>
      <c r="Q940" s="42">
        <f>IF(OR(A940="",O940="",I940="",J940=""),"",IFERROR((P940-J940)/(O940-I940),""))</f>
        <v/>
      </c>
    </row>
    <row r="941">
      <c r="A941" s="36" t="n"/>
      <c r="B941" s="32" t="n"/>
      <c r="C941" s="37" t="n"/>
      <c r="D941" s="31" t="n"/>
      <c r="E941" s="32" t="n"/>
      <c r="F941" s="32" t="n"/>
      <c r="G941" s="32" t="n"/>
      <c r="H941" s="36" t="n"/>
      <c r="I941" s="31" t="n"/>
      <c r="J941" s="38" t="n"/>
      <c r="K941" s="32" t="n"/>
      <c r="L941" s="34">
        <f>IF(OR(A941="",D941=""),"",IF(D941&gt;Config!$B$5,0,DATEDIF(D941,Config!$B$5,"m")))</f>
        <v/>
      </c>
      <c r="M941" s="39">
        <f>IF(A941="","",IF(K941&lt;&gt;"",K941,IF(OR(C941="",D941=""),"Sem dados",IFERROR(IF(C941="M",INDEX(Config!$B$11:$B$14,MATCH(L941,Config!$A$11:$A$14,1)),IF(C941="F",INDEX(Config!$C$11:$C$14,MATCH(L941,Config!$A$11:$A$14,1)),"Sem dados")),"Verificar"))))</f>
        <v/>
      </c>
      <c r="N941" s="39">
        <f>IF(A941="","",IF(COUNTIFS('Movimentações'!$C$6:$C$1505,A941,'Movimentações'!$B$6:$B$1505,"Venda")&gt;0,"Vendido",IF(COUNTIFS('Movimentações'!$C$6:$C$1505,A941,'Movimentações'!$B$6:$B$1505,"Morte")&gt;0,"Morto","Ativo")))</f>
        <v/>
      </c>
      <c r="O941" s="40">
        <f>IF(A941="","",IF(COUNTIF('Pesagens'!$B$6:$B$2005,A941)=0,"",SUMPRODUCT(MAX(('Pesagens'!$B$6:$B$2005=A941)*'Pesagens'!$A$6:$A$2005))))</f>
        <v/>
      </c>
      <c r="P941" s="41">
        <f>IF(A941="","",IF(O941="",IF(J941="","",J941),IFERROR(AVERAGEIFS('Pesagens'!$C$6:$C$2005,'Pesagens'!$B$6:$B$2005,A941,'Pesagens'!$A$6:$A$2005,O941),"")))</f>
        <v/>
      </c>
      <c r="Q941" s="42">
        <f>IF(OR(A941="",O941="",I941="",J941=""),"",IFERROR((P941-J941)/(O941-I941),""))</f>
        <v/>
      </c>
    </row>
    <row r="942">
      <c r="A942" s="36" t="n"/>
      <c r="B942" s="32" t="n"/>
      <c r="C942" s="37" t="n"/>
      <c r="D942" s="31" t="n"/>
      <c r="E942" s="32" t="n"/>
      <c r="F942" s="32" t="n"/>
      <c r="G942" s="32" t="n"/>
      <c r="H942" s="36" t="n"/>
      <c r="I942" s="31" t="n"/>
      <c r="J942" s="38" t="n"/>
      <c r="K942" s="32" t="n"/>
      <c r="L942" s="34">
        <f>IF(OR(A942="",D942=""),"",IF(D942&gt;Config!$B$5,0,DATEDIF(D942,Config!$B$5,"m")))</f>
        <v/>
      </c>
      <c r="M942" s="39">
        <f>IF(A942="","",IF(K942&lt;&gt;"",K942,IF(OR(C942="",D942=""),"Sem dados",IFERROR(IF(C942="M",INDEX(Config!$B$11:$B$14,MATCH(L942,Config!$A$11:$A$14,1)),IF(C942="F",INDEX(Config!$C$11:$C$14,MATCH(L942,Config!$A$11:$A$14,1)),"Sem dados")),"Verificar"))))</f>
        <v/>
      </c>
      <c r="N942" s="39">
        <f>IF(A942="","",IF(COUNTIFS('Movimentações'!$C$6:$C$1505,A942,'Movimentações'!$B$6:$B$1505,"Venda")&gt;0,"Vendido",IF(COUNTIFS('Movimentações'!$C$6:$C$1505,A942,'Movimentações'!$B$6:$B$1505,"Morte")&gt;0,"Morto","Ativo")))</f>
        <v/>
      </c>
      <c r="O942" s="40">
        <f>IF(A942="","",IF(COUNTIF('Pesagens'!$B$6:$B$2005,A942)=0,"",SUMPRODUCT(MAX(('Pesagens'!$B$6:$B$2005=A942)*'Pesagens'!$A$6:$A$2005))))</f>
        <v/>
      </c>
      <c r="P942" s="41">
        <f>IF(A942="","",IF(O942="",IF(J942="","",J942),IFERROR(AVERAGEIFS('Pesagens'!$C$6:$C$2005,'Pesagens'!$B$6:$B$2005,A942,'Pesagens'!$A$6:$A$2005,O942),"")))</f>
        <v/>
      </c>
      <c r="Q942" s="42">
        <f>IF(OR(A942="",O942="",I942="",J942=""),"",IFERROR((P942-J942)/(O942-I942),""))</f>
        <v/>
      </c>
    </row>
    <row r="943">
      <c r="A943" s="36" t="n"/>
      <c r="B943" s="32" t="n"/>
      <c r="C943" s="37" t="n"/>
      <c r="D943" s="31" t="n"/>
      <c r="E943" s="32" t="n"/>
      <c r="F943" s="32" t="n"/>
      <c r="G943" s="32" t="n"/>
      <c r="H943" s="36" t="n"/>
      <c r="I943" s="31" t="n"/>
      <c r="J943" s="38" t="n"/>
      <c r="K943" s="32" t="n"/>
      <c r="L943" s="34">
        <f>IF(OR(A943="",D943=""),"",IF(D943&gt;Config!$B$5,0,DATEDIF(D943,Config!$B$5,"m")))</f>
        <v/>
      </c>
      <c r="M943" s="39">
        <f>IF(A943="","",IF(K943&lt;&gt;"",K943,IF(OR(C943="",D943=""),"Sem dados",IFERROR(IF(C943="M",INDEX(Config!$B$11:$B$14,MATCH(L943,Config!$A$11:$A$14,1)),IF(C943="F",INDEX(Config!$C$11:$C$14,MATCH(L943,Config!$A$11:$A$14,1)),"Sem dados")),"Verificar"))))</f>
        <v/>
      </c>
      <c r="N943" s="39">
        <f>IF(A943="","",IF(COUNTIFS('Movimentações'!$C$6:$C$1505,A943,'Movimentações'!$B$6:$B$1505,"Venda")&gt;0,"Vendido",IF(COUNTIFS('Movimentações'!$C$6:$C$1505,A943,'Movimentações'!$B$6:$B$1505,"Morte")&gt;0,"Morto","Ativo")))</f>
        <v/>
      </c>
      <c r="O943" s="40">
        <f>IF(A943="","",IF(COUNTIF('Pesagens'!$B$6:$B$2005,A943)=0,"",SUMPRODUCT(MAX(('Pesagens'!$B$6:$B$2005=A943)*'Pesagens'!$A$6:$A$2005))))</f>
        <v/>
      </c>
      <c r="P943" s="41">
        <f>IF(A943="","",IF(O943="",IF(J943="","",J943),IFERROR(AVERAGEIFS('Pesagens'!$C$6:$C$2005,'Pesagens'!$B$6:$B$2005,A943,'Pesagens'!$A$6:$A$2005,O943),"")))</f>
        <v/>
      </c>
      <c r="Q943" s="42">
        <f>IF(OR(A943="",O943="",I943="",J943=""),"",IFERROR((P943-J943)/(O943-I943),""))</f>
        <v/>
      </c>
    </row>
    <row r="944">
      <c r="A944" s="36" t="n"/>
      <c r="B944" s="32" t="n"/>
      <c r="C944" s="37" t="n"/>
      <c r="D944" s="31" t="n"/>
      <c r="E944" s="32" t="n"/>
      <c r="F944" s="32" t="n"/>
      <c r="G944" s="32" t="n"/>
      <c r="H944" s="36" t="n"/>
      <c r="I944" s="31" t="n"/>
      <c r="J944" s="38" t="n"/>
      <c r="K944" s="32" t="n"/>
      <c r="L944" s="34">
        <f>IF(OR(A944="",D944=""),"",IF(D944&gt;Config!$B$5,0,DATEDIF(D944,Config!$B$5,"m")))</f>
        <v/>
      </c>
      <c r="M944" s="39">
        <f>IF(A944="","",IF(K944&lt;&gt;"",K944,IF(OR(C944="",D944=""),"Sem dados",IFERROR(IF(C944="M",INDEX(Config!$B$11:$B$14,MATCH(L944,Config!$A$11:$A$14,1)),IF(C944="F",INDEX(Config!$C$11:$C$14,MATCH(L944,Config!$A$11:$A$14,1)),"Sem dados")),"Verificar"))))</f>
        <v/>
      </c>
      <c r="N944" s="39">
        <f>IF(A944="","",IF(COUNTIFS('Movimentações'!$C$6:$C$1505,A944,'Movimentações'!$B$6:$B$1505,"Venda")&gt;0,"Vendido",IF(COUNTIFS('Movimentações'!$C$6:$C$1505,A944,'Movimentações'!$B$6:$B$1505,"Morte")&gt;0,"Morto","Ativo")))</f>
        <v/>
      </c>
      <c r="O944" s="40">
        <f>IF(A944="","",IF(COUNTIF('Pesagens'!$B$6:$B$2005,A944)=0,"",SUMPRODUCT(MAX(('Pesagens'!$B$6:$B$2005=A944)*'Pesagens'!$A$6:$A$2005))))</f>
        <v/>
      </c>
      <c r="P944" s="41">
        <f>IF(A944="","",IF(O944="",IF(J944="","",J944),IFERROR(AVERAGEIFS('Pesagens'!$C$6:$C$2005,'Pesagens'!$B$6:$B$2005,A944,'Pesagens'!$A$6:$A$2005,O944),"")))</f>
        <v/>
      </c>
      <c r="Q944" s="42">
        <f>IF(OR(A944="",O944="",I944="",J944=""),"",IFERROR((P944-J944)/(O944-I944),""))</f>
        <v/>
      </c>
    </row>
    <row r="945">
      <c r="A945" s="36" t="n"/>
      <c r="B945" s="32" t="n"/>
      <c r="C945" s="37" t="n"/>
      <c r="D945" s="31" t="n"/>
      <c r="E945" s="32" t="n"/>
      <c r="F945" s="32" t="n"/>
      <c r="G945" s="32" t="n"/>
      <c r="H945" s="36" t="n"/>
      <c r="I945" s="31" t="n"/>
      <c r="J945" s="38" t="n"/>
      <c r="K945" s="32" t="n"/>
      <c r="L945" s="34">
        <f>IF(OR(A945="",D945=""),"",IF(D945&gt;Config!$B$5,0,DATEDIF(D945,Config!$B$5,"m")))</f>
        <v/>
      </c>
      <c r="M945" s="39">
        <f>IF(A945="","",IF(K945&lt;&gt;"",K945,IF(OR(C945="",D945=""),"Sem dados",IFERROR(IF(C945="M",INDEX(Config!$B$11:$B$14,MATCH(L945,Config!$A$11:$A$14,1)),IF(C945="F",INDEX(Config!$C$11:$C$14,MATCH(L945,Config!$A$11:$A$14,1)),"Sem dados")),"Verificar"))))</f>
        <v/>
      </c>
      <c r="N945" s="39">
        <f>IF(A945="","",IF(COUNTIFS('Movimentações'!$C$6:$C$1505,A945,'Movimentações'!$B$6:$B$1505,"Venda")&gt;0,"Vendido",IF(COUNTIFS('Movimentações'!$C$6:$C$1505,A945,'Movimentações'!$B$6:$B$1505,"Morte")&gt;0,"Morto","Ativo")))</f>
        <v/>
      </c>
      <c r="O945" s="40">
        <f>IF(A945="","",IF(COUNTIF('Pesagens'!$B$6:$B$2005,A945)=0,"",SUMPRODUCT(MAX(('Pesagens'!$B$6:$B$2005=A945)*'Pesagens'!$A$6:$A$2005))))</f>
        <v/>
      </c>
      <c r="P945" s="41">
        <f>IF(A945="","",IF(O945="",IF(J945="","",J945),IFERROR(AVERAGEIFS('Pesagens'!$C$6:$C$2005,'Pesagens'!$B$6:$B$2005,A945,'Pesagens'!$A$6:$A$2005,O945),"")))</f>
        <v/>
      </c>
      <c r="Q945" s="42">
        <f>IF(OR(A945="",O945="",I945="",J945=""),"",IFERROR((P945-J945)/(O945-I945),""))</f>
        <v/>
      </c>
    </row>
    <row r="946">
      <c r="A946" s="36" t="n"/>
      <c r="B946" s="32" t="n"/>
      <c r="C946" s="37" t="n"/>
      <c r="D946" s="31" t="n"/>
      <c r="E946" s="32" t="n"/>
      <c r="F946" s="32" t="n"/>
      <c r="G946" s="32" t="n"/>
      <c r="H946" s="36" t="n"/>
      <c r="I946" s="31" t="n"/>
      <c r="J946" s="38" t="n"/>
      <c r="K946" s="32" t="n"/>
      <c r="L946" s="34">
        <f>IF(OR(A946="",D946=""),"",IF(D946&gt;Config!$B$5,0,DATEDIF(D946,Config!$B$5,"m")))</f>
        <v/>
      </c>
      <c r="M946" s="39">
        <f>IF(A946="","",IF(K946&lt;&gt;"",K946,IF(OR(C946="",D946=""),"Sem dados",IFERROR(IF(C946="M",INDEX(Config!$B$11:$B$14,MATCH(L946,Config!$A$11:$A$14,1)),IF(C946="F",INDEX(Config!$C$11:$C$14,MATCH(L946,Config!$A$11:$A$14,1)),"Sem dados")),"Verificar"))))</f>
        <v/>
      </c>
      <c r="N946" s="39">
        <f>IF(A946="","",IF(COUNTIFS('Movimentações'!$C$6:$C$1505,A946,'Movimentações'!$B$6:$B$1505,"Venda")&gt;0,"Vendido",IF(COUNTIFS('Movimentações'!$C$6:$C$1505,A946,'Movimentações'!$B$6:$B$1505,"Morte")&gt;0,"Morto","Ativo")))</f>
        <v/>
      </c>
      <c r="O946" s="40">
        <f>IF(A946="","",IF(COUNTIF('Pesagens'!$B$6:$B$2005,A946)=0,"",SUMPRODUCT(MAX(('Pesagens'!$B$6:$B$2005=A946)*'Pesagens'!$A$6:$A$2005))))</f>
        <v/>
      </c>
      <c r="P946" s="41">
        <f>IF(A946="","",IF(O946="",IF(J946="","",J946),IFERROR(AVERAGEIFS('Pesagens'!$C$6:$C$2005,'Pesagens'!$B$6:$B$2005,A946,'Pesagens'!$A$6:$A$2005,O946),"")))</f>
        <v/>
      </c>
      <c r="Q946" s="42">
        <f>IF(OR(A946="",O946="",I946="",J946=""),"",IFERROR((P946-J946)/(O946-I946),""))</f>
        <v/>
      </c>
    </row>
    <row r="947">
      <c r="A947" s="36" t="n"/>
      <c r="B947" s="32" t="n"/>
      <c r="C947" s="37" t="n"/>
      <c r="D947" s="31" t="n"/>
      <c r="E947" s="32" t="n"/>
      <c r="F947" s="32" t="n"/>
      <c r="G947" s="32" t="n"/>
      <c r="H947" s="36" t="n"/>
      <c r="I947" s="31" t="n"/>
      <c r="J947" s="38" t="n"/>
      <c r="K947" s="32" t="n"/>
      <c r="L947" s="34">
        <f>IF(OR(A947="",D947=""),"",IF(D947&gt;Config!$B$5,0,DATEDIF(D947,Config!$B$5,"m")))</f>
        <v/>
      </c>
      <c r="M947" s="39">
        <f>IF(A947="","",IF(K947&lt;&gt;"",K947,IF(OR(C947="",D947=""),"Sem dados",IFERROR(IF(C947="M",INDEX(Config!$B$11:$B$14,MATCH(L947,Config!$A$11:$A$14,1)),IF(C947="F",INDEX(Config!$C$11:$C$14,MATCH(L947,Config!$A$11:$A$14,1)),"Sem dados")),"Verificar"))))</f>
        <v/>
      </c>
      <c r="N947" s="39">
        <f>IF(A947="","",IF(COUNTIFS('Movimentações'!$C$6:$C$1505,A947,'Movimentações'!$B$6:$B$1505,"Venda")&gt;0,"Vendido",IF(COUNTIFS('Movimentações'!$C$6:$C$1505,A947,'Movimentações'!$B$6:$B$1505,"Morte")&gt;0,"Morto","Ativo")))</f>
        <v/>
      </c>
      <c r="O947" s="40">
        <f>IF(A947="","",IF(COUNTIF('Pesagens'!$B$6:$B$2005,A947)=0,"",SUMPRODUCT(MAX(('Pesagens'!$B$6:$B$2005=A947)*'Pesagens'!$A$6:$A$2005))))</f>
        <v/>
      </c>
      <c r="P947" s="41">
        <f>IF(A947="","",IF(O947="",IF(J947="","",J947),IFERROR(AVERAGEIFS('Pesagens'!$C$6:$C$2005,'Pesagens'!$B$6:$B$2005,A947,'Pesagens'!$A$6:$A$2005,O947),"")))</f>
        <v/>
      </c>
      <c r="Q947" s="42">
        <f>IF(OR(A947="",O947="",I947="",J947=""),"",IFERROR((P947-J947)/(O947-I947),""))</f>
        <v/>
      </c>
    </row>
    <row r="948">
      <c r="A948" s="36" t="n"/>
      <c r="B948" s="32" t="n"/>
      <c r="C948" s="37" t="n"/>
      <c r="D948" s="31" t="n"/>
      <c r="E948" s="32" t="n"/>
      <c r="F948" s="32" t="n"/>
      <c r="G948" s="32" t="n"/>
      <c r="H948" s="36" t="n"/>
      <c r="I948" s="31" t="n"/>
      <c r="J948" s="38" t="n"/>
      <c r="K948" s="32" t="n"/>
      <c r="L948" s="34">
        <f>IF(OR(A948="",D948=""),"",IF(D948&gt;Config!$B$5,0,DATEDIF(D948,Config!$B$5,"m")))</f>
        <v/>
      </c>
      <c r="M948" s="39">
        <f>IF(A948="","",IF(K948&lt;&gt;"",K948,IF(OR(C948="",D948=""),"Sem dados",IFERROR(IF(C948="M",INDEX(Config!$B$11:$B$14,MATCH(L948,Config!$A$11:$A$14,1)),IF(C948="F",INDEX(Config!$C$11:$C$14,MATCH(L948,Config!$A$11:$A$14,1)),"Sem dados")),"Verificar"))))</f>
        <v/>
      </c>
      <c r="N948" s="39">
        <f>IF(A948="","",IF(COUNTIFS('Movimentações'!$C$6:$C$1505,A948,'Movimentações'!$B$6:$B$1505,"Venda")&gt;0,"Vendido",IF(COUNTIFS('Movimentações'!$C$6:$C$1505,A948,'Movimentações'!$B$6:$B$1505,"Morte")&gt;0,"Morto","Ativo")))</f>
        <v/>
      </c>
      <c r="O948" s="40">
        <f>IF(A948="","",IF(COUNTIF('Pesagens'!$B$6:$B$2005,A948)=0,"",SUMPRODUCT(MAX(('Pesagens'!$B$6:$B$2005=A948)*'Pesagens'!$A$6:$A$2005))))</f>
        <v/>
      </c>
      <c r="P948" s="41">
        <f>IF(A948="","",IF(O948="",IF(J948="","",J948),IFERROR(AVERAGEIFS('Pesagens'!$C$6:$C$2005,'Pesagens'!$B$6:$B$2005,A948,'Pesagens'!$A$6:$A$2005,O948),"")))</f>
        <v/>
      </c>
      <c r="Q948" s="42">
        <f>IF(OR(A948="",O948="",I948="",J948=""),"",IFERROR((P948-J948)/(O948-I948),""))</f>
        <v/>
      </c>
    </row>
    <row r="949">
      <c r="A949" s="36" t="n"/>
      <c r="B949" s="32" t="n"/>
      <c r="C949" s="37" t="n"/>
      <c r="D949" s="31" t="n"/>
      <c r="E949" s="32" t="n"/>
      <c r="F949" s="32" t="n"/>
      <c r="G949" s="32" t="n"/>
      <c r="H949" s="36" t="n"/>
      <c r="I949" s="31" t="n"/>
      <c r="J949" s="38" t="n"/>
      <c r="K949" s="32" t="n"/>
      <c r="L949" s="34">
        <f>IF(OR(A949="",D949=""),"",IF(D949&gt;Config!$B$5,0,DATEDIF(D949,Config!$B$5,"m")))</f>
        <v/>
      </c>
      <c r="M949" s="39">
        <f>IF(A949="","",IF(K949&lt;&gt;"",K949,IF(OR(C949="",D949=""),"Sem dados",IFERROR(IF(C949="M",INDEX(Config!$B$11:$B$14,MATCH(L949,Config!$A$11:$A$14,1)),IF(C949="F",INDEX(Config!$C$11:$C$14,MATCH(L949,Config!$A$11:$A$14,1)),"Sem dados")),"Verificar"))))</f>
        <v/>
      </c>
      <c r="N949" s="39">
        <f>IF(A949="","",IF(COUNTIFS('Movimentações'!$C$6:$C$1505,A949,'Movimentações'!$B$6:$B$1505,"Venda")&gt;0,"Vendido",IF(COUNTIFS('Movimentações'!$C$6:$C$1505,A949,'Movimentações'!$B$6:$B$1505,"Morte")&gt;0,"Morto","Ativo")))</f>
        <v/>
      </c>
      <c r="O949" s="40">
        <f>IF(A949="","",IF(COUNTIF('Pesagens'!$B$6:$B$2005,A949)=0,"",SUMPRODUCT(MAX(('Pesagens'!$B$6:$B$2005=A949)*'Pesagens'!$A$6:$A$2005))))</f>
        <v/>
      </c>
      <c r="P949" s="41">
        <f>IF(A949="","",IF(O949="",IF(J949="","",J949),IFERROR(AVERAGEIFS('Pesagens'!$C$6:$C$2005,'Pesagens'!$B$6:$B$2005,A949,'Pesagens'!$A$6:$A$2005,O949),"")))</f>
        <v/>
      </c>
      <c r="Q949" s="42">
        <f>IF(OR(A949="",O949="",I949="",J949=""),"",IFERROR((P949-J949)/(O949-I949),""))</f>
        <v/>
      </c>
    </row>
    <row r="950">
      <c r="A950" s="36" t="n"/>
      <c r="B950" s="32" t="n"/>
      <c r="C950" s="37" t="n"/>
      <c r="D950" s="31" t="n"/>
      <c r="E950" s="32" t="n"/>
      <c r="F950" s="32" t="n"/>
      <c r="G950" s="32" t="n"/>
      <c r="H950" s="36" t="n"/>
      <c r="I950" s="31" t="n"/>
      <c r="J950" s="38" t="n"/>
      <c r="K950" s="32" t="n"/>
      <c r="L950" s="34">
        <f>IF(OR(A950="",D950=""),"",IF(D950&gt;Config!$B$5,0,DATEDIF(D950,Config!$B$5,"m")))</f>
        <v/>
      </c>
      <c r="M950" s="39">
        <f>IF(A950="","",IF(K950&lt;&gt;"",K950,IF(OR(C950="",D950=""),"Sem dados",IFERROR(IF(C950="M",INDEX(Config!$B$11:$B$14,MATCH(L950,Config!$A$11:$A$14,1)),IF(C950="F",INDEX(Config!$C$11:$C$14,MATCH(L950,Config!$A$11:$A$14,1)),"Sem dados")),"Verificar"))))</f>
        <v/>
      </c>
      <c r="N950" s="39">
        <f>IF(A950="","",IF(COUNTIFS('Movimentações'!$C$6:$C$1505,A950,'Movimentações'!$B$6:$B$1505,"Venda")&gt;0,"Vendido",IF(COUNTIFS('Movimentações'!$C$6:$C$1505,A950,'Movimentações'!$B$6:$B$1505,"Morte")&gt;0,"Morto","Ativo")))</f>
        <v/>
      </c>
      <c r="O950" s="40">
        <f>IF(A950="","",IF(COUNTIF('Pesagens'!$B$6:$B$2005,A950)=0,"",SUMPRODUCT(MAX(('Pesagens'!$B$6:$B$2005=A950)*'Pesagens'!$A$6:$A$2005))))</f>
        <v/>
      </c>
      <c r="P950" s="41">
        <f>IF(A950="","",IF(O950="",IF(J950="","",J950),IFERROR(AVERAGEIFS('Pesagens'!$C$6:$C$2005,'Pesagens'!$B$6:$B$2005,A950,'Pesagens'!$A$6:$A$2005,O950),"")))</f>
        <v/>
      </c>
      <c r="Q950" s="42">
        <f>IF(OR(A950="",O950="",I950="",J950=""),"",IFERROR((P950-J950)/(O950-I950),""))</f>
        <v/>
      </c>
    </row>
    <row r="951">
      <c r="A951" s="36" t="n"/>
      <c r="B951" s="32" t="n"/>
      <c r="C951" s="37" t="n"/>
      <c r="D951" s="31" t="n"/>
      <c r="E951" s="32" t="n"/>
      <c r="F951" s="32" t="n"/>
      <c r="G951" s="32" t="n"/>
      <c r="H951" s="36" t="n"/>
      <c r="I951" s="31" t="n"/>
      <c r="J951" s="38" t="n"/>
      <c r="K951" s="32" t="n"/>
      <c r="L951" s="34">
        <f>IF(OR(A951="",D951=""),"",IF(D951&gt;Config!$B$5,0,DATEDIF(D951,Config!$B$5,"m")))</f>
        <v/>
      </c>
      <c r="M951" s="39">
        <f>IF(A951="","",IF(K951&lt;&gt;"",K951,IF(OR(C951="",D951=""),"Sem dados",IFERROR(IF(C951="M",INDEX(Config!$B$11:$B$14,MATCH(L951,Config!$A$11:$A$14,1)),IF(C951="F",INDEX(Config!$C$11:$C$14,MATCH(L951,Config!$A$11:$A$14,1)),"Sem dados")),"Verificar"))))</f>
        <v/>
      </c>
      <c r="N951" s="39">
        <f>IF(A951="","",IF(COUNTIFS('Movimentações'!$C$6:$C$1505,A951,'Movimentações'!$B$6:$B$1505,"Venda")&gt;0,"Vendido",IF(COUNTIFS('Movimentações'!$C$6:$C$1505,A951,'Movimentações'!$B$6:$B$1505,"Morte")&gt;0,"Morto","Ativo")))</f>
        <v/>
      </c>
      <c r="O951" s="40">
        <f>IF(A951="","",IF(COUNTIF('Pesagens'!$B$6:$B$2005,A951)=0,"",SUMPRODUCT(MAX(('Pesagens'!$B$6:$B$2005=A951)*'Pesagens'!$A$6:$A$2005))))</f>
        <v/>
      </c>
      <c r="P951" s="41">
        <f>IF(A951="","",IF(O951="",IF(J951="","",J951),IFERROR(AVERAGEIFS('Pesagens'!$C$6:$C$2005,'Pesagens'!$B$6:$B$2005,A951,'Pesagens'!$A$6:$A$2005,O951),"")))</f>
        <v/>
      </c>
      <c r="Q951" s="42">
        <f>IF(OR(A951="",O951="",I951="",J951=""),"",IFERROR((P951-J951)/(O951-I951),""))</f>
        <v/>
      </c>
    </row>
    <row r="952">
      <c r="A952" s="36" t="n"/>
      <c r="B952" s="32" t="n"/>
      <c r="C952" s="37" t="n"/>
      <c r="D952" s="31" t="n"/>
      <c r="E952" s="32" t="n"/>
      <c r="F952" s="32" t="n"/>
      <c r="G952" s="32" t="n"/>
      <c r="H952" s="36" t="n"/>
      <c r="I952" s="31" t="n"/>
      <c r="J952" s="38" t="n"/>
      <c r="K952" s="32" t="n"/>
      <c r="L952" s="34">
        <f>IF(OR(A952="",D952=""),"",IF(D952&gt;Config!$B$5,0,DATEDIF(D952,Config!$B$5,"m")))</f>
        <v/>
      </c>
      <c r="M952" s="39">
        <f>IF(A952="","",IF(K952&lt;&gt;"",K952,IF(OR(C952="",D952=""),"Sem dados",IFERROR(IF(C952="M",INDEX(Config!$B$11:$B$14,MATCH(L952,Config!$A$11:$A$14,1)),IF(C952="F",INDEX(Config!$C$11:$C$14,MATCH(L952,Config!$A$11:$A$14,1)),"Sem dados")),"Verificar"))))</f>
        <v/>
      </c>
      <c r="N952" s="39">
        <f>IF(A952="","",IF(COUNTIFS('Movimentações'!$C$6:$C$1505,A952,'Movimentações'!$B$6:$B$1505,"Venda")&gt;0,"Vendido",IF(COUNTIFS('Movimentações'!$C$6:$C$1505,A952,'Movimentações'!$B$6:$B$1505,"Morte")&gt;0,"Morto","Ativo")))</f>
        <v/>
      </c>
      <c r="O952" s="40">
        <f>IF(A952="","",IF(COUNTIF('Pesagens'!$B$6:$B$2005,A952)=0,"",SUMPRODUCT(MAX(('Pesagens'!$B$6:$B$2005=A952)*'Pesagens'!$A$6:$A$2005))))</f>
        <v/>
      </c>
      <c r="P952" s="41">
        <f>IF(A952="","",IF(O952="",IF(J952="","",J952),IFERROR(AVERAGEIFS('Pesagens'!$C$6:$C$2005,'Pesagens'!$B$6:$B$2005,A952,'Pesagens'!$A$6:$A$2005,O952),"")))</f>
        <v/>
      </c>
      <c r="Q952" s="42">
        <f>IF(OR(A952="",O952="",I952="",J952=""),"",IFERROR((P952-J952)/(O952-I952),""))</f>
        <v/>
      </c>
    </row>
    <row r="953">
      <c r="A953" s="36" t="n"/>
      <c r="B953" s="32" t="n"/>
      <c r="C953" s="37" t="n"/>
      <c r="D953" s="31" t="n"/>
      <c r="E953" s="32" t="n"/>
      <c r="F953" s="32" t="n"/>
      <c r="G953" s="32" t="n"/>
      <c r="H953" s="36" t="n"/>
      <c r="I953" s="31" t="n"/>
      <c r="J953" s="38" t="n"/>
      <c r="K953" s="32" t="n"/>
      <c r="L953" s="34">
        <f>IF(OR(A953="",D953=""),"",IF(D953&gt;Config!$B$5,0,DATEDIF(D953,Config!$B$5,"m")))</f>
        <v/>
      </c>
      <c r="M953" s="39">
        <f>IF(A953="","",IF(K953&lt;&gt;"",K953,IF(OR(C953="",D953=""),"Sem dados",IFERROR(IF(C953="M",INDEX(Config!$B$11:$B$14,MATCH(L953,Config!$A$11:$A$14,1)),IF(C953="F",INDEX(Config!$C$11:$C$14,MATCH(L953,Config!$A$11:$A$14,1)),"Sem dados")),"Verificar"))))</f>
        <v/>
      </c>
      <c r="N953" s="39">
        <f>IF(A953="","",IF(COUNTIFS('Movimentações'!$C$6:$C$1505,A953,'Movimentações'!$B$6:$B$1505,"Venda")&gt;0,"Vendido",IF(COUNTIFS('Movimentações'!$C$6:$C$1505,A953,'Movimentações'!$B$6:$B$1505,"Morte")&gt;0,"Morto","Ativo")))</f>
        <v/>
      </c>
      <c r="O953" s="40">
        <f>IF(A953="","",IF(COUNTIF('Pesagens'!$B$6:$B$2005,A953)=0,"",SUMPRODUCT(MAX(('Pesagens'!$B$6:$B$2005=A953)*'Pesagens'!$A$6:$A$2005))))</f>
        <v/>
      </c>
      <c r="P953" s="41">
        <f>IF(A953="","",IF(O953="",IF(J953="","",J953),IFERROR(AVERAGEIFS('Pesagens'!$C$6:$C$2005,'Pesagens'!$B$6:$B$2005,A953,'Pesagens'!$A$6:$A$2005,O953),"")))</f>
        <v/>
      </c>
      <c r="Q953" s="42">
        <f>IF(OR(A953="",O953="",I953="",J953=""),"",IFERROR((P953-J953)/(O953-I953),""))</f>
        <v/>
      </c>
    </row>
    <row r="954">
      <c r="A954" s="36" t="n"/>
      <c r="B954" s="32" t="n"/>
      <c r="C954" s="37" t="n"/>
      <c r="D954" s="31" t="n"/>
      <c r="E954" s="32" t="n"/>
      <c r="F954" s="32" t="n"/>
      <c r="G954" s="32" t="n"/>
      <c r="H954" s="36" t="n"/>
      <c r="I954" s="31" t="n"/>
      <c r="J954" s="38" t="n"/>
      <c r="K954" s="32" t="n"/>
      <c r="L954" s="34">
        <f>IF(OR(A954="",D954=""),"",IF(D954&gt;Config!$B$5,0,DATEDIF(D954,Config!$B$5,"m")))</f>
        <v/>
      </c>
      <c r="M954" s="39">
        <f>IF(A954="","",IF(K954&lt;&gt;"",K954,IF(OR(C954="",D954=""),"Sem dados",IFERROR(IF(C954="M",INDEX(Config!$B$11:$B$14,MATCH(L954,Config!$A$11:$A$14,1)),IF(C954="F",INDEX(Config!$C$11:$C$14,MATCH(L954,Config!$A$11:$A$14,1)),"Sem dados")),"Verificar"))))</f>
        <v/>
      </c>
      <c r="N954" s="39">
        <f>IF(A954="","",IF(COUNTIFS('Movimentações'!$C$6:$C$1505,A954,'Movimentações'!$B$6:$B$1505,"Venda")&gt;0,"Vendido",IF(COUNTIFS('Movimentações'!$C$6:$C$1505,A954,'Movimentações'!$B$6:$B$1505,"Morte")&gt;0,"Morto","Ativo")))</f>
        <v/>
      </c>
      <c r="O954" s="40">
        <f>IF(A954="","",IF(COUNTIF('Pesagens'!$B$6:$B$2005,A954)=0,"",SUMPRODUCT(MAX(('Pesagens'!$B$6:$B$2005=A954)*'Pesagens'!$A$6:$A$2005))))</f>
        <v/>
      </c>
      <c r="P954" s="41">
        <f>IF(A954="","",IF(O954="",IF(J954="","",J954),IFERROR(AVERAGEIFS('Pesagens'!$C$6:$C$2005,'Pesagens'!$B$6:$B$2005,A954,'Pesagens'!$A$6:$A$2005,O954),"")))</f>
        <v/>
      </c>
      <c r="Q954" s="42">
        <f>IF(OR(A954="",O954="",I954="",J954=""),"",IFERROR((P954-J954)/(O954-I954),""))</f>
        <v/>
      </c>
    </row>
    <row r="955">
      <c r="A955" s="36" t="n"/>
      <c r="B955" s="32" t="n"/>
      <c r="C955" s="37" t="n"/>
      <c r="D955" s="31" t="n"/>
      <c r="E955" s="32" t="n"/>
      <c r="F955" s="32" t="n"/>
      <c r="G955" s="32" t="n"/>
      <c r="H955" s="36" t="n"/>
      <c r="I955" s="31" t="n"/>
      <c r="J955" s="38" t="n"/>
      <c r="K955" s="32" t="n"/>
      <c r="L955" s="34">
        <f>IF(OR(A955="",D955=""),"",IF(D955&gt;Config!$B$5,0,DATEDIF(D955,Config!$B$5,"m")))</f>
        <v/>
      </c>
      <c r="M955" s="39">
        <f>IF(A955="","",IF(K955&lt;&gt;"",K955,IF(OR(C955="",D955=""),"Sem dados",IFERROR(IF(C955="M",INDEX(Config!$B$11:$B$14,MATCH(L955,Config!$A$11:$A$14,1)),IF(C955="F",INDEX(Config!$C$11:$C$14,MATCH(L955,Config!$A$11:$A$14,1)),"Sem dados")),"Verificar"))))</f>
        <v/>
      </c>
      <c r="N955" s="39">
        <f>IF(A955="","",IF(COUNTIFS('Movimentações'!$C$6:$C$1505,A955,'Movimentações'!$B$6:$B$1505,"Venda")&gt;0,"Vendido",IF(COUNTIFS('Movimentações'!$C$6:$C$1505,A955,'Movimentações'!$B$6:$B$1505,"Morte")&gt;0,"Morto","Ativo")))</f>
        <v/>
      </c>
      <c r="O955" s="40">
        <f>IF(A955="","",IF(COUNTIF('Pesagens'!$B$6:$B$2005,A955)=0,"",SUMPRODUCT(MAX(('Pesagens'!$B$6:$B$2005=A955)*'Pesagens'!$A$6:$A$2005))))</f>
        <v/>
      </c>
      <c r="P955" s="41">
        <f>IF(A955="","",IF(O955="",IF(J955="","",J955),IFERROR(AVERAGEIFS('Pesagens'!$C$6:$C$2005,'Pesagens'!$B$6:$B$2005,A955,'Pesagens'!$A$6:$A$2005,O955),"")))</f>
        <v/>
      </c>
      <c r="Q955" s="42">
        <f>IF(OR(A955="",O955="",I955="",J955=""),"",IFERROR((P955-J955)/(O955-I955),""))</f>
        <v/>
      </c>
    </row>
    <row r="956">
      <c r="A956" s="36" t="n"/>
      <c r="B956" s="32" t="n"/>
      <c r="C956" s="37" t="n"/>
      <c r="D956" s="31" t="n"/>
      <c r="E956" s="32" t="n"/>
      <c r="F956" s="32" t="n"/>
      <c r="G956" s="32" t="n"/>
      <c r="H956" s="36" t="n"/>
      <c r="I956" s="31" t="n"/>
      <c r="J956" s="38" t="n"/>
      <c r="K956" s="32" t="n"/>
      <c r="L956" s="34">
        <f>IF(OR(A956="",D956=""),"",IF(D956&gt;Config!$B$5,0,DATEDIF(D956,Config!$B$5,"m")))</f>
        <v/>
      </c>
      <c r="M956" s="39">
        <f>IF(A956="","",IF(K956&lt;&gt;"",K956,IF(OR(C956="",D956=""),"Sem dados",IFERROR(IF(C956="M",INDEX(Config!$B$11:$B$14,MATCH(L956,Config!$A$11:$A$14,1)),IF(C956="F",INDEX(Config!$C$11:$C$14,MATCH(L956,Config!$A$11:$A$14,1)),"Sem dados")),"Verificar"))))</f>
        <v/>
      </c>
      <c r="N956" s="39">
        <f>IF(A956="","",IF(COUNTIFS('Movimentações'!$C$6:$C$1505,A956,'Movimentações'!$B$6:$B$1505,"Venda")&gt;0,"Vendido",IF(COUNTIFS('Movimentações'!$C$6:$C$1505,A956,'Movimentações'!$B$6:$B$1505,"Morte")&gt;0,"Morto","Ativo")))</f>
        <v/>
      </c>
      <c r="O956" s="40">
        <f>IF(A956="","",IF(COUNTIF('Pesagens'!$B$6:$B$2005,A956)=0,"",SUMPRODUCT(MAX(('Pesagens'!$B$6:$B$2005=A956)*'Pesagens'!$A$6:$A$2005))))</f>
        <v/>
      </c>
      <c r="P956" s="41">
        <f>IF(A956="","",IF(O956="",IF(J956="","",J956),IFERROR(AVERAGEIFS('Pesagens'!$C$6:$C$2005,'Pesagens'!$B$6:$B$2005,A956,'Pesagens'!$A$6:$A$2005,O956),"")))</f>
        <v/>
      </c>
      <c r="Q956" s="42">
        <f>IF(OR(A956="",O956="",I956="",J956=""),"",IFERROR((P956-J956)/(O956-I956),""))</f>
        <v/>
      </c>
    </row>
    <row r="957">
      <c r="A957" s="36" t="n"/>
      <c r="B957" s="32" t="n"/>
      <c r="C957" s="37" t="n"/>
      <c r="D957" s="31" t="n"/>
      <c r="E957" s="32" t="n"/>
      <c r="F957" s="32" t="n"/>
      <c r="G957" s="32" t="n"/>
      <c r="H957" s="36" t="n"/>
      <c r="I957" s="31" t="n"/>
      <c r="J957" s="38" t="n"/>
      <c r="K957" s="32" t="n"/>
      <c r="L957" s="34">
        <f>IF(OR(A957="",D957=""),"",IF(D957&gt;Config!$B$5,0,DATEDIF(D957,Config!$B$5,"m")))</f>
        <v/>
      </c>
      <c r="M957" s="39">
        <f>IF(A957="","",IF(K957&lt;&gt;"",K957,IF(OR(C957="",D957=""),"Sem dados",IFERROR(IF(C957="M",INDEX(Config!$B$11:$B$14,MATCH(L957,Config!$A$11:$A$14,1)),IF(C957="F",INDEX(Config!$C$11:$C$14,MATCH(L957,Config!$A$11:$A$14,1)),"Sem dados")),"Verificar"))))</f>
        <v/>
      </c>
      <c r="N957" s="39">
        <f>IF(A957="","",IF(COUNTIFS('Movimentações'!$C$6:$C$1505,A957,'Movimentações'!$B$6:$B$1505,"Venda")&gt;0,"Vendido",IF(COUNTIFS('Movimentações'!$C$6:$C$1505,A957,'Movimentações'!$B$6:$B$1505,"Morte")&gt;0,"Morto","Ativo")))</f>
        <v/>
      </c>
      <c r="O957" s="40">
        <f>IF(A957="","",IF(COUNTIF('Pesagens'!$B$6:$B$2005,A957)=0,"",SUMPRODUCT(MAX(('Pesagens'!$B$6:$B$2005=A957)*'Pesagens'!$A$6:$A$2005))))</f>
        <v/>
      </c>
      <c r="P957" s="41">
        <f>IF(A957="","",IF(O957="",IF(J957="","",J957),IFERROR(AVERAGEIFS('Pesagens'!$C$6:$C$2005,'Pesagens'!$B$6:$B$2005,A957,'Pesagens'!$A$6:$A$2005,O957),"")))</f>
        <v/>
      </c>
      <c r="Q957" s="42">
        <f>IF(OR(A957="",O957="",I957="",J957=""),"",IFERROR((P957-J957)/(O957-I957),""))</f>
        <v/>
      </c>
    </row>
    <row r="958">
      <c r="A958" s="36" t="n"/>
      <c r="B958" s="32" t="n"/>
      <c r="C958" s="37" t="n"/>
      <c r="D958" s="31" t="n"/>
      <c r="E958" s="32" t="n"/>
      <c r="F958" s="32" t="n"/>
      <c r="G958" s="32" t="n"/>
      <c r="H958" s="36" t="n"/>
      <c r="I958" s="31" t="n"/>
      <c r="J958" s="38" t="n"/>
      <c r="K958" s="32" t="n"/>
      <c r="L958" s="34">
        <f>IF(OR(A958="",D958=""),"",IF(D958&gt;Config!$B$5,0,DATEDIF(D958,Config!$B$5,"m")))</f>
        <v/>
      </c>
      <c r="M958" s="39">
        <f>IF(A958="","",IF(K958&lt;&gt;"",K958,IF(OR(C958="",D958=""),"Sem dados",IFERROR(IF(C958="M",INDEX(Config!$B$11:$B$14,MATCH(L958,Config!$A$11:$A$14,1)),IF(C958="F",INDEX(Config!$C$11:$C$14,MATCH(L958,Config!$A$11:$A$14,1)),"Sem dados")),"Verificar"))))</f>
        <v/>
      </c>
      <c r="N958" s="39">
        <f>IF(A958="","",IF(COUNTIFS('Movimentações'!$C$6:$C$1505,A958,'Movimentações'!$B$6:$B$1505,"Venda")&gt;0,"Vendido",IF(COUNTIFS('Movimentações'!$C$6:$C$1505,A958,'Movimentações'!$B$6:$B$1505,"Morte")&gt;0,"Morto","Ativo")))</f>
        <v/>
      </c>
      <c r="O958" s="40">
        <f>IF(A958="","",IF(COUNTIF('Pesagens'!$B$6:$B$2005,A958)=0,"",SUMPRODUCT(MAX(('Pesagens'!$B$6:$B$2005=A958)*'Pesagens'!$A$6:$A$2005))))</f>
        <v/>
      </c>
      <c r="P958" s="41">
        <f>IF(A958="","",IF(O958="",IF(J958="","",J958),IFERROR(AVERAGEIFS('Pesagens'!$C$6:$C$2005,'Pesagens'!$B$6:$B$2005,A958,'Pesagens'!$A$6:$A$2005,O958),"")))</f>
        <v/>
      </c>
      <c r="Q958" s="42">
        <f>IF(OR(A958="",O958="",I958="",J958=""),"",IFERROR((P958-J958)/(O958-I958),""))</f>
        <v/>
      </c>
    </row>
    <row r="959">
      <c r="A959" s="36" t="n"/>
      <c r="B959" s="32" t="n"/>
      <c r="C959" s="37" t="n"/>
      <c r="D959" s="31" t="n"/>
      <c r="E959" s="32" t="n"/>
      <c r="F959" s="32" t="n"/>
      <c r="G959" s="32" t="n"/>
      <c r="H959" s="36" t="n"/>
      <c r="I959" s="31" t="n"/>
      <c r="J959" s="38" t="n"/>
      <c r="K959" s="32" t="n"/>
      <c r="L959" s="34">
        <f>IF(OR(A959="",D959=""),"",IF(D959&gt;Config!$B$5,0,DATEDIF(D959,Config!$B$5,"m")))</f>
        <v/>
      </c>
      <c r="M959" s="39">
        <f>IF(A959="","",IF(K959&lt;&gt;"",K959,IF(OR(C959="",D959=""),"Sem dados",IFERROR(IF(C959="M",INDEX(Config!$B$11:$B$14,MATCH(L959,Config!$A$11:$A$14,1)),IF(C959="F",INDEX(Config!$C$11:$C$14,MATCH(L959,Config!$A$11:$A$14,1)),"Sem dados")),"Verificar"))))</f>
        <v/>
      </c>
      <c r="N959" s="39">
        <f>IF(A959="","",IF(COUNTIFS('Movimentações'!$C$6:$C$1505,A959,'Movimentações'!$B$6:$B$1505,"Venda")&gt;0,"Vendido",IF(COUNTIFS('Movimentações'!$C$6:$C$1505,A959,'Movimentações'!$B$6:$B$1505,"Morte")&gt;0,"Morto","Ativo")))</f>
        <v/>
      </c>
      <c r="O959" s="40">
        <f>IF(A959="","",IF(COUNTIF('Pesagens'!$B$6:$B$2005,A959)=0,"",SUMPRODUCT(MAX(('Pesagens'!$B$6:$B$2005=A959)*'Pesagens'!$A$6:$A$2005))))</f>
        <v/>
      </c>
      <c r="P959" s="41">
        <f>IF(A959="","",IF(O959="",IF(J959="","",J959),IFERROR(AVERAGEIFS('Pesagens'!$C$6:$C$2005,'Pesagens'!$B$6:$B$2005,A959,'Pesagens'!$A$6:$A$2005,O959),"")))</f>
        <v/>
      </c>
      <c r="Q959" s="42">
        <f>IF(OR(A959="",O959="",I959="",J959=""),"",IFERROR((P959-J959)/(O959-I959),""))</f>
        <v/>
      </c>
    </row>
    <row r="960">
      <c r="A960" s="36" t="n"/>
      <c r="B960" s="32" t="n"/>
      <c r="C960" s="37" t="n"/>
      <c r="D960" s="31" t="n"/>
      <c r="E960" s="32" t="n"/>
      <c r="F960" s="32" t="n"/>
      <c r="G960" s="32" t="n"/>
      <c r="H960" s="36" t="n"/>
      <c r="I960" s="31" t="n"/>
      <c r="J960" s="38" t="n"/>
      <c r="K960" s="32" t="n"/>
      <c r="L960" s="34">
        <f>IF(OR(A960="",D960=""),"",IF(D960&gt;Config!$B$5,0,DATEDIF(D960,Config!$B$5,"m")))</f>
        <v/>
      </c>
      <c r="M960" s="39">
        <f>IF(A960="","",IF(K960&lt;&gt;"",K960,IF(OR(C960="",D960=""),"Sem dados",IFERROR(IF(C960="M",INDEX(Config!$B$11:$B$14,MATCH(L960,Config!$A$11:$A$14,1)),IF(C960="F",INDEX(Config!$C$11:$C$14,MATCH(L960,Config!$A$11:$A$14,1)),"Sem dados")),"Verificar"))))</f>
        <v/>
      </c>
      <c r="N960" s="39">
        <f>IF(A960="","",IF(COUNTIFS('Movimentações'!$C$6:$C$1505,A960,'Movimentações'!$B$6:$B$1505,"Venda")&gt;0,"Vendido",IF(COUNTIFS('Movimentações'!$C$6:$C$1505,A960,'Movimentações'!$B$6:$B$1505,"Morte")&gt;0,"Morto","Ativo")))</f>
        <v/>
      </c>
      <c r="O960" s="40">
        <f>IF(A960="","",IF(COUNTIF('Pesagens'!$B$6:$B$2005,A960)=0,"",SUMPRODUCT(MAX(('Pesagens'!$B$6:$B$2005=A960)*'Pesagens'!$A$6:$A$2005))))</f>
        <v/>
      </c>
      <c r="P960" s="41">
        <f>IF(A960="","",IF(O960="",IF(J960="","",J960),IFERROR(AVERAGEIFS('Pesagens'!$C$6:$C$2005,'Pesagens'!$B$6:$B$2005,A960,'Pesagens'!$A$6:$A$2005,O960),"")))</f>
        <v/>
      </c>
      <c r="Q960" s="42">
        <f>IF(OR(A960="",O960="",I960="",J960=""),"",IFERROR((P960-J960)/(O960-I960),""))</f>
        <v/>
      </c>
    </row>
    <row r="961">
      <c r="A961" s="36" t="n"/>
      <c r="B961" s="32" t="n"/>
      <c r="C961" s="37" t="n"/>
      <c r="D961" s="31" t="n"/>
      <c r="E961" s="32" t="n"/>
      <c r="F961" s="32" t="n"/>
      <c r="G961" s="32" t="n"/>
      <c r="H961" s="36" t="n"/>
      <c r="I961" s="31" t="n"/>
      <c r="J961" s="38" t="n"/>
      <c r="K961" s="32" t="n"/>
      <c r="L961" s="34">
        <f>IF(OR(A961="",D961=""),"",IF(D961&gt;Config!$B$5,0,DATEDIF(D961,Config!$B$5,"m")))</f>
        <v/>
      </c>
      <c r="M961" s="39">
        <f>IF(A961="","",IF(K961&lt;&gt;"",K961,IF(OR(C961="",D961=""),"Sem dados",IFERROR(IF(C961="M",INDEX(Config!$B$11:$B$14,MATCH(L961,Config!$A$11:$A$14,1)),IF(C961="F",INDEX(Config!$C$11:$C$14,MATCH(L961,Config!$A$11:$A$14,1)),"Sem dados")),"Verificar"))))</f>
        <v/>
      </c>
      <c r="N961" s="39">
        <f>IF(A961="","",IF(COUNTIFS('Movimentações'!$C$6:$C$1505,A961,'Movimentações'!$B$6:$B$1505,"Venda")&gt;0,"Vendido",IF(COUNTIFS('Movimentações'!$C$6:$C$1505,A961,'Movimentações'!$B$6:$B$1505,"Morte")&gt;0,"Morto","Ativo")))</f>
        <v/>
      </c>
      <c r="O961" s="40">
        <f>IF(A961="","",IF(COUNTIF('Pesagens'!$B$6:$B$2005,A961)=0,"",SUMPRODUCT(MAX(('Pesagens'!$B$6:$B$2005=A961)*'Pesagens'!$A$6:$A$2005))))</f>
        <v/>
      </c>
      <c r="P961" s="41">
        <f>IF(A961="","",IF(O961="",IF(J961="","",J961),IFERROR(AVERAGEIFS('Pesagens'!$C$6:$C$2005,'Pesagens'!$B$6:$B$2005,A961,'Pesagens'!$A$6:$A$2005,O961),"")))</f>
        <v/>
      </c>
      <c r="Q961" s="42">
        <f>IF(OR(A961="",O961="",I961="",J961=""),"",IFERROR((P961-J961)/(O961-I961),""))</f>
        <v/>
      </c>
    </row>
    <row r="962">
      <c r="A962" s="36" t="n"/>
      <c r="B962" s="32" t="n"/>
      <c r="C962" s="37" t="n"/>
      <c r="D962" s="31" t="n"/>
      <c r="E962" s="32" t="n"/>
      <c r="F962" s="32" t="n"/>
      <c r="G962" s="32" t="n"/>
      <c r="H962" s="36" t="n"/>
      <c r="I962" s="31" t="n"/>
      <c r="J962" s="38" t="n"/>
      <c r="K962" s="32" t="n"/>
      <c r="L962" s="34">
        <f>IF(OR(A962="",D962=""),"",IF(D962&gt;Config!$B$5,0,DATEDIF(D962,Config!$B$5,"m")))</f>
        <v/>
      </c>
      <c r="M962" s="39">
        <f>IF(A962="","",IF(K962&lt;&gt;"",K962,IF(OR(C962="",D962=""),"Sem dados",IFERROR(IF(C962="M",INDEX(Config!$B$11:$B$14,MATCH(L962,Config!$A$11:$A$14,1)),IF(C962="F",INDEX(Config!$C$11:$C$14,MATCH(L962,Config!$A$11:$A$14,1)),"Sem dados")),"Verificar"))))</f>
        <v/>
      </c>
      <c r="N962" s="39">
        <f>IF(A962="","",IF(COUNTIFS('Movimentações'!$C$6:$C$1505,A962,'Movimentações'!$B$6:$B$1505,"Venda")&gt;0,"Vendido",IF(COUNTIFS('Movimentações'!$C$6:$C$1505,A962,'Movimentações'!$B$6:$B$1505,"Morte")&gt;0,"Morto","Ativo")))</f>
        <v/>
      </c>
      <c r="O962" s="40">
        <f>IF(A962="","",IF(COUNTIF('Pesagens'!$B$6:$B$2005,A962)=0,"",SUMPRODUCT(MAX(('Pesagens'!$B$6:$B$2005=A962)*'Pesagens'!$A$6:$A$2005))))</f>
        <v/>
      </c>
      <c r="P962" s="41">
        <f>IF(A962="","",IF(O962="",IF(J962="","",J962),IFERROR(AVERAGEIFS('Pesagens'!$C$6:$C$2005,'Pesagens'!$B$6:$B$2005,A962,'Pesagens'!$A$6:$A$2005,O962),"")))</f>
        <v/>
      </c>
      <c r="Q962" s="42">
        <f>IF(OR(A962="",O962="",I962="",J962=""),"",IFERROR((P962-J962)/(O962-I962),""))</f>
        <v/>
      </c>
    </row>
    <row r="963">
      <c r="A963" s="36" t="n"/>
      <c r="B963" s="32" t="n"/>
      <c r="C963" s="37" t="n"/>
      <c r="D963" s="31" t="n"/>
      <c r="E963" s="32" t="n"/>
      <c r="F963" s="32" t="n"/>
      <c r="G963" s="32" t="n"/>
      <c r="H963" s="36" t="n"/>
      <c r="I963" s="31" t="n"/>
      <c r="J963" s="38" t="n"/>
      <c r="K963" s="32" t="n"/>
      <c r="L963" s="34">
        <f>IF(OR(A963="",D963=""),"",IF(D963&gt;Config!$B$5,0,DATEDIF(D963,Config!$B$5,"m")))</f>
        <v/>
      </c>
      <c r="M963" s="39">
        <f>IF(A963="","",IF(K963&lt;&gt;"",K963,IF(OR(C963="",D963=""),"Sem dados",IFERROR(IF(C963="M",INDEX(Config!$B$11:$B$14,MATCH(L963,Config!$A$11:$A$14,1)),IF(C963="F",INDEX(Config!$C$11:$C$14,MATCH(L963,Config!$A$11:$A$14,1)),"Sem dados")),"Verificar"))))</f>
        <v/>
      </c>
      <c r="N963" s="39">
        <f>IF(A963="","",IF(COUNTIFS('Movimentações'!$C$6:$C$1505,A963,'Movimentações'!$B$6:$B$1505,"Venda")&gt;0,"Vendido",IF(COUNTIFS('Movimentações'!$C$6:$C$1505,A963,'Movimentações'!$B$6:$B$1505,"Morte")&gt;0,"Morto","Ativo")))</f>
        <v/>
      </c>
      <c r="O963" s="40">
        <f>IF(A963="","",IF(COUNTIF('Pesagens'!$B$6:$B$2005,A963)=0,"",SUMPRODUCT(MAX(('Pesagens'!$B$6:$B$2005=A963)*'Pesagens'!$A$6:$A$2005))))</f>
        <v/>
      </c>
      <c r="P963" s="41">
        <f>IF(A963="","",IF(O963="",IF(J963="","",J963),IFERROR(AVERAGEIFS('Pesagens'!$C$6:$C$2005,'Pesagens'!$B$6:$B$2005,A963,'Pesagens'!$A$6:$A$2005,O963),"")))</f>
        <v/>
      </c>
      <c r="Q963" s="42">
        <f>IF(OR(A963="",O963="",I963="",J963=""),"",IFERROR((P963-J963)/(O963-I963),""))</f>
        <v/>
      </c>
    </row>
    <row r="964">
      <c r="A964" s="36" t="n"/>
      <c r="B964" s="32" t="n"/>
      <c r="C964" s="37" t="n"/>
      <c r="D964" s="31" t="n"/>
      <c r="E964" s="32" t="n"/>
      <c r="F964" s="32" t="n"/>
      <c r="G964" s="32" t="n"/>
      <c r="H964" s="36" t="n"/>
      <c r="I964" s="31" t="n"/>
      <c r="J964" s="38" t="n"/>
      <c r="K964" s="32" t="n"/>
      <c r="L964" s="34">
        <f>IF(OR(A964="",D964=""),"",IF(D964&gt;Config!$B$5,0,DATEDIF(D964,Config!$B$5,"m")))</f>
        <v/>
      </c>
      <c r="M964" s="39">
        <f>IF(A964="","",IF(K964&lt;&gt;"",K964,IF(OR(C964="",D964=""),"Sem dados",IFERROR(IF(C964="M",INDEX(Config!$B$11:$B$14,MATCH(L964,Config!$A$11:$A$14,1)),IF(C964="F",INDEX(Config!$C$11:$C$14,MATCH(L964,Config!$A$11:$A$14,1)),"Sem dados")),"Verificar"))))</f>
        <v/>
      </c>
      <c r="N964" s="39">
        <f>IF(A964="","",IF(COUNTIFS('Movimentações'!$C$6:$C$1505,A964,'Movimentações'!$B$6:$B$1505,"Venda")&gt;0,"Vendido",IF(COUNTIFS('Movimentações'!$C$6:$C$1505,A964,'Movimentações'!$B$6:$B$1505,"Morte")&gt;0,"Morto","Ativo")))</f>
        <v/>
      </c>
      <c r="O964" s="40">
        <f>IF(A964="","",IF(COUNTIF('Pesagens'!$B$6:$B$2005,A964)=0,"",SUMPRODUCT(MAX(('Pesagens'!$B$6:$B$2005=A964)*'Pesagens'!$A$6:$A$2005))))</f>
        <v/>
      </c>
      <c r="P964" s="41">
        <f>IF(A964="","",IF(O964="",IF(J964="","",J964),IFERROR(AVERAGEIFS('Pesagens'!$C$6:$C$2005,'Pesagens'!$B$6:$B$2005,A964,'Pesagens'!$A$6:$A$2005,O964),"")))</f>
        <v/>
      </c>
      <c r="Q964" s="42">
        <f>IF(OR(A964="",O964="",I964="",J964=""),"",IFERROR((P964-J964)/(O964-I964),""))</f>
        <v/>
      </c>
    </row>
    <row r="965">
      <c r="A965" s="36" t="n"/>
      <c r="B965" s="32" t="n"/>
      <c r="C965" s="37" t="n"/>
      <c r="D965" s="31" t="n"/>
      <c r="E965" s="32" t="n"/>
      <c r="F965" s="32" t="n"/>
      <c r="G965" s="32" t="n"/>
      <c r="H965" s="36" t="n"/>
      <c r="I965" s="31" t="n"/>
      <c r="J965" s="38" t="n"/>
      <c r="K965" s="32" t="n"/>
      <c r="L965" s="34">
        <f>IF(OR(A965="",D965=""),"",IF(D965&gt;Config!$B$5,0,DATEDIF(D965,Config!$B$5,"m")))</f>
        <v/>
      </c>
      <c r="M965" s="39">
        <f>IF(A965="","",IF(K965&lt;&gt;"",K965,IF(OR(C965="",D965=""),"Sem dados",IFERROR(IF(C965="M",INDEX(Config!$B$11:$B$14,MATCH(L965,Config!$A$11:$A$14,1)),IF(C965="F",INDEX(Config!$C$11:$C$14,MATCH(L965,Config!$A$11:$A$14,1)),"Sem dados")),"Verificar"))))</f>
        <v/>
      </c>
      <c r="N965" s="39">
        <f>IF(A965="","",IF(COUNTIFS('Movimentações'!$C$6:$C$1505,A965,'Movimentações'!$B$6:$B$1505,"Venda")&gt;0,"Vendido",IF(COUNTIFS('Movimentações'!$C$6:$C$1505,A965,'Movimentações'!$B$6:$B$1505,"Morte")&gt;0,"Morto","Ativo")))</f>
        <v/>
      </c>
      <c r="O965" s="40">
        <f>IF(A965="","",IF(COUNTIF('Pesagens'!$B$6:$B$2005,A965)=0,"",SUMPRODUCT(MAX(('Pesagens'!$B$6:$B$2005=A965)*'Pesagens'!$A$6:$A$2005))))</f>
        <v/>
      </c>
      <c r="P965" s="41">
        <f>IF(A965="","",IF(O965="",IF(J965="","",J965),IFERROR(AVERAGEIFS('Pesagens'!$C$6:$C$2005,'Pesagens'!$B$6:$B$2005,A965,'Pesagens'!$A$6:$A$2005,O965),"")))</f>
        <v/>
      </c>
      <c r="Q965" s="42">
        <f>IF(OR(A965="",O965="",I965="",J965=""),"",IFERROR((P965-J965)/(O965-I965),""))</f>
        <v/>
      </c>
    </row>
    <row r="966">
      <c r="A966" s="36" t="n"/>
      <c r="B966" s="32" t="n"/>
      <c r="C966" s="37" t="n"/>
      <c r="D966" s="31" t="n"/>
      <c r="E966" s="32" t="n"/>
      <c r="F966" s="32" t="n"/>
      <c r="G966" s="32" t="n"/>
      <c r="H966" s="36" t="n"/>
      <c r="I966" s="31" t="n"/>
      <c r="J966" s="38" t="n"/>
      <c r="K966" s="32" t="n"/>
      <c r="L966" s="34">
        <f>IF(OR(A966="",D966=""),"",IF(D966&gt;Config!$B$5,0,DATEDIF(D966,Config!$B$5,"m")))</f>
        <v/>
      </c>
      <c r="M966" s="39">
        <f>IF(A966="","",IF(K966&lt;&gt;"",K966,IF(OR(C966="",D966=""),"Sem dados",IFERROR(IF(C966="M",INDEX(Config!$B$11:$B$14,MATCH(L966,Config!$A$11:$A$14,1)),IF(C966="F",INDEX(Config!$C$11:$C$14,MATCH(L966,Config!$A$11:$A$14,1)),"Sem dados")),"Verificar"))))</f>
        <v/>
      </c>
      <c r="N966" s="39">
        <f>IF(A966="","",IF(COUNTIFS('Movimentações'!$C$6:$C$1505,A966,'Movimentações'!$B$6:$B$1505,"Venda")&gt;0,"Vendido",IF(COUNTIFS('Movimentações'!$C$6:$C$1505,A966,'Movimentações'!$B$6:$B$1505,"Morte")&gt;0,"Morto","Ativo")))</f>
        <v/>
      </c>
      <c r="O966" s="40">
        <f>IF(A966="","",IF(COUNTIF('Pesagens'!$B$6:$B$2005,A966)=0,"",SUMPRODUCT(MAX(('Pesagens'!$B$6:$B$2005=A966)*'Pesagens'!$A$6:$A$2005))))</f>
        <v/>
      </c>
      <c r="P966" s="41">
        <f>IF(A966="","",IF(O966="",IF(J966="","",J966),IFERROR(AVERAGEIFS('Pesagens'!$C$6:$C$2005,'Pesagens'!$B$6:$B$2005,A966,'Pesagens'!$A$6:$A$2005,O966),"")))</f>
        <v/>
      </c>
      <c r="Q966" s="42">
        <f>IF(OR(A966="",O966="",I966="",J966=""),"",IFERROR((P966-J966)/(O966-I966),""))</f>
        <v/>
      </c>
    </row>
    <row r="967">
      <c r="A967" s="36" t="n"/>
      <c r="B967" s="32" t="n"/>
      <c r="C967" s="37" t="n"/>
      <c r="D967" s="31" t="n"/>
      <c r="E967" s="32" t="n"/>
      <c r="F967" s="32" t="n"/>
      <c r="G967" s="32" t="n"/>
      <c r="H967" s="36" t="n"/>
      <c r="I967" s="31" t="n"/>
      <c r="J967" s="38" t="n"/>
      <c r="K967" s="32" t="n"/>
      <c r="L967" s="34">
        <f>IF(OR(A967="",D967=""),"",IF(D967&gt;Config!$B$5,0,DATEDIF(D967,Config!$B$5,"m")))</f>
        <v/>
      </c>
      <c r="M967" s="39">
        <f>IF(A967="","",IF(K967&lt;&gt;"",K967,IF(OR(C967="",D967=""),"Sem dados",IFERROR(IF(C967="M",INDEX(Config!$B$11:$B$14,MATCH(L967,Config!$A$11:$A$14,1)),IF(C967="F",INDEX(Config!$C$11:$C$14,MATCH(L967,Config!$A$11:$A$14,1)),"Sem dados")),"Verificar"))))</f>
        <v/>
      </c>
      <c r="N967" s="39">
        <f>IF(A967="","",IF(COUNTIFS('Movimentações'!$C$6:$C$1505,A967,'Movimentações'!$B$6:$B$1505,"Venda")&gt;0,"Vendido",IF(COUNTIFS('Movimentações'!$C$6:$C$1505,A967,'Movimentações'!$B$6:$B$1505,"Morte")&gt;0,"Morto","Ativo")))</f>
        <v/>
      </c>
      <c r="O967" s="40">
        <f>IF(A967="","",IF(COUNTIF('Pesagens'!$B$6:$B$2005,A967)=0,"",SUMPRODUCT(MAX(('Pesagens'!$B$6:$B$2005=A967)*'Pesagens'!$A$6:$A$2005))))</f>
        <v/>
      </c>
      <c r="P967" s="41">
        <f>IF(A967="","",IF(O967="",IF(J967="","",J967),IFERROR(AVERAGEIFS('Pesagens'!$C$6:$C$2005,'Pesagens'!$B$6:$B$2005,A967,'Pesagens'!$A$6:$A$2005,O967),"")))</f>
        <v/>
      </c>
      <c r="Q967" s="42">
        <f>IF(OR(A967="",O967="",I967="",J967=""),"",IFERROR((P967-J967)/(O967-I967),""))</f>
        <v/>
      </c>
    </row>
    <row r="968">
      <c r="A968" s="36" t="n"/>
      <c r="B968" s="32" t="n"/>
      <c r="C968" s="37" t="n"/>
      <c r="D968" s="31" t="n"/>
      <c r="E968" s="32" t="n"/>
      <c r="F968" s="32" t="n"/>
      <c r="G968" s="32" t="n"/>
      <c r="H968" s="36" t="n"/>
      <c r="I968" s="31" t="n"/>
      <c r="J968" s="38" t="n"/>
      <c r="K968" s="32" t="n"/>
      <c r="L968" s="34">
        <f>IF(OR(A968="",D968=""),"",IF(D968&gt;Config!$B$5,0,DATEDIF(D968,Config!$B$5,"m")))</f>
        <v/>
      </c>
      <c r="M968" s="39">
        <f>IF(A968="","",IF(K968&lt;&gt;"",K968,IF(OR(C968="",D968=""),"Sem dados",IFERROR(IF(C968="M",INDEX(Config!$B$11:$B$14,MATCH(L968,Config!$A$11:$A$14,1)),IF(C968="F",INDEX(Config!$C$11:$C$14,MATCH(L968,Config!$A$11:$A$14,1)),"Sem dados")),"Verificar"))))</f>
        <v/>
      </c>
      <c r="N968" s="39">
        <f>IF(A968="","",IF(COUNTIFS('Movimentações'!$C$6:$C$1505,A968,'Movimentações'!$B$6:$B$1505,"Venda")&gt;0,"Vendido",IF(COUNTIFS('Movimentações'!$C$6:$C$1505,A968,'Movimentações'!$B$6:$B$1505,"Morte")&gt;0,"Morto","Ativo")))</f>
        <v/>
      </c>
      <c r="O968" s="40">
        <f>IF(A968="","",IF(COUNTIF('Pesagens'!$B$6:$B$2005,A968)=0,"",SUMPRODUCT(MAX(('Pesagens'!$B$6:$B$2005=A968)*'Pesagens'!$A$6:$A$2005))))</f>
        <v/>
      </c>
      <c r="P968" s="41">
        <f>IF(A968="","",IF(O968="",IF(J968="","",J968),IFERROR(AVERAGEIFS('Pesagens'!$C$6:$C$2005,'Pesagens'!$B$6:$B$2005,A968,'Pesagens'!$A$6:$A$2005,O968),"")))</f>
        <v/>
      </c>
      <c r="Q968" s="42">
        <f>IF(OR(A968="",O968="",I968="",J968=""),"",IFERROR((P968-J968)/(O968-I968),""))</f>
        <v/>
      </c>
    </row>
    <row r="969">
      <c r="A969" s="36" t="n"/>
      <c r="B969" s="32" t="n"/>
      <c r="C969" s="37" t="n"/>
      <c r="D969" s="31" t="n"/>
      <c r="E969" s="32" t="n"/>
      <c r="F969" s="32" t="n"/>
      <c r="G969" s="32" t="n"/>
      <c r="H969" s="36" t="n"/>
      <c r="I969" s="31" t="n"/>
      <c r="J969" s="38" t="n"/>
      <c r="K969" s="32" t="n"/>
      <c r="L969" s="34">
        <f>IF(OR(A969="",D969=""),"",IF(D969&gt;Config!$B$5,0,DATEDIF(D969,Config!$B$5,"m")))</f>
        <v/>
      </c>
      <c r="M969" s="39">
        <f>IF(A969="","",IF(K969&lt;&gt;"",K969,IF(OR(C969="",D969=""),"Sem dados",IFERROR(IF(C969="M",INDEX(Config!$B$11:$B$14,MATCH(L969,Config!$A$11:$A$14,1)),IF(C969="F",INDEX(Config!$C$11:$C$14,MATCH(L969,Config!$A$11:$A$14,1)),"Sem dados")),"Verificar"))))</f>
        <v/>
      </c>
      <c r="N969" s="39">
        <f>IF(A969="","",IF(COUNTIFS('Movimentações'!$C$6:$C$1505,A969,'Movimentações'!$B$6:$B$1505,"Venda")&gt;0,"Vendido",IF(COUNTIFS('Movimentações'!$C$6:$C$1505,A969,'Movimentações'!$B$6:$B$1505,"Morte")&gt;0,"Morto","Ativo")))</f>
        <v/>
      </c>
      <c r="O969" s="40">
        <f>IF(A969="","",IF(COUNTIF('Pesagens'!$B$6:$B$2005,A969)=0,"",SUMPRODUCT(MAX(('Pesagens'!$B$6:$B$2005=A969)*'Pesagens'!$A$6:$A$2005))))</f>
        <v/>
      </c>
      <c r="P969" s="41">
        <f>IF(A969="","",IF(O969="",IF(J969="","",J969),IFERROR(AVERAGEIFS('Pesagens'!$C$6:$C$2005,'Pesagens'!$B$6:$B$2005,A969,'Pesagens'!$A$6:$A$2005,O969),"")))</f>
        <v/>
      </c>
      <c r="Q969" s="42">
        <f>IF(OR(A969="",O969="",I969="",J969=""),"",IFERROR((P969-J969)/(O969-I969),""))</f>
        <v/>
      </c>
    </row>
    <row r="970">
      <c r="A970" s="36" t="n"/>
      <c r="B970" s="32" t="n"/>
      <c r="C970" s="37" t="n"/>
      <c r="D970" s="31" t="n"/>
      <c r="E970" s="32" t="n"/>
      <c r="F970" s="32" t="n"/>
      <c r="G970" s="32" t="n"/>
      <c r="H970" s="36" t="n"/>
      <c r="I970" s="31" t="n"/>
      <c r="J970" s="38" t="n"/>
      <c r="K970" s="32" t="n"/>
      <c r="L970" s="34">
        <f>IF(OR(A970="",D970=""),"",IF(D970&gt;Config!$B$5,0,DATEDIF(D970,Config!$B$5,"m")))</f>
        <v/>
      </c>
      <c r="M970" s="39">
        <f>IF(A970="","",IF(K970&lt;&gt;"",K970,IF(OR(C970="",D970=""),"Sem dados",IFERROR(IF(C970="M",INDEX(Config!$B$11:$B$14,MATCH(L970,Config!$A$11:$A$14,1)),IF(C970="F",INDEX(Config!$C$11:$C$14,MATCH(L970,Config!$A$11:$A$14,1)),"Sem dados")),"Verificar"))))</f>
        <v/>
      </c>
      <c r="N970" s="39">
        <f>IF(A970="","",IF(COUNTIFS('Movimentações'!$C$6:$C$1505,A970,'Movimentações'!$B$6:$B$1505,"Venda")&gt;0,"Vendido",IF(COUNTIFS('Movimentações'!$C$6:$C$1505,A970,'Movimentações'!$B$6:$B$1505,"Morte")&gt;0,"Morto","Ativo")))</f>
        <v/>
      </c>
      <c r="O970" s="40">
        <f>IF(A970="","",IF(COUNTIF('Pesagens'!$B$6:$B$2005,A970)=0,"",SUMPRODUCT(MAX(('Pesagens'!$B$6:$B$2005=A970)*'Pesagens'!$A$6:$A$2005))))</f>
        <v/>
      </c>
      <c r="P970" s="41">
        <f>IF(A970="","",IF(O970="",IF(J970="","",J970),IFERROR(AVERAGEIFS('Pesagens'!$C$6:$C$2005,'Pesagens'!$B$6:$B$2005,A970,'Pesagens'!$A$6:$A$2005,O970),"")))</f>
        <v/>
      </c>
      <c r="Q970" s="42">
        <f>IF(OR(A970="",O970="",I970="",J970=""),"",IFERROR((P970-J970)/(O970-I970),""))</f>
        <v/>
      </c>
    </row>
    <row r="971">
      <c r="A971" s="36" t="n"/>
      <c r="B971" s="32" t="n"/>
      <c r="C971" s="37" t="n"/>
      <c r="D971" s="31" t="n"/>
      <c r="E971" s="32" t="n"/>
      <c r="F971" s="32" t="n"/>
      <c r="G971" s="32" t="n"/>
      <c r="H971" s="36" t="n"/>
      <c r="I971" s="31" t="n"/>
      <c r="J971" s="38" t="n"/>
      <c r="K971" s="32" t="n"/>
      <c r="L971" s="34">
        <f>IF(OR(A971="",D971=""),"",IF(D971&gt;Config!$B$5,0,DATEDIF(D971,Config!$B$5,"m")))</f>
        <v/>
      </c>
      <c r="M971" s="39">
        <f>IF(A971="","",IF(K971&lt;&gt;"",K971,IF(OR(C971="",D971=""),"Sem dados",IFERROR(IF(C971="M",INDEX(Config!$B$11:$B$14,MATCH(L971,Config!$A$11:$A$14,1)),IF(C971="F",INDEX(Config!$C$11:$C$14,MATCH(L971,Config!$A$11:$A$14,1)),"Sem dados")),"Verificar"))))</f>
        <v/>
      </c>
      <c r="N971" s="39">
        <f>IF(A971="","",IF(COUNTIFS('Movimentações'!$C$6:$C$1505,A971,'Movimentações'!$B$6:$B$1505,"Venda")&gt;0,"Vendido",IF(COUNTIFS('Movimentações'!$C$6:$C$1505,A971,'Movimentações'!$B$6:$B$1505,"Morte")&gt;0,"Morto","Ativo")))</f>
        <v/>
      </c>
      <c r="O971" s="40">
        <f>IF(A971="","",IF(COUNTIF('Pesagens'!$B$6:$B$2005,A971)=0,"",SUMPRODUCT(MAX(('Pesagens'!$B$6:$B$2005=A971)*'Pesagens'!$A$6:$A$2005))))</f>
        <v/>
      </c>
      <c r="P971" s="41">
        <f>IF(A971="","",IF(O971="",IF(J971="","",J971),IFERROR(AVERAGEIFS('Pesagens'!$C$6:$C$2005,'Pesagens'!$B$6:$B$2005,A971,'Pesagens'!$A$6:$A$2005,O971),"")))</f>
        <v/>
      </c>
      <c r="Q971" s="42">
        <f>IF(OR(A971="",O971="",I971="",J971=""),"",IFERROR((P971-J971)/(O971-I971),""))</f>
        <v/>
      </c>
    </row>
    <row r="972">
      <c r="A972" s="36" t="n"/>
      <c r="B972" s="32" t="n"/>
      <c r="C972" s="37" t="n"/>
      <c r="D972" s="31" t="n"/>
      <c r="E972" s="32" t="n"/>
      <c r="F972" s="32" t="n"/>
      <c r="G972" s="32" t="n"/>
      <c r="H972" s="36" t="n"/>
      <c r="I972" s="31" t="n"/>
      <c r="J972" s="38" t="n"/>
      <c r="K972" s="32" t="n"/>
      <c r="L972" s="34">
        <f>IF(OR(A972="",D972=""),"",IF(D972&gt;Config!$B$5,0,DATEDIF(D972,Config!$B$5,"m")))</f>
        <v/>
      </c>
      <c r="M972" s="39">
        <f>IF(A972="","",IF(K972&lt;&gt;"",K972,IF(OR(C972="",D972=""),"Sem dados",IFERROR(IF(C972="M",INDEX(Config!$B$11:$B$14,MATCH(L972,Config!$A$11:$A$14,1)),IF(C972="F",INDEX(Config!$C$11:$C$14,MATCH(L972,Config!$A$11:$A$14,1)),"Sem dados")),"Verificar"))))</f>
        <v/>
      </c>
      <c r="N972" s="39">
        <f>IF(A972="","",IF(COUNTIFS('Movimentações'!$C$6:$C$1505,A972,'Movimentações'!$B$6:$B$1505,"Venda")&gt;0,"Vendido",IF(COUNTIFS('Movimentações'!$C$6:$C$1505,A972,'Movimentações'!$B$6:$B$1505,"Morte")&gt;0,"Morto","Ativo")))</f>
        <v/>
      </c>
      <c r="O972" s="40">
        <f>IF(A972="","",IF(COUNTIF('Pesagens'!$B$6:$B$2005,A972)=0,"",SUMPRODUCT(MAX(('Pesagens'!$B$6:$B$2005=A972)*'Pesagens'!$A$6:$A$2005))))</f>
        <v/>
      </c>
      <c r="P972" s="41">
        <f>IF(A972="","",IF(O972="",IF(J972="","",J972),IFERROR(AVERAGEIFS('Pesagens'!$C$6:$C$2005,'Pesagens'!$B$6:$B$2005,A972,'Pesagens'!$A$6:$A$2005,O972),"")))</f>
        <v/>
      </c>
      <c r="Q972" s="42">
        <f>IF(OR(A972="",O972="",I972="",J972=""),"",IFERROR((P972-J972)/(O972-I972),""))</f>
        <v/>
      </c>
    </row>
    <row r="973">
      <c r="A973" s="36" t="n"/>
      <c r="B973" s="32" t="n"/>
      <c r="C973" s="37" t="n"/>
      <c r="D973" s="31" t="n"/>
      <c r="E973" s="32" t="n"/>
      <c r="F973" s="32" t="n"/>
      <c r="G973" s="32" t="n"/>
      <c r="H973" s="36" t="n"/>
      <c r="I973" s="31" t="n"/>
      <c r="J973" s="38" t="n"/>
      <c r="K973" s="32" t="n"/>
      <c r="L973" s="34">
        <f>IF(OR(A973="",D973=""),"",IF(D973&gt;Config!$B$5,0,DATEDIF(D973,Config!$B$5,"m")))</f>
        <v/>
      </c>
      <c r="M973" s="39">
        <f>IF(A973="","",IF(K973&lt;&gt;"",K973,IF(OR(C973="",D973=""),"Sem dados",IFERROR(IF(C973="M",INDEX(Config!$B$11:$B$14,MATCH(L973,Config!$A$11:$A$14,1)),IF(C973="F",INDEX(Config!$C$11:$C$14,MATCH(L973,Config!$A$11:$A$14,1)),"Sem dados")),"Verificar"))))</f>
        <v/>
      </c>
      <c r="N973" s="39">
        <f>IF(A973="","",IF(COUNTIFS('Movimentações'!$C$6:$C$1505,A973,'Movimentações'!$B$6:$B$1505,"Venda")&gt;0,"Vendido",IF(COUNTIFS('Movimentações'!$C$6:$C$1505,A973,'Movimentações'!$B$6:$B$1505,"Morte")&gt;0,"Morto","Ativo")))</f>
        <v/>
      </c>
      <c r="O973" s="40">
        <f>IF(A973="","",IF(COUNTIF('Pesagens'!$B$6:$B$2005,A973)=0,"",SUMPRODUCT(MAX(('Pesagens'!$B$6:$B$2005=A973)*'Pesagens'!$A$6:$A$2005))))</f>
        <v/>
      </c>
      <c r="P973" s="41">
        <f>IF(A973="","",IF(O973="",IF(J973="","",J973),IFERROR(AVERAGEIFS('Pesagens'!$C$6:$C$2005,'Pesagens'!$B$6:$B$2005,A973,'Pesagens'!$A$6:$A$2005,O973),"")))</f>
        <v/>
      </c>
      <c r="Q973" s="42">
        <f>IF(OR(A973="",O973="",I973="",J973=""),"",IFERROR((P973-J973)/(O973-I973),""))</f>
        <v/>
      </c>
    </row>
    <row r="974">
      <c r="A974" s="36" t="n"/>
      <c r="B974" s="32" t="n"/>
      <c r="C974" s="37" t="n"/>
      <c r="D974" s="31" t="n"/>
      <c r="E974" s="32" t="n"/>
      <c r="F974" s="32" t="n"/>
      <c r="G974" s="32" t="n"/>
      <c r="H974" s="36" t="n"/>
      <c r="I974" s="31" t="n"/>
      <c r="J974" s="38" t="n"/>
      <c r="K974" s="32" t="n"/>
      <c r="L974" s="34">
        <f>IF(OR(A974="",D974=""),"",IF(D974&gt;Config!$B$5,0,DATEDIF(D974,Config!$B$5,"m")))</f>
        <v/>
      </c>
      <c r="M974" s="39">
        <f>IF(A974="","",IF(K974&lt;&gt;"",K974,IF(OR(C974="",D974=""),"Sem dados",IFERROR(IF(C974="M",INDEX(Config!$B$11:$B$14,MATCH(L974,Config!$A$11:$A$14,1)),IF(C974="F",INDEX(Config!$C$11:$C$14,MATCH(L974,Config!$A$11:$A$14,1)),"Sem dados")),"Verificar"))))</f>
        <v/>
      </c>
      <c r="N974" s="39">
        <f>IF(A974="","",IF(COUNTIFS('Movimentações'!$C$6:$C$1505,A974,'Movimentações'!$B$6:$B$1505,"Venda")&gt;0,"Vendido",IF(COUNTIFS('Movimentações'!$C$6:$C$1505,A974,'Movimentações'!$B$6:$B$1505,"Morte")&gt;0,"Morto","Ativo")))</f>
        <v/>
      </c>
      <c r="O974" s="40">
        <f>IF(A974="","",IF(COUNTIF('Pesagens'!$B$6:$B$2005,A974)=0,"",SUMPRODUCT(MAX(('Pesagens'!$B$6:$B$2005=A974)*'Pesagens'!$A$6:$A$2005))))</f>
        <v/>
      </c>
      <c r="P974" s="41">
        <f>IF(A974="","",IF(O974="",IF(J974="","",J974),IFERROR(AVERAGEIFS('Pesagens'!$C$6:$C$2005,'Pesagens'!$B$6:$B$2005,A974,'Pesagens'!$A$6:$A$2005,O974),"")))</f>
        <v/>
      </c>
      <c r="Q974" s="42">
        <f>IF(OR(A974="",O974="",I974="",J974=""),"",IFERROR((P974-J974)/(O974-I974),""))</f>
        <v/>
      </c>
    </row>
    <row r="975">
      <c r="A975" s="36" t="n"/>
      <c r="B975" s="32" t="n"/>
      <c r="C975" s="37" t="n"/>
      <c r="D975" s="31" t="n"/>
      <c r="E975" s="32" t="n"/>
      <c r="F975" s="32" t="n"/>
      <c r="G975" s="32" t="n"/>
      <c r="H975" s="36" t="n"/>
      <c r="I975" s="31" t="n"/>
      <c r="J975" s="38" t="n"/>
      <c r="K975" s="32" t="n"/>
      <c r="L975" s="34">
        <f>IF(OR(A975="",D975=""),"",IF(D975&gt;Config!$B$5,0,DATEDIF(D975,Config!$B$5,"m")))</f>
        <v/>
      </c>
      <c r="M975" s="39">
        <f>IF(A975="","",IF(K975&lt;&gt;"",K975,IF(OR(C975="",D975=""),"Sem dados",IFERROR(IF(C975="M",INDEX(Config!$B$11:$B$14,MATCH(L975,Config!$A$11:$A$14,1)),IF(C975="F",INDEX(Config!$C$11:$C$14,MATCH(L975,Config!$A$11:$A$14,1)),"Sem dados")),"Verificar"))))</f>
        <v/>
      </c>
      <c r="N975" s="39">
        <f>IF(A975="","",IF(COUNTIFS('Movimentações'!$C$6:$C$1505,A975,'Movimentações'!$B$6:$B$1505,"Venda")&gt;0,"Vendido",IF(COUNTIFS('Movimentações'!$C$6:$C$1505,A975,'Movimentações'!$B$6:$B$1505,"Morte")&gt;0,"Morto","Ativo")))</f>
        <v/>
      </c>
      <c r="O975" s="40">
        <f>IF(A975="","",IF(COUNTIF('Pesagens'!$B$6:$B$2005,A975)=0,"",SUMPRODUCT(MAX(('Pesagens'!$B$6:$B$2005=A975)*'Pesagens'!$A$6:$A$2005))))</f>
        <v/>
      </c>
      <c r="P975" s="41">
        <f>IF(A975="","",IF(O975="",IF(J975="","",J975),IFERROR(AVERAGEIFS('Pesagens'!$C$6:$C$2005,'Pesagens'!$B$6:$B$2005,A975,'Pesagens'!$A$6:$A$2005,O975),"")))</f>
        <v/>
      </c>
      <c r="Q975" s="42">
        <f>IF(OR(A975="",O975="",I975="",J975=""),"",IFERROR((P975-J975)/(O975-I975),""))</f>
        <v/>
      </c>
    </row>
    <row r="976">
      <c r="A976" s="36" t="n"/>
      <c r="B976" s="32" t="n"/>
      <c r="C976" s="37" t="n"/>
      <c r="D976" s="31" t="n"/>
      <c r="E976" s="32" t="n"/>
      <c r="F976" s="32" t="n"/>
      <c r="G976" s="32" t="n"/>
      <c r="H976" s="36" t="n"/>
      <c r="I976" s="31" t="n"/>
      <c r="J976" s="38" t="n"/>
      <c r="K976" s="32" t="n"/>
      <c r="L976" s="34">
        <f>IF(OR(A976="",D976=""),"",IF(D976&gt;Config!$B$5,0,DATEDIF(D976,Config!$B$5,"m")))</f>
        <v/>
      </c>
      <c r="M976" s="39">
        <f>IF(A976="","",IF(K976&lt;&gt;"",K976,IF(OR(C976="",D976=""),"Sem dados",IFERROR(IF(C976="M",INDEX(Config!$B$11:$B$14,MATCH(L976,Config!$A$11:$A$14,1)),IF(C976="F",INDEX(Config!$C$11:$C$14,MATCH(L976,Config!$A$11:$A$14,1)),"Sem dados")),"Verificar"))))</f>
        <v/>
      </c>
      <c r="N976" s="39">
        <f>IF(A976="","",IF(COUNTIFS('Movimentações'!$C$6:$C$1505,A976,'Movimentações'!$B$6:$B$1505,"Venda")&gt;0,"Vendido",IF(COUNTIFS('Movimentações'!$C$6:$C$1505,A976,'Movimentações'!$B$6:$B$1505,"Morte")&gt;0,"Morto","Ativo")))</f>
        <v/>
      </c>
      <c r="O976" s="40">
        <f>IF(A976="","",IF(COUNTIF('Pesagens'!$B$6:$B$2005,A976)=0,"",SUMPRODUCT(MAX(('Pesagens'!$B$6:$B$2005=A976)*'Pesagens'!$A$6:$A$2005))))</f>
        <v/>
      </c>
      <c r="P976" s="41">
        <f>IF(A976="","",IF(O976="",IF(J976="","",J976),IFERROR(AVERAGEIFS('Pesagens'!$C$6:$C$2005,'Pesagens'!$B$6:$B$2005,A976,'Pesagens'!$A$6:$A$2005,O976),"")))</f>
        <v/>
      </c>
      <c r="Q976" s="42">
        <f>IF(OR(A976="",O976="",I976="",J976=""),"",IFERROR((P976-J976)/(O976-I976),""))</f>
        <v/>
      </c>
    </row>
    <row r="977">
      <c r="A977" s="36" t="n"/>
      <c r="B977" s="32" t="n"/>
      <c r="C977" s="37" t="n"/>
      <c r="D977" s="31" t="n"/>
      <c r="E977" s="32" t="n"/>
      <c r="F977" s="32" t="n"/>
      <c r="G977" s="32" t="n"/>
      <c r="H977" s="36" t="n"/>
      <c r="I977" s="31" t="n"/>
      <c r="J977" s="38" t="n"/>
      <c r="K977" s="32" t="n"/>
      <c r="L977" s="34">
        <f>IF(OR(A977="",D977=""),"",IF(D977&gt;Config!$B$5,0,DATEDIF(D977,Config!$B$5,"m")))</f>
        <v/>
      </c>
      <c r="M977" s="39">
        <f>IF(A977="","",IF(K977&lt;&gt;"",K977,IF(OR(C977="",D977=""),"Sem dados",IFERROR(IF(C977="M",INDEX(Config!$B$11:$B$14,MATCH(L977,Config!$A$11:$A$14,1)),IF(C977="F",INDEX(Config!$C$11:$C$14,MATCH(L977,Config!$A$11:$A$14,1)),"Sem dados")),"Verificar"))))</f>
        <v/>
      </c>
      <c r="N977" s="39">
        <f>IF(A977="","",IF(COUNTIFS('Movimentações'!$C$6:$C$1505,A977,'Movimentações'!$B$6:$B$1505,"Venda")&gt;0,"Vendido",IF(COUNTIFS('Movimentações'!$C$6:$C$1505,A977,'Movimentações'!$B$6:$B$1505,"Morte")&gt;0,"Morto","Ativo")))</f>
        <v/>
      </c>
      <c r="O977" s="40">
        <f>IF(A977="","",IF(COUNTIF('Pesagens'!$B$6:$B$2005,A977)=0,"",SUMPRODUCT(MAX(('Pesagens'!$B$6:$B$2005=A977)*'Pesagens'!$A$6:$A$2005))))</f>
        <v/>
      </c>
      <c r="P977" s="41">
        <f>IF(A977="","",IF(O977="",IF(J977="","",J977),IFERROR(AVERAGEIFS('Pesagens'!$C$6:$C$2005,'Pesagens'!$B$6:$B$2005,A977,'Pesagens'!$A$6:$A$2005,O977),"")))</f>
        <v/>
      </c>
      <c r="Q977" s="42">
        <f>IF(OR(A977="",O977="",I977="",J977=""),"",IFERROR((P977-J977)/(O977-I977),""))</f>
        <v/>
      </c>
    </row>
    <row r="978">
      <c r="A978" s="36" t="n"/>
      <c r="B978" s="32" t="n"/>
      <c r="C978" s="37" t="n"/>
      <c r="D978" s="31" t="n"/>
      <c r="E978" s="32" t="n"/>
      <c r="F978" s="32" t="n"/>
      <c r="G978" s="32" t="n"/>
      <c r="H978" s="36" t="n"/>
      <c r="I978" s="31" t="n"/>
      <c r="J978" s="38" t="n"/>
      <c r="K978" s="32" t="n"/>
      <c r="L978" s="34">
        <f>IF(OR(A978="",D978=""),"",IF(D978&gt;Config!$B$5,0,DATEDIF(D978,Config!$B$5,"m")))</f>
        <v/>
      </c>
      <c r="M978" s="39">
        <f>IF(A978="","",IF(K978&lt;&gt;"",K978,IF(OR(C978="",D978=""),"Sem dados",IFERROR(IF(C978="M",INDEX(Config!$B$11:$B$14,MATCH(L978,Config!$A$11:$A$14,1)),IF(C978="F",INDEX(Config!$C$11:$C$14,MATCH(L978,Config!$A$11:$A$14,1)),"Sem dados")),"Verificar"))))</f>
        <v/>
      </c>
      <c r="N978" s="39">
        <f>IF(A978="","",IF(COUNTIFS('Movimentações'!$C$6:$C$1505,A978,'Movimentações'!$B$6:$B$1505,"Venda")&gt;0,"Vendido",IF(COUNTIFS('Movimentações'!$C$6:$C$1505,A978,'Movimentações'!$B$6:$B$1505,"Morte")&gt;0,"Morto","Ativo")))</f>
        <v/>
      </c>
      <c r="O978" s="40">
        <f>IF(A978="","",IF(COUNTIF('Pesagens'!$B$6:$B$2005,A978)=0,"",SUMPRODUCT(MAX(('Pesagens'!$B$6:$B$2005=A978)*'Pesagens'!$A$6:$A$2005))))</f>
        <v/>
      </c>
      <c r="P978" s="41">
        <f>IF(A978="","",IF(O978="",IF(J978="","",J978),IFERROR(AVERAGEIFS('Pesagens'!$C$6:$C$2005,'Pesagens'!$B$6:$B$2005,A978,'Pesagens'!$A$6:$A$2005,O978),"")))</f>
        <v/>
      </c>
      <c r="Q978" s="42">
        <f>IF(OR(A978="",O978="",I978="",J978=""),"",IFERROR((P978-J978)/(O978-I978),""))</f>
        <v/>
      </c>
    </row>
    <row r="979">
      <c r="A979" s="36" t="n"/>
      <c r="B979" s="32" t="n"/>
      <c r="C979" s="37" t="n"/>
      <c r="D979" s="31" t="n"/>
      <c r="E979" s="32" t="n"/>
      <c r="F979" s="32" t="n"/>
      <c r="G979" s="32" t="n"/>
      <c r="H979" s="36" t="n"/>
      <c r="I979" s="31" t="n"/>
      <c r="J979" s="38" t="n"/>
      <c r="K979" s="32" t="n"/>
      <c r="L979" s="34">
        <f>IF(OR(A979="",D979=""),"",IF(D979&gt;Config!$B$5,0,DATEDIF(D979,Config!$B$5,"m")))</f>
        <v/>
      </c>
      <c r="M979" s="39">
        <f>IF(A979="","",IF(K979&lt;&gt;"",K979,IF(OR(C979="",D979=""),"Sem dados",IFERROR(IF(C979="M",INDEX(Config!$B$11:$B$14,MATCH(L979,Config!$A$11:$A$14,1)),IF(C979="F",INDEX(Config!$C$11:$C$14,MATCH(L979,Config!$A$11:$A$14,1)),"Sem dados")),"Verificar"))))</f>
        <v/>
      </c>
      <c r="N979" s="39">
        <f>IF(A979="","",IF(COUNTIFS('Movimentações'!$C$6:$C$1505,A979,'Movimentações'!$B$6:$B$1505,"Venda")&gt;0,"Vendido",IF(COUNTIFS('Movimentações'!$C$6:$C$1505,A979,'Movimentações'!$B$6:$B$1505,"Morte")&gt;0,"Morto","Ativo")))</f>
        <v/>
      </c>
      <c r="O979" s="40">
        <f>IF(A979="","",IF(COUNTIF('Pesagens'!$B$6:$B$2005,A979)=0,"",SUMPRODUCT(MAX(('Pesagens'!$B$6:$B$2005=A979)*'Pesagens'!$A$6:$A$2005))))</f>
        <v/>
      </c>
      <c r="P979" s="41">
        <f>IF(A979="","",IF(O979="",IF(J979="","",J979),IFERROR(AVERAGEIFS('Pesagens'!$C$6:$C$2005,'Pesagens'!$B$6:$B$2005,A979,'Pesagens'!$A$6:$A$2005,O979),"")))</f>
        <v/>
      </c>
      <c r="Q979" s="42">
        <f>IF(OR(A979="",O979="",I979="",J979=""),"",IFERROR((P979-J979)/(O979-I979),""))</f>
        <v/>
      </c>
    </row>
    <row r="980">
      <c r="A980" s="36" t="n"/>
      <c r="B980" s="32" t="n"/>
      <c r="C980" s="37" t="n"/>
      <c r="D980" s="31" t="n"/>
      <c r="E980" s="32" t="n"/>
      <c r="F980" s="32" t="n"/>
      <c r="G980" s="32" t="n"/>
      <c r="H980" s="36" t="n"/>
      <c r="I980" s="31" t="n"/>
      <c r="J980" s="38" t="n"/>
      <c r="K980" s="32" t="n"/>
      <c r="L980" s="34">
        <f>IF(OR(A980="",D980=""),"",IF(D980&gt;Config!$B$5,0,DATEDIF(D980,Config!$B$5,"m")))</f>
        <v/>
      </c>
      <c r="M980" s="39">
        <f>IF(A980="","",IF(K980&lt;&gt;"",K980,IF(OR(C980="",D980=""),"Sem dados",IFERROR(IF(C980="M",INDEX(Config!$B$11:$B$14,MATCH(L980,Config!$A$11:$A$14,1)),IF(C980="F",INDEX(Config!$C$11:$C$14,MATCH(L980,Config!$A$11:$A$14,1)),"Sem dados")),"Verificar"))))</f>
        <v/>
      </c>
      <c r="N980" s="39">
        <f>IF(A980="","",IF(COUNTIFS('Movimentações'!$C$6:$C$1505,A980,'Movimentações'!$B$6:$B$1505,"Venda")&gt;0,"Vendido",IF(COUNTIFS('Movimentações'!$C$6:$C$1505,A980,'Movimentações'!$B$6:$B$1505,"Morte")&gt;0,"Morto","Ativo")))</f>
        <v/>
      </c>
      <c r="O980" s="40">
        <f>IF(A980="","",IF(COUNTIF('Pesagens'!$B$6:$B$2005,A980)=0,"",SUMPRODUCT(MAX(('Pesagens'!$B$6:$B$2005=A980)*'Pesagens'!$A$6:$A$2005))))</f>
        <v/>
      </c>
      <c r="P980" s="41">
        <f>IF(A980="","",IF(O980="",IF(J980="","",J980),IFERROR(AVERAGEIFS('Pesagens'!$C$6:$C$2005,'Pesagens'!$B$6:$B$2005,A980,'Pesagens'!$A$6:$A$2005,O980),"")))</f>
        <v/>
      </c>
      <c r="Q980" s="42">
        <f>IF(OR(A980="",O980="",I980="",J980=""),"",IFERROR((P980-J980)/(O980-I980),""))</f>
        <v/>
      </c>
    </row>
    <row r="981">
      <c r="A981" s="36" t="n"/>
      <c r="B981" s="32" t="n"/>
      <c r="C981" s="37" t="n"/>
      <c r="D981" s="31" t="n"/>
      <c r="E981" s="32" t="n"/>
      <c r="F981" s="32" t="n"/>
      <c r="G981" s="32" t="n"/>
      <c r="H981" s="36" t="n"/>
      <c r="I981" s="31" t="n"/>
      <c r="J981" s="38" t="n"/>
      <c r="K981" s="32" t="n"/>
      <c r="L981" s="34">
        <f>IF(OR(A981="",D981=""),"",IF(D981&gt;Config!$B$5,0,DATEDIF(D981,Config!$B$5,"m")))</f>
        <v/>
      </c>
      <c r="M981" s="39">
        <f>IF(A981="","",IF(K981&lt;&gt;"",K981,IF(OR(C981="",D981=""),"Sem dados",IFERROR(IF(C981="M",INDEX(Config!$B$11:$B$14,MATCH(L981,Config!$A$11:$A$14,1)),IF(C981="F",INDEX(Config!$C$11:$C$14,MATCH(L981,Config!$A$11:$A$14,1)),"Sem dados")),"Verificar"))))</f>
        <v/>
      </c>
      <c r="N981" s="39">
        <f>IF(A981="","",IF(COUNTIFS('Movimentações'!$C$6:$C$1505,A981,'Movimentações'!$B$6:$B$1505,"Venda")&gt;0,"Vendido",IF(COUNTIFS('Movimentações'!$C$6:$C$1505,A981,'Movimentações'!$B$6:$B$1505,"Morte")&gt;0,"Morto","Ativo")))</f>
        <v/>
      </c>
      <c r="O981" s="40">
        <f>IF(A981="","",IF(COUNTIF('Pesagens'!$B$6:$B$2005,A981)=0,"",SUMPRODUCT(MAX(('Pesagens'!$B$6:$B$2005=A981)*'Pesagens'!$A$6:$A$2005))))</f>
        <v/>
      </c>
      <c r="P981" s="41">
        <f>IF(A981="","",IF(O981="",IF(J981="","",J981),IFERROR(AVERAGEIFS('Pesagens'!$C$6:$C$2005,'Pesagens'!$B$6:$B$2005,A981,'Pesagens'!$A$6:$A$2005,O981),"")))</f>
        <v/>
      </c>
      <c r="Q981" s="42">
        <f>IF(OR(A981="",O981="",I981="",J981=""),"",IFERROR((P981-J981)/(O981-I981),""))</f>
        <v/>
      </c>
    </row>
    <row r="982">
      <c r="A982" s="36" t="n"/>
      <c r="B982" s="32" t="n"/>
      <c r="C982" s="37" t="n"/>
      <c r="D982" s="31" t="n"/>
      <c r="E982" s="32" t="n"/>
      <c r="F982" s="32" t="n"/>
      <c r="G982" s="32" t="n"/>
      <c r="H982" s="36" t="n"/>
      <c r="I982" s="31" t="n"/>
      <c r="J982" s="38" t="n"/>
      <c r="K982" s="32" t="n"/>
      <c r="L982" s="34">
        <f>IF(OR(A982="",D982=""),"",IF(D982&gt;Config!$B$5,0,DATEDIF(D982,Config!$B$5,"m")))</f>
        <v/>
      </c>
      <c r="M982" s="39">
        <f>IF(A982="","",IF(K982&lt;&gt;"",K982,IF(OR(C982="",D982=""),"Sem dados",IFERROR(IF(C982="M",INDEX(Config!$B$11:$B$14,MATCH(L982,Config!$A$11:$A$14,1)),IF(C982="F",INDEX(Config!$C$11:$C$14,MATCH(L982,Config!$A$11:$A$14,1)),"Sem dados")),"Verificar"))))</f>
        <v/>
      </c>
      <c r="N982" s="39">
        <f>IF(A982="","",IF(COUNTIFS('Movimentações'!$C$6:$C$1505,A982,'Movimentações'!$B$6:$B$1505,"Venda")&gt;0,"Vendido",IF(COUNTIFS('Movimentações'!$C$6:$C$1505,A982,'Movimentações'!$B$6:$B$1505,"Morte")&gt;0,"Morto","Ativo")))</f>
        <v/>
      </c>
      <c r="O982" s="40">
        <f>IF(A982="","",IF(COUNTIF('Pesagens'!$B$6:$B$2005,A982)=0,"",SUMPRODUCT(MAX(('Pesagens'!$B$6:$B$2005=A982)*'Pesagens'!$A$6:$A$2005))))</f>
        <v/>
      </c>
      <c r="P982" s="41">
        <f>IF(A982="","",IF(O982="",IF(J982="","",J982),IFERROR(AVERAGEIFS('Pesagens'!$C$6:$C$2005,'Pesagens'!$B$6:$B$2005,A982,'Pesagens'!$A$6:$A$2005,O982),"")))</f>
        <v/>
      </c>
      <c r="Q982" s="42">
        <f>IF(OR(A982="",O982="",I982="",J982=""),"",IFERROR((P982-J982)/(O982-I982),""))</f>
        <v/>
      </c>
    </row>
    <row r="983">
      <c r="A983" s="36" t="n"/>
      <c r="B983" s="32" t="n"/>
      <c r="C983" s="37" t="n"/>
      <c r="D983" s="31" t="n"/>
      <c r="E983" s="32" t="n"/>
      <c r="F983" s="32" t="n"/>
      <c r="G983" s="32" t="n"/>
      <c r="H983" s="36" t="n"/>
      <c r="I983" s="31" t="n"/>
      <c r="J983" s="38" t="n"/>
      <c r="K983" s="32" t="n"/>
      <c r="L983" s="34">
        <f>IF(OR(A983="",D983=""),"",IF(D983&gt;Config!$B$5,0,DATEDIF(D983,Config!$B$5,"m")))</f>
        <v/>
      </c>
      <c r="M983" s="39">
        <f>IF(A983="","",IF(K983&lt;&gt;"",K983,IF(OR(C983="",D983=""),"Sem dados",IFERROR(IF(C983="M",INDEX(Config!$B$11:$B$14,MATCH(L983,Config!$A$11:$A$14,1)),IF(C983="F",INDEX(Config!$C$11:$C$14,MATCH(L983,Config!$A$11:$A$14,1)),"Sem dados")),"Verificar"))))</f>
        <v/>
      </c>
      <c r="N983" s="39">
        <f>IF(A983="","",IF(COUNTIFS('Movimentações'!$C$6:$C$1505,A983,'Movimentações'!$B$6:$B$1505,"Venda")&gt;0,"Vendido",IF(COUNTIFS('Movimentações'!$C$6:$C$1505,A983,'Movimentações'!$B$6:$B$1505,"Morte")&gt;0,"Morto","Ativo")))</f>
        <v/>
      </c>
      <c r="O983" s="40">
        <f>IF(A983="","",IF(COUNTIF('Pesagens'!$B$6:$B$2005,A983)=0,"",SUMPRODUCT(MAX(('Pesagens'!$B$6:$B$2005=A983)*'Pesagens'!$A$6:$A$2005))))</f>
        <v/>
      </c>
      <c r="P983" s="41">
        <f>IF(A983="","",IF(O983="",IF(J983="","",J983),IFERROR(AVERAGEIFS('Pesagens'!$C$6:$C$2005,'Pesagens'!$B$6:$B$2005,A983,'Pesagens'!$A$6:$A$2005,O983),"")))</f>
        <v/>
      </c>
      <c r="Q983" s="42">
        <f>IF(OR(A983="",O983="",I983="",J983=""),"",IFERROR((P983-J983)/(O983-I983),""))</f>
        <v/>
      </c>
    </row>
    <row r="984">
      <c r="A984" s="36" t="n"/>
      <c r="B984" s="32" t="n"/>
      <c r="C984" s="37" t="n"/>
      <c r="D984" s="31" t="n"/>
      <c r="E984" s="32" t="n"/>
      <c r="F984" s="32" t="n"/>
      <c r="G984" s="32" t="n"/>
      <c r="H984" s="36" t="n"/>
      <c r="I984" s="31" t="n"/>
      <c r="J984" s="38" t="n"/>
      <c r="K984" s="32" t="n"/>
      <c r="L984" s="34">
        <f>IF(OR(A984="",D984=""),"",IF(D984&gt;Config!$B$5,0,DATEDIF(D984,Config!$B$5,"m")))</f>
        <v/>
      </c>
      <c r="M984" s="39">
        <f>IF(A984="","",IF(K984&lt;&gt;"",K984,IF(OR(C984="",D984=""),"Sem dados",IFERROR(IF(C984="M",INDEX(Config!$B$11:$B$14,MATCH(L984,Config!$A$11:$A$14,1)),IF(C984="F",INDEX(Config!$C$11:$C$14,MATCH(L984,Config!$A$11:$A$14,1)),"Sem dados")),"Verificar"))))</f>
        <v/>
      </c>
      <c r="N984" s="39">
        <f>IF(A984="","",IF(COUNTIFS('Movimentações'!$C$6:$C$1505,A984,'Movimentações'!$B$6:$B$1505,"Venda")&gt;0,"Vendido",IF(COUNTIFS('Movimentações'!$C$6:$C$1505,A984,'Movimentações'!$B$6:$B$1505,"Morte")&gt;0,"Morto","Ativo")))</f>
        <v/>
      </c>
      <c r="O984" s="40">
        <f>IF(A984="","",IF(COUNTIF('Pesagens'!$B$6:$B$2005,A984)=0,"",SUMPRODUCT(MAX(('Pesagens'!$B$6:$B$2005=A984)*'Pesagens'!$A$6:$A$2005))))</f>
        <v/>
      </c>
      <c r="P984" s="41">
        <f>IF(A984="","",IF(O984="",IF(J984="","",J984),IFERROR(AVERAGEIFS('Pesagens'!$C$6:$C$2005,'Pesagens'!$B$6:$B$2005,A984,'Pesagens'!$A$6:$A$2005,O984),"")))</f>
        <v/>
      </c>
      <c r="Q984" s="42">
        <f>IF(OR(A984="",O984="",I984="",J984=""),"",IFERROR((P984-J984)/(O984-I984),""))</f>
        <v/>
      </c>
    </row>
    <row r="985">
      <c r="A985" s="36" t="n"/>
      <c r="B985" s="32" t="n"/>
      <c r="C985" s="37" t="n"/>
      <c r="D985" s="31" t="n"/>
      <c r="E985" s="32" t="n"/>
      <c r="F985" s="32" t="n"/>
      <c r="G985" s="32" t="n"/>
      <c r="H985" s="36" t="n"/>
      <c r="I985" s="31" t="n"/>
      <c r="J985" s="38" t="n"/>
      <c r="K985" s="32" t="n"/>
      <c r="L985" s="34">
        <f>IF(OR(A985="",D985=""),"",IF(D985&gt;Config!$B$5,0,DATEDIF(D985,Config!$B$5,"m")))</f>
        <v/>
      </c>
      <c r="M985" s="39">
        <f>IF(A985="","",IF(K985&lt;&gt;"",K985,IF(OR(C985="",D985=""),"Sem dados",IFERROR(IF(C985="M",INDEX(Config!$B$11:$B$14,MATCH(L985,Config!$A$11:$A$14,1)),IF(C985="F",INDEX(Config!$C$11:$C$14,MATCH(L985,Config!$A$11:$A$14,1)),"Sem dados")),"Verificar"))))</f>
        <v/>
      </c>
      <c r="N985" s="39">
        <f>IF(A985="","",IF(COUNTIFS('Movimentações'!$C$6:$C$1505,A985,'Movimentações'!$B$6:$B$1505,"Venda")&gt;0,"Vendido",IF(COUNTIFS('Movimentações'!$C$6:$C$1505,A985,'Movimentações'!$B$6:$B$1505,"Morte")&gt;0,"Morto","Ativo")))</f>
        <v/>
      </c>
      <c r="O985" s="40">
        <f>IF(A985="","",IF(COUNTIF('Pesagens'!$B$6:$B$2005,A985)=0,"",SUMPRODUCT(MAX(('Pesagens'!$B$6:$B$2005=A985)*'Pesagens'!$A$6:$A$2005))))</f>
        <v/>
      </c>
      <c r="P985" s="41">
        <f>IF(A985="","",IF(O985="",IF(J985="","",J985),IFERROR(AVERAGEIFS('Pesagens'!$C$6:$C$2005,'Pesagens'!$B$6:$B$2005,A985,'Pesagens'!$A$6:$A$2005,O985),"")))</f>
        <v/>
      </c>
      <c r="Q985" s="42">
        <f>IF(OR(A985="",O985="",I985="",J985=""),"",IFERROR((P985-J985)/(O985-I985),""))</f>
        <v/>
      </c>
    </row>
    <row r="986">
      <c r="A986" s="36" t="n"/>
      <c r="B986" s="32" t="n"/>
      <c r="C986" s="37" t="n"/>
      <c r="D986" s="31" t="n"/>
      <c r="E986" s="32" t="n"/>
      <c r="F986" s="32" t="n"/>
      <c r="G986" s="32" t="n"/>
      <c r="H986" s="36" t="n"/>
      <c r="I986" s="31" t="n"/>
      <c r="J986" s="38" t="n"/>
      <c r="K986" s="32" t="n"/>
      <c r="L986" s="34">
        <f>IF(OR(A986="",D986=""),"",IF(D986&gt;Config!$B$5,0,DATEDIF(D986,Config!$B$5,"m")))</f>
        <v/>
      </c>
      <c r="M986" s="39">
        <f>IF(A986="","",IF(K986&lt;&gt;"",K986,IF(OR(C986="",D986=""),"Sem dados",IFERROR(IF(C986="M",INDEX(Config!$B$11:$B$14,MATCH(L986,Config!$A$11:$A$14,1)),IF(C986="F",INDEX(Config!$C$11:$C$14,MATCH(L986,Config!$A$11:$A$14,1)),"Sem dados")),"Verificar"))))</f>
        <v/>
      </c>
      <c r="N986" s="39">
        <f>IF(A986="","",IF(COUNTIFS('Movimentações'!$C$6:$C$1505,A986,'Movimentações'!$B$6:$B$1505,"Venda")&gt;0,"Vendido",IF(COUNTIFS('Movimentações'!$C$6:$C$1505,A986,'Movimentações'!$B$6:$B$1505,"Morte")&gt;0,"Morto","Ativo")))</f>
        <v/>
      </c>
      <c r="O986" s="40">
        <f>IF(A986="","",IF(COUNTIF('Pesagens'!$B$6:$B$2005,A986)=0,"",SUMPRODUCT(MAX(('Pesagens'!$B$6:$B$2005=A986)*'Pesagens'!$A$6:$A$2005))))</f>
        <v/>
      </c>
      <c r="P986" s="41">
        <f>IF(A986="","",IF(O986="",IF(J986="","",J986),IFERROR(AVERAGEIFS('Pesagens'!$C$6:$C$2005,'Pesagens'!$B$6:$B$2005,A986,'Pesagens'!$A$6:$A$2005,O986),"")))</f>
        <v/>
      </c>
      <c r="Q986" s="42">
        <f>IF(OR(A986="",O986="",I986="",J986=""),"",IFERROR((P986-J986)/(O986-I986),""))</f>
        <v/>
      </c>
    </row>
    <row r="987">
      <c r="A987" s="36" t="n"/>
      <c r="B987" s="32" t="n"/>
      <c r="C987" s="37" t="n"/>
      <c r="D987" s="31" t="n"/>
      <c r="E987" s="32" t="n"/>
      <c r="F987" s="32" t="n"/>
      <c r="G987" s="32" t="n"/>
      <c r="H987" s="36" t="n"/>
      <c r="I987" s="31" t="n"/>
      <c r="J987" s="38" t="n"/>
      <c r="K987" s="32" t="n"/>
      <c r="L987" s="34">
        <f>IF(OR(A987="",D987=""),"",IF(D987&gt;Config!$B$5,0,DATEDIF(D987,Config!$B$5,"m")))</f>
        <v/>
      </c>
      <c r="M987" s="39">
        <f>IF(A987="","",IF(K987&lt;&gt;"",K987,IF(OR(C987="",D987=""),"Sem dados",IFERROR(IF(C987="M",INDEX(Config!$B$11:$B$14,MATCH(L987,Config!$A$11:$A$14,1)),IF(C987="F",INDEX(Config!$C$11:$C$14,MATCH(L987,Config!$A$11:$A$14,1)),"Sem dados")),"Verificar"))))</f>
        <v/>
      </c>
      <c r="N987" s="39">
        <f>IF(A987="","",IF(COUNTIFS('Movimentações'!$C$6:$C$1505,A987,'Movimentações'!$B$6:$B$1505,"Venda")&gt;0,"Vendido",IF(COUNTIFS('Movimentações'!$C$6:$C$1505,A987,'Movimentações'!$B$6:$B$1505,"Morte")&gt;0,"Morto","Ativo")))</f>
        <v/>
      </c>
      <c r="O987" s="40">
        <f>IF(A987="","",IF(COUNTIF('Pesagens'!$B$6:$B$2005,A987)=0,"",SUMPRODUCT(MAX(('Pesagens'!$B$6:$B$2005=A987)*'Pesagens'!$A$6:$A$2005))))</f>
        <v/>
      </c>
      <c r="P987" s="41">
        <f>IF(A987="","",IF(O987="",IF(J987="","",J987),IFERROR(AVERAGEIFS('Pesagens'!$C$6:$C$2005,'Pesagens'!$B$6:$B$2005,A987,'Pesagens'!$A$6:$A$2005,O987),"")))</f>
        <v/>
      </c>
      <c r="Q987" s="42">
        <f>IF(OR(A987="",O987="",I987="",J987=""),"",IFERROR((P987-J987)/(O987-I987),""))</f>
        <v/>
      </c>
    </row>
    <row r="988">
      <c r="A988" s="36" t="n"/>
      <c r="B988" s="32" t="n"/>
      <c r="C988" s="37" t="n"/>
      <c r="D988" s="31" t="n"/>
      <c r="E988" s="32" t="n"/>
      <c r="F988" s="32" t="n"/>
      <c r="G988" s="32" t="n"/>
      <c r="H988" s="36" t="n"/>
      <c r="I988" s="31" t="n"/>
      <c r="J988" s="38" t="n"/>
      <c r="K988" s="32" t="n"/>
      <c r="L988" s="34">
        <f>IF(OR(A988="",D988=""),"",IF(D988&gt;Config!$B$5,0,DATEDIF(D988,Config!$B$5,"m")))</f>
        <v/>
      </c>
      <c r="M988" s="39">
        <f>IF(A988="","",IF(K988&lt;&gt;"",K988,IF(OR(C988="",D988=""),"Sem dados",IFERROR(IF(C988="M",INDEX(Config!$B$11:$B$14,MATCH(L988,Config!$A$11:$A$14,1)),IF(C988="F",INDEX(Config!$C$11:$C$14,MATCH(L988,Config!$A$11:$A$14,1)),"Sem dados")),"Verificar"))))</f>
        <v/>
      </c>
      <c r="N988" s="39">
        <f>IF(A988="","",IF(COUNTIFS('Movimentações'!$C$6:$C$1505,A988,'Movimentações'!$B$6:$B$1505,"Venda")&gt;0,"Vendido",IF(COUNTIFS('Movimentações'!$C$6:$C$1505,A988,'Movimentações'!$B$6:$B$1505,"Morte")&gt;0,"Morto","Ativo")))</f>
        <v/>
      </c>
      <c r="O988" s="40">
        <f>IF(A988="","",IF(COUNTIF('Pesagens'!$B$6:$B$2005,A988)=0,"",SUMPRODUCT(MAX(('Pesagens'!$B$6:$B$2005=A988)*'Pesagens'!$A$6:$A$2005))))</f>
        <v/>
      </c>
      <c r="P988" s="41">
        <f>IF(A988="","",IF(O988="",IF(J988="","",J988),IFERROR(AVERAGEIFS('Pesagens'!$C$6:$C$2005,'Pesagens'!$B$6:$B$2005,A988,'Pesagens'!$A$6:$A$2005,O988),"")))</f>
        <v/>
      </c>
      <c r="Q988" s="42">
        <f>IF(OR(A988="",O988="",I988="",J988=""),"",IFERROR((P988-J988)/(O988-I988),""))</f>
        <v/>
      </c>
    </row>
    <row r="989">
      <c r="A989" s="36" t="n"/>
      <c r="B989" s="32" t="n"/>
      <c r="C989" s="37" t="n"/>
      <c r="D989" s="31" t="n"/>
      <c r="E989" s="32" t="n"/>
      <c r="F989" s="32" t="n"/>
      <c r="G989" s="32" t="n"/>
      <c r="H989" s="36" t="n"/>
      <c r="I989" s="31" t="n"/>
      <c r="J989" s="38" t="n"/>
      <c r="K989" s="32" t="n"/>
      <c r="L989" s="34">
        <f>IF(OR(A989="",D989=""),"",IF(D989&gt;Config!$B$5,0,DATEDIF(D989,Config!$B$5,"m")))</f>
        <v/>
      </c>
      <c r="M989" s="39">
        <f>IF(A989="","",IF(K989&lt;&gt;"",K989,IF(OR(C989="",D989=""),"Sem dados",IFERROR(IF(C989="M",INDEX(Config!$B$11:$B$14,MATCH(L989,Config!$A$11:$A$14,1)),IF(C989="F",INDEX(Config!$C$11:$C$14,MATCH(L989,Config!$A$11:$A$14,1)),"Sem dados")),"Verificar"))))</f>
        <v/>
      </c>
      <c r="N989" s="39">
        <f>IF(A989="","",IF(COUNTIFS('Movimentações'!$C$6:$C$1505,A989,'Movimentações'!$B$6:$B$1505,"Venda")&gt;0,"Vendido",IF(COUNTIFS('Movimentações'!$C$6:$C$1505,A989,'Movimentações'!$B$6:$B$1505,"Morte")&gt;0,"Morto","Ativo")))</f>
        <v/>
      </c>
      <c r="O989" s="40">
        <f>IF(A989="","",IF(COUNTIF('Pesagens'!$B$6:$B$2005,A989)=0,"",SUMPRODUCT(MAX(('Pesagens'!$B$6:$B$2005=A989)*'Pesagens'!$A$6:$A$2005))))</f>
        <v/>
      </c>
      <c r="P989" s="41">
        <f>IF(A989="","",IF(O989="",IF(J989="","",J989),IFERROR(AVERAGEIFS('Pesagens'!$C$6:$C$2005,'Pesagens'!$B$6:$B$2005,A989,'Pesagens'!$A$6:$A$2005,O989),"")))</f>
        <v/>
      </c>
      <c r="Q989" s="42">
        <f>IF(OR(A989="",O989="",I989="",J989=""),"",IFERROR((P989-J989)/(O989-I989),""))</f>
        <v/>
      </c>
    </row>
    <row r="990">
      <c r="A990" s="36" t="n"/>
      <c r="B990" s="32" t="n"/>
      <c r="C990" s="37" t="n"/>
      <c r="D990" s="31" t="n"/>
      <c r="E990" s="32" t="n"/>
      <c r="F990" s="32" t="n"/>
      <c r="G990" s="32" t="n"/>
      <c r="H990" s="36" t="n"/>
      <c r="I990" s="31" t="n"/>
      <c r="J990" s="38" t="n"/>
      <c r="K990" s="32" t="n"/>
      <c r="L990" s="34">
        <f>IF(OR(A990="",D990=""),"",IF(D990&gt;Config!$B$5,0,DATEDIF(D990,Config!$B$5,"m")))</f>
        <v/>
      </c>
      <c r="M990" s="39">
        <f>IF(A990="","",IF(K990&lt;&gt;"",K990,IF(OR(C990="",D990=""),"Sem dados",IFERROR(IF(C990="M",INDEX(Config!$B$11:$B$14,MATCH(L990,Config!$A$11:$A$14,1)),IF(C990="F",INDEX(Config!$C$11:$C$14,MATCH(L990,Config!$A$11:$A$14,1)),"Sem dados")),"Verificar"))))</f>
        <v/>
      </c>
      <c r="N990" s="39">
        <f>IF(A990="","",IF(COUNTIFS('Movimentações'!$C$6:$C$1505,A990,'Movimentações'!$B$6:$B$1505,"Venda")&gt;0,"Vendido",IF(COUNTIFS('Movimentações'!$C$6:$C$1505,A990,'Movimentações'!$B$6:$B$1505,"Morte")&gt;0,"Morto","Ativo")))</f>
        <v/>
      </c>
      <c r="O990" s="40">
        <f>IF(A990="","",IF(COUNTIF('Pesagens'!$B$6:$B$2005,A990)=0,"",SUMPRODUCT(MAX(('Pesagens'!$B$6:$B$2005=A990)*'Pesagens'!$A$6:$A$2005))))</f>
        <v/>
      </c>
      <c r="P990" s="41">
        <f>IF(A990="","",IF(O990="",IF(J990="","",J990),IFERROR(AVERAGEIFS('Pesagens'!$C$6:$C$2005,'Pesagens'!$B$6:$B$2005,A990,'Pesagens'!$A$6:$A$2005,O990),"")))</f>
        <v/>
      </c>
      <c r="Q990" s="42">
        <f>IF(OR(A990="",O990="",I990="",J990=""),"",IFERROR((P990-J990)/(O990-I990),""))</f>
        <v/>
      </c>
    </row>
    <row r="991">
      <c r="A991" s="36" t="n"/>
      <c r="B991" s="32" t="n"/>
      <c r="C991" s="37" t="n"/>
      <c r="D991" s="31" t="n"/>
      <c r="E991" s="32" t="n"/>
      <c r="F991" s="32" t="n"/>
      <c r="G991" s="32" t="n"/>
      <c r="H991" s="36" t="n"/>
      <c r="I991" s="31" t="n"/>
      <c r="J991" s="38" t="n"/>
      <c r="K991" s="32" t="n"/>
      <c r="L991" s="34">
        <f>IF(OR(A991="",D991=""),"",IF(D991&gt;Config!$B$5,0,DATEDIF(D991,Config!$B$5,"m")))</f>
        <v/>
      </c>
      <c r="M991" s="39">
        <f>IF(A991="","",IF(K991&lt;&gt;"",K991,IF(OR(C991="",D991=""),"Sem dados",IFERROR(IF(C991="M",INDEX(Config!$B$11:$B$14,MATCH(L991,Config!$A$11:$A$14,1)),IF(C991="F",INDEX(Config!$C$11:$C$14,MATCH(L991,Config!$A$11:$A$14,1)),"Sem dados")),"Verificar"))))</f>
        <v/>
      </c>
      <c r="N991" s="39">
        <f>IF(A991="","",IF(COUNTIFS('Movimentações'!$C$6:$C$1505,A991,'Movimentações'!$B$6:$B$1505,"Venda")&gt;0,"Vendido",IF(COUNTIFS('Movimentações'!$C$6:$C$1505,A991,'Movimentações'!$B$6:$B$1505,"Morte")&gt;0,"Morto","Ativo")))</f>
        <v/>
      </c>
      <c r="O991" s="40">
        <f>IF(A991="","",IF(COUNTIF('Pesagens'!$B$6:$B$2005,A991)=0,"",SUMPRODUCT(MAX(('Pesagens'!$B$6:$B$2005=A991)*'Pesagens'!$A$6:$A$2005))))</f>
        <v/>
      </c>
      <c r="P991" s="41">
        <f>IF(A991="","",IF(O991="",IF(J991="","",J991),IFERROR(AVERAGEIFS('Pesagens'!$C$6:$C$2005,'Pesagens'!$B$6:$B$2005,A991,'Pesagens'!$A$6:$A$2005,O991),"")))</f>
        <v/>
      </c>
      <c r="Q991" s="42">
        <f>IF(OR(A991="",O991="",I991="",J991=""),"",IFERROR((P991-J991)/(O991-I991),""))</f>
        <v/>
      </c>
    </row>
    <row r="992">
      <c r="A992" s="36" t="n"/>
      <c r="B992" s="32" t="n"/>
      <c r="C992" s="37" t="n"/>
      <c r="D992" s="31" t="n"/>
      <c r="E992" s="32" t="n"/>
      <c r="F992" s="32" t="n"/>
      <c r="G992" s="32" t="n"/>
      <c r="H992" s="36" t="n"/>
      <c r="I992" s="31" t="n"/>
      <c r="J992" s="38" t="n"/>
      <c r="K992" s="32" t="n"/>
      <c r="L992" s="34">
        <f>IF(OR(A992="",D992=""),"",IF(D992&gt;Config!$B$5,0,DATEDIF(D992,Config!$B$5,"m")))</f>
        <v/>
      </c>
      <c r="M992" s="39">
        <f>IF(A992="","",IF(K992&lt;&gt;"",K992,IF(OR(C992="",D992=""),"Sem dados",IFERROR(IF(C992="M",INDEX(Config!$B$11:$B$14,MATCH(L992,Config!$A$11:$A$14,1)),IF(C992="F",INDEX(Config!$C$11:$C$14,MATCH(L992,Config!$A$11:$A$14,1)),"Sem dados")),"Verificar"))))</f>
        <v/>
      </c>
      <c r="N992" s="39">
        <f>IF(A992="","",IF(COUNTIFS('Movimentações'!$C$6:$C$1505,A992,'Movimentações'!$B$6:$B$1505,"Venda")&gt;0,"Vendido",IF(COUNTIFS('Movimentações'!$C$6:$C$1505,A992,'Movimentações'!$B$6:$B$1505,"Morte")&gt;0,"Morto","Ativo")))</f>
        <v/>
      </c>
      <c r="O992" s="40">
        <f>IF(A992="","",IF(COUNTIF('Pesagens'!$B$6:$B$2005,A992)=0,"",SUMPRODUCT(MAX(('Pesagens'!$B$6:$B$2005=A992)*'Pesagens'!$A$6:$A$2005))))</f>
        <v/>
      </c>
      <c r="P992" s="41">
        <f>IF(A992="","",IF(O992="",IF(J992="","",J992),IFERROR(AVERAGEIFS('Pesagens'!$C$6:$C$2005,'Pesagens'!$B$6:$B$2005,A992,'Pesagens'!$A$6:$A$2005,O992),"")))</f>
        <v/>
      </c>
      <c r="Q992" s="42">
        <f>IF(OR(A992="",O992="",I992="",J992=""),"",IFERROR((P992-J992)/(O992-I992),""))</f>
        <v/>
      </c>
    </row>
    <row r="993">
      <c r="A993" s="36" t="n"/>
      <c r="B993" s="32" t="n"/>
      <c r="C993" s="37" t="n"/>
      <c r="D993" s="31" t="n"/>
      <c r="E993" s="32" t="n"/>
      <c r="F993" s="32" t="n"/>
      <c r="G993" s="32" t="n"/>
      <c r="H993" s="36" t="n"/>
      <c r="I993" s="31" t="n"/>
      <c r="J993" s="38" t="n"/>
      <c r="K993" s="32" t="n"/>
      <c r="L993" s="34">
        <f>IF(OR(A993="",D993=""),"",IF(D993&gt;Config!$B$5,0,DATEDIF(D993,Config!$B$5,"m")))</f>
        <v/>
      </c>
      <c r="M993" s="39">
        <f>IF(A993="","",IF(K993&lt;&gt;"",K993,IF(OR(C993="",D993=""),"Sem dados",IFERROR(IF(C993="M",INDEX(Config!$B$11:$B$14,MATCH(L993,Config!$A$11:$A$14,1)),IF(C993="F",INDEX(Config!$C$11:$C$14,MATCH(L993,Config!$A$11:$A$14,1)),"Sem dados")),"Verificar"))))</f>
        <v/>
      </c>
      <c r="N993" s="39">
        <f>IF(A993="","",IF(COUNTIFS('Movimentações'!$C$6:$C$1505,A993,'Movimentações'!$B$6:$B$1505,"Venda")&gt;0,"Vendido",IF(COUNTIFS('Movimentações'!$C$6:$C$1505,A993,'Movimentações'!$B$6:$B$1505,"Morte")&gt;0,"Morto","Ativo")))</f>
        <v/>
      </c>
      <c r="O993" s="40">
        <f>IF(A993="","",IF(COUNTIF('Pesagens'!$B$6:$B$2005,A993)=0,"",SUMPRODUCT(MAX(('Pesagens'!$B$6:$B$2005=A993)*'Pesagens'!$A$6:$A$2005))))</f>
        <v/>
      </c>
      <c r="P993" s="41">
        <f>IF(A993="","",IF(O993="",IF(J993="","",J993),IFERROR(AVERAGEIFS('Pesagens'!$C$6:$C$2005,'Pesagens'!$B$6:$B$2005,A993,'Pesagens'!$A$6:$A$2005,O993),"")))</f>
        <v/>
      </c>
      <c r="Q993" s="42">
        <f>IF(OR(A993="",O993="",I993="",J993=""),"",IFERROR((P993-J993)/(O993-I993),""))</f>
        <v/>
      </c>
    </row>
    <row r="994">
      <c r="A994" s="36" t="n"/>
      <c r="B994" s="32" t="n"/>
      <c r="C994" s="37" t="n"/>
      <c r="D994" s="31" t="n"/>
      <c r="E994" s="32" t="n"/>
      <c r="F994" s="32" t="n"/>
      <c r="G994" s="32" t="n"/>
      <c r="H994" s="36" t="n"/>
      <c r="I994" s="31" t="n"/>
      <c r="J994" s="38" t="n"/>
      <c r="K994" s="32" t="n"/>
      <c r="L994" s="34">
        <f>IF(OR(A994="",D994=""),"",IF(D994&gt;Config!$B$5,0,DATEDIF(D994,Config!$B$5,"m")))</f>
        <v/>
      </c>
      <c r="M994" s="39">
        <f>IF(A994="","",IF(K994&lt;&gt;"",K994,IF(OR(C994="",D994=""),"Sem dados",IFERROR(IF(C994="M",INDEX(Config!$B$11:$B$14,MATCH(L994,Config!$A$11:$A$14,1)),IF(C994="F",INDEX(Config!$C$11:$C$14,MATCH(L994,Config!$A$11:$A$14,1)),"Sem dados")),"Verificar"))))</f>
        <v/>
      </c>
      <c r="N994" s="39">
        <f>IF(A994="","",IF(COUNTIFS('Movimentações'!$C$6:$C$1505,A994,'Movimentações'!$B$6:$B$1505,"Venda")&gt;0,"Vendido",IF(COUNTIFS('Movimentações'!$C$6:$C$1505,A994,'Movimentações'!$B$6:$B$1505,"Morte")&gt;0,"Morto","Ativo")))</f>
        <v/>
      </c>
      <c r="O994" s="40">
        <f>IF(A994="","",IF(COUNTIF('Pesagens'!$B$6:$B$2005,A994)=0,"",SUMPRODUCT(MAX(('Pesagens'!$B$6:$B$2005=A994)*'Pesagens'!$A$6:$A$2005))))</f>
        <v/>
      </c>
      <c r="P994" s="41">
        <f>IF(A994="","",IF(O994="",IF(J994="","",J994),IFERROR(AVERAGEIFS('Pesagens'!$C$6:$C$2005,'Pesagens'!$B$6:$B$2005,A994,'Pesagens'!$A$6:$A$2005,O994),"")))</f>
        <v/>
      </c>
      <c r="Q994" s="42">
        <f>IF(OR(A994="",O994="",I994="",J994=""),"",IFERROR((P994-J994)/(O994-I994),""))</f>
        <v/>
      </c>
    </row>
    <row r="995">
      <c r="A995" s="36" t="n"/>
      <c r="B995" s="32" t="n"/>
      <c r="C995" s="37" t="n"/>
      <c r="D995" s="31" t="n"/>
      <c r="E995" s="32" t="n"/>
      <c r="F995" s="32" t="n"/>
      <c r="G995" s="32" t="n"/>
      <c r="H995" s="36" t="n"/>
      <c r="I995" s="31" t="n"/>
      <c r="J995" s="38" t="n"/>
      <c r="K995" s="32" t="n"/>
      <c r="L995" s="34">
        <f>IF(OR(A995="",D995=""),"",IF(D995&gt;Config!$B$5,0,DATEDIF(D995,Config!$B$5,"m")))</f>
        <v/>
      </c>
      <c r="M995" s="39">
        <f>IF(A995="","",IF(K995&lt;&gt;"",K995,IF(OR(C995="",D995=""),"Sem dados",IFERROR(IF(C995="M",INDEX(Config!$B$11:$B$14,MATCH(L995,Config!$A$11:$A$14,1)),IF(C995="F",INDEX(Config!$C$11:$C$14,MATCH(L995,Config!$A$11:$A$14,1)),"Sem dados")),"Verificar"))))</f>
        <v/>
      </c>
      <c r="N995" s="39">
        <f>IF(A995="","",IF(COUNTIFS('Movimentações'!$C$6:$C$1505,A995,'Movimentações'!$B$6:$B$1505,"Venda")&gt;0,"Vendido",IF(COUNTIFS('Movimentações'!$C$6:$C$1505,A995,'Movimentações'!$B$6:$B$1505,"Morte")&gt;0,"Morto","Ativo")))</f>
        <v/>
      </c>
      <c r="O995" s="40">
        <f>IF(A995="","",IF(COUNTIF('Pesagens'!$B$6:$B$2005,A995)=0,"",SUMPRODUCT(MAX(('Pesagens'!$B$6:$B$2005=A995)*'Pesagens'!$A$6:$A$2005))))</f>
        <v/>
      </c>
      <c r="P995" s="41">
        <f>IF(A995="","",IF(O995="",IF(J995="","",J995),IFERROR(AVERAGEIFS('Pesagens'!$C$6:$C$2005,'Pesagens'!$B$6:$B$2005,A995,'Pesagens'!$A$6:$A$2005,O995),"")))</f>
        <v/>
      </c>
      <c r="Q995" s="42">
        <f>IF(OR(A995="",O995="",I995="",J995=""),"",IFERROR((P995-J995)/(O995-I995),""))</f>
        <v/>
      </c>
    </row>
    <row r="996">
      <c r="A996" s="36" t="n"/>
      <c r="B996" s="32" t="n"/>
      <c r="C996" s="37" t="n"/>
      <c r="D996" s="31" t="n"/>
      <c r="E996" s="32" t="n"/>
      <c r="F996" s="32" t="n"/>
      <c r="G996" s="32" t="n"/>
      <c r="H996" s="36" t="n"/>
      <c r="I996" s="31" t="n"/>
      <c r="J996" s="38" t="n"/>
      <c r="K996" s="32" t="n"/>
      <c r="L996" s="34">
        <f>IF(OR(A996="",D996=""),"",IF(D996&gt;Config!$B$5,0,DATEDIF(D996,Config!$B$5,"m")))</f>
        <v/>
      </c>
      <c r="M996" s="39">
        <f>IF(A996="","",IF(K996&lt;&gt;"",K996,IF(OR(C996="",D996=""),"Sem dados",IFERROR(IF(C996="M",INDEX(Config!$B$11:$B$14,MATCH(L996,Config!$A$11:$A$14,1)),IF(C996="F",INDEX(Config!$C$11:$C$14,MATCH(L996,Config!$A$11:$A$14,1)),"Sem dados")),"Verificar"))))</f>
        <v/>
      </c>
      <c r="N996" s="39">
        <f>IF(A996="","",IF(COUNTIFS('Movimentações'!$C$6:$C$1505,A996,'Movimentações'!$B$6:$B$1505,"Venda")&gt;0,"Vendido",IF(COUNTIFS('Movimentações'!$C$6:$C$1505,A996,'Movimentações'!$B$6:$B$1505,"Morte")&gt;0,"Morto","Ativo")))</f>
        <v/>
      </c>
      <c r="O996" s="40">
        <f>IF(A996="","",IF(COUNTIF('Pesagens'!$B$6:$B$2005,A996)=0,"",SUMPRODUCT(MAX(('Pesagens'!$B$6:$B$2005=A996)*'Pesagens'!$A$6:$A$2005))))</f>
        <v/>
      </c>
      <c r="P996" s="41">
        <f>IF(A996="","",IF(O996="",IF(J996="","",J996),IFERROR(AVERAGEIFS('Pesagens'!$C$6:$C$2005,'Pesagens'!$B$6:$B$2005,A996,'Pesagens'!$A$6:$A$2005,O996),"")))</f>
        <v/>
      </c>
      <c r="Q996" s="42">
        <f>IF(OR(A996="",O996="",I996="",J996=""),"",IFERROR((P996-J996)/(O996-I996),""))</f>
        <v/>
      </c>
    </row>
    <row r="997">
      <c r="A997" s="36" t="n"/>
      <c r="B997" s="32" t="n"/>
      <c r="C997" s="37" t="n"/>
      <c r="D997" s="31" t="n"/>
      <c r="E997" s="32" t="n"/>
      <c r="F997" s="32" t="n"/>
      <c r="G997" s="32" t="n"/>
      <c r="H997" s="36" t="n"/>
      <c r="I997" s="31" t="n"/>
      <c r="J997" s="38" t="n"/>
      <c r="K997" s="32" t="n"/>
      <c r="L997" s="34">
        <f>IF(OR(A997="",D997=""),"",IF(D997&gt;Config!$B$5,0,DATEDIF(D997,Config!$B$5,"m")))</f>
        <v/>
      </c>
      <c r="M997" s="39">
        <f>IF(A997="","",IF(K997&lt;&gt;"",K997,IF(OR(C997="",D997=""),"Sem dados",IFERROR(IF(C997="M",INDEX(Config!$B$11:$B$14,MATCH(L997,Config!$A$11:$A$14,1)),IF(C997="F",INDEX(Config!$C$11:$C$14,MATCH(L997,Config!$A$11:$A$14,1)),"Sem dados")),"Verificar"))))</f>
        <v/>
      </c>
      <c r="N997" s="39">
        <f>IF(A997="","",IF(COUNTIFS('Movimentações'!$C$6:$C$1505,A997,'Movimentações'!$B$6:$B$1505,"Venda")&gt;0,"Vendido",IF(COUNTIFS('Movimentações'!$C$6:$C$1505,A997,'Movimentações'!$B$6:$B$1505,"Morte")&gt;0,"Morto","Ativo")))</f>
        <v/>
      </c>
      <c r="O997" s="40">
        <f>IF(A997="","",IF(COUNTIF('Pesagens'!$B$6:$B$2005,A997)=0,"",SUMPRODUCT(MAX(('Pesagens'!$B$6:$B$2005=A997)*'Pesagens'!$A$6:$A$2005))))</f>
        <v/>
      </c>
      <c r="P997" s="41">
        <f>IF(A997="","",IF(O997="",IF(J997="","",J997),IFERROR(AVERAGEIFS('Pesagens'!$C$6:$C$2005,'Pesagens'!$B$6:$B$2005,A997,'Pesagens'!$A$6:$A$2005,O997),"")))</f>
        <v/>
      </c>
      <c r="Q997" s="42">
        <f>IF(OR(A997="",O997="",I997="",J997=""),"",IFERROR((P997-J997)/(O997-I997),""))</f>
        <v/>
      </c>
    </row>
    <row r="998">
      <c r="A998" s="36" t="n"/>
      <c r="B998" s="32" t="n"/>
      <c r="C998" s="37" t="n"/>
      <c r="D998" s="31" t="n"/>
      <c r="E998" s="32" t="n"/>
      <c r="F998" s="32" t="n"/>
      <c r="G998" s="32" t="n"/>
      <c r="H998" s="36" t="n"/>
      <c r="I998" s="31" t="n"/>
      <c r="J998" s="38" t="n"/>
      <c r="K998" s="32" t="n"/>
      <c r="L998" s="34">
        <f>IF(OR(A998="",D998=""),"",IF(D998&gt;Config!$B$5,0,DATEDIF(D998,Config!$B$5,"m")))</f>
        <v/>
      </c>
      <c r="M998" s="39">
        <f>IF(A998="","",IF(K998&lt;&gt;"",K998,IF(OR(C998="",D998=""),"Sem dados",IFERROR(IF(C998="M",INDEX(Config!$B$11:$B$14,MATCH(L998,Config!$A$11:$A$14,1)),IF(C998="F",INDEX(Config!$C$11:$C$14,MATCH(L998,Config!$A$11:$A$14,1)),"Sem dados")),"Verificar"))))</f>
        <v/>
      </c>
      <c r="N998" s="39">
        <f>IF(A998="","",IF(COUNTIFS('Movimentações'!$C$6:$C$1505,A998,'Movimentações'!$B$6:$B$1505,"Venda")&gt;0,"Vendido",IF(COUNTIFS('Movimentações'!$C$6:$C$1505,A998,'Movimentações'!$B$6:$B$1505,"Morte")&gt;0,"Morto","Ativo")))</f>
        <v/>
      </c>
      <c r="O998" s="40">
        <f>IF(A998="","",IF(COUNTIF('Pesagens'!$B$6:$B$2005,A998)=0,"",SUMPRODUCT(MAX(('Pesagens'!$B$6:$B$2005=A998)*'Pesagens'!$A$6:$A$2005))))</f>
        <v/>
      </c>
      <c r="P998" s="41">
        <f>IF(A998="","",IF(O998="",IF(J998="","",J998),IFERROR(AVERAGEIFS('Pesagens'!$C$6:$C$2005,'Pesagens'!$B$6:$B$2005,A998,'Pesagens'!$A$6:$A$2005,O998),"")))</f>
        <v/>
      </c>
      <c r="Q998" s="42">
        <f>IF(OR(A998="",O998="",I998="",J998=""),"",IFERROR((P998-J998)/(O998-I998),""))</f>
        <v/>
      </c>
    </row>
    <row r="999">
      <c r="A999" s="36" t="n"/>
      <c r="B999" s="32" t="n"/>
      <c r="C999" s="37" t="n"/>
      <c r="D999" s="31" t="n"/>
      <c r="E999" s="32" t="n"/>
      <c r="F999" s="32" t="n"/>
      <c r="G999" s="32" t="n"/>
      <c r="H999" s="36" t="n"/>
      <c r="I999" s="31" t="n"/>
      <c r="J999" s="38" t="n"/>
      <c r="K999" s="32" t="n"/>
      <c r="L999" s="34">
        <f>IF(OR(A999="",D999=""),"",IF(D999&gt;Config!$B$5,0,DATEDIF(D999,Config!$B$5,"m")))</f>
        <v/>
      </c>
      <c r="M999" s="39">
        <f>IF(A999="","",IF(K999&lt;&gt;"",K999,IF(OR(C999="",D999=""),"Sem dados",IFERROR(IF(C999="M",INDEX(Config!$B$11:$B$14,MATCH(L999,Config!$A$11:$A$14,1)),IF(C999="F",INDEX(Config!$C$11:$C$14,MATCH(L999,Config!$A$11:$A$14,1)),"Sem dados")),"Verificar"))))</f>
        <v/>
      </c>
      <c r="N999" s="39">
        <f>IF(A999="","",IF(COUNTIFS('Movimentações'!$C$6:$C$1505,A999,'Movimentações'!$B$6:$B$1505,"Venda")&gt;0,"Vendido",IF(COUNTIFS('Movimentações'!$C$6:$C$1505,A999,'Movimentações'!$B$6:$B$1505,"Morte")&gt;0,"Morto","Ativo")))</f>
        <v/>
      </c>
      <c r="O999" s="40">
        <f>IF(A999="","",IF(COUNTIF('Pesagens'!$B$6:$B$2005,A999)=0,"",SUMPRODUCT(MAX(('Pesagens'!$B$6:$B$2005=A999)*'Pesagens'!$A$6:$A$2005))))</f>
        <v/>
      </c>
      <c r="P999" s="41">
        <f>IF(A999="","",IF(O999="",IF(J999="","",J999),IFERROR(AVERAGEIFS('Pesagens'!$C$6:$C$2005,'Pesagens'!$B$6:$B$2005,A999,'Pesagens'!$A$6:$A$2005,O999),"")))</f>
        <v/>
      </c>
      <c r="Q999" s="42">
        <f>IF(OR(A999="",O999="",I999="",J999=""),"",IFERROR((P999-J999)/(O999-I999),""))</f>
        <v/>
      </c>
    </row>
    <row r="1000">
      <c r="A1000" s="36" t="n"/>
      <c r="B1000" s="32" t="n"/>
      <c r="C1000" s="37" t="n"/>
      <c r="D1000" s="31" t="n"/>
      <c r="E1000" s="32" t="n"/>
      <c r="F1000" s="32" t="n"/>
      <c r="G1000" s="32" t="n"/>
      <c r="H1000" s="36" t="n"/>
      <c r="I1000" s="31" t="n"/>
      <c r="J1000" s="38" t="n"/>
      <c r="K1000" s="32" t="n"/>
      <c r="L1000" s="34">
        <f>IF(OR(A1000="",D1000=""),"",IF(D1000&gt;Config!$B$5,0,DATEDIF(D1000,Config!$B$5,"m")))</f>
        <v/>
      </c>
      <c r="M1000" s="39">
        <f>IF(A1000="","",IF(K1000&lt;&gt;"",K1000,IF(OR(C1000="",D1000=""),"Sem dados",IFERROR(IF(C1000="M",INDEX(Config!$B$11:$B$14,MATCH(L1000,Config!$A$11:$A$14,1)),IF(C1000="F",INDEX(Config!$C$11:$C$14,MATCH(L1000,Config!$A$11:$A$14,1)),"Sem dados")),"Verificar"))))</f>
        <v/>
      </c>
      <c r="N1000" s="39">
        <f>IF(A1000="","",IF(COUNTIFS('Movimentações'!$C$6:$C$1505,A1000,'Movimentações'!$B$6:$B$1505,"Venda")&gt;0,"Vendido",IF(COUNTIFS('Movimentações'!$C$6:$C$1505,A1000,'Movimentações'!$B$6:$B$1505,"Morte")&gt;0,"Morto","Ativo")))</f>
        <v/>
      </c>
      <c r="O1000" s="40">
        <f>IF(A1000="","",IF(COUNTIF('Pesagens'!$B$6:$B$2005,A1000)=0,"",SUMPRODUCT(MAX(('Pesagens'!$B$6:$B$2005=A1000)*'Pesagens'!$A$6:$A$2005))))</f>
        <v/>
      </c>
      <c r="P1000" s="41">
        <f>IF(A1000="","",IF(O1000="",IF(J1000="","",J1000),IFERROR(AVERAGEIFS('Pesagens'!$C$6:$C$2005,'Pesagens'!$B$6:$B$2005,A1000,'Pesagens'!$A$6:$A$2005,O1000),"")))</f>
        <v/>
      </c>
      <c r="Q1000" s="42">
        <f>IF(OR(A1000="",O1000="",I1000="",J1000=""),"",IFERROR((P1000-J1000)/(O1000-I1000),""))</f>
        <v/>
      </c>
    </row>
    <row r="1001">
      <c r="A1001" s="36" t="n"/>
      <c r="B1001" s="32" t="n"/>
      <c r="C1001" s="37" t="n"/>
      <c r="D1001" s="31" t="n"/>
      <c r="E1001" s="32" t="n"/>
      <c r="F1001" s="32" t="n"/>
      <c r="G1001" s="32" t="n"/>
      <c r="H1001" s="36" t="n"/>
      <c r="I1001" s="31" t="n"/>
      <c r="J1001" s="38" t="n"/>
      <c r="K1001" s="32" t="n"/>
      <c r="L1001" s="34">
        <f>IF(OR(A1001="",D1001=""),"",IF(D1001&gt;Config!$B$5,0,DATEDIF(D1001,Config!$B$5,"m")))</f>
        <v/>
      </c>
      <c r="M1001" s="39">
        <f>IF(A1001="","",IF(K1001&lt;&gt;"",K1001,IF(OR(C1001="",D1001=""),"Sem dados",IFERROR(IF(C1001="M",INDEX(Config!$B$11:$B$14,MATCH(L1001,Config!$A$11:$A$14,1)),IF(C1001="F",INDEX(Config!$C$11:$C$14,MATCH(L1001,Config!$A$11:$A$14,1)),"Sem dados")),"Verificar"))))</f>
        <v/>
      </c>
      <c r="N1001" s="39">
        <f>IF(A1001="","",IF(COUNTIFS('Movimentações'!$C$6:$C$1505,A1001,'Movimentações'!$B$6:$B$1505,"Venda")&gt;0,"Vendido",IF(COUNTIFS('Movimentações'!$C$6:$C$1505,A1001,'Movimentações'!$B$6:$B$1505,"Morte")&gt;0,"Morto","Ativo")))</f>
        <v/>
      </c>
      <c r="O1001" s="40">
        <f>IF(A1001="","",IF(COUNTIF('Pesagens'!$B$6:$B$2005,A1001)=0,"",SUMPRODUCT(MAX(('Pesagens'!$B$6:$B$2005=A1001)*'Pesagens'!$A$6:$A$2005))))</f>
        <v/>
      </c>
      <c r="P1001" s="41">
        <f>IF(A1001="","",IF(O1001="",IF(J1001="","",J1001),IFERROR(AVERAGEIFS('Pesagens'!$C$6:$C$2005,'Pesagens'!$B$6:$B$2005,A1001,'Pesagens'!$A$6:$A$2005,O1001),"")))</f>
        <v/>
      </c>
      <c r="Q1001" s="42">
        <f>IF(OR(A1001="",O1001="",I1001="",J1001=""),"",IFERROR((P1001-J1001)/(O1001-I1001),""))</f>
        <v/>
      </c>
    </row>
    <row r="1002">
      <c r="A1002" s="36" t="n"/>
      <c r="B1002" s="32" t="n"/>
      <c r="C1002" s="37" t="n"/>
      <c r="D1002" s="31" t="n"/>
      <c r="E1002" s="32" t="n"/>
      <c r="F1002" s="32" t="n"/>
      <c r="G1002" s="32" t="n"/>
      <c r="H1002" s="36" t="n"/>
      <c r="I1002" s="31" t="n"/>
      <c r="J1002" s="38" t="n"/>
      <c r="K1002" s="32" t="n"/>
      <c r="L1002" s="34">
        <f>IF(OR(A1002="",D1002=""),"",IF(D1002&gt;Config!$B$5,0,DATEDIF(D1002,Config!$B$5,"m")))</f>
        <v/>
      </c>
      <c r="M1002" s="39">
        <f>IF(A1002="","",IF(K1002&lt;&gt;"",K1002,IF(OR(C1002="",D1002=""),"Sem dados",IFERROR(IF(C1002="M",INDEX(Config!$B$11:$B$14,MATCH(L1002,Config!$A$11:$A$14,1)),IF(C1002="F",INDEX(Config!$C$11:$C$14,MATCH(L1002,Config!$A$11:$A$14,1)),"Sem dados")),"Verificar"))))</f>
        <v/>
      </c>
      <c r="N1002" s="39">
        <f>IF(A1002="","",IF(COUNTIFS('Movimentações'!$C$6:$C$1505,A1002,'Movimentações'!$B$6:$B$1505,"Venda")&gt;0,"Vendido",IF(COUNTIFS('Movimentações'!$C$6:$C$1505,A1002,'Movimentações'!$B$6:$B$1505,"Morte")&gt;0,"Morto","Ativo")))</f>
        <v/>
      </c>
      <c r="O1002" s="40">
        <f>IF(A1002="","",IF(COUNTIF('Pesagens'!$B$6:$B$2005,A1002)=0,"",SUMPRODUCT(MAX(('Pesagens'!$B$6:$B$2005=A1002)*'Pesagens'!$A$6:$A$2005))))</f>
        <v/>
      </c>
      <c r="P1002" s="41">
        <f>IF(A1002="","",IF(O1002="",IF(J1002="","",J1002),IFERROR(AVERAGEIFS('Pesagens'!$C$6:$C$2005,'Pesagens'!$B$6:$B$2005,A1002,'Pesagens'!$A$6:$A$2005,O1002),"")))</f>
        <v/>
      </c>
      <c r="Q1002" s="42">
        <f>IF(OR(A1002="",O1002="",I1002="",J1002=""),"",IFERROR((P1002-J1002)/(O1002-I1002),""))</f>
        <v/>
      </c>
    </row>
    <row r="1003">
      <c r="A1003" s="36" t="n"/>
      <c r="B1003" s="32" t="n"/>
      <c r="C1003" s="37" t="n"/>
      <c r="D1003" s="31" t="n"/>
      <c r="E1003" s="32" t="n"/>
      <c r="F1003" s="32" t="n"/>
      <c r="G1003" s="32" t="n"/>
      <c r="H1003" s="36" t="n"/>
      <c r="I1003" s="31" t="n"/>
      <c r="J1003" s="38" t="n"/>
      <c r="K1003" s="32" t="n"/>
      <c r="L1003" s="34">
        <f>IF(OR(A1003="",D1003=""),"",IF(D1003&gt;Config!$B$5,0,DATEDIF(D1003,Config!$B$5,"m")))</f>
        <v/>
      </c>
      <c r="M1003" s="39">
        <f>IF(A1003="","",IF(K1003&lt;&gt;"",K1003,IF(OR(C1003="",D1003=""),"Sem dados",IFERROR(IF(C1003="M",INDEX(Config!$B$11:$B$14,MATCH(L1003,Config!$A$11:$A$14,1)),IF(C1003="F",INDEX(Config!$C$11:$C$14,MATCH(L1003,Config!$A$11:$A$14,1)),"Sem dados")),"Verificar"))))</f>
        <v/>
      </c>
      <c r="N1003" s="39">
        <f>IF(A1003="","",IF(COUNTIFS('Movimentações'!$C$6:$C$1505,A1003,'Movimentações'!$B$6:$B$1505,"Venda")&gt;0,"Vendido",IF(COUNTIFS('Movimentações'!$C$6:$C$1505,A1003,'Movimentações'!$B$6:$B$1505,"Morte")&gt;0,"Morto","Ativo")))</f>
        <v/>
      </c>
      <c r="O1003" s="40">
        <f>IF(A1003="","",IF(COUNTIF('Pesagens'!$B$6:$B$2005,A1003)=0,"",SUMPRODUCT(MAX(('Pesagens'!$B$6:$B$2005=A1003)*'Pesagens'!$A$6:$A$2005))))</f>
        <v/>
      </c>
      <c r="P1003" s="41">
        <f>IF(A1003="","",IF(O1003="",IF(J1003="","",J1003),IFERROR(AVERAGEIFS('Pesagens'!$C$6:$C$2005,'Pesagens'!$B$6:$B$2005,A1003,'Pesagens'!$A$6:$A$2005,O1003),"")))</f>
        <v/>
      </c>
      <c r="Q1003" s="42">
        <f>IF(OR(A1003="",O1003="",I1003="",J1003=""),"",IFERROR((P1003-J1003)/(O1003-I1003),""))</f>
        <v/>
      </c>
    </row>
    <row r="1004">
      <c r="A1004" s="36" t="n"/>
      <c r="B1004" s="32" t="n"/>
      <c r="C1004" s="37" t="n"/>
      <c r="D1004" s="31" t="n"/>
      <c r="E1004" s="32" t="n"/>
      <c r="F1004" s="32" t="n"/>
      <c r="G1004" s="32" t="n"/>
      <c r="H1004" s="36" t="n"/>
      <c r="I1004" s="31" t="n"/>
      <c r="J1004" s="38" t="n"/>
      <c r="K1004" s="32" t="n"/>
      <c r="L1004" s="34">
        <f>IF(OR(A1004="",D1004=""),"",IF(D1004&gt;Config!$B$5,0,DATEDIF(D1004,Config!$B$5,"m")))</f>
        <v/>
      </c>
      <c r="M1004" s="39">
        <f>IF(A1004="","",IF(K1004&lt;&gt;"",K1004,IF(OR(C1004="",D1004=""),"Sem dados",IFERROR(IF(C1004="M",INDEX(Config!$B$11:$B$14,MATCH(L1004,Config!$A$11:$A$14,1)),IF(C1004="F",INDEX(Config!$C$11:$C$14,MATCH(L1004,Config!$A$11:$A$14,1)),"Sem dados")),"Verificar"))))</f>
        <v/>
      </c>
      <c r="N1004" s="39">
        <f>IF(A1004="","",IF(COUNTIFS('Movimentações'!$C$6:$C$1505,A1004,'Movimentações'!$B$6:$B$1505,"Venda")&gt;0,"Vendido",IF(COUNTIFS('Movimentações'!$C$6:$C$1505,A1004,'Movimentações'!$B$6:$B$1505,"Morte")&gt;0,"Morto","Ativo")))</f>
        <v/>
      </c>
      <c r="O1004" s="40">
        <f>IF(A1004="","",IF(COUNTIF('Pesagens'!$B$6:$B$2005,A1004)=0,"",SUMPRODUCT(MAX(('Pesagens'!$B$6:$B$2005=A1004)*'Pesagens'!$A$6:$A$2005))))</f>
        <v/>
      </c>
      <c r="P1004" s="41">
        <f>IF(A1004="","",IF(O1004="",IF(J1004="","",J1004),IFERROR(AVERAGEIFS('Pesagens'!$C$6:$C$2005,'Pesagens'!$B$6:$B$2005,A1004,'Pesagens'!$A$6:$A$2005,O1004),"")))</f>
        <v/>
      </c>
      <c r="Q1004" s="42">
        <f>IF(OR(A1004="",O1004="",I1004="",J1004=""),"",IFERROR((P1004-J1004)/(O1004-I1004),""))</f>
        <v/>
      </c>
    </row>
    <row r="1005">
      <c r="A1005" s="36" t="n"/>
      <c r="B1005" s="32" t="n"/>
      <c r="C1005" s="37" t="n"/>
      <c r="D1005" s="31" t="n"/>
      <c r="E1005" s="32" t="n"/>
      <c r="F1005" s="32" t="n"/>
      <c r="G1005" s="32" t="n"/>
      <c r="H1005" s="36" t="n"/>
      <c r="I1005" s="31" t="n"/>
      <c r="J1005" s="38" t="n"/>
      <c r="K1005" s="32" t="n"/>
      <c r="L1005" s="34">
        <f>IF(OR(A1005="",D1005=""),"",IF(D1005&gt;Config!$B$5,0,DATEDIF(D1005,Config!$B$5,"m")))</f>
        <v/>
      </c>
      <c r="M1005" s="39">
        <f>IF(A1005="","",IF(K1005&lt;&gt;"",K1005,IF(OR(C1005="",D1005=""),"Sem dados",IFERROR(IF(C1005="M",INDEX(Config!$B$11:$B$14,MATCH(L1005,Config!$A$11:$A$14,1)),IF(C1005="F",INDEX(Config!$C$11:$C$14,MATCH(L1005,Config!$A$11:$A$14,1)),"Sem dados")),"Verificar"))))</f>
        <v/>
      </c>
      <c r="N1005" s="39">
        <f>IF(A1005="","",IF(COUNTIFS('Movimentações'!$C$6:$C$1505,A1005,'Movimentações'!$B$6:$B$1505,"Venda")&gt;0,"Vendido",IF(COUNTIFS('Movimentações'!$C$6:$C$1505,A1005,'Movimentações'!$B$6:$B$1505,"Morte")&gt;0,"Morto","Ativo")))</f>
        <v/>
      </c>
      <c r="O1005" s="40">
        <f>IF(A1005="","",IF(COUNTIF('Pesagens'!$B$6:$B$2005,A1005)=0,"",SUMPRODUCT(MAX(('Pesagens'!$B$6:$B$2005=A1005)*'Pesagens'!$A$6:$A$2005))))</f>
        <v/>
      </c>
      <c r="P1005" s="41">
        <f>IF(A1005="","",IF(O1005="",IF(J1005="","",J1005),IFERROR(AVERAGEIFS('Pesagens'!$C$6:$C$2005,'Pesagens'!$B$6:$B$2005,A1005,'Pesagens'!$A$6:$A$2005,O1005),"")))</f>
        <v/>
      </c>
      <c r="Q1005" s="42">
        <f>IF(OR(A1005="",O1005="",I1005="",J1005=""),"",IFERROR((P1005-J1005)/(O1005-I1005),""))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Q1005"/>
  <conditionalFormatting sqref="N6:N1005">
    <cfRule type="cellIs" priority="1" operator="equal" dxfId="0">
      <formula>"Vendido"</formula>
    </cfRule>
    <cfRule type="cellIs" priority="2" operator="equal" dxfId="1">
      <formula>"Morto"</formula>
    </cfRule>
  </conditionalFormatting>
  <conditionalFormatting sqref="M6:M1005">
    <cfRule type="expression" priority="3" dxfId="1">
      <formula>OR(M6="Sem dados",M6="Verificar")</formula>
    </cfRule>
  </conditionalFormatting>
  <dataValidations count="7">
    <dataValidation sqref="A6:A1005" showDropDown="0" showInputMessage="0" showErrorMessage="1" allowBlank="1" errorTitle="Brinco repetido" error="Este brinco já está cadastrado." type="custom">
      <formula1>COUNTIF($A$6:$A$1005,A6)=1</formula1>
    </dataValidation>
    <dataValidation sqref="C6:C1005" showDropDown="0" showInputMessage="1" showErrorMessage="1" allowBlank="1" errorTitle="Valor inválido" error="Escolha um valor da lista." prompt="M = macho, F = fêmea" type="list" errorStyle="stop">
      <formula1>"M,F"</formula1>
    </dataValidation>
    <dataValidation sqref="D6:D1005" showDropDown="0" showInputMessage="0" showErrorMessage="1" allowBlank="1" errorTitle="Data inválida" error="Digite uma data válida (dd/mm/aaaa)." type="date" operator="between">
      <formula1>DATE(1990,1,1)</formula1>
      <formula2>DATE(2100,12,31)</formula2>
    </dataValidation>
    <dataValidation sqref="I6:I1005" showDropDown="0" showInputMessage="0" showErrorMessage="1" allowBlank="1" errorTitle="Data inválida" error="Digite uma data válida (dd/mm/aaaa)." type="date" operator="between">
      <formula1>DATE(1990,1,1)</formula1>
      <formula2>DATE(2100,12,31)</formula2>
    </dataValidation>
    <dataValidation sqref="G6:G1005" showDropDown="0" showInputMessage="1" showErrorMessage="1" allowBlank="1" errorTitle="Valor inválido" error="Escolha um valor da lista." prompt="Origem" type="list" errorStyle="stop">
      <formula1>"Nascido na fazenda,Compra,Outro"</formula1>
    </dataValidation>
    <dataValidation sqref="J6:J1005" showDropDown="0" showInputMessage="0" showErrorMessage="1" allowBlank="1" errorTitle="Valor inválido" error="Peso em kg (0 a 2000)." type="decimal" operator="between">
      <formula1>0</formula1>
      <formula2>2000</formula2>
    </dataValidation>
    <dataValidation sqref="K6:K1005" showDropDown="0" showInputMessage="1" showErrorMessage="1" allowBlank="1" errorTitle="Valor inválido" error="Escolha um valor da lista." prompt="Opcional: substitui a categoria automática" type="list" errorStyle="stop">
      <formula1>Listas!$A$2:$A$14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00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26" customWidth="1" min="4" max="4"/>
    <col width="14" customWidth="1" min="5" max="5"/>
    <col width="12" customWidth="1" min="6" max="6"/>
    <col width="10" customWidth="1" min="7" max="7"/>
    <col width="13" customWidth="1" min="8" max="8"/>
    <col width="18" customWidth="1" min="9" max="9"/>
  </cols>
  <sheetData>
    <row r="1" ht="36" customHeight="1">
      <c r="A1" s="1" t="inlineStr">
        <is>
          <t>Pesagens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O GMD é calculado em relação à pesagem anterior do mesmo animal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5" ht="40" customHeight="1">
      <c r="A5" s="18" t="inlineStr">
        <is>
          <t>Data da pesagem</t>
        </is>
      </c>
      <c r="B5" s="18" t="inlineStr">
        <is>
          <t>Brinco</t>
        </is>
      </c>
      <c r="C5" s="18" t="inlineStr">
        <is>
          <t>Peso (kg)</t>
        </is>
      </c>
      <c r="D5" s="18" t="inlineStr">
        <is>
          <t>Observação</t>
        </is>
      </c>
      <c r="E5" s="18" t="inlineStr">
        <is>
          <t>Pesagem anterior (data)</t>
        </is>
      </c>
      <c r="F5" s="18" t="inlineStr">
        <is>
          <t>Peso anterior (kg)</t>
        </is>
      </c>
      <c r="G5" s="18" t="inlineStr">
        <is>
          <t>Dias no período</t>
        </is>
      </c>
      <c r="H5" s="18" t="inlineStr">
        <is>
          <t>GMD do período (kg/dia)</t>
        </is>
      </c>
      <c r="I5" s="18" t="inlineStr">
        <is>
          <t>Categoria atual</t>
        </is>
      </c>
    </row>
    <row r="6">
      <c r="A6" s="31" t="n"/>
      <c r="B6" s="36" t="n"/>
      <c r="C6" s="38" t="n"/>
      <c r="D6" s="32" t="n"/>
      <c r="E6" s="43">
        <f>IF(OR(A6="",B6=""),"",SUMPRODUCT(MAX(($B$6:$B$2005=B6)*($A$6:$A$2005&lt;A6)*$A$6:$A$2005)))</f>
        <v/>
      </c>
      <c r="F6" s="41">
        <f>IF(OR(E6="",E6=0),"",IFERROR(AVERAGEIFS($C$6:$C$2005,$B$6:$B$2005,B6,$A$6:$A$2005,E6),""))</f>
        <v/>
      </c>
      <c r="G6" s="34">
        <f>IF(F6="","",A6-E6)</f>
        <v/>
      </c>
      <c r="H6" s="42">
        <f>IF(OR(F6="",C6=""),"",IFERROR((C6-F6)/G6,""))</f>
        <v/>
      </c>
      <c r="I6" s="39">
        <f>IF(B6="","",IFERROR(INDEX('Animais'!$M$6:$M$1005,MATCH(B6,'Animais'!$A$6:$A$1005,0)),"Brinco não cadastrado"))</f>
        <v/>
      </c>
    </row>
    <row r="7">
      <c r="A7" s="31" t="n"/>
      <c r="B7" s="36" t="n"/>
      <c r="C7" s="38" t="n"/>
      <c r="D7" s="32" t="n"/>
      <c r="E7" s="43">
        <f>IF(OR(A7="",B7=""),"",SUMPRODUCT(MAX(($B$6:$B$2005=B7)*($A$6:$A$2005&lt;A7)*$A$6:$A$2005)))</f>
        <v/>
      </c>
      <c r="F7" s="41">
        <f>IF(OR(E7="",E7=0),"",IFERROR(AVERAGEIFS($C$6:$C$2005,$B$6:$B$2005,B7,$A$6:$A$2005,E7),""))</f>
        <v/>
      </c>
      <c r="G7" s="34">
        <f>IF(F7="","",A7-E7)</f>
        <v/>
      </c>
      <c r="H7" s="42">
        <f>IF(OR(F7="",C7=""),"",IFERROR((C7-F7)/G7,""))</f>
        <v/>
      </c>
      <c r="I7" s="39">
        <f>IF(B7="","",IFERROR(INDEX('Animais'!$M$6:$M$1005,MATCH(B7,'Animais'!$A$6:$A$1005,0)),"Brinco não cadastrado"))</f>
        <v/>
      </c>
    </row>
    <row r="8">
      <c r="A8" s="31" t="n"/>
      <c r="B8" s="36" t="n"/>
      <c r="C8" s="38" t="n"/>
      <c r="D8" s="32" t="n"/>
      <c r="E8" s="43">
        <f>IF(OR(A8="",B8=""),"",SUMPRODUCT(MAX(($B$6:$B$2005=B8)*($A$6:$A$2005&lt;A8)*$A$6:$A$2005)))</f>
        <v/>
      </c>
      <c r="F8" s="41">
        <f>IF(OR(E8="",E8=0),"",IFERROR(AVERAGEIFS($C$6:$C$2005,$B$6:$B$2005,B8,$A$6:$A$2005,E8),""))</f>
        <v/>
      </c>
      <c r="G8" s="34">
        <f>IF(F8="","",A8-E8)</f>
        <v/>
      </c>
      <c r="H8" s="42">
        <f>IF(OR(F8="",C8=""),"",IFERROR((C8-F8)/G8,""))</f>
        <v/>
      </c>
      <c r="I8" s="39">
        <f>IF(B8="","",IFERROR(INDEX('Animais'!$M$6:$M$1005,MATCH(B8,'Animais'!$A$6:$A$1005,0)),"Brinco não cadastrado"))</f>
        <v/>
      </c>
    </row>
    <row r="9">
      <c r="A9" s="31" t="n"/>
      <c r="B9" s="36" t="n"/>
      <c r="C9" s="38" t="n"/>
      <c r="D9" s="32" t="n"/>
      <c r="E9" s="43">
        <f>IF(OR(A9="",B9=""),"",SUMPRODUCT(MAX(($B$6:$B$2005=B9)*($A$6:$A$2005&lt;A9)*$A$6:$A$2005)))</f>
        <v/>
      </c>
      <c r="F9" s="41">
        <f>IF(OR(E9="",E9=0),"",IFERROR(AVERAGEIFS($C$6:$C$2005,$B$6:$B$2005,B9,$A$6:$A$2005,E9),""))</f>
        <v/>
      </c>
      <c r="G9" s="34">
        <f>IF(F9="","",A9-E9)</f>
        <v/>
      </c>
      <c r="H9" s="42">
        <f>IF(OR(F9="",C9=""),"",IFERROR((C9-F9)/G9,""))</f>
        <v/>
      </c>
      <c r="I9" s="39">
        <f>IF(B9="","",IFERROR(INDEX('Animais'!$M$6:$M$1005,MATCH(B9,'Animais'!$A$6:$A$1005,0)),"Brinco não cadastrado"))</f>
        <v/>
      </c>
    </row>
    <row r="10">
      <c r="A10" s="31" t="n"/>
      <c r="B10" s="36" t="n"/>
      <c r="C10" s="38" t="n"/>
      <c r="D10" s="32" t="n"/>
      <c r="E10" s="43">
        <f>IF(OR(A10="",B10=""),"",SUMPRODUCT(MAX(($B$6:$B$2005=B10)*($A$6:$A$2005&lt;A10)*$A$6:$A$2005)))</f>
        <v/>
      </c>
      <c r="F10" s="41">
        <f>IF(OR(E10="",E10=0),"",IFERROR(AVERAGEIFS($C$6:$C$2005,$B$6:$B$2005,B10,$A$6:$A$2005,E10),""))</f>
        <v/>
      </c>
      <c r="G10" s="34">
        <f>IF(F10="","",A10-E10)</f>
        <v/>
      </c>
      <c r="H10" s="42">
        <f>IF(OR(F10="",C10=""),"",IFERROR((C10-F10)/G10,""))</f>
        <v/>
      </c>
      <c r="I10" s="39">
        <f>IF(B10="","",IFERROR(INDEX('Animais'!$M$6:$M$1005,MATCH(B10,'Animais'!$A$6:$A$1005,0)),"Brinco não cadastrado"))</f>
        <v/>
      </c>
    </row>
    <row r="11">
      <c r="A11" s="31" t="n"/>
      <c r="B11" s="36" t="n"/>
      <c r="C11" s="38" t="n"/>
      <c r="D11" s="32" t="n"/>
      <c r="E11" s="43">
        <f>IF(OR(A11="",B11=""),"",SUMPRODUCT(MAX(($B$6:$B$2005=B11)*($A$6:$A$2005&lt;A11)*$A$6:$A$2005)))</f>
        <v/>
      </c>
      <c r="F11" s="41">
        <f>IF(OR(E11="",E11=0),"",IFERROR(AVERAGEIFS($C$6:$C$2005,$B$6:$B$2005,B11,$A$6:$A$2005,E11),""))</f>
        <v/>
      </c>
      <c r="G11" s="34">
        <f>IF(F11="","",A11-E11)</f>
        <v/>
      </c>
      <c r="H11" s="42">
        <f>IF(OR(F11="",C11=""),"",IFERROR((C11-F11)/G11,""))</f>
        <v/>
      </c>
      <c r="I11" s="39">
        <f>IF(B11="","",IFERROR(INDEX('Animais'!$M$6:$M$1005,MATCH(B11,'Animais'!$A$6:$A$1005,0)),"Brinco não cadastrado"))</f>
        <v/>
      </c>
    </row>
    <row r="12">
      <c r="A12" s="31" t="n"/>
      <c r="B12" s="36" t="n"/>
      <c r="C12" s="38" t="n"/>
      <c r="D12" s="32" t="n"/>
      <c r="E12" s="43">
        <f>IF(OR(A12="",B12=""),"",SUMPRODUCT(MAX(($B$6:$B$2005=B12)*($A$6:$A$2005&lt;A12)*$A$6:$A$2005)))</f>
        <v/>
      </c>
      <c r="F12" s="41">
        <f>IF(OR(E12="",E12=0),"",IFERROR(AVERAGEIFS($C$6:$C$2005,$B$6:$B$2005,B12,$A$6:$A$2005,E12),""))</f>
        <v/>
      </c>
      <c r="G12" s="34">
        <f>IF(F12="","",A12-E12)</f>
        <v/>
      </c>
      <c r="H12" s="42">
        <f>IF(OR(F12="",C12=""),"",IFERROR((C12-F12)/G12,""))</f>
        <v/>
      </c>
      <c r="I12" s="39">
        <f>IF(B12="","",IFERROR(INDEX('Animais'!$M$6:$M$1005,MATCH(B12,'Animais'!$A$6:$A$1005,0)),"Brinco não cadastrado"))</f>
        <v/>
      </c>
    </row>
    <row r="13">
      <c r="A13" s="31" t="n"/>
      <c r="B13" s="36" t="n"/>
      <c r="C13" s="38" t="n"/>
      <c r="D13" s="32" t="n"/>
      <c r="E13" s="43">
        <f>IF(OR(A13="",B13=""),"",SUMPRODUCT(MAX(($B$6:$B$2005=B13)*($A$6:$A$2005&lt;A13)*$A$6:$A$2005)))</f>
        <v/>
      </c>
      <c r="F13" s="41">
        <f>IF(OR(E13="",E13=0),"",IFERROR(AVERAGEIFS($C$6:$C$2005,$B$6:$B$2005,B13,$A$6:$A$2005,E13),""))</f>
        <v/>
      </c>
      <c r="G13" s="34">
        <f>IF(F13="","",A13-E13)</f>
        <v/>
      </c>
      <c r="H13" s="42">
        <f>IF(OR(F13="",C13=""),"",IFERROR((C13-F13)/G13,""))</f>
        <v/>
      </c>
      <c r="I13" s="39">
        <f>IF(B13="","",IFERROR(INDEX('Animais'!$M$6:$M$1005,MATCH(B13,'Animais'!$A$6:$A$1005,0)),"Brinco não cadastrado"))</f>
        <v/>
      </c>
    </row>
    <row r="14">
      <c r="A14" s="31" t="n"/>
      <c r="B14" s="36" t="n"/>
      <c r="C14" s="38" t="n"/>
      <c r="D14" s="32" t="n"/>
      <c r="E14" s="43">
        <f>IF(OR(A14="",B14=""),"",SUMPRODUCT(MAX(($B$6:$B$2005=B14)*($A$6:$A$2005&lt;A14)*$A$6:$A$2005)))</f>
        <v/>
      </c>
      <c r="F14" s="41">
        <f>IF(OR(E14="",E14=0),"",IFERROR(AVERAGEIFS($C$6:$C$2005,$B$6:$B$2005,B14,$A$6:$A$2005,E14),""))</f>
        <v/>
      </c>
      <c r="G14" s="34">
        <f>IF(F14="","",A14-E14)</f>
        <v/>
      </c>
      <c r="H14" s="42">
        <f>IF(OR(F14="",C14=""),"",IFERROR((C14-F14)/G14,""))</f>
        <v/>
      </c>
      <c r="I14" s="39">
        <f>IF(B14="","",IFERROR(INDEX('Animais'!$M$6:$M$1005,MATCH(B14,'Animais'!$A$6:$A$1005,0)),"Brinco não cadastrado"))</f>
        <v/>
      </c>
    </row>
    <row r="15">
      <c r="A15" s="31" t="n"/>
      <c r="B15" s="36" t="n"/>
      <c r="C15" s="38" t="n"/>
      <c r="D15" s="32" t="n"/>
      <c r="E15" s="43">
        <f>IF(OR(A15="",B15=""),"",SUMPRODUCT(MAX(($B$6:$B$2005=B15)*($A$6:$A$2005&lt;A15)*$A$6:$A$2005)))</f>
        <v/>
      </c>
      <c r="F15" s="41">
        <f>IF(OR(E15="",E15=0),"",IFERROR(AVERAGEIFS($C$6:$C$2005,$B$6:$B$2005,B15,$A$6:$A$2005,E15),""))</f>
        <v/>
      </c>
      <c r="G15" s="34">
        <f>IF(F15="","",A15-E15)</f>
        <v/>
      </c>
      <c r="H15" s="42">
        <f>IF(OR(F15="",C15=""),"",IFERROR((C15-F15)/G15,""))</f>
        <v/>
      </c>
      <c r="I15" s="39">
        <f>IF(B15="","",IFERROR(INDEX('Animais'!$M$6:$M$1005,MATCH(B15,'Animais'!$A$6:$A$1005,0)),"Brinco não cadastrado"))</f>
        <v/>
      </c>
    </row>
    <row r="16">
      <c r="A16" s="31" t="n"/>
      <c r="B16" s="36" t="n"/>
      <c r="C16" s="38" t="n"/>
      <c r="D16" s="32" t="n"/>
      <c r="E16" s="43">
        <f>IF(OR(A16="",B16=""),"",SUMPRODUCT(MAX(($B$6:$B$2005=B16)*($A$6:$A$2005&lt;A16)*$A$6:$A$2005)))</f>
        <v/>
      </c>
      <c r="F16" s="41">
        <f>IF(OR(E16="",E16=0),"",IFERROR(AVERAGEIFS($C$6:$C$2005,$B$6:$B$2005,B16,$A$6:$A$2005,E16),""))</f>
        <v/>
      </c>
      <c r="G16" s="34">
        <f>IF(F16="","",A16-E16)</f>
        <v/>
      </c>
      <c r="H16" s="42">
        <f>IF(OR(F16="",C16=""),"",IFERROR((C16-F16)/G16,""))</f>
        <v/>
      </c>
      <c r="I16" s="39">
        <f>IF(B16="","",IFERROR(INDEX('Animais'!$M$6:$M$1005,MATCH(B16,'Animais'!$A$6:$A$1005,0)),"Brinco não cadastrado"))</f>
        <v/>
      </c>
    </row>
    <row r="17">
      <c r="A17" s="31" t="n"/>
      <c r="B17" s="36" t="n"/>
      <c r="C17" s="38" t="n"/>
      <c r="D17" s="32" t="n"/>
      <c r="E17" s="43">
        <f>IF(OR(A17="",B17=""),"",SUMPRODUCT(MAX(($B$6:$B$2005=B17)*($A$6:$A$2005&lt;A17)*$A$6:$A$2005)))</f>
        <v/>
      </c>
      <c r="F17" s="41">
        <f>IF(OR(E17="",E17=0),"",IFERROR(AVERAGEIFS($C$6:$C$2005,$B$6:$B$2005,B17,$A$6:$A$2005,E17),""))</f>
        <v/>
      </c>
      <c r="G17" s="34">
        <f>IF(F17="","",A17-E17)</f>
        <v/>
      </c>
      <c r="H17" s="42">
        <f>IF(OR(F17="",C17=""),"",IFERROR((C17-F17)/G17,""))</f>
        <v/>
      </c>
      <c r="I17" s="39">
        <f>IF(B17="","",IFERROR(INDEX('Animais'!$M$6:$M$1005,MATCH(B17,'Animais'!$A$6:$A$1005,0)),"Brinco não cadastrado"))</f>
        <v/>
      </c>
    </row>
    <row r="18">
      <c r="A18" s="31" t="n"/>
      <c r="B18" s="36" t="n"/>
      <c r="C18" s="38" t="n"/>
      <c r="D18" s="32" t="n"/>
      <c r="E18" s="43">
        <f>IF(OR(A18="",B18=""),"",SUMPRODUCT(MAX(($B$6:$B$2005=B18)*($A$6:$A$2005&lt;A18)*$A$6:$A$2005)))</f>
        <v/>
      </c>
      <c r="F18" s="41">
        <f>IF(OR(E18="",E18=0),"",IFERROR(AVERAGEIFS($C$6:$C$2005,$B$6:$B$2005,B18,$A$6:$A$2005,E18),""))</f>
        <v/>
      </c>
      <c r="G18" s="34">
        <f>IF(F18="","",A18-E18)</f>
        <v/>
      </c>
      <c r="H18" s="42">
        <f>IF(OR(F18="",C18=""),"",IFERROR((C18-F18)/G18,""))</f>
        <v/>
      </c>
      <c r="I18" s="39">
        <f>IF(B18="","",IFERROR(INDEX('Animais'!$M$6:$M$1005,MATCH(B18,'Animais'!$A$6:$A$1005,0)),"Brinco não cadastrado"))</f>
        <v/>
      </c>
    </row>
    <row r="19">
      <c r="A19" s="31" t="n"/>
      <c r="B19" s="36" t="n"/>
      <c r="C19" s="38" t="n"/>
      <c r="D19" s="32" t="n"/>
      <c r="E19" s="43">
        <f>IF(OR(A19="",B19=""),"",SUMPRODUCT(MAX(($B$6:$B$2005=B19)*($A$6:$A$2005&lt;A19)*$A$6:$A$2005)))</f>
        <v/>
      </c>
      <c r="F19" s="41">
        <f>IF(OR(E19="",E19=0),"",IFERROR(AVERAGEIFS($C$6:$C$2005,$B$6:$B$2005,B19,$A$6:$A$2005,E19),""))</f>
        <v/>
      </c>
      <c r="G19" s="34">
        <f>IF(F19="","",A19-E19)</f>
        <v/>
      </c>
      <c r="H19" s="42">
        <f>IF(OR(F19="",C19=""),"",IFERROR((C19-F19)/G19,""))</f>
        <v/>
      </c>
      <c r="I19" s="39">
        <f>IF(B19="","",IFERROR(INDEX('Animais'!$M$6:$M$1005,MATCH(B19,'Animais'!$A$6:$A$1005,0)),"Brinco não cadastrado"))</f>
        <v/>
      </c>
    </row>
    <row r="20">
      <c r="A20" s="31" t="n"/>
      <c r="B20" s="36" t="n"/>
      <c r="C20" s="38" t="n"/>
      <c r="D20" s="32" t="n"/>
      <c r="E20" s="43">
        <f>IF(OR(A20="",B20=""),"",SUMPRODUCT(MAX(($B$6:$B$2005=B20)*($A$6:$A$2005&lt;A20)*$A$6:$A$2005)))</f>
        <v/>
      </c>
      <c r="F20" s="41">
        <f>IF(OR(E20="",E20=0),"",IFERROR(AVERAGEIFS($C$6:$C$2005,$B$6:$B$2005,B20,$A$6:$A$2005,E20),""))</f>
        <v/>
      </c>
      <c r="G20" s="34">
        <f>IF(F20="","",A20-E20)</f>
        <v/>
      </c>
      <c r="H20" s="42">
        <f>IF(OR(F20="",C20=""),"",IFERROR((C20-F20)/G20,""))</f>
        <v/>
      </c>
      <c r="I20" s="39">
        <f>IF(B20="","",IFERROR(INDEX('Animais'!$M$6:$M$1005,MATCH(B20,'Animais'!$A$6:$A$1005,0)),"Brinco não cadastrado"))</f>
        <v/>
      </c>
    </row>
    <row r="21">
      <c r="A21" s="31" t="n"/>
      <c r="B21" s="36" t="n"/>
      <c r="C21" s="38" t="n"/>
      <c r="D21" s="32" t="n"/>
      <c r="E21" s="43">
        <f>IF(OR(A21="",B21=""),"",SUMPRODUCT(MAX(($B$6:$B$2005=B21)*($A$6:$A$2005&lt;A21)*$A$6:$A$2005)))</f>
        <v/>
      </c>
      <c r="F21" s="41">
        <f>IF(OR(E21="",E21=0),"",IFERROR(AVERAGEIFS($C$6:$C$2005,$B$6:$B$2005,B21,$A$6:$A$2005,E21),""))</f>
        <v/>
      </c>
      <c r="G21" s="34">
        <f>IF(F21="","",A21-E21)</f>
        <v/>
      </c>
      <c r="H21" s="42">
        <f>IF(OR(F21="",C21=""),"",IFERROR((C21-F21)/G21,""))</f>
        <v/>
      </c>
      <c r="I21" s="39">
        <f>IF(B21="","",IFERROR(INDEX('Animais'!$M$6:$M$1005,MATCH(B21,'Animais'!$A$6:$A$1005,0)),"Brinco não cadastrado"))</f>
        <v/>
      </c>
    </row>
    <row r="22">
      <c r="A22" s="31" t="n"/>
      <c r="B22" s="36" t="n"/>
      <c r="C22" s="38" t="n"/>
      <c r="D22" s="32" t="n"/>
      <c r="E22" s="43">
        <f>IF(OR(A22="",B22=""),"",SUMPRODUCT(MAX(($B$6:$B$2005=B22)*($A$6:$A$2005&lt;A22)*$A$6:$A$2005)))</f>
        <v/>
      </c>
      <c r="F22" s="41">
        <f>IF(OR(E22="",E22=0),"",IFERROR(AVERAGEIFS($C$6:$C$2005,$B$6:$B$2005,B22,$A$6:$A$2005,E22),""))</f>
        <v/>
      </c>
      <c r="G22" s="34">
        <f>IF(F22="","",A22-E22)</f>
        <v/>
      </c>
      <c r="H22" s="42">
        <f>IF(OR(F22="",C22=""),"",IFERROR((C22-F22)/G22,""))</f>
        <v/>
      </c>
      <c r="I22" s="39">
        <f>IF(B22="","",IFERROR(INDEX('Animais'!$M$6:$M$1005,MATCH(B22,'Animais'!$A$6:$A$1005,0)),"Brinco não cadastrado"))</f>
        <v/>
      </c>
    </row>
    <row r="23">
      <c r="A23" s="31" t="n"/>
      <c r="B23" s="36" t="n"/>
      <c r="C23" s="38" t="n"/>
      <c r="D23" s="32" t="n"/>
      <c r="E23" s="43">
        <f>IF(OR(A23="",B23=""),"",SUMPRODUCT(MAX(($B$6:$B$2005=B23)*($A$6:$A$2005&lt;A23)*$A$6:$A$2005)))</f>
        <v/>
      </c>
      <c r="F23" s="41">
        <f>IF(OR(E23="",E23=0),"",IFERROR(AVERAGEIFS($C$6:$C$2005,$B$6:$B$2005,B23,$A$6:$A$2005,E23),""))</f>
        <v/>
      </c>
      <c r="G23" s="34">
        <f>IF(F23="","",A23-E23)</f>
        <v/>
      </c>
      <c r="H23" s="42">
        <f>IF(OR(F23="",C23=""),"",IFERROR((C23-F23)/G23,""))</f>
        <v/>
      </c>
      <c r="I23" s="39">
        <f>IF(B23="","",IFERROR(INDEX('Animais'!$M$6:$M$1005,MATCH(B23,'Animais'!$A$6:$A$1005,0)),"Brinco não cadastrado"))</f>
        <v/>
      </c>
    </row>
    <row r="24">
      <c r="A24" s="31" t="n"/>
      <c r="B24" s="36" t="n"/>
      <c r="C24" s="38" t="n"/>
      <c r="D24" s="32" t="n"/>
      <c r="E24" s="43">
        <f>IF(OR(A24="",B24=""),"",SUMPRODUCT(MAX(($B$6:$B$2005=B24)*($A$6:$A$2005&lt;A24)*$A$6:$A$2005)))</f>
        <v/>
      </c>
      <c r="F24" s="41">
        <f>IF(OR(E24="",E24=0),"",IFERROR(AVERAGEIFS($C$6:$C$2005,$B$6:$B$2005,B24,$A$6:$A$2005,E24),""))</f>
        <v/>
      </c>
      <c r="G24" s="34">
        <f>IF(F24="","",A24-E24)</f>
        <v/>
      </c>
      <c r="H24" s="42">
        <f>IF(OR(F24="",C24=""),"",IFERROR((C24-F24)/G24,""))</f>
        <v/>
      </c>
      <c r="I24" s="39">
        <f>IF(B24="","",IFERROR(INDEX('Animais'!$M$6:$M$1005,MATCH(B24,'Animais'!$A$6:$A$1005,0)),"Brinco não cadastrado"))</f>
        <v/>
      </c>
    </row>
    <row r="25">
      <c r="A25" s="31" t="n"/>
      <c r="B25" s="36" t="n"/>
      <c r="C25" s="38" t="n"/>
      <c r="D25" s="32" t="n"/>
      <c r="E25" s="43">
        <f>IF(OR(A25="",B25=""),"",SUMPRODUCT(MAX(($B$6:$B$2005=B25)*($A$6:$A$2005&lt;A25)*$A$6:$A$2005)))</f>
        <v/>
      </c>
      <c r="F25" s="41">
        <f>IF(OR(E25="",E25=0),"",IFERROR(AVERAGEIFS($C$6:$C$2005,$B$6:$B$2005,B25,$A$6:$A$2005,E25),""))</f>
        <v/>
      </c>
      <c r="G25" s="34">
        <f>IF(F25="","",A25-E25)</f>
        <v/>
      </c>
      <c r="H25" s="42">
        <f>IF(OR(F25="",C25=""),"",IFERROR((C25-F25)/G25,""))</f>
        <v/>
      </c>
      <c r="I25" s="39">
        <f>IF(B25="","",IFERROR(INDEX('Animais'!$M$6:$M$1005,MATCH(B25,'Animais'!$A$6:$A$1005,0)),"Brinco não cadastrado"))</f>
        <v/>
      </c>
    </row>
    <row r="26">
      <c r="A26" s="31" t="n"/>
      <c r="B26" s="36" t="n"/>
      <c r="C26" s="38" t="n"/>
      <c r="D26" s="32" t="n"/>
      <c r="E26" s="43">
        <f>IF(OR(A26="",B26=""),"",SUMPRODUCT(MAX(($B$6:$B$2005=B26)*($A$6:$A$2005&lt;A26)*$A$6:$A$2005)))</f>
        <v/>
      </c>
      <c r="F26" s="41">
        <f>IF(OR(E26="",E26=0),"",IFERROR(AVERAGEIFS($C$6:$C$2005,$B$6:$B$2005,B26,$A$6:$A$2005,E26),""))</f>
        <v/>
      </c>
      <c r="G26" s="34">
        <f>IF(F26="","",A26-E26)</f>
        <v/>
      </c>
      <c r="H26" s="42">
        <f>IF(OR(F26="",C26=""),"",IFERROR((C26-F26)/G26,""))</f>
        <v/>
      </c>
      <c r="I26" s="39">
        <f>IF(B26="","",IFERROR(INDEX('Animais'!$M$6:$M$1005,MATCH(B26,'Animais'!$A$6:$A$1005,0)),"Brinco não cadastrado"))</f>
        <v/>
      </c>
    </row>
    <row r="27">
      <c r="A27" s="31" t="n"/>
      <c r="B27" s="36" t="n"/>
      <c r="C27" s="38" t="n"/>
      <c r="D27" s="32" t="n"/>
      <c r="E27" s="43">
        <f>IF(OR(A27="",B27=""),"",SUMPRODUCT(MAX(($B$6:$B$2005=B27)*($A$6:$A$2005&lt;A27)*$A$6:$A$2005)))</f>
        <v/>
      </c>
      <c r="F27" s="41">
        <f>IF(OR(E27="",E27=0),"",IFERROR(AVERAGEIFS($C$6:$C$2005,$B$6:$B$2005,B27,$A$6:$A$2005,E27),""))</f>
        <v/>
      </c>
      <c r="G27" s="34">
        <f>IF(F27="","",A27-E27)</f>
        <v/>
      </c>
      <c r="H27" s="42">
        <f>IF(OR(F27="",C27=""),"",IFERROR((C27-F27)/G27,""))</f>
        <v/>
      </c>
      <c r="I27" s="39">
        <f>IF(B27="","",IFERROR(INDEX('Animais'!$M$6:$M$1005,MATCH(B27,'Animais'!$A$6:$A$1005,0)),"Brinco não cadastrado"))</f>
        <v/>
      </c>
    </row>
    <row r="28">
      <c r="A28" s="31" t="n"/>
      <c r="B28" s="36" t="n"/>
      <c r="C28" s="38" t="n"/>
      <c r="D28" s="32" t="n"/>
      <c r="E28" s="43">
        <f>IF(OR(A28="",B28=""),"",SUMPRODUCT(MAX(($B$6:$B$2005=B28)*($A$6:$A$2005&lt;A28)*$A$6:$A$2005)))</f>
        <v/>
      </c>
      <c r="F28" s="41">
        <f>IF(OR(E28="",E28=0),"",IFERROR(AVERAGEIFS($C$6:$C$2005,$B$6:$B$2005,B28,$A$6:$A$2005,E28),""))</f>
        <v/>
      </c>
      <c r="G28" s="34">
        <f>IF(F28="","",A28-E28)</f>
        <v/>
      </c>
      <c r="H28" s="42">
        <f>IF(OR(F28="",C28=""),"",IFERROR((C28-F28)/G28,""))</f>
        <v/>
      </c>
      <c r="I28" s="39">
        <f>IF(B28="","",IFERROR(INDEX('Animais'!$M$6:$M$1005,MATCH(B28,'Animais'!$A$6:$A$1005,0)),"Brinco não cadastrado"))</f>
        <v/>
      </c>
    </row>
    <row r="29">
      <c r="A29" s="31" t="n"/>
      <c r="B29" s="36" t="n"/>
      <c r="C29" s="38" t="n"/>
      <c r="D29" s="32" t="n"/>
      <c r="E29" s="43">
        <f>IF(OR(A29="",B29=""),"",SUMPRODUCT(MAX(($B$6:$B$2005=B29)*($A$6:$A$2005&lt;A29)*$A$6:$A$2005)))</f>
        <v/>
      </c>
      <c r="F29" s="41">
        <f>IF(OR(E29="",E29=0),"",IFERROR(AVERAGEIFS($C$6:$C$2005,$B$6:$B$2005,B29,$A$6:$A$2005,E29),""))</f>
        <v/>
      </c>
      <c r="G29" s="34">
        <f>IF(F29="","",A29-E29)</f>
        <v/>
      </c>
      <c r="H29" s="42">
        <f>IF(OR(F29="",C29=""),"",IFERROR((C29-F29)/G29,""))</f>
        <v/>
      </c>
      <c r="I29" s="39">
        <f>IF(B29="","",IFERROR(INDEX('Animais'!$M$6:$M$1005,MATCH(B29,'Animais'!$A$6:$A$1005,0)),"Brinco não cadastrado"))</f>
        <v/>
      </c>
    </row>
    <row r="30">
      <c r="A30" s="31" t="n"/>
      <c r="B30" s="36" t="n"/>
      <c r="C30" s="38" t="n"/>
      <c r="D30" s="32" t="n"/>
      <c r="E30" s="43">
        <f>IF(OR(A30="",B30=""),"",SUMPRODUCT(MAX(($B$6:$B$2005=B30)*($A$6:$A$2005&lt;A30)*$A$6:$A$2005)))</f>
        <v/>
      </c>
      <c r="F30" s="41">
        <f>IF(OR(E30="",E30=0),"",IFERROR(AVERAGEIFS($C$6:$C$2005,$B$6:$B$2005,B30,$A$6:$A$2005,E30),""))</f>
        <v/>
      </c>
      <c r="G30" s="34">
        <f>IF(F30="","",A30-E30)</f>
        <v/>
      </c>
      <c r="H30" s="42">
        <f>IF(OR(F30="",C30=""),"",IFERROR((C30-F30)/G30,""))</f>
        <v/>
      </c>
      <c r="I30" s="39">
        <f>IF(B30="","",IFERROR(INDEX('Animais'!$M$6:$M$1005,MATCH(B30,'Animais'!$A$6:$A$1005,0)),"Brinco não cadastrado"))</f>
        <v/>
      </c>
    </row>
    <row r="31">
      <c r="A31" s="31" t="n"/>
      <c r="B31" s="36" t="n"/>
      <c r="C31" s="38" t="n"/>
      <c r="D31" s="32" t="n"/>
      <c r="E31" s="43">
        <f>IF(OR(A31="",B31=""),"",SUMPRODUCT(MAX(($B$6:$B$2005=B31)*($A$6:$A$2005&lt;A31)*$A$6:$A$2005)))</f>
        <v/>
      </c>
      <c r="F31" s="41">
        <f>IF(OR(E31="",E31=0),"",IFERROR(AVERAGEIFS($C$6:$C$2005,$B$6:$B$2005,B31,$A$6:$A$2005,E31),""))</f>
        <v/>
      </c>
      <c r="G31" s="34">
        <f>IF(F31="","",A31-E31)</f>
        <v/>
      </c>
      <c r="H31" s="42">
        <f>IF(OR(F31="",C31=""),"",IFERROR((C31-F31)/G31,""))</f>
        <v/>
      </c>
      <c r="I31" s="39">
        <f>IF(B31="","",IFERROR(INDEX('Animais'!$M$6:$M$1005,MATCH(B31,'Animais'!$A$6:$A$1005,0)),"Brinco não cadastrado"))</f>
        <v/>
      </c>
    </row>
    <row r="32">
      <c r="A32" s="31" t="n"/>
      <c r="B32" s="36" t="n"/>
      <c r="C32" s="38" t="n"/>
      <c r="D32" s="32" t="n"/>
      <c r="E32" s="43">
        <f>IF(OR(A32="",B32=""),"",SUMPRODUCT(MAX(($B$6:$B$2005=B32)*($A$6:$A$2005&lt;A32)*$A$6:$A$2005)))</f>
        <v/>
      </c>
      <c r="F32" s="41">
        <f>IF(OR(E32="",E32=0),"",IFERROR(AVERAGEIFS($C$6:$C$2005,$B$6:$B$2005,B32,$A$6:$A$2005,E32),""))</f>
        <v/>
      </c>
      <c r="G32" s="34">
        <f>IF(F32="","",A32-E32)</f>
        <v/>
      </c>
      <c r="H32" s="42">
        <f>IF(OR(F32="",C32=""),"",IFERROR((C32-F32)/G32,""))</f>
        <v/>
      </c>
      <c r="I32" s="39">
        <f>IF(B32="","",IFERROR(INDEX('Animais'!$M$6:$M$1005,MATCH(B32,'Animais'!$A$6:$A$1005,0)),"Brinco não cadastrado"))</f>
        <v/>
      </c>
    </row>
    <row r="33">
      <c r="A33" s="31" t="n"/>
      <c r="B33" s="36" t="n"/>
      <c r="C33" s="38" t="n"/>
      <c r="D33" s="32" t="n"/>
      <c r="E33" s="43">
        <f>IF(OR(A33="",B33=""),"",SUMPRODUCT(MAX(($B$6:$B$2005=B33)*($A$6:$A$2005&lt;A33)*$A$6:$A$2005)))</f>
        <v/>
      </c>
      <c r="F33" s="41">
        <f>IF(OR(E33="",E33=0),"",IFERROR(AVERAGEIFS($C$6:$C$2005,$B$6:$B$2005,B33,$A$6:$A$2005,E33),""))</f>
        <v/>
      </c>
      <c r="G33" s="34">
        <f>IF(F33="","",A33-E33)</f>
        <v/>
      </c>
      <c r="H33" s="42">
        <f>IF(OR(F33="",C33=""),"",IFERROR((C33-F33)/G33,""))</f>
        <v/>
      </c>
      <c r="I33" s="39">
        <f>IF(B33="","",IFERROR(INDEX('Animais'!$M$6:$M$1005,MATCH(B33,'Animais'!$A$6:$A$1005,0)),"Brinco não cadastrado"))</f>
        <v/>
      </c>
    </row>
    <row r="34">
      <c r="A34" s="31" t="n"/>
      <c r="B34" s="36" t="n"/>
      <c r="C34" s="38" t="n"/>
      <c r="D34" s="32" t="n"/>
      <c r="E34" s="43">
        <f>IF(OR(A34="",B34=""),"",SUMPRODUCT(MAX(($B$6:$B$2005=B34)*($A$6:$A$2005&lt;A34)*$A$6:$A$2005)))</f>
        <v/>
      </c>
      <c r="F34" s="41">
        <f>IF(OR(E34="",E34=0),"",IFERROR(AVERAGEIFS($C$6:$C$2005,$B$6:$B$2005,B34,$A$6:$A$2005,E34),""))</f>
        <v/>
      </c>
      <c r="G34" s="34">
        <f>IF(F34="","",A34-E34)</f>
        <v/>
      </c>
      <c r="H34" s="42">
        <f>IF(OR(F34="",C34=""),"",IFERROR((C34-F34)/G34,""))</f>
        <v/>
      </c>
      <c r="I34" s="39">
        <f>IF(B34="","",IFERROR(INDEX('Animais'!$M$6:$M$1005,MATCH(B34,'Animais'!$A$6:$A$1005,0)),"Brinco não cadastrado"))</f>
        <v/>
      </c>
    </row>
    <row r="35">
      <c r="A35" s="31" t="n"/>
      <c r="B35" s="36" t="n"/>
      <c r="C35" s="38" t="n"/>
      <c r="D35" s="32" t="n"/>
      <c r="E35" s="43">
        <f>IF(OR(A35="",B35=""),"",SUMPRODUCT(MAX(($B$6:$B$2005=B35)*($A$6:$A$2005&lt;A35)*$A$6:$A$2005)))</f>
        <v/>
      </c>
      <c r="F35" s="41">
        <f>IF(OR(E35="",E35=0),"",IFERROR(AVERAGEIFS($C$6:$C$2005,$B$6:$B$2005,B35,$A$6:$A$2005,E35),""))</f>
        <v/>
      </c>
      <c r="G35" s="34">
        <f>IF(F35="","",A35-E35)</f>
        <v/>
      </c>
      <c r="H35" s="42">
        <f>IF(OR(F35="",C35=""),"",IFERROR((C35-F35)/G35,""))</f>
        <v/>
      </c>
      <c r="I35" s="39">
        <f>IF(B35="","",IFERROR(INDEX('Animais'!$M$6:$M$1005,MATCH(B35,'Animais'!$A$6:$A$1005,0)),"Brinco não cadastrado"))</f>
        <v/>
      </c>
    </row>
    <row r="36">
      <c r="A36" s="31" t="n"/>
      <c r="B36" s="36" t="n"/>
      <c r="C36" s="38" t="n"/>
      <c r="D36" s="32" t="n"/>
      <c r="E36" s="43">
        <f>IF(OR(A36="",B36=""),"",SUMPRODUCT(MAX(($B$6:$B$2005=B36)*($A$6:$A$2005&lt;A36)*$A$6:$A$2005)))</f>
        <v/>
      </c>
      <c r="F36" s="41">
        <f>IF(OR(E36="",E36=0),"",IFERROR(AVERAGEIFS($C$6:$C$2005,$B$6:$B$2005,B36,$A$6:$A$2005,E36),""))</f>
        <v/>
      </c>
      <c r="G36" s="34">
        <f>IF(F36="","",A36-E36)</f>
        <v/>
      </c>
      <c r="H36" s="42">
        <f>IF(OR(F36="",C36=""),"",IFERROR((C36-F36)/G36,""))</f>
        <v/>
      </c>
      <c r="I36" s="39">
        <f>IF(B36="","",IFERROR(INDEX('Animais'!$M$6:$M$1005,MATCH(B36,'Animais'!$A$6:$A$1005,0)),"Brinco não cadastrado"))</f>
        <v/>
      </c>
    </row>
    <row r="37">
      <c r="A37" s="31" t="n"/>
      <c r="B37" s="36" t="n"/>
      <c r="C37" s="38" t="n"/>
      <c r="D37" s="32" t="n"/>
      <c r="E37" s="43">
        <f>IF(OR(A37="",B37=""),"",SUMPRODUCT(MAX(($B$6:$B$2005=B37)*($A$6:$A$2005&lt;A37)*$A$6:$A$2005)))</f>
        <v/>
      </c>
      <c r="F37" s="41">
        <f>IF(OR(E37="",E37=0),"",IFERROR(AVERAGEIFS($C$6:$C$2005,$B$6:$B$2005,B37,$A$6:$A$2005,E37),""))</f>
        <v/>
      </c>
      <c r="G37" s="34">
        <f>IF(F37="","",A37-E37)</f>
        <v/>
      </c>
      <c r="H37" s="42">
        <f>IF(OR(F37="",C37=""),"",IFERROR((C37-F37)/G37,""))</f>
        <v/>
      </c>
      <c r="I37" s="39">
        <f>IF(B37="","",IFERROR(INDEX('Animais'!$M$6:$M$1005,MATCH(B37,'Animais'!$A$6:$A$1005,0)),"Brinco não cadastrado"))</f>
        <v/>
      </c>
    </row>
    <row r="38">
      <c r="A38" s="31" t="n"/>
      <c r="B38" s="36" t="n"/>
      <c r="C38" s="38" t="n"/>
      <c r="D38" s="32" t="n"/>
      <c r="E38" s="43">
        <f>IF(OR(A38="",B38=""),"",SUMPRODUCT(MAX(($B$6:$B$2005=B38)*($A$6:$A$2005&lt;A38)*$A$6:$A$2005)))</f>
        <v/>
      </c>
      <c r="F38" s="41">
        <f>IF(OR(E38="",E38=0),"",IFERROR(AVERAGEIFS($C$6:$C$2005,$B$6:$B$2005,B38,$A$6:$A$2005,E38),""))</f>
        <v/>
      </c>
      <c r="G38" s="34">
        <f>IF(F38="","",A38-E38)</f>
        <v/>
      </c>
      <c r="H38" s="42">
        <f>IF(OR(F38="",C38=""),"",IFERROR((C38-F38)/G38,""))</f>
        <v/>
      </c>
      <c r="I38" s="39">
        <f>IF(B38="","",IFERROR(INDEX('Animais'!$M$6:$M$1005,MATCH(B38,'Animais'!$A$6:$A$1005,0)),"Brinco não cadastrado"))</f>
        <v/>
      </c>
    </row>
    <row r="39">
      <c r="A39" s="31" t="n"/>
      <c r="B39" s="36" t="n"/>
      <c r="C39" s="38" t="n"/>
      <c r="D39" s="32" t="n"/>
      <c r="E39" s="43">
        <f>IF(OR(A39="",B39=""),"",SUMPRODUCT(MAX(($B$6:$B$2005=B39)*($A$6:$A$2005&lt;A39)*$A$6:$A$2005)))</f>
        <v/>
      </c>
      <c r="F39" s="41">
        <f>IF(OR(E39="",E39=0),"",IFERROR(AVERAGEIFS($C$6:$C$2005,$B$6:$B$2005,B39,$A$6:$A$2005,E39),""))</f>
        <v/>
      </c>
      <c r="G39" s="34">
        <f>IF(F39="","",A39-E39)</f>
        <v/>
      </c>
      <c r="H39" s="42">
        <f>IF(OR(F39="",C39=""),"",IFERROR((C39-F39)/G39,""))</f>
        <v/>
      </c>
      <c r="I39" s="39">
        <f>IF(B39="","",IFERROR(INDEX('Animais'!$M$6:$M$1005,MATCH(B39,'Animais'!$A$6:$A$1005,0)),"Brinco não cadastrado"))</f>
        <v/>
      </c>
    </row>
    <row r="40">
      <c r="A40" s="31" t="n"/>
      <c r="B40" s="36" t="n"/>
      <c r="C40" s="38" t="n"/>
      <c r="D40" s="32" t="n"/>
      <c r="E40" s="43">
        <f>IF(OR(A40="",B40=""),"",SUMPRODUCT(MAX(($B$6:$B$2005=B40)*($A$6:$A$2005&lt;A40)*$A$6:$A$2005)))</f>
        <v/>
      </c>
      <c r="F40" s="41">
        <f>IF(OR(E40="",E40=0),"",IFERROR(AVERAGEIFS($C$6:$C$2005,$B$6:$B$2005,B40,$A$6:$A$2005,E40),""))</f>
        <v/>
      </c>
      <c r="G40" s="34">
        <f>IF(F40="","",A40-E40)</f>
        <v/>
      </c>
      <c r="H40" s="42">
        <f>IF(OR(F40="",C40=""),"",IFERROR((C40-F40)/G40,""))</f>
        <v/>
      </c>
      <c r="I40" s="39">
        <f>IF(B40="","",IFERROR(INDEX('Animais'!$M$6:$M$1005,MATCH(B40,'Animais'!$A$6:$A$1005,0)),"Brinco não cadastrado"))</f>
        <v/>
      </c>
    </row>
    <row r="41">
      <c r="A41" s="31" t="n"/>
      <c r="B41" s="36" t="n"/>
      <c r="C41" s="38" t="n"/>
      <c r="D41" s="32" t="n"/>
      <c r="E41" s="43">
        <f>IF(OR(A41="",B41=""),"",SUMPRODUCT(MAX(($B$6:$B$2005=B41)*($A$6:$A$2005&lt;A41)*$A$6:$A$2005)))</f>
        <v/>
      </c>
      <c r="F41" s="41">
        <f>IF(OR(E41="",E41=0),"",IFERROR(AVERAGEIFS($C$6:$C$2005,$B$6:$B$2005,B41,$A$6:$A$2005,E41),""))</f>
        <v/>
      </c>
      <c r="G41" s="34">
        <f>IF(F41="","",A41-E41)</f>
        <v/>
      </c>
      <c r="H41" s="42">
        <f>IF(OR(F41="",C41=""),"",IFERROR((C41-F41)/G41,""))</f>
        <v/>
      </c>
      <c r="I41" s="39">
        <f>IF(B41="","",IFERROR(INDEX('Animais'!$M$6:$M$1005,MATCH(B41,'Animais'!$A$6:$A$1005,0)),"Brinco não cadastrado"))</f>
        <v/>
      </c>
    </row>
    <row r="42">
      <c r="A42" s="31" t="n"/>
      <c r="B42" s="36" t="n"/>
      <c r="C42" s="38" t="n"/>
      <c r="D42" s="32" t="n"/>
      <c r="E42" s="43">
        <f>IF(OR(A42="",B42=""),"",SUMPRODUCT(MAX(($B$6:$B$2005=B42)*($A$6:$A$2005&lt;A42)*$A$6:$A$2005)))</f>
        <v/>
      </c>
      <c r="F42" s="41">
        <f>IF(OR(E42="",E42=0),"",IFERROR(AVERAGEIFS($C$6:$C$2005,$B$6:$B$2005,B42,$A$6:$A$2005,E42),""))</f>
        <v/>
      </c>
      <c r="G42" s="34">
        <f>IF(F42="","",A42-E42)</f>
        <v/>
      </c>
      <c r="H42" s="42">
        <f>IF(OR(F42="",C42=""),"",IFERROR((C42-F42)/G42,""))</f>
        <v/>
      </c>
      <c r="I42" s="39">
        <f>IF(B42="","",IFERROR(INDEX('Animais'!$M$6:$M$1005,MATCH(B42,'Animais'!$A$6:$A$1005,0)),"Brinco não cadastrado"))</f>
        <v/>
      </c>
    </row>
    <row r="43">
      <c r="A43" s="31" t="n"/>
      <c r="B43" s="36" t="n"/>
      <c r="C43" s="38" t="n"/>
      <c r="D43" s="32" t="n"/>
      <c r="E43" s="43">
        <f>IF(OR(A43="",B43=""),"",SUMPRODUCT(MAX(($B$6:$B$2005=B43)*($A$6:$A$2005&lt;A43)*$A$6:$A$2005)))</f>
        <v/>
      </c>
      <c r="F43" s="41">
        <f>IF(OR(E43="",E43=0),"",IFERROR(AVERAGEIFS($C$6:$C$2005,$B$6:$B$2005,B43,$A$6:$A$2005,E43),""))</f>
        <v/>
      </c>
      <c r="G43" s="34">
        <f>IF(F43="","",A43-E43)</f>
        <v/>
      </c>
      <c r="H43" s="42">
        <f>IF(OR(F43="",C43=""),"",IFERROR((C43-F43)/G43,""))</f>
        <v/>
      </c>
      <c r="I43" s="39">
        <f>IF(B43="","",IFERROR(INDEX('Animais'!$M$6:$M$1005,MATCH(B43,'Animais'!$A$6:$A$1005,0)),"Brinco não cadastrado"))</f>
        <v/>
      </c>
    </row>
    <row r="44">
      <c r="A44" s="31" t="n"/>
      <c r="B44" s="36" t="n"/>
      <c r="C44" s="38" t="n"/>
      <c r="D44" s="32" t="n"/>
      <c r="E44" s="43">
        <f>IF(OR(A44="",B44=""),"",SUMPRODUCT(MAX(($B$6:$B$2005=B44)*($A$6:$A$2005&lt;A44)*$A$6:$A$2005)))</f>
        <v/>
      </c>
      <c r="F44" s="41">
        <f>IF(OR(E44="",E44=0),"",IFERROR(AVERAGEIFS($C$6:$C$2005,$B$6:$B$2005,B44,$A$6:$A$2005,E44),""))</f>
        <v/>
      </c>
      <c r="G44" s="34">
        <f>IF(F44="","",A44-E44)</f>
        <v/>
      </c>
      <c r="H44" s="42">
        <f>IF(OR(F44="",C44=""),"",IFERROR((C44-F44)/G44,""))</f>
        <v/>
      </c>
      <c r="I44" s="39">
        <f>IF(B44="","",IFERROR(INDEX('Animais'!$M$6:$M$1005,MATCH(B44,'Animais'!$A$6:$A$1005,0)),"Brinco não cadastrado"))</f>
        <v/>
      </c>
    </row>
    <row r="45">
      <c r="A45" s="31" t="n"/>
      <c r="B45" s="36" t="n"/>
      <c r="C45" s="38" t="n"/>
      <c r="D45" s="32" t="n"/>
      <c r="E45" s="43">
        <f>IF(OR(A45="",B45=""),"",SUMPRODUCT(MAX(($B$6:$B$2005=B45)*($A$6:$A$2005&lt;A45)*$A$6:$A$2005)))</f>
        <v/>
      </c>
      <c r="F45" s="41">
        <f>IF(OR(E45="",E45=0),"",IFERROR(AVERAGEIFS($C$6:$C$2005,$B$6:$B$2005,B45,$A$6:$A$2005,E45),""))</f>
        <v/>
      </c>
      <c r="G45" s="34">
        <f>IF(F45="","",A45-E45)</f>
        <v/>
      </c>
      <c r="H45" s="42">
        <f>IF(OR(F45="",C45=""),"",IFERROR((C45-F45)/G45,""))</f>
        <v/>
      </c>
      <c r="I45" s="39">
        <f>IF(B45="","",IFERROR(INDEX('Animais'!$M$6:$M$1005,MATCH(B45,'Animais'!$A$6:$A$1005,0)),"Brinco não cadastrado"))</f>
        <v/>
      </c>
    </row>
    <row r="46">
      <c r="A46" s="31" t="n"/>
      <c r="B46" s="36" t="n"/>
      <c r="C46" s="38" t="n"/>
      <c r="D46" s="32" t="n"/>
      <c r="E46" s="43">
        <f>IF(OR(A46="",B46=""),"",SUMPRODUCT(MAX(($B$6:$B$2005=B46)*($A$6:$A$2005&lt;A46)*$A$6:$A$2005)))</f>
        <v/>
      </c>
      <c r="F46" s="41">
        <f>IF(OR(E46="",E46=0),"",IFERROR(AVERAGEIFS($C$6:$C$2005,$B$6:$B$2005,B46,$A$6:$A$2005,E46),""))</f>
        <v/>
      </c>
      <c r="G46" s="34">
        <f>IF(F46="","",A46-E46)</f>
        <v/>
      </c>
      <c r="H46" s="42">
        <f>IF(OR(F46="",C46=""),"",IFERROR((C46-F46)/G46,""))</f>
        <v/>
      </c>
      <c r="I46" s="39">
        <f>IF(B46="","",IFERROR(INDEX('Animais'!$M$6:$M$1005,MATCH(B46,'Animais'!$A$6:$A$1005,0)),"Brinco não cadastrado"))</f>
        <v/>
      </c>
    </row>
    <row r="47">
      <c r="A47" s="31" t="n"/>
      <c r="B47" s="36" t="n"/>
      <c r="C47" s="38" t="n"/>
      <c r="D47" s="32" t="n"/>
      <c r="E47" s="43">
        <f>IF(OR(A47="",B47=""),"",SUMPRODUCT(MAX(($B$6:$B$2005=B47)*($A$6:$A$2005&lt;A47)*$A$6:$A$2005)))</f>
        <v/>
      </c>
      <c r="F47" s="41">
        <f>IF(OR(E47="",E47=0),"",IFERROR(AVERAGEIFS($C$6:$C$2005,$B$6:$B$2005,B47,$A$6:$A$2005,E47),""))</f>
        <v/>
      </c>
      <c r="G47" s="34">
        <f>IF(F47="","",A47-E47)</f>
        <v/>
      </c>
      <c r="H47" s="42">
        <f>IF(OR(F47="",C47=""),"",IFERROR((C47-F47)/G47,""))</f>
        <v/>
      </c>
      <c r="I47" s="39">
        <f>IF(B47="","",IFERROR(INDEX('Animais'!$M$6:$M$1005,MATCH(B47,'Animais'!$A$6:$A$1005,0)),"Brinco não cadastrado"))</f>
        <v/>
      </c>
    </row>
    <row r="48">
      <c r="A48" s="31" t="n"/>
      <c r="B48" s="36" t="n"/>
      <c r="C48" s="38" t="n"/>
      <c r="D48" s="32" t="n"/>
      <c r="E48" s="43">
        <f>IF(OR(A48="",B48=""),"",SUMPRODUCT(MAX(($B$6:$B$2005=B48)*($A$6:$A$2005&lt;A48)*$A$6:$A$2005)))</f>
        <v/>
      </c>
      <c r="F48" s="41">
        <f>IF(OR(E48="",E48=0),"",IFERROR(AVERAGEIFS($C$6:$C$2005,$B$6:$B$2005,B48,$A$6:$A$2005,E48),""))</f>
        <v/>
      </c>
      <c r="G48" s="34">
        <f>IF(F48="","",A48-E48)</f>
        <v/>
      </c>
      <c r="H48" s="42">
        <f>IF(OR(F48="",C48=""),"",IFERROR((C48-F48)/G48,""))</f>
        <v/>
      </c>
      <c r="I48" s="39">
        <f>IF(B48="","",IFERROR(INDEX('Animais'!$M$6:$M$1005,MATCH(B48,'Animais'!$A$6:$A$1005,0)),"Brinco não cadastrado"))</f>
        <v/>
      </c>
    </row>
    <row r="49">
      <c r="A49" s="31" t="n"/>
      <c r="B49" s="36" t="n"/>
      <c r="C49" s="38" t="n"/>
      <c r="D49" s="32" t="n"/>
      <c r="E49" s="43">
        <f>IF(OR(A49="",B49=""),"",SUMPRODUCT(MAX(($B$6:$B$2005=B49)*($A$6:$A$2005&lt;A49)*$A$6:$A$2005)))</f>
        <v/>
      </c>
      <c r="F49" s="41">
        <f>IF(OR(E49="",E49=0),"",IFERROR(AVERAGEIFS($C$6:$C$2005,$B$6:$B$2005,B49,$A$6:$A$2005,E49),""))</f>
        <v/>
      </c>
      <c r="G49" s="34">
        <f>IF(F49="","",A49-E49)</f>
        <v/>
      </c>
      <c r="H49" s="42">
        <f>IF(OR(F49="",C49=""),"",IFERROR((C49-F49)/G49,""))</f>
        <v/>
      </c>
      <c r="I49" s="39">
        <f>IF(B49="","",IFERROR(INDEX('Animais'!$M$6:$M$1005,MATCH(B49,'Animais'!$A$6:$A$1005,0)),"Brinco não cadastrado"))</f>
        <v/>
      </c>
    </row>
    <row r="50">
      <c r="A50" s="31" t="n"/>
      <c r="B50" s="36" t="n"/>
      <c r="C50" s="38" t="n"/>
      <c r="D50" s="32" t="n"/>
      <c r="E50" s="43">
        <f>IF(OR(A50="",B50=""),"",SUMPRODUCT(MAX(($B$6:$B$2005=B50)*($A$6:$A$2005&lt;A50)*$A$6:$A$2005)))</f>
        <v/>
      </c>
      <c r="F50" s="41">
        <f>IF(OR(E50="",E50=0),"",IFERROR(AVERAGEIFS($C$6:$C$2005,$B$6:$B$2005,B50,$A$6:$A$2005,E50),""))</f>
        <v/>
      </c>
      <c r="G50" s="34">
        <f>IF(F50="","",A50-E50)</f>
        <v/>
      </c>
      <c r="H50" s="42">
        <f>IF(OR(F50="",C50=""),"",IFERROR((C50-F50)/G50,""))</f>
        <v/>
      </c>
      <c r="I50" s="39">
        <f>IF(B50="","",IFERROR(INDEX('Animais'!$M$6:$M$1005,MATCH(B50,'Animais'!$A$6:$A$1005,0)),"Brinco não cadastrado"))</f>
        <v/>
      </c>
    </row>
    <row r="51">
      <c r="A51" s="31" t="n"/>
      <c r="B51" s="36" t="n"/>
      <c r="C51" s="38" t="n"/>
      <c r="D51" s="32" t="n"/>
      <c r="E51" s="43">
        <f>IF(OR(A51="",B51=""),"",SUMPRODUCT(MAX(($B$6:$B$2005=B51)*($A$6:$A$2005&lt;A51)*$A$6:$A$2005)))</f>
        <v/>
      </c>
      <c r="F51" s="41">
        <f>IF(OR(E51="",E51=0),"",IFERROR(AVERAGEIFS($C$6:$C$2005,$B$6:$B$2005,B51,$A$6:$A$2005,E51),""))</f>
        <v/>
      </c>
      <c r="G51" s="34">
        <f>IF(F51="","",A51-E51)</f>
        <v/>
      </c>
      <c r="H51" s="42">
        <f>IF(OR(F51="",C51=""),"",IFERROR((C51-F51)/G51,""))</f>
        <v/>
      </c>
      <c r="I51" s="39">
        <f>IF(B51="","",IFERROR(INDEX('Animais'!$M$6:$M$1005,MATCH(B51,'Animais'!$A$6:$A$1005,0)),"Brinco não cadastrado"))</f>
        <v/>
      </c>
    </row>
    <row r="52">
      <c r="A52" s="31" t="n"/>
      <c r="B52" s="36" t="n"/>
      <c r="C52" s="38" t="n"/>
      <c r="D52" s="32" t="n"/>
      <c r="E52" s="43">
        <f>IF(OR(A52="",B52=""),"",SUMPRODUCT(MAX(($B$6:$B$2005=B52)*($A$6:$A$2005&lt;A52)*$A$6:$A$2005)))</f>
        <v/>
      </c>
      <c r="F52" s="41">
        <f>IF(OR(E52="",E52=0),"",IFERROR(AVERAGEIFS($C$6:$C$2005,$B$6:$B$2005,B52,$A$6:$A$2005,E52),""))</f>
        <v/>
      </c>
      <c r="G52" s="34">
        <f>IF(F52="","",A52-E52)</f>
        <v/>
      </c>
      <c r="H52" s="42">
        <f>IF(OR(F52="",C52=""),"",IFERROR((C52-F52)/G52,""))</f>
        <v/>
      </c>
      <c r="I52" s="39">
        <f>IF(B52="","",IFERROR(INDEX('Animais'!$M$6:$M$1005,MATCH(B52,'Animais'!$A$6:$A$1005,0)),"Brinco não cadastrado"))</f>
        <v/>
      </c>
    </row>
    <row r="53">
      <c r="A53" s="31" t="n"/>
      <c r="B53" s="36" t="n"/>
      <c r="C53" s="38" t="n"/>
      <c r="D53" s="32" t="n"/>
      <c r="E53" s="43">
        <f>IF(OR(A53="",B53=""),"",SUMPRODUCT(MAX(($B$6:$B$2005=B53)*($A$6:$A$2005&lt;A53)*$A$6:$A$2005)))</f>
        <v/>
      </c>
      <c r="F53" s="41">
        <f>IF(OR(E53="",E53=0),"",IFERROR(AVERAGEIFS($C$6:$C$2005,$B$6:$B$2005,B53,$A$6:$A$2005,E53),""))</f>
        <v/>
      </c>
      <c r="G53" s="34">
        <f>IF(F53="","",A53-E53)</f>
        <v/>
      </c>
      <c r="H53" s="42">
        <f>IF(OR(F53="",C53=""),"",IFERROR((C53-F53)/G53,""))</f>
        <v/>
      </c>
      <c r="I53" s="39">
        <f>IF(B53="","",IFERROR(INDEX('Animais'!$M$6:$M$1005,MATCH(B53,'Animais'!$A$6:$A$1005,0)),"Brinco não cadastrado"))</f>
        <v/>
      </c>
    </row>
    <row r="54">
      <c r="A54" s="31" t="n"/>
      <c r="B54" s="36" t="n"/>
      <c r="C54" s="38" t="n"/>
      <c r="D54" s="32" t="n"/>
      <c r="E54" s="43">
        <f>IF(OR(A54="",B54=""),"",SUMPRODUCT(MAX(($B$6:$B$2005=B54)*($A$6:$A$2005&lt;A54)*$A$6:$A$2005)))</f>
        <v/>
      </c>
      <c r="F54" s="41">
        <f>IF(OR(E54="",E54=0),"",IFERROR(AVERAGEIFS($C$6:$C$2005,$B$6:$B$2005,B54,$A$6:$A$2005,E54),""))</f>
        <v/>
      </c>
      <c r="G54" s="34">
        <f>IF(F54="","",A54-E54)</f>
        <v/>
      </c>
      <c r="H54" s="42">
        <f>IF(OR(F54="",C54=""),"",IFERROR((C54-F54)/G54,""))</f>
        <v/>
      </c>
      <c r="I54" s="39">
        <f>IF(B54="","",IFERROR(INDEX('Animais'!$M$6:$M$1005,MATCH(B54,'Animais'!$A$6:$A$1005,0)),"Brinco não cadastrado"))</f>
        <v/>
      </c>
    </row>
    <row r="55">
      <c r="A55" s="31" t="n"/>
      <c r="B55" s="36" t="n"/>
      <c r="C55" s="38" t="n"/>
      <c r="D55" s="32" t="n"/>
      <c r="E55" s="43">
        <f>IF(OR(A55="",B55=""),"",SUMPRODUCT(MAX(($B$6:$B$2005=B55)*($A$6:$A$2005&lt;A55)*$A$6:$A$2005)))</f>
        <v/>
      </c>
      <c r="F55" s="41">
        <f>IF(OR(E55="",E55=0),"",IFERROR(AVERAGEIFS($C$6:$C$2005,$B$6:$B$2005,B55,$A$6:$A$2005,E55),""))</f>
        <v/>
      </c>
      <c r="G55" s="34">
        <f>IF(F55="","",A55-E55)</f>
        <v/>
      </c>
      <c r="H55" s="42">
        <f>IF(OR(F55="",C55=""),"",IFERROR((C55-F55)/G55,""))</f>
        <v/>
      </c>
      <c r="I55" s="39">
        <f>IF(B55="","",IFERROR(INDEX('Animais'!$M$6:$M$1005,MATCH(B55,'Animais'!$A$6:$A$1005,0)),"Brinco não cadastrado"))</f>
        <v/>
      </c>
    </row>
    <row r="56">
      <c r="A56" s="31" t="n"/>
      <c r="B56" s="36" t="n"/>
      <c r="C56" s="38" t="n"/>
      <c r="D56" s="32" t="n"/>
      <c r="E56" s="43">
        <f>IF(OR(A56="",B56=""),"",SUMPRODUCT(MAX(($B$6:$B$2005=B56)*($A$6:$A$2005&lt;A56)*$A$6:$A$2005)))</f>
        <v/>
      </c>
      <c r="F56" s="41">
        <f>IF(OR(E56="",E56=0),"",IFERROR(AVERAGEIFS($C$6:$C$2005,$B$6:$B$2005,B56,$A$6:$A$2005,E56),""))</f>
        <v/>
      </c>
      <c r="G56" s="34">
        <f>IF(F56="","",A56-E56)</f>
        <v/>
      </c>
      <c r="H56" s="42">
        <f>IF(OR(F56="",C56=""),"",IFERROR((C56-F56)/G56,""))</f>
        <v/>
      </c>
      <c r="I56" s="39">
        <f>IF(B56="","",IFERROR(INDEX('Animais'!$M$6:$M$1005,MATCH(B56,'Animais'!$A$6:$A$1005,0)),"Brinco não cadastrado"))</f>
        <v/>
      </c>
    </row>
    <row r="57">
      <c r="A57" s="31" t="n"/>
      <c r="B57" s="36" t="n"/>
      <c r="C57" s="38" t="n"/>
      <c r="D57" s="32" t="n"/>
      <c r="E57" s="43">
        <f>IF(OR(A57="",B57=""),"",SUMPRODUCT(MAX(($B$6:$B$2005=B57)*($A$6:$A$2005&lt;A57)*$A$6:$A$2005)))</f>
        <v/>
      </c>
      <c r="F57" s="41">
        <f>IF(OR(E57="",E57=0),"",IFERROR(AVERAGEIFS($C$6:$C$2005,$B$6:$B$2005,B57,$A$6:$A$2005,E57),""))</f>
        <v/>
      </c>
      <c r="G57" s="34">
        <f>IF(F57="","",A57-E57)</f>
        <v/>
      </c>
      <c r="H57" s="42">
        <f>IF(OR(F57="",C57=""),"",IFERROR((C57-F57)/G57,""))</f>
        <v/>
      </c>
      <c r="I57" s="39">
        <f>IF(B57="","",IFERROR(INDEX('Animais'!$M$6:$M$1005,MATCH(B57,'Animais'!$A$6:$A$1005,0)),"Brinco não cadastrado"))</f>
        <v/>
      </c>
    </row>
    <row r="58">
      <c r="A58" s="31" t="n"/>
      <c r="B58" s="36" t="n"/>
      <c r="C58" s="38" t="n"/>
      <c r="D58" s="32" t="n"/>
      <c r="E58" s="43">
        <f>IF(OR(A58="",B58=""),"",SUMPRODUCT(MAX(($B$6:$B$2005=B58)*($A$6:$A$2005&lt;A58)*$A$6:$A$2005)))</f>
        <v/>
      </c>
      <c r="F58" s="41">
        <f>IF(OR(E58="",E58=0),"",IFERROR(AVERAGEIFS($C$6:$C$2005,$B$6:$B$2005,B58,$A$6:$A$2005,E58),""))</f>
        <v/>
      </c>
      <c r="G58" s="34">
        <f>IF(F58="","",A58-E58)</f>
        <v/>
      </c>
      <c r="H58" s="42">
        <f>IF(OR(F58="",C58=""),"",IFERROR((C58-F58)/G58,""))</f>
        <v/>
      </c>
      <c r="I58" s="39">
        <f>IF(B58="","",IFERROR(INDEX('Animais'!$M$6:$M$1005,MATCH(B58,'Animais'!$A$6:$A$1005,0)),"Brinco não cadastrado"))</f>
        <v/>
      </c>
    </row>
    <row r="59">
      <c r="A59" s="31" t="n"/>
      <c r="B59" s="36" t="n"/>
      <c r="C59" s="38" t="n"/>
      <c r="D59" s="32" t="n"/>
      <c r="E59" s="43">
        <f>IF(OR(A59="",B59=""),"",SUMPRODUCT(MAX(($B$6:$B$2005=B59)*($A$6:$A$2005&lt;A59)*$A$6:$A$2005)))</f>
        <v/>
      </c>
      <c r="F59" s="41">
        <f>IF(OR(E59="",E59=0),"",IFERROR(AVERAGEIFS($C$6:$C$2005,$B$6:$B$2005,B59,$A$6:$A$2005,E59),""))</f>
        <v/>
      </c>
      <c r="G59" s="34">
        <f>IF(F59="","",A59-E59)</f>
        <v/>
      </c>
      <c r="H59" s="42">
        <f>IF(OR(F59="",C59=""),"",IFERROR((C59-F59)/G59,""))</f>
        <v/>
      </c>
      <c r="I59" s="39">
        <f>IF(B59="","",IFERROR(INDEX('Animais'!$M$6:$M$1005,MATCH(B59,'Animais'!$A$6:$A$1005,0)),"Brinco não cadastrado"))</f>
        <v/>
      </c>
    </row>
    <row r="60">
      <c r="A60" s="31" t="n"/>
      <c r="B60" s="36" t="n"/>
      <c r="C60" s="38" t="n"/>
      <c r="D60" s="32" t="n"/>
      <c r="E60" s="43">
        <f>IF(OR(A60="",B60=""),"",SUMPRODUCT(MAX(($B$6:$B$2005=B60)*($A$6:$A$2005&lt;A60)*$A$6:$A$2005)))</f>
        <v/>
      </c>
      <c r="F60" s="41">
        <f>IF(OR(E60="",E60=0),"",IFERROR(AVERAGEIFS($C$6:$C$2005,$B$6:$B$2005,B60,$A$6:$A$2005,E60),""))</f>
        <v/>
      </c>
      <c r="G60" s="34">
        <f>IF(F60="","",A60-E60)</f>
        <v/>
      </c>
      <c r="H60" s="42">
        <f>IF(OR(F60="",C60=""),"",IFERROR((C60-F60)/G60,""))</f>
        <v/>
      </c>
      <c r="I60" s="39">
        <f>IF(B60="","",IFERROR(INDEX('Animais'!$M$6:$M$1005,MATCH(B60,'Animais'!$A$6:$A$1005,0)),"Brinco não cadastrado"))</f>
        <v/>
      </c>
    </row>
    <row r="61">
      <c r="A61" s="31" t="n"/>
      <c r="B61" s="36" t="n"/>
      <c r="C61" s="38" t="n"/>
      <c r="D61" s="32" t="n"/>
      <c r="E61" s="43">
        <f>IF(OR(A61="",B61=""),"",SUMPRODUCT(MAX(($B$6:$B$2005=B61)*($A$6:$A$2005&lt;A61)*$A$6:$A$2005)))</f>
        <v/>
      </c>
      <c r="F61" s="41">
        <f>IF(OR(E61="",E61=0),"",IFERROR(AVERAGEIFS($C$6:$C$2005,$B$6:$B$2005,B61,$A$6:$A$2005,E61),""))</f>
        <v/>
      </c>
      <c r="G61" s="34">
        <f>IF(F61="","",A61-E61)</f>
        <v/>
      </c>
      <c r="H61" s="42">
        <f>IF(OR(F61="",C61=""),"",IFERROR((C61-F61)/G61,""))</f>
        <v/>
      </c>
      <c r="I61" s="39">
        <f>IF(B61="","",IFERROR(INDEX('Animais'!$M$6:$M$1005,MATCH(B61,'Animais'!$A$6:$A$1005,0)),"Brinco não cadastrado"))</f>
        <v/>
      </c>
    </row>
    <row r="62">
      <c r="A62" s="31" t="n"/>
      <c r="B62" s="36" t="n"/>
      <c r="C62" s="38" t="n"/>
      <c r="D62" s="32" t="n"/>
      <c r="E62" s="43">
        <f>IF(OR(A62="",B62=""),"",SUMPRODUCT(MAX(($B$6:$B$2005=B62)*($A$6:$A$2005&lt;A62)*$A$6:$A$2005)))</f>
        <v/>
      </c>
      <c r="F62" s="41">
        <f>IF(OR(E62="",E62=0),"",IFERROR(AVERAGEIFS($C$6:$C$2005,$B$6:$B$2005,B62,$A$6:$A$2005,E62),""))</f>
        <v/>
      </c>
      <c r="G62" s="34">
        <f>IF(F62="","",A62-E62)</f>
        <v/>
      </c>
      <c r="H62" s="42">
        <f>IF(OR(F62="",C62=""),"",IFERROR((C62-F62)/G62,""))</f>
        <v/>
      </c>
      <c r="I62" s="39">
        <f>IF(B62="","",IFERROR(INDEX('Animais'!$M$6:$M$1005,MATCH(B62,'Animais'!$A$6:$A$1005,0)),"Brinco não cadastrado"))</f>
        <v/>
      </c>
    </row>
    <row r="63">
      <c r="A63" s="31" t="n"/>
      <c r="B63" s="36" t="n"/>
      <c r="C63" s="38" t="n"/>
      <c r="D63" s="32" t="n"/>
      <c r="E63" s="43">
        <f>IF(OR(A63="",B63=""),"",SUMPRODUCT(MAX(($B$6:$B$2005=B63)*($A$6:$A$2005&lt;A63)*$A$6:$A$2005)))</f>
        <v/>
      </c>
      <c r="F63" s="41">
        <f>IF(OR(E63="",E63=0),"",IFERROR(AVERAGEIFS($C$6:$C$2005,$B$6:$B$2005,B63,$A$6:$A$2005,E63),""))</f>
        <v/>
      </c>
      <c r="G63" s="34">
        <f>IF(F63="","",A63-E63)</f>
        <v/>
      </c>
      <c r="H63" s="42">
        <f>IF(OR(F63="",C63=""),"",IFERROR((C63-F63)/G63,""))</f>
        <v/>
      </c>
      <c r="I63" s="39">
        <f>IF(B63="","",IFERROR(INDEX('Animais'!$M$6:$M$1005,MATCH(B63,'Animais'!$A$6:$A$1005,0)),"Brinco não cadastrado"))</f>
        <v/>
      </c>
    </row>
    <row r="64">
      <c r="A64" s="31" t="n"/>
      <c r="B64" s="36" t="n"/>
      <c r="C64" s="38" t="n"/>
      <c r="D64" s="32" t="n"/>
      <c r="E64" s="43">
        <f>IF(OR(A64="",B64=""),"",SUMPRODUCT(MAX(($B$6:$B$2005=B64)*($A$6:$A$2005&lt;A64)*$A$6:$A$2005)))</f>
        <v/>
      </c>
      <c r="F64" s="41">
        <f>IF(OR(E64="",E64=0),"",IFERROR(AVERAGEIFS($C$6:$C$2005,$B$6:$B$2005,B64,$A$6:$A$2005,E64),""))</f>
        <v/>
      </c>
      <c r="G64" s="34">
        <f>IF(F64="","",A64-E64)</f>
        <v/>
      </c>
      <c r="H64" s="42">
        <f>IF(OR(F64="",C64=""),"",IFERROR((C64-F64)/G64,""))</f>
        <v/>
      </c>
      <c r="I64" s="39">
        <f>IF(B64="","",IFERROR(INDEX('Animais'!$M$6:$M$1005,MATCH(B64,'Animais'!$A$6:$A$1005,0)),"Brinco não cadastrado"))</f>
        <v/>
      </c>
    </row>
    <row r="65">
      <c r="A65" s="31" t="n"/>
      <c r="B65" s="36" t="n"/>
      <c r="C65" s="38" t="n"/>
      <c r="D65" s="32" t="n"/>
      <c r="E65" s="43">
        <f>IF(OR(A65="",B65=""),"",SUMPRODUCT(MAX(($B$6:$B$2005=B65)*($A$6:$A$2005&lt;A65)*$A$6:$A$2005)))</f>
        <v/>
      </c>
      <c r="F65" s="41">
        <f>IF(OR(E65="",E65=0),"",IFERROR(AVERAGEIFS($C$6:$C$2005,$B$6:$B$2005,B65,$A$6:$A$2005,E65),""))</f>
        <v/>
      </c>
      <c r="G65" s="34">
        <f>IF(F65="","",A65-E65)</f>
        <v/>
      </c>
      <c r="H65" s="42">
        <f>IF(OR(F65="",C65=""),"",IFERROR((C65-F65)/G65,""))</f>
        <v/>
      </c>
      <c r="I65" s="39">
        <f>IF(B65="","",IFERROR(INDEX('Animais'!$M$6:$M$1005,MATCH(B65,'Animais'!$A$6:$A$1005,0)),"Brinco não cadastrado"))</f>
        <v/>
      </c>
    </row>
    <row r="66">
      <c r="A66" s="31" t="n"/>
      <c r="B66" s="36" t="n"/>
      <c r="C66" s="38" t="n"/>
      <c r="D66" s="32" t="n"/>
      <c r="E66" s="43">
        <f>IF(OR(A66="",B66=""),"",SUMPRODUCT(MAX(($B$6:$B$2005=B66)*($A$6:$A$2005&lt;A66)*$A$6:$A$2005)))</f>
        <v/>
      </c>
      <c r="F66" s="41">
        <f>IF(OR(E66="",E66=0),"",IFERROR(AVERAGEIFS($C$6:$C$2005,$B$6:$B$2005,B66,$A$6:$A$2005,E66),""))</f>
        <v/>
      </c>
      <c r="G66" s="34">
        <f>IF(F66="","",A66-E66)</f>
        <v/>
      </c>
      <c r="H66" s="42">
        <f>IF(OR(F66="",C66=""),"",IFERROR((C66-F66)/G66,""))</f>
        <v/>
      </c>
      <c r="I66" s="39">
        <f>IF(B66="","",IFERROR(INDEX('Animais'!$M$6:$M$1005,MATCH(B66,'Animais'!$A$6:$A$1005,0)),"Brinco não cadastrado"))</f>
        <v/>
      </c>
    </row>
    <row r="67">
      <c r="A67" s="31" t="n"/>
      <c r="B67" s="36" t="n"/>
      <c r="C67" s="38" t="n"/>
      <c r="D67" s="32" t="n"/>
      <c r="E67" s="43">
        <f>IF(OR(A67="",B67=""),"",SUMPRODUCT(MAX(($B$6:$B$2005=B67)*($A$6:$A$2005&lt;A67)*$A$6:$A$2005)))</f>
        <v/>
      </c>
      <c r="F67" s="41">
        <f>IF(OR(E67="",E67=0),"",IFERROR(AVERAGEIFS($C$6:$C$2005,$B$6:$B$2005,B67,$A$6:$A$2005,E67),""))</f>
        <v/>
      </c>
      <c r="G67" s="34">
        <f>IF(F67="","",A67-E67)</f>
        <v/>
      </c>
      <c r="H67" s="42">
        <f>IF(OR(F67="",C67=""),"",IFERROR((C67-F67)/G67,""))</f>
        <v/>
      </c>
      <c r="I67" s="39">
        <f>IF(B67="","",IFERROR(INDEX('Animais'!$M$6:$M$1005,MATCH(B67,'Animais'!$A$6:$A$1005,0)),"Brinco não cadastrado"))</f>
        <v/>
      </c>
    </row>
    <row r="68">
      <c r="A68" s="31" t="n"/>
      <c r="B68" s="36" t="n"/>
      <c r="C68" s="38" t="n"/>
      <c r="D68" s="32" t="n"/>
      <c r="E68" s="43">
        <f>IF(OR(A68="",B68=""),"",SUMPRODUCT(MAX(($B$6:$B$2005=B68)*($A$6:$A$2005&lt;A68)*$A$6:$A$2005)))</f>
        <v/>
      </c>
      <c r="F68" s="41">
        <f>IF(OR(E68="",E68=0),"",IFERROR(AVERAGEIFS($C$6:$C$2005,$B$6:$B$2005,B68,$A$6:$A$2005,E68),""))</f>
        <v/>
      </c>
      <c r="G68" s="34">
        <f>IF(F68="","",A68-E68)</f>
        <v/>
      </c>
      <c r="H68" s="42">
        <f>IF(OR(F68="",C68=""),"",IFERROR((C68-F68)/G68,""))</f>
        <v/>
      </c>
      <c r="I68" s="39">
        <f>IF(B68="","",IFERROR(INDEX('Animais'!$M$6:$M$1005,MATCH(B68,'Animais'!$A$6:$A$1005,0)),"Brinco não cadastrado"))</f>
        <v/>
      </c>
    </row>
    <row r="69">
      <c r="A69" s="31" t="n"/>
      <c r="B69" s="36" t="n"/>
      <c r="C69" s="38" t="n"/>
      <c r="D69" s="32" t="n"/>
      <c r="E69" s="43">
        <f>IF(OR(A69="",B69=""),"",SUMPRODUCT(MAX(($B$6:$B$2005=B69)*($A$6:$A$2005&lt;A69)*$A$6:$A$2005)))</f>
        <v/>
      </c>
      <c r="F69" s="41">
        <f>IF(OR(E69="",E69=0),"",IFERROR(AVERAGEIFS($C$6:$C$2005,$B$6:$B$2005,B69,$A$6:$A$2005,E69),""))</f>
        <v/>
      </c>
      <c r="G69" s="34">
        <f>IF(F69="","",A69-E69)</f>
        <v/>
      </c>
      <c r="H69" s="42">
        <f>IF(OR(F69="",C69=""),"",IFERROR((C69-F69)/G69,""))</f>
        <v/>
      </c>
      <c r="I69" s="39">
        <f>IF(B69="","",IFERROR(INDEX('Animais'!$M$6:$M$1005,MATCH(B69,'Animais'!$A$6:$A$1005,0)),"Brinco não cadastrado"))</f>
        <v/>
      </c>
    </row>
    <row r="70">
      <c r="A70" s="31" t="n"/>
      <c r="B70" s="36" t="n"/>
      <c r="C70" s="38" t="n"/>
      <c r="D70" s="32" t="n"/>
      <c r="E70" s="43">
        <f>IF(OR(A70="",B70=""),"",SUMPRODUCT(MAX(($B$6:$B$2005=B70)*($A$6:$A$2005&lt;A70)*$A$6:$A$2005)))</f>
        <v/>
      </c>
      <c r="F70" s="41">
        <f>IF(OR(E70="",E70=0),"",IFERROR(AVERAGEIFS($C$6:$C$2005,$B$6:$B$2005,B70,$A$6:$A$2005,E70),""))</f>
        <v/>
      </c>
      <c r="G70" s="34">
        <f>IF(F70="","",A70-E70)</f>
        <v/>
      </c>
      <c r="H70" s="42">
        <f>IF(OR(F70="",C70=""),"",IFERROR((C70-F70)/G70,""))</f>
        <v/>
      </c>
      <c r="I70" s="39">
        <f>IF(B70="","",IFERROR(INDEX('Animais'!$M$6:$M$1005,MATCH(B70,'Animais'!$A$6:$A$1005,0)),"Brinco não cadastrado"))</f>
        <v/>
      </c>
    </row>
    <row r="71">
      <c r="A71" s="31" t="n"/>
      <c r="B71" s="36" t="n"/>
      <c r="C71" s="38" t="n"/>
      <c r="D71" s="32" t="n"/>
      <c r="E71" s="43">
        <f>IF(OR(A71="",B71=""),"",SUMPRODUCT(MAX(($B$6:$B$2005=B71)*($A$6:$A$2005&lt;A71)*$A$6:$A$2005)))</f>
        <v/>
      </c>
      <c r="F71" s="41">
        <f>IF(OR(E71="",E71=0),"",IFERROR(AVERAGEIFS($C$6:$C$2005,$B$6:$B$2005,B71,$A$6:$A$2005,E71),""))</f>
        <v/>
      </c>
      <c r="G71" s="34">
        <f>IF(F71="","",A71-E71)</f>
        <v/>
      </c>
      <c r="H71" s="42">
        <f>IF(OR(F71="",C71=""),"",IFERROR((C71-F71)/G71,""))</f>
        <v/>
      </c>
      <c r="I71" s="39">
        <f>IF(B71="","",IFERROR(INDEX('Animais'!$M$6:$M$1005,MATCH(B71,'Animais'!$A$6:$A$1005,0)),"Brinco não cadastrado"))</f>
        <v/>
      </c>
    </row>
    <row r="72">
      <c r="A72" s="31" t="n"/>
      <c r="B72" s="36" t="n"/>
      <c r="C72" s="38" t="n"/>
      <c r="D72" s="32" t="n"/>
      <c r="E72" s="43">
        <f>IF(OR(A72="",B72=""),"",SUMPRODUCT(MAX(($B$6:$B$2005=B72)*($A$6:$A$2005&lt;A72)*$A$6:$A$2005)))</f>
        <v/>
      </c>
      <c r="F72" s="41">
        <f>IF(OR(E72="",E72=0),"",IFERROR(AVERAGEIFS($C$6:$C$2005,$B$6:$B$2005,B72,$A$6:$A$2005,E72),""))</f>
        <v/>
      </c>
      <c r="G72" s="34">
        <f>IF(F72="","",A72-E72)</f>
        <v/>
      </c>
      <c r="H72" s="42">
        <f>IF(OR(F72="",C72=""),"",IFERROR((C72-F72)/G72,""))</f>
        <v/>
      </c>
      <c r="I72" s="39">
        <f>IF(B72="","",IFERROR(INDEX('Animais'!$M$6:$M$1005,MATCH(B72,'Animais'!$A$6:$A$1005,0)),"Brinco não cadastrado"))</f>
        <v/>
      </c>
    </row>
    <row r="73">
      <c r="A73" s="31" t="n"/>
      <c r="B73" s="36" t="n"/>
      <c r="C73" s="38" t="n"/>
      <c r="D73" s="32" t="n"/>
      <c r="E73" s="43">
        <f>IF(OR(A73="",B73=""),"",SUMPRODUCT(MAX(($B$6:$B$2005=B73)*($A$6:$A$2005&lt;A73)*$A$6:$A$2005)))</f>
        <v/>
      </c>
      <c r="F73" s="41">
        <f>IF(OR(E73="",E73=0),"",IFERROR(AVERAGEIFS($C$6:$C$2005,$B$6:$B$2005,B73,$A$6:$A$2005,E73),""))</f>
        <v/>
      </c>
      <c r="G73" s="34">
        <f>IF(F73="","",A73-E73)</f>
        <v/>
      </c>
      <c r="H73" s="42">
        <f>IF(OR(F73="",C73=""),"",IFERROR((C73-F73)/G73,""))</f>
        <v/>
      </c>
      <c r="I73" s="39">
        <f>IF(B73="","",IFERROR(INDEX('Animais'!$M$6:$M$1005,MATCH(B73,'Animais'!$A$6:$A$1005,0)),"Brinco não cadastrado"))</f>
        <v/>
      </c>
    </row>
    <row r="74">
      <c r="A74" s="31" t="n"/>
      <c r="B74" s="36" t="n"/>
      <c r="C74" s="38" t="n"/>
      <c r="D74" s="32" t="n"/>
      <c r="E74" s="43">
        <f>IF(OR(A74="",B74=""),"",SUMPRODUCT(MAX(($B$6:$B$2005=B74)*($A$6:$A$2005&lt;A74)*$A$6:$A$2005)))</f>
        <v/>
      </c>
      <c r="F74" s="41">
        <f>IF(OR(E74="",E74=0),"",IFERROR(AVERAGEIFS($C$6:$C$2005,$B$6:$B$2005,B74,$A$6:$A$2005,E74),""))</f>
        <v/>
      </c>
      <c r="G74" s="34">
        <f>IF(F74="","",A74-E74)</f>
        <v/>
      </c>
      <c r="H74" s="42">
        <f>IF(OR(F74="",C74=""),"",IFERROR((C74-F74)/G74,""))</f>
        <v/>
      </c>
      <c r="I74" s="39">
        <f>IF(B74="","",IFERROR(INDEX('Animais'!$M$6:$M$1005,MATCH(B74,'Animais'!$A$6:$A$1005,0)),"Brinco não cadastrado"))</f>
        <v/>
      </c>
    </row>
    <row r="75">
      <c r="A75" s="31" t="n"/>
      <c r="B75" s="36" t="n"/>
      <c r="C75" s="38" t="n"/>
      <c r="D75" s="32" t="n"/>
      <c r="E75" s="43">
        <f>IF(OR(A75="",B75=""),"",SUMPRODUCT(MAX(($B$6:$B$2005=B75)*($A$6:$A$2005&lt;A75)*$A$6:$A$2005)))</f>
        <v/>
      </c>
      <c r="F75" s="41">
        <f>IF(OR(E75="",E75=0),"",IFERROR(AVERAGEIFS($C$6:$C$2005,$B$6:$B$2005,B75,$A$6:$A$2005,E75),""))</f>
        <v/>
      </c>
      <c r="G75" s="34">
        <f>IF(F75="","",A75-E75)</f>
        <v/>
      </c>
      <c r="H75" s="42">
        <f>IF(OR(F75="",C75=""),"",IFERROR((C75-F75)/G75,""))</f>
        <v/>
      </c>
      <c r="I75" s="39">
        <f>IF(B75="","",IFERROR(INDEX('Animais'!$M$6:$M$1005,MATCH(B75,'Animais'!$A$6:$A$1005,0)),"Brinco não cadastrado"))</f>
        <v/>
      </c>
    </row>
    <row r="76">
      <c r="A76" s="31" t="n"/>
      <c r="B76" s="36" t="n"/>
      <c r="C76" s="38" t="n"/>
      <c r="D76" s="32" t="n"/>
      <c r="E76" s="43">
        <f>IF(OR(A76="",B76=""),"",SUMPRODUCT(MAX(($B$6:$B$2005=B76)*($A$6:$A$2005&lt;A76)*$A$6:$A$2005)))</f>
        <v/>
      </c>
      <c r="F76" s="41">
        <f>IF(OR(E76="",E76=0),"",IFERROR(AVERAGEIFS($C$6:$C$2005,$B$6:$B$2005,B76,$A$6:$A$2005,E76),""))</f>
        <v/>
      </c>
      <c r="G76" s="34">
        <f>IF(F76="","",A76-E76)</f>
        <v/>
      </c>
      <c r="H76" s="42">
        <f>IF(OR(F76="",C76=""),"",IFERROR((C76-F76)/G76,""))</f>
        <v/>
      </c>
      <c r="I76" s="39">
        <f>IF(B76="","",IFERROR(INDEX('Animais'!$M$6:$M$1005,MATCH(B76,'Animais'!$A$6:$A$1005,0)),"Brinco não cadastrado"))</f>
        <v/>
      </c>
    </row>
    <row r="77">
      <c r="A77" s="31" t="n"/>
      <c r="B77" s="36" t="n"/>
      <c r="C77" s="38" t="n"/>
      <c r="D77" s="32" t="n"/>
      <c r="E77" s="43">
        <f>IF(OR(A77="",B77=""),"",SUMPRODUCT(MAX(($B$6:$B$2005=B77)*($A$6:$A$2005&lt;A77)*$A$6:$A$2005)))</f>
        <v/>
      </c>
      <c r="F77" s="41">
        <f>IF(OR(E77="",E77=0),"",IFERROR(AVERAGEIFS($C$6:$C$2005,$B$6:$B$2005,B77,$A$6:$A$2005,E77),""))</f>
        <v/>
      </c>
      <c r="G77" s="34">
        <f>IF(F77="","",A77-E77)</f>
        <v/>
      </c>
      <c r="H77" s="42">
        <f>IF(OR(F77="",C77=""),"",IFERROR((C77-F77)/G77,""))</f>
        <v/>
      </c>
      <c r="I77" s="39">
        <f>IF(B77="","",IFERROR(INDEX('Animais'!$M$6:$M$1005,MATCH(B77,'Animais'!$A$6:$A$1005,0)),"Brinco não cadastrado"))</f>
        <v/>
      </c>
    </row>
    <row r="78">
      <c r="A78" s="31" t="n"/>
      <c r="B78" s="36" t="n"/>
      <c r="C78" s="38" t="n"/>
      <c r="D78" s="32" t="n"/>
      <c r="E78" s="43">
        <f>IF(OR(A78="",B78=""),"",SUMPRODUCT(MAX(($B$6:$B$2005=B78)*($A$6:$A$2005&lt;A78)*$A$6:$A$2005)))</f>
        <v/>
      </c>
      <c r="F78" s="41">
        <f>IF(OR(E78="",E78=0),"",IFERROR(AVERAGEIFS($C$6:$C$2005,$B$6:$B$2005,B78,$A$6:$A$2005,E78),""))</f>
        <v/>
      </c>
      <c r="G78" s="34">
        <f>IF(F78="","",A78-E78)</f>
        <v/>
      </c>
      <c r="H78" s="42">
        <f>IF(OR(F78="",C78=""),"",IFERROR((C78-F78)/G78,""))</f>
        <v/>
      </c>
      <c r="I78" s="39">
        <f>IF(B78="","",IFERROR(INDEX('Animais'!$M$6:$M$1005,MATCH(B78,'Animais'!$A$6:$A$1005,0)),"Brinco não cadastrado"))</f>
        <v/>
      </c>
    </row>
    <row r="79">
      <c r="A79" s="31" t="n"/>
      <c r="B79" s="36" t="n"/>
      <c r="C79" s="38" t="n"/>
      <c r="D79" s="32" t="n"/>
      <c r="E79" s="43">
        <f>IF(OR(A79="",B79=""),"",SUMPRODUCT(MAX(($B$6:$B$2005=B79)*($A$6:$A$2005&lt;A79)*$A$6:$A$2005)))</f>
        <v/>
      </c>
      <c r="F79" s="41">
        <f>IF(OR(E79="",E79=0),"",IFERROR(AVERAGEIFS($C$6:$C$2005,$B$6:$B$2005,B79,$A$6:$A$2005,E79),""))</f>
        <v/>
      </c>
      <c r="G79" s="34">
        <f>IF(F79="","",A79-E79)</f>
        <v/>
      </c>
      <c r="H79" s="42">
        <f>IF(OR(F79="",C79=""),"",IFERROR((C79-F79)/G79,""))</f>
        <v/>
      </c>
      <c r="I79" s="39">
        <f>IF(B79="","",IFERROR(INDEX('Animais'!$M$6:$M$1005,MATCH(B79,'Animais'!$A$6:$A$1005,0)),"Brinco não cadastrado"))</f>
        <v/>
      </c>
    </row>
    <row r="80">
      <c r="A80" s="31" t="n"/>
      <c r="B80" s="36" t="n"/>
      <c r="C80" s="38" t="n"/>
      <c r="D80" s="32" t="n"/>
      <c r="E80" s="43">
        <f>IF(OR(A80="",B80=""),"",SUMPRODUCT(MAX(($B$6:$B$2005=B80)*($A$6:$A$2005&lt;A80)*$A$6:$A$2005)))</f>
        <v/>
      </c>
      <c r="F80" s="41">
        <f>IF(OR(E80="",E80=0),"",IFERROR(AVERAGEIFS($C$6:$C$2005,$B$6:$B$2005,B80,$A$6:$A$2005,E80),""))</f>
        <v/>
      </c>
      <c r="G80" s="34">
        <f>IF(F80="","",A80-E80)</f>
        <v/>
      </c>
      <c r="H80" s="42">
        <f>IF(OR(F80="",C80=""),"",IFERROR((C80-F80)/G80,""))</f>
        <v/>
      </c>
      <c r="I80" s="39">
        <f>IF(B80="","",IFERROR(INDEX('Animais'!$M$6:$M$1005,MATCH(B80,'Animais'!$A$6:$A$1005,0)),"Brinco não cadastrado"))</f>
        <v/>
      </c>
    </row>
    <row r="81">
      <c r="A81" s="31" t="n"/>
      <c r="B81" s="36" t="n"/>
      <c r="C81" s="38" t="n"/>
      <c r="D81" s="32" t="n"/>
      <c r="E81" s="43">
        <f>IF(OR(A81="",B81=""),"",SUMPRODUCT(MAX(($B$6:$B$2005=B81)*($A$6:$A$2005&lt;A81)*$A$6:$A$2005)))</f>
        <v/>
      </c>
      <c r="F81" s="41">
        <f>IF(OR(E81="",E81=0),"",IFERROR(AVERAGEIFS($C$6:$C$2005,$B$6:$B$2005,B81,$A$6:$A$2005,E81),""))</f>
        <v/>
      </c>
      <c r="G81" s="34">
        <f>IF(F81="","",A81-E81)</f>
        <v/>
      </c>
      <c r="H81" s="42">
        <f>IF(OR(F81="",C81=""),"",IFERROR((C81-F81)/G81,""))</f>
        <v/>
      </c>
      <c r="I81" s="39">
        <f>IF(B81="","",IFERROR(INDEX('Animais'!$M$6:$M$1005,MATCH(B81,'Animais'!$A$6:$A$1005,0)),"Brinco não cadastrado"))</f>
        <v/>
      </c>
    </row>
    <row r="82">
      <c r="A82" s="31" t="n"/>
      <c r="B82" s="36" t="n"/>
      <c r="C82" s="38" t="n"/>
      <c r="D82" s="32" t="n"/>
      <c r="E82" s="43">
        <f>IF(OR(A82="",B82=""),"",SUMPRODUCT(MAX(($B$6:$B$2005=B82)*($A$6:$A$2005&lt;A82)*$A$6:$A$2005)))</f>
        <v/>
      </c>
      <c r="F82" s="41">
        <f>IF(OR(E82="",E82=0),"",IFERROR(AVERAGEIFS($C$6:$C$2005,$B$6:$B$2005,B82,$A$6:$A$2005,E82),""))</f>
        <v/>
      </c>
      <c r="G82" s="34">
        <f>IF(F82="","",A82-E82)</f>
        <v/>
      </c>
      <c r="H82" s="42">
        <f>IF(OR(F82="",C82=""),"",IFERROR((C82-F82)/G82,""))</f>
        <v/>
      </c>
      <c r="I82" s="39">
        <f>IF(B82="","",IFERROR(INDEX('Animais'!$M$6:$M$1005,MATCH(B82,'Animais'!$A$6:$A$1005,0)),"Brinco não cadastrado"))</f>
        <v/>
      </c>
    </row>
    <row r="83">
      <c r="A83" s="31" t="n"/>
      <c r="B83" s="36" t="n"/>
      <c r="C83" s="38" t="n"/>
      <c r="D83" s="32" t="n"/>
      <c r="E83" s="43">
        <f>IF(OR(A83="",B83=""),"",SUMPRODUCT(MAX(($B$6:$B$2005=B83)*($A$6:$A$2005&lt;A83)*$A$6:$A$2005)))</f>
        <v/>
      </c>
      <c r="F83" s="41">
        <f>IF(OR(E83="",E83=0),"",IFERROR(AVERAGEIFS($C$6:$C$2005,$B$6:$B$2005,B83,$A$6:$A$2005,E83),""))</f>
        <v/>
      </c>
      <c r="G83" s="34">
        <f>IF(F83="","",A83-E83)</f>
        <v/>
      </c>
      <c r="H83" s="42">
        <f>IF(OR(F83="",C83=""),"",IFERROR((C83-F83)/G83,""))</f>
        <v/>
      </c>
      <c r="I83" s="39">
        <f>IF(B83="","",IFERROR(INDEX('Animais'!$M$6:$M$1005,MATCH(B83,'Animais'!$A$6:$A$1005,0)),"Brinco não cadastrado"))</f>
        <v/>
      </c>
    </row>
    <row r="84">
      <c r="A84" s="31" t="n"/>
      <c r="B84" s="36" t="n"/>
      <c r="C84" s="38" t="n"/>
      <c r="D84" s="32" t="n"/>
      <c r="E84" s="43">
        <f>IF(OR(A84="",B84=""),"",SUMPRODUCT(MAX(($B$6:$B$2005=B84)*($A$6:$A$2005&lt;A84)*$A$6:$A$2005)))</f>
        <v/>
      </c>
      <c r="F84" s="41">
        <f>IF(OR(E84="",E84=0),"",IFERROR(AVERAGEIFS($C$6:$C$2005,$B$6:$B$2005,B84,$A$6:$A$2005,E84),""))</f>
        <v/>
      </c>
      <c r="G84" s="34">
        <f>IF(F84="","",A84-E84)</f>
        <v/>
      </c>
      <c r="H84" s="42">
        <f>IF(OR(F84="",C84=""),"",IFERROR((C84-F84)/G84,""))</f>
        <v/>
      </c>
      <c r="I84" s="39">
        <f>IF(B84="","",IFERROR(INDEX('Animais'!$M$6:$M$1005,MATCH(B84,'Animais'!$A$6:$A$1005,0)),"Brinco não cadastrado"))</f>
        <v/>
      </c>
    </row>
    <row r="85">
      <c r="A85" s="31" t="n"/>
      <c r="B85" s="36" t="n"/>
      <c r="C85" s="38" t="n"/>
      <c r="D85" s="32" t="n"/>
      <c r="E85" s="43">
        <f>IF(OR(A85="",B85=""),"",SUMPRODUCT(MAX(($B$6:$B$2005=B85)*($A$6:$A$2005&lt;A85)*$A$6:$A$2005)))</f>
        <v/>
      </c>
      <c r="F85" s="41">
        <f>IF(OR(E85="",E85=0),"",IFERROR(AVERAGEIFS($C$6:$C$2005,$B$6:$B$2005,B85,$A$6:$A$2005,E85),""))</f>
        <v/>
      </c>
      <c r="G85" s="34">
        <f>IF(F85="","",A85-E85)</f>
        <v/>
      </c>
      <c r="H85" s="42">
        <f>IF(OR(F85="",C85=""),"",IFERROR((C85-F85)/G85,""))</f>
        <v/>
      </c>
      <c r="I85" s="39">
        <f>IF(B85="","",IFERROR(INDEX('Animais'!$M$6:$M$1005,MATCH(B85,'Animais'!$A$6:$A$1005,0)),"Brinco não cadastrado"))</f>
        <v/>
      </c>
    </row>
    <row r="86">
      <c r="A86" s="31" t="n"/>
      <c r="B86" s="36" t="n"/>
      <c r="C86" s="38" t="n"/>
      <c r="D86" s="32" t="n"/>
      <c r="E86" s="43">
        <f>IF(OR(A86="",B86=""),"",SUMPRODUCT(MAX(($B$6:$B$2005=B86)*($A$6:$A$2005&lt;A86)*$A$6:$A$2005)))</f>
        <v/>
      </c>
      <c r="F86" s="41">
        <f>IF(OR(E86="",E86=0),"",IFERROR(AVERAGEIFS($C$6:$C$2005,$B$6:$B$2005,B86,$A$6:$A$2005,E86),""))</f>
        <v/>
      </c>
      <c r="G86" s="34">
        <f>IF(F86="","",A86-E86)</f>
        <v/>
      </c>
      <c r="H86" s="42">
        <f>IF(OR(F86="",C86=""),"",IFERROR((C86-F86)/G86,""))</f>
        <v/>
      </c>
      <c r="I86" s="39">
        <f>IF(B86="","",IFERROR(INDEX('Animais'!$M$6:$M$1005,MATCH(B86,'Animais'!$A$6:$A$1005,0)),"Brinco não cadastrado"))</f>
        <v/>
      </c>
    </row>
    <row r="87">
      <c r="A87" s="31" t="n"/>
      <c r="B87" s="36" t="n"/>
      <c r="C87" s="38" t="n"/>
      <c r="D87" s="32" t="n"/>
      <c r="E87" s="43">
        <f>IF(OR(A87="",B87=""),"",SUMPRODUCT(MAX(($B$6:$B$2005=B87)*($A$6:$A$2005&lt;A87)*$A$6:$A$2005)))</f>
        <v/>
      </c>
      <c r="F87" s="41">
        <f>IF(OR(E87="",E87=0),"",IFERROR(AVERAGEIFS($C$6:$C$2005,$B$6:$B$2005,B87,$A$6:$A$2005,E87),""))</f>
        <v/>
      </c>
      <c r="G87" s="34">
        <f>IF(F87="","",A87-E87)</f>
        <v/>
      </c>
      <c r="H87" s="42">
        <f>IF(OR(F87="",C87=""),"",IFERROR((C87-F87)/G87,""))</f>
        <v/>
      </c>
      <c r="I87" s="39">
        <f>IF(B87="","",IFERROR(INDEX('Animais'!$M$6:$M$1005,MATCH(B87,'Animais'!$A$6:$A$1005,0)),"Brinco não cadastrado"))</f>
        <v/>
      </c>
    </row>
    <row r="88">
      <c r="A88" s="31" t="n"/>
      <c r="B88" s="36" t="n"/>
      <c r="C88" s="38" t="n"/>
      <c r="D88" s="32" t="n"/>
      <c r="E88" s="43">
        <f>IF(OR(A88="",B88=""),"",SUMPRODUCT(MAX(($B$6:$B$2005=B88)*($A$6:$A$2005&lt;A88)*$A$6:$A$2005)))</f>
        <v/>
      </c>
      <c r="F88" s="41">
        <f>IF(OR(E88="",E88=0),"",IFERROR(AVERAGEIFS($C$6:$C$2005,$B$6:$B$2005,B88,$A$6:$A$2005,E88),""))</f>
        <v/>
      </c>
      <c r="G88" s="34">
        <f>IF(F88="","",A88-E88)</f>
        <v/>
      </c>
      <c r="H88" s="42">
        <f>IF(OR(F88="",C88=""),"",IFERROR((C88-F88)/G88,""))</f>
        <v/>
      </c>
      <c r="I88" s="39">
        <f>IF(B88="","",IFERROR(INDEX('Animais'!$M$6:$M$1005,MATCH(B88,'Animais'!$A$6:$A$1005,0)),"Brinco não cadastrado"))</f>
        <v/>
      </c>
    </row>
    <row r="89">
      <c r="A89" s="31" t="n"/>
      <c r="B89" s="36" t="n"/>
      <c r="C89" s="38" t="n"/>
      <c r="D89" s="32" t="n"/>
      <c r="E89" s="43">
        <f>IF(OR(A89="",B89=""),"",SUMPRODUCT(MAX(($B$6:$B$2005=B89)*($A$6:$A$2005&lt;A89)*$A$6:$A$2005)))</f>
        <v/>
      </c>
      <c r="F89" s="41">
        <f>IF(OR(E89="",E89=0),"",IFERROR(AVERAGEIFS($C$6:$C$2005,$B$6:$B$2005,B89,$A$6:$A$2005,E89),""))</f>
        <v/>
      </c>
      <c r="G89" s="34">
        <f>IF(F89="","",A89-E89)</f>
        <v/>
      </c>
      <c r="H89" s="42">
        <f>IF(OR(F89="",C89=""),"",IFERROR((C89-F89)/G89,""))</f>
        <v/>
      </c>
      <c r="I89" s="39">
        <f>IF(B89="","",IFERROR(INDEX('Animais'!$M$6:$M$1005,MATCH(B89,'Animais'!$A$6:$A$1005,0)),"Brinco não cadastrado"))</f>
        <v/>
      </c>
    </row>
    <row r="90">
      <c r="A90" s="31" t="n"/>
      <c r="B90" s="36" t="n"/>
      <c r="C90" s="38" t="n"/>
      <c r="D90" s="32" t="n"/>
      <c r="E90" s="43">
        <f>IF(OR(A90="",B90=""),"",SUMPRODUCT(MAX(($B$6:$B$2005=B90)*($A$6:$A$2005&lt;A90)*$A$6:$A$2005)))</f>
        <v/>
      </c>
      <c r="F90" s="41">
        <f>IF(OR(E90="",E90=0),"",IFERROR(AVERAGEIFS($C$6:$C$2005,$B$6:$B$2005,B90,$A$6:$A$2005,E90),""))</f>
        <v/>
      </c>
      <c r="G90" s="34">
        <f>IF(F90="","",A90-E90)</f>
        <v/>
      </c>
      <c r="H90" s="42">
        <f>IF(OR(F90="",C90=""),"",IFERROR((C90-F90)/G90,""))</f>
        <v/>
      </c>
      <c r="I90" s="39">
        <f>IF(B90="","",IFERROR(INDEX('Animais'!$M$6:$M$1005,MATCH(B90,'Animais'!$A$6:$A$1005,0)),"Brinco não cadastrado"))</f>
        <v/>
      </c>
    </row>
    <row r="91">
      <c r="A91" s="31" t="n"/>
      <c r="B91" s="36" t="n"/>
      <c r="C91" s="38" t="n"/>
      <c r="D91" s="32" t="n"/>
      <c r="E91" s="43">
        <f>IF(OR(A91="",B91=""),"",SUMPRODUCT(MAX(($B$6:$B$2005=B91)*($A$6:$A$2005&lt;A91)*$A$6:$A$2005)))</f>
        <v/>
      </c>
      <c r="F91" s="41">
        <f>IF(OR(E91="",E91=0),"",IFERROR(AVERAGEIFS($C$6:$C$2005,$B$6:$B$2005,B91,$A$6:$A$2005,E91),""))</f>
        <v/>
      </c>
      <c r="G91" s="34">
        <f>IF(F91="","",A91-E91)</f>
        <v/>
      </c>
      <c r="H91" s="42">
        <f>IF(OR(F91="",C91=""),"",IFERROR((C91-F91)/G91,""))</f>
        <v/>
      </c>
      <c r="I91" s="39">
        <f>IF(B91="","",IFERROR(INDEX('Animais'!$M$6:$M$1005,MATCH(B91,'Animais'!$A$6:$A$1005,0)),"Brinco não cadastrado"))</f>
        <v/>
      </c>
    </row>
    <row r="92">
      <c r="A92" s="31" t="n"/>
      <c r="B92" s="36" t="n"/>
      <c r="C92" s="38" t="n"/>
      <c r="D92" s="32" t="n"/>
      <c r="E92" s="43">
        <f>IF(OR(A92="",B92=""),"",SUMPRODUCT(MAX(($B$6:$B$2005=B92)*($A$6:$A$2005&lt;A92)*$A$6:$A$2005)))</f>
        <v/>
      </c>
      <c r="F92" s="41">
        <f>IF(OR(E92="",E92=0),"",IFERROR(AVERAGEIFS($C$6:$C$2005,$B$6:$B$2005,B92,$A$6:$A$2005,E92),""))</f>
        <v/>
      </c>
      <c r="G92" s="34">
        <f>IF(F92="","",A92-E92)</f>
        <v/>
      </c>
      <c r="H92" s="42">
        <f>IF(OR(F92="",C92=""),"",IFERROR((C92-F92)/G92,""))</f>
        <v/>
      </c>
      <c r="I92" s="39">
        <f>IF(B92="","",IFERROR(INDEX('Animais'!$M$6:$M$1005,MATCH(B92,'Animais'!$A$6:$A$1005,0)),"Brinco não cadastrado"))</f>
        <v/>
      </c>
    </row>
    <row r="93">
      <c r="A93" s="31" t="n"/>
      <c r="B93" s="36" t="n"/>
      <c r="C93" s="38" t="n"/>
      <c r="D93" s="32" t="n"/>
      <c r="E93" s="43">
        <f>IF(OR(A93="",B93=""),"",SUMPRODUCT(MAX(($B$6:$B$2005=B93)*($A$6:$A$2005&lt;A93)*$A$6:$A$2005)))</f>
        <v/>
      </c>
      <c r="F93" s="41">
        <f>IF(OR(E93="",E93=0),"",IFERROR(AVERAGEIFS($C$6:$C$2005,$B$6:$B$2005,B93,$A$6:$A$2005,E93),""))</f>
        <v/>
      </c>
      <c r="G93" s="34">
        <f>IF(F93="","",A93-E93)</f>
        <v/>
      </c>
      <c r="H93" s="42">
        <f>IF(OR(F93="",C93=""),"",IFERROR((C93-F93)/G93,""))</f>
        <v/>
      </c>
      <c r="I93" s="39">
        <f>IF(B93="","",IFERROR(INDEX('Animais'!$M$6:$M$1005,MATCH(B93,'Animais'!$A$6:$A$1005,0)),"Brinco não cadastrado"))</f>
        <v/>
      </c>
    </row>
    <row r="94">
      <c r="A94" s="31" t="n"/>
      <c r="B94" s="36" t="n"/>
      <c r="C94" s="38" t="n"/>
      <c r="D94" s="32" t="n"/>
      <c r="E94" s="43">
        <f>IF(OR(A94="",B94=""),"",SUMPRODUCT(MAX(($B$6:$B$2005=B94)*($A$6:$A$2005&lt;A94)*$A$6:$A$2005)))</f>
        <v/>
      </c>
      <c r="F94" s="41">
        <f>IF(OR(E94="",E94=0),"",IFERROR(AVERAGEIFS($C$6:$C$2005,$B$6:$B$2005,B94,$A$6:$A$2005,E94),""))</f>
        <v/>
      </c>
      <c r="G94" s="34">
        <f>IF(F94="","",A94-E94)</f>
        <v/>
      </c>
      <c r="H94" s="42">
        <f>IF(OR(F94="",C94=""),"",IFERROR((C94-F94)/G94,""))</f>
        <v/>
      </c>
      <c r="I94" s="39">
        <f>IF(B94="","",IFERROR(INDEX('Animais'!$M$6:$M$1005,MATCH(B94,'Animais'!$A$6:$A$1005,0)),"Brinco não cadastrado"))</f>
        <v/>
      </c>
    </row>
    <row r="95">
      <c r="A95" s="31" t="n"/>
      <c r="B95" s="36" t="n"/>
      <c r="C95" s="38" t="n"/>
      <c r="D95" s="32" t="n"/>
      <c r="E95" s="43">
        <f>IF(OR(A95="",B95=""),"",SUMPRODUCT(MAX(($B$6:$B$2005=B95)*($A$6:$A$2005&lt;A95)*$A$6:$A$2005)))</f>
        <v/>
      </c>
      <c r="F95" s="41">
        <f>IF(OR(E95="",E95=0),"",IFERROR(AVERAGEIFS($C$6:$C$2005,$B$6:$B$2005,B95,$A$6:$A$2005,E95),""))</f>
        <v/>
      </c>
      <c r="G95" s="34">
        <f>IF(F95="","",A95-E95)</f>
        <v/>
      </c>
      <c r="H95" s="42">
        <f>IF(OR(F95="",C95=""),"",IFERROR((C95-F95)/G95,""))</f>
        <v/>
      </c>
      <c r="I95" s="39">
        <f>IF(B95="","",IFERROR(INDEX('Animais'!$M$6:$M$1005,MATCH(B95,'Animais'!$A$6:$A$1005,0)),"Brinco não cadastrado"))</f>
        <v/>
      </c>
    </row>
    <row r="96">
      <c r="A96" s="31" t="n"/>
      <c r="B96" s="36" t="n"/>
      <c r="C96" s="38" t="n"/>
      <c r="D96" s="32" t="n"/>
      <c r="E96" s="43">
        <f>IF(OR(A96="",B96=""),"",SUMPRODUCT(MAX(($B$6:$B$2005=B96)*($A$6:$A$2005&lt;A96)*$A$6:$A$2005)))</f>
        <v/>
      </c>
      <c r="F96" s="41">
        <f>IF(OR(E96="",E96=0),"",IFERROR(AVERAGEIFS($C$6:$C$2005,$B$6:$B$2005,B96,$A$6:$A$2005,E96),""))</f>
        <v/>
      </c>
      <c r="G96" s="34">
        <f>IF(F96="","",A96-E96)</f>
        <v/>
      </c>
      <c r="H96" s="42">
        <f>IF(OR(F96="",C96=""),"",IFERROR((C96-F96)/G96,""))</f>
        <v/>
      </c>
      <c r="I96" s="39">
        <f>IF(B96="","",IFERROR(INDEX('Animais'!$M$6:$M$1005,MATCH(B96,'Animais'!$A$6:$A$1005,0)),"Brinco não cadastrado"))</f>
        <v/>
      </c>
    </row>
    <row r="97">
      <c r="A97" s="31" t="n"/>
      <c r="B97" s="36" t="n"/>
      <c r="C97" s="38" t="n"/>
      <c r="D97" s="32" t="n"/>
      <c r="E97" s="43">
        <f>IF(OR(A97="",B97=""),"",SUMPRODUCT(MAX(($B$6:$B$2005=B97)*($A$6:$A$2005&lt;A97)*$A$6:$A$2005)))</f>
        <v/>
      </c>
      <c r="F97" s="41">
        <f>IF(OR(E97="",E97=0),"",IFERROR(AVERAGEIFS($C$6:$C$2005,$B$6:$B$2005,B97,$A$6:$A$2005,E97),""))</f>
        <v/>
      </c>
      <c r="G97" s="34">
        <f>IF(F97="","",A97-E97)</f>
        <v/>
      </c>
      <c r="H97" s="42">
        <f>IF(OR(F97="",C97=""),"",IFERROR((C97-F97)/G97,""))</f>
        <v/>
      </c>
      <c r="I97" s="39">
        <f>IF(B97="","",IFERROR(INDEX('Animais'!$M$6:$M$1005,MATCH(B97,'Animais'!$A$6:$A$1005,0)),"Brinco não cadastrado"))</f>
        <v/>
      </c>
    </row>
    <row r="98">
      <c r="A98" s="31" t="n"/>
      <c r="B98" s="36" t="n"/>
      <c r="C98" s="38" t="n"/>
      <c r="D98" s="32" t="n"/>
      <c r="E98" s="43">
        <f>IF(OR(A98="",B98=""),"",SUMPRODUCT(MAX(($B$6:$B$2005=B98)*($A$6:$A$2005&lt;A98)*$A$6:$A$2005)))</f>
        <v/>
      </c>
      <c r="F98" s="41">
        <f>IF(OR(E98="",E98=0),"",IFERROR(AVERAGEIFS($C$6:$C$2005,$B$6:$B$2005,B98,$A$6:$A$2005,E98),""))</f>
        <v/>
      </c>
      <c r="G98" s="34">
        <f>IF(F98="","",A98-E98)</f>
        <v/>
      </c>
      <c r="H98" s="42">
        <f>IF(OR(F98="",C98=""),"",IFERROR((C98-F98)/G98,""))</f>
        <v/>
      </c>
      <c r="I98" s="39">
        <f>IF(B98="","",IFERROR(INDEX('Animais'!$M$6:$M$1005,MATCH(B98,'Animais'!$A$6:$A$1005,0)),"Brinco não cadastrado"))</f>
        <v/>
      </c>
    </row>
    <row r="99">
      <c r="A99" s="31" t="n"/>
      <c r="B99" s="36" t="n"/>
      <c r="C99" s="38" t="n"/>
      <c r="D99" s="32" t="n"/>
      <c r="E99" s="43">
        <f>IF(OR(A99="",B99=""),"",SUMPRODUCT(MAX(($B$6:$B$2005=B99)*($A$6:$A$2005&lt;A99)*$A$6:$A$2005)))</f>
        <v/>
      </c>
      <c r="F99" s="41">
        <f>IF(OR(E99="",E99=0),"",IFERROR(AVERAGEIFS($C$6:$C$2005,$B$6:$B$2005,B99,$A$6:$A$2005,E99),""))</f>
        <v/>
      </c>
      <c r="G99" s="34">
        <f>IF(F99="","",A99-E99)</f>
        <v/>
      </c>
      <c r="H99" s="42">
        <f>IF(OR(F99="",C99=""),"",IFERROR((C99-F99)/G99,""))</f>
        <v/>
      </c>
      <c r="I99" s="39">
        <f>IF(B99="","",IFERROR(INDEX('Animais'!$M$6:$M$1005,MATCH(B99,'Animais'!$A$6:$A$1005,0)),"Brinco não cadastrado"))</f>
        <v/>
      </c>
    </row>
    <row r="100">
      <c r="A100" s="31" t="n"/>
      <c r="B100" s="36" t="n"/>
      <c r="C100" s="38" t="n"/>
      <c r="D100" s="32" t="n"/>
      <c r="E100" s="43">
        <f>IF(OR(A100="",B100=""),"",SUMPRODUCT(MAX(($B$6:$B$2005=B100)*($A$6:$A$2005&lt;A100)*$A$6:$A$2005)))</f>
        <v/>
      </c>
      <c r="F100" s="41">
        <f>IF(OR(E100="",E100=0),"",IFERROR(AVERAGEIFS($C$6:$C$2005,$B$6:$B$2005,B100,$A$6:$A$2005,E100),""))</f>
        <v/>
      </c>
      <c r="G100" s="34">
        <f>IF(F100="","",A100-E100)</f>
        <v/>
      </c>
      <c r="H100" s="42">
        <f>IF(OR(F100="",C100=""),"",IFERROR((C100-F100)/G100,""))</f>
        <v/>
      </c>
      <c r="I100" s="39">
        <f>IF(B100="","",IFERROR(INDEX('Animais'!$M$6:$M$1005,MATCH(B100,'Animais'!$A$6:$A$1005,0)),"Brinco não cadastrado"))</f>
        <v/>
      </c>
    </row>
    <row r="101">
      <c r="A101" s="31" t="n"/>
      <c r="B101" s="36" t="n"/>
      <c r="C101" s="38" t="n"/>
      <c r="D101" s="32" t="n"/>
      <c r="E101" s="43">
        <f>IF(OR(A101="",B101=""),"",SUMPRODUCT(MAX(($B$6:$B$2005=B101)*($A$6:$A$2005&lt;A101)*$A$6:$A$2005)))</f>
        <v/>
      </c>
      <c r="F101" s="41">
        <f>IF(OR(E101="",E101=0),"",IFERROR(AVERAGEIFS($C$6:$C$2005,$B$6:$B$2005,B101,$A$6:$A$2005,E101),""))</f>
        <v/>
      </c>
      <c r="G101" s="34">
        <f>IF(F101="","",A101-E101)</f>
        <v/>
      </c>
      <c r="H101" s="42">
        <f>IF(OR(F101="",C101=""),"",IFERROR((C101-F101)/G101,""))</f>
        <v/>
      </c>
      <c r="I101" s="39">
        <f>IF(B101="","",IFERROR(INDEX('Animais'!$M$6:$M$1005,MATCH(B101,'Animais'!$A$6:$A$1005,0)),"Brinco não cadastrado"))</f>
        <v/>
      </c>
    </row>
    <row r="102">
      <c r="A102" s="31" t="n"/>
      <c r="B102" s="36" t="n"/>
      <c r="C102" s="38" t="n"/>
      <c r="D102" s="32" t="n"/>
      <c r="E102" s="43">
        <f>IF(OR(A102="",B102=""),"",SUMPRODUCT(MAX(($B$6:$B$2005=B102)*($A$6:$A$2005&lt;A102)*$A$6:$A$2005)))</f>
        <v/>
      </c>
      <c r="F102" s="41">
        <f>IF(OR(E102="",E102=0),"",IFERROR(AVERAGEIFS($C$6:$C$2005,$B$6:$B$2005,B102,$A$6:$A$2005,E102),""))</f>
        <v/>
      </c>
      <c r="G102" s="34">
        <f>IF(F102="","",A102-E102)</f>
        <v/>
      </c>
      <c r="H102" s="42">
        <f>IF(OR(F102="",C102=""),"",IFERROR((C102-F102)/G102,""))</f>
        <v/>
      </c>
      <c r="I102" s="39">
        <f>IF(B102="","",IFERROR(INDEX('Animais'!$M$6:$M$1005,MATCH(B102,'Animais'!$A$6:$A$1005,0)),"Brinco não cadastrado"))</f>
        <v/>
      </c>
    </row>
    <row r="103">
      <c r="A103" s="31" t="n"/>
      <c r="B103" s="36" t="n"/>
      <c r="C103" s="38" t="n"/>
      <c r="D103" s="32" t="n"/>
      <c r="E103" s="43">
        <f>IF(OR(A103="",B103=""),"",SUMPRODUCT(MAX(($B$6:$B$2005=B103)*($A$6:$A$2005&lt;A103)*$A$6:$A$2005)))</f>
        <v/>
      </c>
      <c r="F103" s="41">
        <f>IF(OR(E103="",E103=0),"",IFERROR(AVERAGEIFS($C$6:$C$2005,$B$6:$B$2005,B103,$A$6:$A$2005,E103),""))</f>
        <v/>
      </c>
      <c r="G103" s="34">
        <f>IF(F103="","",A103-E103)</f>
        <v/>
      </c>
      <c r="H103" s="42">
        <f>IF(OR(F103="",C103=""),"",IFERROR((C103-F103)/G103,""))</f>
        <v/>
      </c>
      <c r="I103" s="39">
        <f>IF(B103="","",IFERROR(INDEX('Animais'!$M$6:$M$1005,MATCH(B103,'Animais'!$A$6:$A$1005,0)),"Brinco não cadastrado"))</f>
        <v/>
      </c>
    </row>
    <row r="104">
      <c r="A104" s="31" t="n"/>
      <c r="B104" s="36" t="n"/>
      <c r="C104" s="38" t="n"/>
      <c r="D104" s="32" t="n"/>
      <c r="E104" s="43">
        <f>IF(OR(A104="",B104=""),"",SUMPRODUCT(MAX(($B$6:$B$2005=B104)*($A$6:$A$2005&lt;A104)*$A$6:$A$2005)))</f>
        <v/>
      </c>
      <c r="F104" s="41">
        <f>IF(OR(E104="",E104=0),"",IFERROR(AVERAGEIFS($C$6:$C$2005,$B$6:$B$2005,B104,$A$6:$A$2005,E104),""))</f>
        <v/>
      </c>
      <c r="G104" s="34">
        <f>IF(F104="","",A104-E104)</f>
        <v/>
      </c>
      <c r="H104" s="42">
        <f>IF(OR(F104="",C104=""),"",IFERROR((C104-F104)/G104,""))</f>
        <v/>
      </c>
      <c r="I104" s="39">
        <f>IF(B104="","",IFERROR(INDEX('Animais'!$M$6:$M$1005,MATCH(B104,'Animais'!$A$6:$A$1005,0)),"Brinco não cadastrado"))</f>
        <v/>
      </c>
    </row>
    <row r="105">
      <c r="A105" s="31" t="n"/>
      <c r="B105" s="36" t="n"/>
      <c r="C105" s="38" t="n"/>
      <c r="D105" s="32" t="n"/>
      <c r="E105" s="43">
        <f>IF(OR(A105="",B105=""),"",SUMPRODUCT(MAX(($B$6:$B$2005=B105)*($A$6:$A$2005&lt;A105)*$A$6:$A$2005)))</f>
        <v/>
      </c>
      <c r="F105" s="41">
        <f>IF(OR(E105="",E105=0),"",IFERROR(AVERAGEIFS($C$6:$C$2005,$B$6:$B$2005,B105,$A$6:$A$2005,E105),""))</f>
        <v/>
      </c>
      <c r="G105" s="34">
        <f>IF(F105="","",A105-E105)</f>
        <v/>
      </c>
      <c r="H105" s="42">
        <f>IF(OR(F105="",C105=""),"",IFERROR((C105-F105)/G105,""))</f>
        <v/>
      </c>
      <c r="I105" s="39">
        <f>IF(B105="","",IFERROR(INDEX('Animais'!$M$6:$M$1005,MATCH(B105,'Animais'!$A$6:$A$1005,0)),"Brinco não cadastrado"))</f>
        <v/>
      </c>
    </row>
    <row r="106">
      <c r="A106" s="31" t="n"/>
      <c r="B106" s="36" t="n"/>
      <c r="C106" s="38" t="n"/>
      <c r="D106" s="32" t="n"/>
      <c r="E106" s="43">
        <f>IF(OR(A106="",B106=""),"",SUMPRODUCT(MAX(($B$6:$B$2005=B106)*($A$6:$A$2005&lt;A106)*$A$6:$A$2005)))</f>
        <v/>
      </c>
      <c r="F106" s="41">
        <f>IF(OR(E106="",E106=0),"",IFERROR(AVERAGEIFS($C$6:$C$2005,$B$6:$B$2005,B106,$A$6:$A$2005,E106),""))</f>
        <v/>
      </c>
      <c r="G106" s="34">
        <f>IF(F106="","",A106-E106)</f>
        <v/>
      </c>
      <c r="H106" s="42">
        <f>IF(OR(F106="",C106=""),"",IFERROR((C106-F106)/G106,""))</f>
        <v/>
      </c>
      <c r="I106" s="39">
        <f>IF(B106="","",IFERROR(INDEX('Animais'!$M$6:$M$1005,MATCH(B106,'Animais'!$A$6:$A$1005,0)),"Brinco não cadastrado"))</f>
        <v/>
      </c>
    </row>
    <row r="107">
      <c r="A107" s="31" t="n"/>
      <c r="B107" s="36" t="n"/>
      <c r="C107" s="38" t="n"/>
      <c r="D107" s="32" t="n"/>
      <c r="E107" s="43">
        <f>IF(OR(A107="",B107=""),"",SUMPRODUCT(MAX(($B$6:$B$2005=B107)*($A$6:$A$2005&lt;A107)*$A$6:$A$2005)))</f>
        <v/>
      </c>
      <c r="F107" s="41">
        <f>IF(OR(E107="",E107=0),"",IFERROR(AVERAGEIFS($C$6:$C$2005,$B$6:$B$2005,B107,$A$6:$A$2005,E107),""))</f>
        <v/>
      </c>
      <c r="G107" s="34">
        <f>IF(F107="","",A107-E107)</f>
        <v/>
      </c>
      <c r="H107" s="42">
        <f>IF(OR(F107="",C107=""),"",IFERROR((C107-F107)/G107,""))</f>
        <v/>
      </c>
      <c r="I107" s="39">
        <f>IF(B107="","",IFERROR(INDEX('Animais'!$M$6:$M$1005,MATCH(B107,'Animais'!$A$6:$A$1005,0)),"Brinco não cadastrado"))</f>
        <v/>
      </c>
    </row>
    <row r="108">
      <c r="A108" s="31" t="n"/>
      <c r="B108" s="36" t="n"/>
      <c r="C108" s="38" t="n"/>
      <c r="D108" s="32" t="n"/>
      <c r="E108" s="43">
        <f>IF(OR(A108="",B108=""),"",SUMPRODUCT(MAX(($B$6:$B$2005=B108)*($A$6:$A$2005&lt;A108)*$A$6:$A$2005)))</f>
        <v/>
      </c>
      <c r="F108" s="41">
        <f>IF(OR(E108="",E108=0),"",IFERROR(AVERAGEIFS($C$6:$C$2005,$B$6:$B$2005,B108,$A$6:$A$2005,E108),""))</f>
        <v/>
      </c>
      <c r="G108" s="34">
        <f>IF(F108="","",A108-E108)</f>
        <v/>
      </c>
      <c r="H108" s="42">
        <f>IF(OR(F108="",C108=""),"",IFERROR((C108-F108)/G108,""))</f>
        <v/>
      </c>
      <c r="I108" s="39">
        <f>IF(B108="","",IFERROR(INDEX('Animais'!$M$6:$M$1005,MATCH(B108,'Animais'!$A$6:$A$1005,0)),"Brinco não cadastrado"))</f>
        <v/>
      </c>
    </row>
    <row r="109">
      <c r="A109" s="31" t="n"/>
      <c r="B109" s="36" t="n"/>
      <c r="C109" s="38" t="n"/>
      <c r="D109" s="32" t="n"/>
      <c r="E109" s="43">
        <f>IF(OR(A109="",B109=""),"",SUMPRODUCT(MAX(($B$6:$B$2005=B109)*($A$6:$A$2005&lt;A109)*$A$6:$A$2005)))</f>
        <v/>
      </c>
      <c r="F109" s="41">
        <f>IF(OR(E109="",E109=0),"",IFERROR(AVERAGEIFS($C$6:$C$2005,$B$6:$B$2005,B109,$A$6:$A$2005,E109),""))</f>
        <v/>
      </c>
      <c r="G109" s="34">
        <f>IF(F109="","",A109-E109)</f>
        <v/>
      </c>
      <c r="H109" s="42">
        <f>IF(OR(F109="",C109=""),"",IFERROR((C109-F109)/G109,""))</f>
        <v/>
      </c>
      <c r="I109" s="39">
        <f>IF(B109="","",IFERROR(INDEX('Animais'!$M$6:$M$1005,MATCH(B109,'Animais'!$A$6:$A$1005,0)),"Brinco não cadastrado"))</f>
        <v/>
      </c>
    </row>
    <row r="110">
      <c r="A110" s="31" t="n"/>
      <c r="B110" s="36" t="n"/>
      <c r="C110" s="38" t="n"/>
      <c r="D110" s="32" t="n"/>
      <c r="E110" s="43">
        <f>IF(OR(A110="",B110=""),"",SUMPRODUCT(MAX(($B$6:$B$2005=B110)*($A$6:$A$2005&lt;A110)*$A$6:$A$2005)))</f>
        <v/>
      </c>
      <c r="F110" s="41">
        <f>IF(OR(E110="",E110=0),"",IFERROR(AVERAGEIFS($C$6:$C$2005,$B$6:$B$2005,B110,$A$6:$A$2005,E110),""))</f>
        <v/>
      </c>
      <c r="G110" s="34">
        <f>IF(F110="","",A110-E110)</f>
        <v/>
      </c>
      <c r="H110" s="42">
        <f>IF(OR(F110="",C110=""),"",IFERROR((C110-F110)/G110,""))</f>
        <v/>
      </c>
      <c r="I110" s="39">
        <f>IF(B110="","",IFERROR(INDEX('Animais'!$M$6:$M$1005,MATCH(B110,'Animais'!$A$6:$A$1005,0)),"Brinco não cadastrado"))</f>
        <v/>
      </c>
    </row>
    <row r="111">
      <c r="A111" s="31" t="n"/>
      <c r="B111" s="36" t="n"/>
      <c r="C111" s="38" t="n"/>
      <c r="D111" s="32" t="n"/>
      <c r="E111" s="43">
        <f>IF(OR(A111="",B111=""),"",SUMPRODUCT(MAX(($B$6:$B$2005=B111)*($A$6:$A$2005&lt;A111)*$A$6:$A$2005)))</f>
        <v/>
      </c>
      <c r="F111" s="41">
        <f>IF(OR(E111="",E111=0),"",IFERROR(AVERAGEIFS($C$6:$C$2005,$B$6:$B$2005,B111,$A$6:$A$2005,E111),""))</f>
        <v/>
      </c>
      <c r="G111" s="34">
        <f>IF(F111="","",A111-E111)</f>
        <v/>
      </c>
      <c r="H111" s="42">
        <f>IF(OR(F111="",C111=""),"",IFERROR((C111-F111)/G111,""))</f>
        <v/>
      </c>
      <c r="I111" s="39">
        <f>IF(B111="","",IFERROR(INDEX('Animais'!$M$6:$M$1005,MATCH(B111,'Animais'!$A$6:$A$1005,0)),"Brinco não cadastrado"))</f>
        <v/>
      </c>
    </row>
    <row r="112">
      <c r="A112" s="31" t="n"/>
      <c r="B112" s="36" t="n"/>
      <c r="C112" s="38" t="n"/>
      <c r="D112" s="32" t="n"/>
      <c r="E112" s="43">
        <f>IF(OR(A112="",B112=""),"",SUMPRODUCT(MAX(($B$6:$B$2005=B112)*($A$6:$A$2005&lt;A112)*$A$6:$A$2005)))</f>
        <v/>
      </c>
      <c r="F112" s="41">
        <f>IF(OR(E112="",E112=0),"",IFERROR(AVERAGEIFS($C$6:$C$2005,$B$6:$B$2005,B112,$A$6:$A$2005,E112),""))</f>
        <v/>
      </c>
      <c r="G112" s="34">
        <f>IF(F112="","",A112-E112)</f>
        <v/>
      </c>
      <c r="H112" s="42">
        <f>IF(OR(F112="",C112=""),"",IFERROR((C112-F112)/G112,""))</f>
        <v/>
      </c>
      <c r="I112" s="39">
        <f>IF(B112="","",IFERROR(INDEX('Animais'!$M$6:$M$1005,MATCH(B112,'Animais'!$A$6:$A$1005,0)),"Brinco não cadastrado"))</f>
        <v/>
      </c>
    </row>
    <row r="113">
      <c r="A113" s="31" t="n"/>
      <c r="B113" s="36" t="n"/>
      <c r="C113" s="38" t="n"/>
      <c r="D113" s="32" t="n"/>
      <c r="E113" s="43">
        <f>IF(OR(A113="",B113=""),"",SUMPRODUCT(MAX(($B$6:$B$2005=B113)*($A$6:$A$2005&lt;A113)*$A$6:$A$2005)))</f>
        <v/>
      </c>
      <c r="F113" s="41">
        <f>IF(OR(E113="",E113=0),"",IFERROR(AVERAGEIFS($C$6:$C$2005,$B$6:$B$2005,B113,$A$6:$A$2005,E113),""))</f>
        <v/>
      </c>
      <c r="G113" s="34">
        <f>IF(F113="","",A113-E113)</f>
        <v/>
      </c>
      <c r="H113" s="42">
        <f>IF(OR(F113="",C113=""),"",IFERROR((C113-F113)/G113,""))</f>
        <v/>
      </c>
      <c r="I113" s="39">
        <f>IF(B113="","",IFERROR(INDEX('Animais'!$M$6:$M$1005,MATCH(B113,'Animais'!$A$6:$A$1005,0)),"Brinco não cadastrado"))</f>
        <v/>
      </c>
    </row>
    <row r="114">
      <c r="A114" s="31" t="n"/>
      <c r="B114" s="36" t="n"/>
      <c r="C114" s="38" t="n"/>
      <c r="D114" s="32" t="n"/>
      <c r="E114" s="43">
        <f>IF(OR(A114="",B114=""),"",SUMPRODUCT(MAX(($B$6:$B$2005=B114)*($A$6:$A$2005&lt;A114)*$A$6:$A$2005)))</f>
        <v/>
      </c>
      <c r="F114" s="41">
        <f>IF(OR(E114="",E114=0),"",IFERROR(AVERAGEIFS($C$6:$C$2005,$B$6:$B$2005,B114,$A$6:$A$2005,E114),""))</f>
        <v/>
      </c>
      <c r="G114" s="34">
        <f>IF(F114="","",A114-E114)</f>
        <v/>
      </c>
      <c r="H114" s="42">
        <f>IF(OR(F114="",C114=""),"",IFERROR((C114-F114)/G114,""))</f>
        <v/>
      </c>
      <c r="I114" s="39">
        <f>IF(B114="","",IFERROR(INDEX('Animais'!$M$6:$M$1005,MATCH(B114,'Animais'!$A$6:$A$1005,0)),"Brinco não cadastrado"))</f>
        <v/>
      </c>
    </row>
    <row r="115">
      <c r="A115" s="31" t="n"/>
      <c r="B115" s="36" t="n"/>
      <c r="C115" s="38" t="n"/>
      <c r="D115" s="32" t="n"/>
      <c r="E115" s="43">
        <f>IF(OR(A115="",B115=""),"",SUMPRODUCT(MAX(($B$6:$B$2005=B115)*($A$6:$A$2005&lt;A115)*$A$6:$A$2005)))</f>
        <v/>
      </c>
      <c r="F115" s="41">
        <f>IF(OR(E115="",E115=0),"",IFERROR(AVERAGEIFS($C$6:$C$2005,$B$6:$B$2005,B115,$A$6:$A$2005,E115),""))</f>
        <v/>
      </c>
      <c r="G115" s="34">
        <f>IF(F115="","",A115-E115)</f>
        <v/>
      </c>
      <c r="H115" s="42">
        <f>IF(OR(F115="",C115=""),"",IFERROR((C115-F115)/G115,""))</f>
        <v/>
      </c>
      <c r="I115" s="39">
        <f>IF(B115="","",IFERROR(INDEX('Animais'!$M$6:$M$1005,MATCH(B115,'Animais'!$A$6:$A$1005,0)),"Brinco não cadastrado"))</f>
        <v/>
      </c>
    </row>
    <row r="116">
      <c r="A116" s="31" t="n"/>
      <c r="B116" s="36" t="n"/>
      <c r="C116" s="38" t="n"/>
      <c r="D116" s="32" t="n"/>
      <c r="E116" s="43">
        <f>IF(OR(A116="",B116=""),"",SUMPRODUCT(MAX(($B$6:$B$2005=B116)*($A$6:$A$2005&lt;A116)*$A$6:$A$2005)))</f>
        <v/>
      </c>
      <c r="F116" s="41">
        <f>IF(OR(E116="",E116=0),"",IFERROR(AVERAGEIFS($C$6:$C$2005,$B$6:$B$2005,B116,$A$6:$A$2005,E116),""))</f>
        <v/>
      </c>
      <c r="G116" s="34">
        <f>IF(F116="","",A116-E116)</f>
        <v/>
      </c>
      <c r="H116" s="42">
        <f>IF(OR(F116="",C116=""),"",IFERROR((C116-F116)/G116,""))</f>
        <v/>
      </c>
      <c r="I116" s="39">
        <f>IF(B116="","",IFERROR(INDEX('Animais'!$M$6:$M$1005,MATCH(B116,'Animais'!$A$6:$A$1005,0)),"Brinco não cadastrado"))</f>
        <v/>
      </c>
    </row>
    <row r="117">
      <c r="A117" s="31" t="n"/>
      <c r="B117" s="36" t="n"/>
      <c r="C117" s="38" t="n"/>
      <c r="D117" s="32" t="n"/>
      <c r="E117" s="43">
        <f>IF(OR(A117="",B117=""),"",SUMPRODUCT(MAX(($B$6:$B$2005=B117)*($A$6:$A$2005&lt;A117)*$A$6:$A$2005)))</f>
        <v/>
      </c>
      <c r="F117" s="41">
        <f>IF(OR(E117="",E117=0),"",IFERROR(AVERAGEIFS($C$6:$C$2005,$B$6:$B$2005,B117,$A$6:$A$2005,E117),""))</f>
        <v/>
      </c>
      <c r="G117" s="34">
        <f>IF(F117="","",A117-E117)</f>
        <v/>
      </c>
      <c r="H117" s="42">
        <f>IF(OR(F117="",C117=""),"",IFERROR((C117-F117)/G117,""))</f>
        <v/>
      </c>
      <c r="I117" s="39">
        <f>IF(B117="","",IFERROR(INDEX('Animais'!$M$6:$M$1005,MATCH(B117,'Animais'!$A$6:$A$1005,0)),"Brinco não cadastrado"))</f>
        <v/>
      </c>
    </row>
    <row r="118">
      <c r="A118" s="31" t="n"/>
      <c r="B118" s="36" t="n"/>
      <c r="C118" s="38" t="n"/>
      <c r="D118" s="32" t="n"/>
      <c r="E118" s="43">
        <f>IF(OR(A118="",B118=""),"",SUMPRODUCT(MAX(($B$6:$B$2005=B118)*($A$6:$A$2005&lt;A118)*$A$6:$A$2005)))</f>
        <v/>
      </c>
      <c r="F118" s="41">
        <f>IF(OR(E118="",E118=0),"",IFERROR(AVERAGEIFS($C$6:$C$2005,$B$6:$B$2005,B118,$A$6:$A$2005,E118),""))</f>
        <v/>
      </c>
      <c r="G118" s="34">
        <f>IF(F118="","",A118-E118)</f>
        <v/>
      </c>
      <c r="H118" s="42">
        <f>IF(OR(F118="",C118=""),"",IFERROR((C118-F118)/G118,""))</f>
        <v/>
      </c>
      <c r="I118" s="39">
        <f>IF(B118="","",IFERROR(INDEX('Animais'!$M$6:$M$1005,MATCH(B118,'Animais'!$A$6:$A$1005,0)),"Brinco não cadastrado"))</f>
        <v/>
      </c>
    </row>
    <row r="119">
      <c r="A119" s="31" t="n"/>
      <c r="B119" s="36" t="n"/>
      <c r="C119" s="38" t="n"/>
      <c r="D119" s="32" t="n"/>
      <c r="E119" s="43">
        <f>IF(OR(A119="",B119=""),"",SUMPRODUCT(MAX(($B$6:$B$2005=B119)*($A$6:$A$2005&lt;A119)*$A$6:$A$2005)))</f>
        <v/>
      </c>
      <c r="F119" s="41">
        <f>IF(OR(E119="",E119=0),"",IFERROR(AVERAGEIFS($C$6:$C$2005,$B$6:$B$2005,B119,$A$6:$A$2005,E119),""))</f>
        <v/>
      </c>
      <c r="G119" s="34">
        <f>IF(F119="","",A119-E119)</f>
        <v/>
      </c>
      <c r="H119" s="42">
        <f>IF(OR(F119="",C119=""),"",IFERROR((C119-F119)/G119,""))</f>
        <v/>
      </c>
      <c r="I119" s="39">
        <f>IF(B119="","",IFERROR(INDEX('Animais'!$M$6:$M$1005,MATCH(B119,'Animais'!$A$6:$A$1005,0)),"Brinco não cadastrado"))</f>
        <v/>
      </c>
    </row>
    <row r="120">
      <c r="A120" s="31" t="n"/>
      <c r="B120" s="36" t="n"/>
      <c r="C120" s="38" t="n"/>
      <c r="D120" s="32" t="n"/>
      <c r="E120" s="43">
        <f>IF(OR(A120="",B120=""),"",SUMPRODUCT(MAX(($B$6:$B$2005=B120)*($A$6:$A$2005&lt;A120)*$A$6:$A$2005)))</f>
        <v/>
      </c>
      <c r="F120" s="41">
        <f>IF(OR(E120="",E120=0),"",IFERROR(AVERAGEIFS($C$6:$C$2005,$B$6:$B$2005,B120,$A$6:$A$2005,E120),""))</f>
        <v/>
      </c>
      <c r="G120" s="34">
        <f>IF(F120="","",A120-E120)</f>
        <v/>
      </c>
      <c r="H120" s="42">
        <f>IF(OR(F120="",C120=""),"",IFERROR((C120-F120)/G120,""))</f>
        <v/>
      </c>
      <c r="I120" s="39">
        <f>IF(B120="","",IFERROR(INDEX('Animais'!$M$6:$M$1005,MATCH(B120,'Animais'!$A$6:$A$1005,0)),"Brinco não cadastrado"))</f>
        <v/>
      </c>
    </row>
    <row r="121">
      <c r="A121" s="31" t="n"/>
      <c r="B121" s="36" t="n"/>
      <c r="C121" s="38" t="n"/>
      <c r="D121" s="32" t="n"/>
      <c r="E121" s="43">
        <f>IF(OR(A121="",B121=""),"",SUMPRODUCT(MAX(($B$6:$B$2005=B121)*($A$6:$A$2005&lt;A121)*$A$6:$A$2005)))</f>
        <v/>
      </c>
      <c r="F121" s="41">
        <f>IF(OR(E121="",E121=0),"",IFERROR(AVERAGEIFS($C$6:$C$2005,$B$6:$B$2005,B121,$A$6:$A$2005,E121),""))</f>
        <v/>
      </c>
      <c r="G121" s="34">
        <f>IF(F121="","",A121-E121)</f>
        <v/>
      </c>
      <c r="H121" s="42">
        <f>IF(OR(F121="",C121=""),"",IFERROR((C121-F121)/G121,""))</f>
        <v/>
      </c>
      <c r="I121" s="39">
        <f>IF(B121="","",IFERROR(INDEX('Animais'!$M$6:$M$1005,MATCH(B121,'Animais'!$A$6:$A$1005,0)),"Brinco não cadastrado"))</f>
        <v/>
      </c>
    </row>
    <row r="122">
      <c r="A122" s="31" t="n"/>
      <c r="B122" s="36" t="n"/>
      <c r="C122" s="38" t="n"/>
      <c r="D122" s="32" t="n"/>
      <c r="E122" s="43">
        <f>IF(OR(A122="",B122=""),"",SUMPRODUCT(MAX(($B$6:$B$2005=B122)*($A$6:$A$2005&lt;A122)*$A$6:$A$2005)))</f>
        <v/>
      </c>
      <c r="F122" s="41">
        <f>IF(OR(E122="",E122=0),"",IFERROR(AVERAGEIFS($C$6:$C$2005,$B$6:$B$2005,B122,$A$6:$A$2005,E122),""))</f>
        <v/>
      </c>
      <c r="G122" s="34">
        <f>IF(F122="","",A122-E122)</f>
        <v/>
      </c>
      <c r="H122" s="42">
        <f>IF(OR(F122="",C122=""),"",IFERROR((C122-F122)/G122,""))</f>
        <v/>
      </c>
      <c r="I122" s="39">
        <f>IF(B122="","",IFERROR(INDEX('Animais'!$M$6:$M$1005,MATCH(B122,'Animais'!$A$6:$A$1005,0)),"Brinco não cadastrado"))</f>
        <v/>
      </c>
    </row>
    <row r="123">
      <c r="A123" s="31" t="n"/>
      <c r="B123" s="36" t="n"/>
      <c r="C123" s="38" t="n"/>
      <c r="D123" s="32" t="n"/>
      <c r="E123" s="43">
        <f>IF(OR(A123="",B123=""),"",SUMPRODUCT(MAX(($B$6:$B$2005=B123)*($A$6:$A$2005&lt;A123)*$A$6:$A$2005)))</f>
        <v/>
      </c>
      <c r="F123" s="41">
        <f>IF(OR(E123="",E123=0),"",IFERROR(AVERAGEIFS($C$6:$C$2005,$B$6:$B$2005,B123,$A$6:$A$2005,E123),""))</f>
        <v/>
      </c>
      <c r="G123" s="34">
        <f>IF(F123="","",A123-E123)</f>
        <v/>
      </c>
      <c r="H123" s="42">
        <f>IF(OR(F123="",C123=""),"",IFERROR((C123-F123)/G123,""))</f>
        <v/>
      </c>
      <c r="I123" s="39">
        <f>IF(B123="","",IFERROR(INDEX('Animais'!$M$6:$M$1005,MATCH(B123,'Animais'!$A$6:$A$1005,0)),"Brinco não cadastrado"))</f>
        <v/>
      </c>
    </row>
    <row r="124">
      <c r="A124" s="31" t="n"/>
      <c r="B124" s="36" t="n"/>
      <c r="C124" s="38" t="n"/>
      <c r="D124" s="32" t="n"/>
      <c r="E124" s="43">
        <f>IF(OR(A124="",B124=""),"",SUMPRODUCT(MAX(($B$6:$B$2005=B124)*($A$6:$A$2005&lt;A124)*$A$6:$A$2005)))</f>
        <v/>
      </c>
      <c r="F124" s="41">
        <f>IF(OR(E124="",E124=0),"",IFERROR(AVERAGEIFS($C$6:$C$2005,$B$6:$B$2005,B124,$A$6:$A$2005,E124),""))</f>
        <v/>
      </c>
      <c r="G124" s="34">
        <f>IF(F124="","",A124-E124)</f>
        <v/>
      </c>
      <c r="H124" s="42">
        <f>IF(OR(F124="",C124=""),"",IFERROR((C124-F124)/G124,""))</f>
        <v/>
      </c>
      <c r="I124" s="39">
        <f>IF(B124="","",IFERROR(INDEX('Animais'!$M$6:$M$1005,MATCH(B124,'Animais'!$A$6:$A$1005,0)),"Brinco não cadastrado"))</f>
        <v/>
      </c>
    </row>
    <row r="125">
      <c r="A125" s="31" t="n"/>
      <c r="B125" s="36" t="n"/>
      <c r="C125" s="38" t="n"/>
      <c r="D125" s="32" t="n"/>
      <c r="E125" s="43">
        <f>IF(OR(A125="",B125=""),"",SUMPRODUCT(MAX(($B$6:$B$2005=B125)*($A$6:$A$2005&lt;A125)*$A$6:$A$2005)))</f>
        <v/>
      </c>
      <c r="F125" s="41">
        <f>IF(OR(E125="",E125=0),"",IFERROR(AVERAGEIFS($C$6:$C$2005,$B$6:$B$2005,B125,$A$6:$A$2005,E125),""))</f>
        <v/>
      </c>
      <c r="G125" s="34">
        <f>IF(F125="","",A125-E125)</f>
        <v/>
      </c>
      <c r="H125" s="42">
        <f>IF(OR(F125="",C125=""),"",IFERROR((C125-F125)/G125,""))</f>
        <v/>
      </c>
      <c r="I125" s="39">
        <f>IF(B125="","",IFERROR(INDEX('Animais'!$M$6:$M$1005,MATCH(B125,'Animais'!$A$6:$A$1005,0)),"Brinco não cadastrado"))</f>
        <v/>
      </c>
    </row>
    <row r="126">
      <c r="A126" s="31" t="n"/>
      <c r="B126" s="36" t="n"/>
      <c r="C126" s="38" t="n"/>
      <c r="D126" s="32" t="n"/>
      <c r="E126" s="43">
        <f>IF(OR(A126="",B126=""),"",SUMPRODUCT(MAX(($B$6:$B$2005=B126)*($A$6:$A$2005&lt;A126)*$A$6:$A$2005)))</f>
        <v/>
      </c>
      <c r="F126" s="41">
        <f>IF(OR(E126="",E126=0),"",IFERROR(AVERAGEIFS($C$6:$C$2005,$B$6:$B$2005,B126,$A$6:$A$2005,E126),""))</f>
        <v/>
      </c>
      <c r="G126" s="34">
        <f>IF(F126="","",A126-E126)</f>
        <v/>
      </c>
      <c r="H126" s="42">
        <f>IF(OR(F126="",C126=""),"",IFERROR((C126-F126)/G126,""))</f>
        <v/>
      </c>
      <c r="I126" s="39">
        <f>IF(B126="","",IFERROR(INDEX('Animais'!$M$6:$M$1005,MATCH(B126,'Animais'!$A$6:$A$1005,0)),"Brinco não cadastrado"))</f>
        <v/>
      </c>
    </row>
    <row r="127">
      <c r="A127" s="31" t="n"/>
      <c r="B127" s="36" t="n"/>
      <c r="C127" s="38" t="n"/>
      <c r="D127" s="32" t="n"/>
      <c r="E127" s="43">
        <f>IF(OR(A127="",B127=""),"",SUMPRODUCT(MAX(($B$6:$B$2005=B127)*($A$6:$A$2005&lt;A127)*$A$6:$A$2005)))</f>
        <v/>
      </c>
      <c r="F127" s="41">
        <f>IF(OR(E127="",E127=0),"",IFERROR(AVERAGEIFS($C$6:$C$2005,$B$6:$B$2005,B127,$A$6:$A$2005,E127),""))</f>
        <v/>
      </c>
      <c r="G127" s="34">
        <f>IF(F127="","",A127-E127)</f>
        <v/>
      </c>
      <c r="H127" s="42">
        <f>IF(OR(F127="",C127=""),"",IFERROR((C127-F127)/G127,""))</f>
        <v/>
      </c>
      <c r="I127" s="39">
        <f>IF(B127="","",IFERROR(INDEX('Animais'!$M$6:$M$1005,MATCH(B127,'Animais'!$A$6:$A$1005,0)),"Brinco não cadastrado"))</f>
        <v/>
      </c>
    </row>
    <row r="128">
      <c r="A128" s="31" t="n"/>
      <c r="B128" s="36" t="n"/>
      <c r="C128" s="38" t="n"/>
      <c r="D128" s="32" t="n"/>
      <c r="E128" s="43">
        <f>IF(OR(A128="",B128=""),"",SUMPRODUCT(MAX(($B$6:$B$2005=B128)*($A$6:$A$2005&lt;A128)*$A$6:$A$2005)))</f>
        <v/>
      </c>
      <c r="F128" s="41">
        <f>IF(OR(E128="",E128=0),"",IFERROR(AVERAGEIFS($C$6:$C$2005,$B$6:$B$2005,B128,$A$6:$A$2005,E128),""))</f>
        <v/>
      </c>
      <c r="G128" s="34">
        <f>IF(F128="","",A128-E128)</f>
        <v/>
      </c>
      <c r="H128" s="42">
        <f>IF(OR(F128="",C128=""),"",IFERROR((C128-F128)/G128,""))</f>
        <v/>
      </c>
      <c r="I128" s="39">
        <f>IF(B128="","",IFERROR(INDEX('Animais'!$M$6:$M$1005,MATCH(B128,'Animais'!$A$6:$A$1005,0)),"Brinco não cadastrado"))</f>
        <v/>
      </c>
    </row>
    <row r="129">
      <c r="A129" s="31" t="n"/>
      <c r="B129" s="36" t="n"/>
      <c r="C129" s="38" t="n"/>
      <c r="D129" s="32" t="n"/>
      <c r="E129" s="43">
        <f>IF(OR(A129="",B129=""),"",SUMPRODUCT(MAX(($B$6:$B$2005=B129)*($A$6:$A$2005&lt;A129)*$A$6:$A$2005)))</f>
        <v/>
      </c>
      <c r="F129" s="41">
        <f>IF(OR(E129="",E129=0),"",IFERROR(AVERAGEIFS($C$6:$C$2005,$B$6:$B$2005,B129,$A$6:$A$2005,E129),""))</f>
        <v/>
      </c>
      <c r="G129" s="34">
        <f>IF(F129="","",A129-E129)</f>
        <v/>
      </c>
      <c r="H129" s="42">
        <f>IF(OR(F129="",C129=""),"",IFERROR((C129-F129)/G129,""))</f>
        <v/>
      </c>
      <c r="I129" s="39">
        <f>IF(B129="","",IFERROR(INDEX('Animais'!$M$6:$M$1005,MATCH(B129,'Animais'!$A$6:$A$1005,0)),"Brinco não cadastrado"))</f>
        <v/>
      </c>
    </row>
    <row r="130">
      <c r="A130" s="31" t="n"/>
      <c r="B130" s="36" t="n"/>
      <c r="C130" s="38" t="n"/>
      <c r="D130" s="32" t="n"/>
      <c r="E130" s="43">
        <f>IF(OR(A130="",B130=""),"",SUMPRODUCT(MAX(($B$6:$B$2005=B130)*($A$6:$A$2005&lt;A130)*$A$6:$A$2005)))</f>
        <v/>
      </c>
      <c r="F130" s="41">
        <f>IF(OR(E130="",E130=0),"",IFERROR(AVERAGEIFS($C$6:$C$2005,$B$6:$B$2005,B130,$A$6:$A$2005,E130),""))</f>
        <v/>
      </c>
      <c r="G130" s="34">
        <f>IF(F130="","",A130-E130)</f>
        <v/>
      </c>
      <c r="H130" s="42">
        <f>IF(OR(F130="",C130=""),"",IFERROR((C130-F130)/G130,""))</f>
        <v/>
      </c>
      <c r="I130" s="39">
        <f>IF(B130="","",IFERROR(INDEX('Animais'!$M$6:$M$1005,MATCH(B130,'Animais'!$A$6:$A$1005,0)),"Brinco não cadastrado"))</f>
        <v/>
      </c>
    </row>
    <row r="131">
      <c r="A131" s="31" t="n"/>
      <c r="B131" s="36" t="n"/>
      <c r="C131" s="38" t="n"/>
      <c r="D131" s="32" t="n"/>
      <c r="E131" s="43">
        <f>IF(OR(A131="",B131=""),"",SUMPRODUCT(MAX(($B$6:$B$2005=B131)*($A$6:$A$2005&lt;A131)*$A$6:$A$2005)))</f>
        <v/>
      </c>
      <c r="F131" s="41">
        <f>IF(OR(E131="",E131=0),"",IFERROR(AVERAGEIFS($C$6:$C$2005,$B$6:$B$2005,B131,$A$6:$A$2005,E131),""))</f>
        <v/>
      </c>
      <c r="G131" s="34">
        <f>IF(F131="","",A131-E131)</f>
        <v/>
      </c>
      <c r="H131" s="42">
        <f>IF(OR(F131="",C131=""),"",IFERROR((C131-F131)/G131,""))</f>
        <v/>
      </c>
      <c r="I131" s="39">
        <f>IF(B131="","",IFERROR(INDEX('Animais'!$M$6:$M$1005,MATCH(B131,'Animais'!$A$6:$A$1005,0)),"Brinco não cadastrado"))</f>
        <v/>
      </c>
    </row>
    <row r="132">
      <c r="A132" s="31" t="n"/>
      <c r="B132" s="36" t="n"/>
      <c r="C132" s="38" t="n"/>
      <c r="D132" s="32" t="n"/>
      <c r="E132" s="43">
        <f>IF(OR(A132="",B132=""),"",SUMPRODUCT(MAX(($B$6:$B$2005=B132)*($A$6:$A$2005&lt;A132)*$A$6:$A$2005)))</f>
        <v/>
      </c>
      <c r="F132" s="41">
        <f>IF(OR(E132="",E132=0),"",IFERROR(AVERAGEIFS($C$6:$C$2005,$B$6:$B$2005,B132,$A$6:$A$2005,E132),""))</f>
        <v/>
      </c>
      <c r="G132" s="34">
        <f>IF(F132="","",A132-E132)</f>
        <v/>
      </c>
      <c r="H132" s="42">
        <f>IF(OR(F132="",C132=""),"",IFERROR((C132-F132)/G132,""))</f>
        <v/>
      </c>
      <c r="I132" s="39">
        <f>IF(B132="","",IFERROR(INDEX('Animais'!$M$6:$M$1005,MATCH(B132,'Animais'!$A$6:$A$1005,0)),"Brinco não cadastrado"))</f>
        <v/>
      </c>
    </row>
    <row r="133">
      <c r="A133" s="31" t="n"/>
      <c r="B133" s="36" t="n"/>
      <c r="C133" s="38" t="n"/>
      <c r="D133" s="32" t="n"/>
      <c r="E133" s="43">
        <f>IF(OR(A133="",B133=""),"",SUMPRODUCT(MAX(($B$6:$B$2005=B133)*($A$6:$A$2005&lt;A133)*$A$6:$A$2005)))</f>
        <v/>
      </c>
      <c r="F133" s="41">
        <f>IF(OR(E133="",E133=0),"",IFERROR(AVERAGEIFS($C$6:$C$2005,$B$6:$B$2005,B133,$A$6:$A$2005,E133),""))</f>
        <v/>
      </c>
      <c r="G133" s="34">
        <f>IF(F133="","",A133-E133)</f>
        <v/>
      </c>
      <c r="H133" s="42">
        <f>IF(OR(F133="",C133=""),"",IFERROR((C133-F133)/G133,""))</f>
        <v/>
      </c>
      <c r="I133" s="39">
        <f>IF(B133="","",IFERROR(INDEX('Animais'!$M$6:$M$1005,MATCH(B133,'Animais'!$A$6:$A$1005,0)),"Brinco não cadastrado"))</f>
        <v/>
      </c>
    </row>
    <row r="134">
      <c r="A134" s="31" t="n"/>
      <c r="B134" s="36" t="n"/>
      <c r="C134" s="38" t="n"/>
      <c r="D134" s="32" t="n"/>
      <c r="E134" s="43">
        <f>IF(OR(A134="",B134=""),"",SUMPRODUCT(MAX(($B$6:$B$2005=B134)*($A$6:$A$2005&lt;A134)*$A$6:$A$2005)))</f>
        <v/>
      </c>
      <c r="F134" s="41">
        <f>IF(OR(E134="",E134=0),"",IFERROR(AVERAGEIFS($C$6:$C$2005,$B$6:$B$2005,B134,$A$6:$A$2005,E134),""))</f>
        <v/>
      </c>
      <c r="G134" s="34">
        <f>IF(F134="","",A134-E134)</f>
        <v/>
      </c>
      <c r="H134" s="42">
        <f>IF(OR(F134="",C134=""),"",IFERROR((C134-F134)/G134,""))</f>
        <v/>
      </c>
      <c r="I134" s="39">
        <f>IF(B134="","",IFERROR(INDEX('Animais'!$M$6:$M$1005,MATCH(B134,'Animais'!$A$6:$A$1005,0)),"Brinco não cadastrado"))</f>
        <v/>
      </c>
    </row>
    <row r="135">
      <c r="A135" s="31" t="n"/>
      <c r="B135" s="36" t="n"/>
      <c r="C135" s="38" t="n"/>
      <c r="D135" s="32" t="n"/>
      <c r="E135" s="43">
        <f>IF(OR(A135="",B135=""),"",SUMPRODUCT(MAX(($B$6:$B$2005=B135)*($A$6:$A$2005&lt;A135)*$A$6:$A$2005)))</f>
        <v/>
      </c>
      <c r="F135" s="41">
        <f>IF(OR(E135="",E135=0),"",IFERROR(AVERAGEIFS($C$6:$C$2005,$B$6:$B$2005,B135,$A$6:$A$2005,E135),""))</f>
        <v/>
      </c>
      <c r="G135" s="34">
        <f>IF(F135="","",A135-E135)</f>
        <v/>
      </c>
      <c r="H135" s="42">
        <f>IF(OR(F135="",C135=""),"",IFERROR((C135-F135)/G135,""))</f>
        <v/>
      </c>
      <c r="I135" s="39">
        <f>IF(B135="","",IFERROR(INDEX('Animais'!$M$6:$M$1005,MATCH(B135,'Animais'!$A$6:$A$1005,0)),"Brinco não cadastrado"))</f>
        <v/>
      </c>
    </row>
    <row r="136">
      <c r="A136" s="31" t="n"/>
      <c r="B136" s="36" t="n"/>
      <c r="C136" s="38" t="n"/>
      <c r="D136" s="32" t="n"/>
      <c r="E136" s="43">
        <f>IF(OR(A136="",B136=""),"",SUMPRODUCT(MAX(($B$6:$B$2005=B136)*($A$6:$A$2005&lt;A136)*$A$6:$A$2005)))</f>
        <v/>
      </c>
      <c r="F136" s="41">
        <f>IF(OR(E136="",E136=0),"",IFERROR(AVERAGEIFS($C$6:$C$2005,$B$6:$B$2005,B136,$A$6:$A$2005,E136),""))</f>
        <v/>
      </c>
      <c r="G136" s="34">
        <f>IF(F136="","",A136-E136)</f>
        <v/>
      </c>
      <c r="H136" s="42">
        <f>IF(OR(F136="",C136=""),"",IFERROR((C136-F136)/G136,""))</f>
        <v/>
      </c>
      <c r="I136" s="39">
        <f>IF(B136="","",IFERROR(INDEX('Animais'!$M$6:$M$1005,MATCH(B136,'Animais'!$A$6:$A$1005,0)),"Brinco não cadastrado"))</f>
        <v/>
      </c>
    </row>
    <row r="137">
      <c r="A137" s="31" t="n"/>
      <c r="B137" s="36" t="n"/>
      <c r="C137" s="38" t="n"/>
      <c r="D137" s="32" t="n"/>
      <c r="E137" s="43">
        <f>IF(OR(A137="",B137=""),"",SUMPRODUCT(MAX(($B$6:$B$2005=B137)*($A$6:$A$2005&lt;A137)*$A$6:$A$2005)))</f>
        <v/>
      </c>
      <c r="F137" s="41">
        <f>IF(OR(E137="",E137=0),"",IFERROR(AVERAGEIFS($C$6:$C$2005,$B$6:$B$2005,B137,$A$6:$A$2005,E137),""))</f>
        <v/>
      </c>
      <c r="G137" s="34">
        <f>IF(F137="","",A137-E137)</f>
        <v/>
      </c>
      <c r="H137" s="42">
        <f>IF(OR(F137="",C137=""),"",IFERROR((C137-F137)/G137,""))</f>
        <v/>
      </c>
      <c r="I137" s="39">
        <f>IF(B137="","",IFERROR(INDEX('Animais'!$M$6:$M$1005,MATCH(B137,'Animais'!$A$6:$A$1005,0)),"Brinco não cadastrado"))</f>
        <v/>
      </c>
    </row>
    <row r="138">
      <c r="A138" s="31" t="n"/>
      <c r="B138" s="36" t="n"/>
      <c r="C138" s="38" t="n"/>
      <c r="D138" s="32" t="n"/>
      <c r="E138" s="43">
        <f>IF(OR(A138="",B138=""),"",SUMPRODUCT(MAX(($B$6:$B$2005=B138)*($A$6:$A$2005&lt;A138)*$A$6:$A$2005)))</f>
        <v/>
      </c>
      <c r="F138" s="41">
        <f>IF(OR(E138="",E138=0),"",IFERROR(AVERAGEIFS($C$6:$C$2005,$B$6:$B$2005,B138,$A$6:$A$2005,E138),""))</f>
        <v/>
      </c>
      <c r="G138" s="34">
        <f>IF(F138="","",A138-E138)</f>
        <v/>
      </c>
      <c r="H138" s="42">
        <f>IF(OR(F138="",C138=""),"",IFERROR((C138-F138)/G138,""))</f>
        <v/>
      </c>
      <c r="I138" s="39">
        <f>IF(B138="","",IFERROR(INDEX('Animais'!$M$6:$M$1005,MATCH(B138,'Animais'!$A$6:$A$1005,0)),"Brinco não cadastrado"))</f>
        <v/>
      </c>
    </row>
    <row r="139">
      <c r="A139" s="31" t="n"/>
      <c r="B139" s="36" t="n"/>
      <c r="C139" s="38" t="n"/>
      <c r="D139" s="32" t="n"/>
      <c r="E139" s="43">
        <f>IF(OR(A139="",B139=""),"",SUMPRODUCT(MAX(($B$6:$B$2005=B139)*($A$6:$A$2005&lt;A139)*$A$6:$A$2005)))</f>
        <v/>
      </c>
      <c r="F139" s="41">
        <f>IF(OR(E139="",E139=0),"",IFERROR(AVERAGEIFS($C$6:$C$2005,$B$6:$B$2005,B139,$A$6:$A$2005,E139),""))</f>
        <v/>
      </c>
      <c r="G139" s="34">
        <f>IF(F139="","",A139-E139)</f>
        <v/>
      </c>
      <c r="H139" s="42">
        <f>IF(OR(F139="",C139=""),"",IFERROR((C139-F139)/G139,""))</f>
        <v/>
      </c>
      <c r="I139" s="39">
        <f>IF(B139="","",IFERROR(INDEX('Animais'!$M$6:$M$1005,MATCH(B139,'Animais'!$A$6:$A$1005,0)),"Brinco não cadastrado"))</f>
        <v/>
      </c>
    </row>
    <row r="140">
      <c r="A140" s="31" t="n"/>
      <c r="B140" s="36" t="n"/>
      <c r="C140" s="38" t="n"/>
      <c r="D140" s="32" t="n"/>
      <c r="E140" s="43">
        <f>IF(OR(A140="",B140=""),"",SUMPRODUCT(MAX(($B$6:$B$2005=B140)*($A$6:$A$2005&lt;A140)*$A$6:$A$2005)))</f>
        <v/>
      </c>
      <c r="F140" s="41">
        <f>IF(OR(E140="",E140=0),"",IFERROR(AVERAGEIFS($C$6:$C$2005,$B$6:$B$2005,B140,$A$6:$A$2005,E140),""))</f>
        <v/>
      </c>
      <c r="G140" s="34">
        <f>IF(F140="","",A140-E140)</f>
        <v/>
      </c>
      <c r="H140" s="42">
        <f>IF(OR(F140="",C140=""),"",IFERROR((C140-F140)/G140,""))</f>
        <v/>
      </c>
      <c r="I140" s="39">
        <f>IF(B140="","",IFERROR(INDEX('Animais'!$M$6:$M$1005,MATCH(B140,'Animais'!$A$6:$A$1005,0)),"Brinco não cadastrado"))</f>
        <v/>
      </c>
    </row>
    <row r="141">
      <c r="A141" s="31" t="n"/>
      <c r="B141" s="36" t="n"/>
      <c r="C141" s="38" t="n"/>
      <c r="D141" s="32" t="n"/>
      <c r="E141" s="43">
        <f>IF(OR(A141="",B141=""),"",SUMPRODUCT(MAX(($B$6:$B$2005=B141)*($A$6:$A$2005&lt;A141)*$A$6:$A$2005)))</f>
        <v/>
      </c>
      <c r="F141" s="41">
        <f>IF(OR(E141="",E141=0),"",IFERROR(AVERAGEIFS($C$6:$C$2005,$B$6:$B$2005,B141,$A$6:$A$2005,E141),""))</f>
        <v/>
      </c>
      <c r="G141" s="34">
        <f>IF(F141="","",A141-E141)</f>
        <v/>
      </c>
      <c r="H141" s="42">
        <f>IF(OR(F141="",C141=""),"",IFERROR((C141-F141)/G141,""))</f>
        <v/>
      </c>
      <c r="I141" s="39">
        <f>IF(B141="","",IFERROR(INDEX('Animais'!$M$6:$M$1005,MATCH(B141,'Animais'!$A$6:$A$1005,0)),"Brinco não cadastrado"))</f>
        <v/>
      </c>
    </row>
    <row r="142">
      <c r="A142" s="31" t="n"/>
      <c r="B142" s="36" t="n"/>
      <c r="C142" s="38" t="n"/>
      <c r="D142" s="32" t="n"/>
      <c r="E142" s="43">
        <f>IF(OR(A142="",B142=""),"",SUMPRODUCT(MAX(($B$6:$B$2005=B142)*($A$6:$A$2005&lt;A142)*$A$6:$A$2005)))</f>
        <v/>
      </c>
      <c r="F142" s="41">
        <f>IF(OR(E142="",E142=0),"",IFERROR(AVERAGEIFS($C$6:$C$2005,$B$6:$B$2005,B142,$A$6:$A$2005,E142),""))</f>
        <v/>
      </c>
      <c r="G142" s="34">
        <f>IF(F142="","",A142-E142)</f>
        <v/>
      </c>
      <c r="H142" s="42">
        <f>IF(OR(F142="",C142=""),"",IFERROR((C142-F142)/G142,""))</f>
        <v/>
      </c>
      <c r="I142" s="39">
        <f>IF(B142="","",IFERROR(INDEX('Animais'!$M$6:$M$1005,MATCH(B142,'Animais'!$A$6:$A$1005,0)),"Brinco não cadastrado"))</f>
        <v/>
      </c>
    </row>
    <row r="143">
      <c r="A143" s="31" t="n"/>
      <c r="B143" s="36" t="n"/>
      <c r="C143" s="38" t="n"/>
      <c r="D143" s="32" t="n"/>
      <c r="E143" s="43">
        <f>IF(OR(A143="",B143=""),"",SUMPRODUCT(MAX(($B$6:$B$2005=B143)*($A$6:$A$2005&lt;A143)*$A$6:$A$2005)))</f>
        <v/>
      </c>
      <c r="F143" s="41">
        <f>IF(OR(E143="",E143=0),"",IFERROR(AVERAGEIFS($C$6:$C$2005,$B$6:$B$2005,B143,$A$6:$A$2005,E143),""))</f>
        <v/>
      </c>
      <c r="G143" s="34">
        <f>IF(F143="","",A143-E143)</f>
        <v/>
      </c>
      <c r="H143" s="42">
        <f>IF(OR(F143="",C143=""),"",IFERROR((C143-F143)/G143,""))</f>
        <v/>
      </c>
      <c r="I143" s="39">
        <f>IF(B143="","",IFERROR(INDEX('Animais'!$M$6:$M$1005,MATCH(B143,'Animais'!$A$6:$A$1005,0)),"Brinco não cadastrado"))</f>
        <v/>
      </c>
    </row>
    <row r="144">
      <c r="A144" s="31" t="n"/>
      <c r="B144" s="36" t="n"/>
      <c r="C144" s="38" t="n"/>
      <c r="D144" s="32" t="n"/>
      <c r="E144" s="43">
        <f>IF(OR(A144="",B144=""),"",SUMPRODUCT(MAX(($B$6:$B$2005=B144)*($A$6:$A$2005&lt;A144)*$A$6:$A$2005)))</f>
        <v/>
      </c>
      <c r="F144" s="41">
        <f>IF(OR(E144="",E144=0),"",IFERROR(AVERAGEIFS($C$6:$C$2005,$B$6:$B$2005,B144,$A$6:$A$2005,E144),""))</f>
        <v/>
      </c>
      <c r="G144" s="34">
        <f>IF(F144="","",A144-E144)</f>
        <v/>
      </c>
      <c r="H144" s="42">
        <f>IF(OR(F144="",C144=""),"",IFERROR((C144-F144)/G144,""))</f>
        <v/>
      </c>
      <c r="I144" s="39">
        <f>IF(B144="","",IFERROR(INDEX('Animais'!$M$6:$M$1005,MATCH(B144,'Animais'!$A$6:$A$1005,0)),"Brinco não cadastrado"))</f>
        <v/>
      </c>
    </row>
    <row r="145">
      <c r="A145" s="31" t="n"/>
      <c r="B145" s="36" t="n"/>
      <c r="C145" s="38" t="n"/>
      <c r="D145" s="32" t="n"/>
      <c r="E145" s="43">
        <f>IF(OR(A145="",B145=""),"",SUMPRODUCT(MAX(($B$6:$B$2005=B145)*($A$6:$A$2005&lt;A145)*$A$6:$A$2005)))</f>
        <v/>
      </c>
      <c r="F145" s="41">
        <f>IF(OR(E145="",E145=0),"",IFERROR(AVERAGEIFS($C$6:$C$2005,$B$6:$B$2005,B145,$A$6:$A$2005,E145),""))</f>
        <v/>
      </c>
      <c r="G145" s="34">
        <f>IF(F145="","",A145-E145)</f>
        <v/>
      </c>
      <c r="H145" s="42">
        <f>IF(OR(F145="",C145=""),"",IFERROR((C145-F145)/G145,""))</f>
        <v/>
      </c>
      <c r="I145" s="39">
        <f>IF(B145="","",IFERROR(INDEX('Animais'!$M$6:$M$1005,MATCH(B145,'Animais'!$A$6:$A$1005,0)),"Brinco não cadastrado"))</f>
        <v/>
      </c>
    </row>
    <row r="146">
      <c r="A146" s="31" t="n"/>
      <c r="B146" s="36" t="n"/>
      <c r="C146" s="38" t="n"/>
      <c r="D146" s="32" t="n"/>
      <c r="E146" s="43">
        <f>IF(OR(A146="",B146=""),"",SUMPRODUCT(MAX(($B$6:$B$2005=B146)*($A$6:$A$2005&lt;A146)*$A$6:$A$2005)))</f>
        <v/>
      </c>
      <c r="F146" s="41">
        <f>IF(OR(E146="",E146=0),"",IFERROR(AVERAGEIFS($C$6:$C$2005,$B$6:$B$2005,B146,$A$6:$A$2005,E146),""))</f>
        <v/>
      </c>
      <c r="G146" s="34">
        <f>IF(F146="","",A146-E146)</f>
        <v/>
      </c>
      <c r="H146" s="42">
        <f>IF(OR(F146="",C146=""),"",IFERROR((C146-F146)/G146,""))</f>
        <v/>
      </c>
      <c r="I146" s="39">
        <f>IF(B146="","",IFERROR(INDEX('Animais'!$M$6:$M$1005,MATCH(B146,'Animais'!$A$6:$A$1005,0)),"Brinco não cadastrado"))</f>
        <v/>
      </c>
    </row>
    <row r="147">
      <c r="A147" s="31" t="n"/>
      <c r="B147" s="36" t="n"/>
      <c r="C147" s="38" t="n"/>
      <c r="D147" s="32" t="n"/>
      <c r="E147" s="43">
        <f>IF(OR(A147="",B147=""),"",SUMPRODUCT(MAX(($B$6:$B$2005=B147)*($A$6:$A$2005&lt;A147)*$A$6:$A$2005)))</f>
        <v/>
      </c>
      <c r="F147" s="41">
        <f>IF(OR(E147="",E147=0),"",IFERROR(AVERAGEIFS($C$6:$C$2005,$B$6:$B$2005,B147,$A$6:$A$2005,E147),""))</f>
        <v/>
      </c>
      <c r="G147" s="34">
        <f>IF(F147="","",A147-E147)</f>
        <v/>
      </c>
      <c r="H147" s="42">
        <f>IF(OR(F147="",C147=""),"",IFERROR((C147-F147)/G147,""))</f>
        <v/>
      </c>
      <c r="I147" s="39">
        <f>IF(B147="","",IFERROR(INDEX('Animais'!$M$6:$M$1005,MATCH(B147,'Animais'!$A$6:$A$1005,0)),"Brinco não cadastrado"))</f>
        <v/>
      </c>
    </row>
    <row r="148">
      <c r="A148" s="31" t="n"/>
      <c r="B148" s="36" t="n"/>
      <c r="C148" s="38" t="n"/>
      <c r="D148" s="32" t="n"/>
      <c r="E148" s="43">
        <f>IF(OR(A148="",B148=""),"",SUMPRODUCT(MAX(($B$6:$B$2005=B148)*($A$6:$A$2005&lt;A148)*$A$6:$A$2005)))</f>
        <v/>
      </c>
      <c r="F148" s="41">
        <f>IF(OR(E148="",E148=0),"",IFERROR(AVERAGEIFS($C$6:$C$2005,$B$6:$B$2005,B148,$A$6:$A$2005,E148),""))</f>
        <v/>
      </c>
      <c r="G148" s="34">
        <f>IF(F148="","",A148-E148)</f>
        <v/>
      </c>
      <c r="H148" s="42">
        <f>IF(OR(F148="",C148=""),"",IFERROR((C148-F148)/G148,""))</f>
        <v/>
      </c>
      <c r="I148" s="39">
        <f>IF(B148="","",IFERROR(INDEX('Animais'!$M$6:$M$1005,MATCH(B148,'Animais'!$A$6:$A$1005,0)),"Brinco não cadastrado"))</f>
        <v/>
      </c>
    </row>
    <row r="149">
      <c r="A149" s="31" t="n"/>
      <c r="B149" s="36" t="n"/>
      <c r="C149" s="38" t="n"/>
      <c r="D149" s="32" t="n"/>
      <c r="E149" s="43">
        <f>IF(OR(A149="",B149=""),"",SUMPRODUCT(MAX(($B$6:$B$2005=B149)*($A$6:$A$2005&lt;A149)*$A$6:$A$2005)))</f>
        <v/>
      </c>
      <c r="F149" s="41">
        <f>IF(OR(E149="",E149=0),"",IFERROR(AVERAGEIFS($C$6:$C$2005,$B$6:$B$2005,B149,$A$6:$A$2005,E149),""))</f>
        <v/>
      </c>
      <c r="G149" s="34">
        <f>IF(F149="","",A149-E149)</f>
        <v/>
      </c>
      <c r="H149" s="42">
        <f>IF(OR(F149="",C149=""),"",IFERROR((C149-F149)/G149,""))</f>
        <v/>
      </c>
      <c r="I149" s="39">
        <f>IF(B149="","",IFERROR(INDEX('Animais'!$M$6:$M$1005,MATCH(B149,'Animais'!$A$6:$A$1005,0)),"Brinco não cadastrado"))</f>
        <v/>
      </c>
    </row>
    <row r="150">
      <c r="A150" s="31" t="n"/>
      <c r="B150" s="36" t="n"/>
      <c r="C150" s="38" t="n"/>
      <c r="D150" s="32" t="n"/>
      <c r="E150" s="43">
        <f>IF(OR(A150="",B150=""),"",SUMPRODUCT(MAX(($B$6:$B$2005=B150)*($A$6:$A$2005&lt;A150)*$A$6:$A$2005)))</f>
        <v/>
      </c>
      <c r="F150" s="41">
        <f>IF(OR(E150="",E150=0),"",IFERROR(AVERAGEIFS($C$6:$C$2005,$B$6:$B$2005,B150,$A$6:$A$2005,E150),""))</f>
        <v/>
      </c>
      <c r="G150" s="34">
        <f>IF(F150="","",A150-E150)</f>
        <v/>
      </c>
      <c r="H150" s="42">
        <f>IF(OR(F150="",C150=""),"",IFERROR((C150-F150)/G150,""))</f>
        <v/>
      </c>
      <c r="I150" s="39">
        <f>IF(B150="","",IFERROR(INDEX('Animais'!$M$6:$M$1005,MATCH(B150,'Animais'!$A$6:$A$1005,0)),"Brinco não cadastrado"))</f>
        <v/>
      </c>
    </row>
    <row r="151">
      <c r="A151" s="31" t="n"/>
      <c r="B151" s="36" t="n"/>
      <c r="C151" s="38" t="n"/>
      <c r="D151" s="32" t="n"/>
      <c r="E151" s="43">
        <f>IF(OR(A151="",B151=""),"",SUMPRODUCT(MAX(($B$6:$B$2005=B151)*($A$6:$A$2005&lt;A151)*$A$6:$A$2005)))</f>
        <v/>
      </c>
      <c r="F151" s="41">
        <f>IF(OR(E151="",E151=0),"",IFERROR(AVERAGEIFS($C$6:$C$2005,$B$6:$B$2005,B151,$A$6:$A$2005,E151),""))</f>
        <v/>
      </c>
      <c r="G151" s="34">
        <f>IF(F151="","",A151-E151)</f>
        <v/>
      </c>
      <c r="H151" s="42">
        <f>IF(OR(F151="",C151=""),"",IFERROR((C151-F151)/G151,""))</f>
        <v/>
      </c>
      <c r="I151" s="39">
        <f>IF(B151="","",IFERROR(INDEX('Animais'!$M$6:$M$1005,MATCH(B151,'Animais'!$A$6:$A$1005,0)),"Brinco não cadastrado"))</f>
        <v/>
      </c>
    </row>
    <row r="152">
      <c r="A152" s="31" t="n"/>
      <c r="B152" s="36" t="n"/>
      <c r="C152" s="38" t="n"/>
      <c r="D152" s="32" t="n"/>
      <c r="E152" s="43">
        <f>IF(OR(A152="",B152=""),"",SUMPRODUCT(MAX(($B$6:$B$2005=B152)*($A$6:$A$2005&lt;A152)*$A$6:$A$2005)))</f>
        <v/>
      </c>
      <c r="F152" s="41">
        <f>IF(OR(E152="",E152=0),"",IFERROR(AVERAGEIFS($C$6:$C$2005,$B$6:$B$2005,B152,$A$6:$A$2005,E152),""))</f>
        <v/>
      </c>
      <c r="G152" s="34">
        <f>IF(F152="","",A152-E152)</f>
        <v/>
      </c>
      <c r="H152" s="42">
        <f>IF(OR(F152="",C152=""),"",IFERROR((C152-F152)/G152,""))</f>
        <v/>
      </c>
      <c r="I152" s="39">
        <f>IF(B152="","",IFERROR(INDEX('Animais'!$M$6:$M$1005,MATCH(B152,'Animais'!$A$6:$A$1005,0)),"Brinco não cadastrado"))</f>
        <v/>
      </c>
    </row>
    <row r="153">
      <c r="A153" s="31" t="n"/>
      <c r="B153" s="36" t="n"/>
      <c r="C153" s="38" t="n"/>
      <c r="D153" s="32" t="n"/>
      <c r="E153" s="43">
        <f>IF(OR(A153="",B153=""),"",SUMPRODUCT(MAX(($B$6:$B$2005=B153)*($A$6:$A$2005&lt;A153)*$A$6:$A$2005)))</f>
        <v/>
      </c>
      <c r="F153" s="41">
        <f>IF(OR(E153="",E153=0),"",IFERROR(AVERAGEIFS($C$6:$C$2005,$B$6:$B$2005,B153,$A$6:$A$2005,E153),""))</f>
        <v/>
      </c>
      <c r="G153" s="34">
        <f>IF(F153="","",A153-E153)</f>
        <v/>
      </c>
      <c r="H153" s="42">
        <f>IF(OR(F153="",C153=""),"",IFERROR((C153-F153)/G153,""))</f>
        <v/>
      </c>
      <c r="I153" s="39">
        <f>IF(B153="","",IFERROR(INDEX('Animais'!$M$6:$M$1005,MATCH(B153,'Animais'!$A$6:$A$1005,0)),"Brinco não cadastrado"))</f>
        <v/>
      </c>
    </row>
    <row r="154">
      <c r="A154" s="31" t="n"/>
      <c r="B154" s="36" t="n"/>
      <c r="C154" s="38" t="n"/>
      <c r="D154" s="32" t="n"/>
      <c r="E154" s="43">
        <f>IF(OR(A154="",B154=""),"",SUMPRODUCT(MAX(($B$6:$B$2005=B154)*($A$6:$A$2005&lt;A154)*$A$6:$A$2005)))</f>
        <v/>
      </c>
      <c r="F154" s="41">
        <f>IF(OR(E154="",E154=0),"",IFERROR(AVERAGEIFS($C$6:$C$2005,$B$6:$B$2005,B154,$A$6:$A$2005,E154),""))</f>
        <v/>
      </c>
      <c r="G154" s="34">
        <f>IF(F154="","",A154-E154)</f>
        <v/>
      </c>
      <c r="H154" s="42">
        <f>IF(OR(F154="",C154=""),"",IFERROR((C154-F154)/G154,""))</f>
        <v/>
      </c>
      <c r="I154" s="39">
        <f>IF(B154="","",IFERROR(INDEX('Animais'!$M$6:$M$1005,MATCH(B154,'Animais'!$A$6:$A$1005,0)),"Brinco não cadastrado"))</f>
        <v/>
      </c>
    </row>
    <row r="155">
      <c r="A155" s="31" t="n"/>
      <c r="B155" s="36" t="n"/>
      <c r="C155" s="38" t="n"/>
      <c r="D155" s="32" t="n"/>
      <c r="E155" s="43">
        <f>IF(OR(A155="",B155=""),"",SUMPRODUCT(MAX(($B$6:$B$2005=B155)*($A$6:$A$2005&lt;A155)*$A$6:$A$2005)))</f>
        <v/>
      </c>
      <c r="F155" s="41">
        <f>IF(OR(E155="",E155=0),"",IFERROR(AVERAGEIFS($C$6:$C$2005,$B$6:$B$2005,B155,$A$6:$A$2005,E155),""))</f>
        <v/>
      </c>
      <c r="G155" s="34">
        <f>IF(F155="","",A155-E155)</f>
        <v/>
      </c>
      <c r="H155" s="42">
        <f>IF(OR(F155="",C155=""),"",IFERROR((C155-F155)/G155,""))</f>
        <v/>
      </c>
      <c r="I155" s="39">
        <f>IF(B155="","",IFERROR(INDEX('Animais'!$M$6:$M$1005,MATCH(B155,'Animais'!$A$6:$A$1005,0)),"Brinco não cadastrado"))</f>
        <v/>
      </c>
    </row>
    <row r="156">
      <c r="A156" s="31" t="n"/>
      <c r="B156" s="36" t="n"/>
      <c r="C156" s="38" t="n"/>
      <c r="D156" s="32" t="n"/>
      <c r="E156" s="43">
        <f>IF(OR(A156="",B156=""),"",SUMPRODUCT(MAX(($B$6:$B$2005=B156)*($A$6:$A$2005&lt;A156)*$A$6:$A$2005)))</f>
        <v/>
      </c>
      <c r="F156" s="41">
        <f>IF(OR(E156="",E156=0),"",IFERROR(AVERAGEIFS($C$6:$C$2005,$B$6:$B$2005,B156,$A$6:$A$2005,E156),""))</f>
        <v/>
      </c>
      <c r="G156" s="34">
        <f>IF(F156="","",A156-E156)</f>
        <v/>
      </c>
      <c r="H156" s="42">
        <f>IF(OR(F156="",C156=""),"",IFERROR((C156-F156)/G156,""))</f>
        <v/>
      </c>
      <c r="I156" s="39">
        <f>IF(B156="","",IFERROR(INDEX('Animais'!$M$6:$M$1005,MATCH(B156,'Animais'!$A$6:$A$1005,0)),"Brinco não cadastrado"))</f>
        <v/>
      </c>
    </row>
    <row r="157">
      <c r="A157" s="31" t="n"/>
      <c r="B157" s="36" t="n"/>
      <c r="C157" s="38" t="n"/>
      <c r="D157" s="32" t="n"/>
      <c r="E157" s="43">
        <f>IF(OR(A157="",B157=""),"",SUMPRODUCT(MAX(($B$6:$B$2005=B157)*($A$6:$A$2005&lt;A157)*$A$6:$A$2005)))</f>
        <v/>
      </c>
      <c r="F157" s="41">
        <f>IF(OR(E157="",E157=0),"",IFERROR(AVERAGEIFS($C$6:$C$2005,$B$6:$B$2005,B157,$A$6:$A$2005,E157),""))</f>
        <v/>
      </c>
      <c r="G157" s="34">
        <f>IF(F157="","",A157-E157)</f>
        <v/>
      </c>
      <c r="H157" s="42">
        <f>IF(OR(F157="",C157=""),"",IFERROR((C157-F157)/G157,""))</f>
        <v/>
      </c>
      <c r="I157" s="39">
        <f>IF(B157="","",IFERROR(INDEX('Animais'!$M$6:$M$1005,MATCH(B157,'Animais'!$A$6:$A$1005,0)),"Brinco não cadastrado"))</f>
        <v/>
      </c>
    </row>
    <row r="158">
      <c r="A158" s="31" t="n"/>
      <c r="B158" s="36" t="n"/>
      <c r="C158" s="38" t="n"/>
      <c r="D158" s="32" t="n"/>
      <c r="E158" s="43">
        <f>IF(OR(A158="",B158=""),"",SUMPRODUCT(MAX(($B$6:$B$2005=B158)*($A$6:$A$2005&lt;A158)*$A$6:$A$2005)))</f>
        <v/>
      </c>
      <c r="F158" s="41">
        <f>IF(OR(E158="",E158=0),"",IFERROR(AVERAGEIFS($C$6:$C$2005,$B$6:$B$2005,B158,$A$6:$A$2005,E158),""))</f>
        <v/>
      </c>
      <c r="G158" s="34">
        <f>IF(F158="","",A158-E158)</f>
        <v/>
      </c>
      <c r="H158" s="42">
        <f>IF(OR(F158="",C158=""),"",IFERROR((C158-F158)/G158,""))</f>
        <v/>
      </c>
      <c r="I158" s="39">
        <f>IF(B158="","",IFERROR(INDEX('Animais'!$M$6:$M$1005,MATCH(B158,'Animais'!$A$6:$A$1005,0)),"Brinco não cadastrado"))</f>
        <v/>
      </c>
    </row>
    <row r="159">
      <c r="A159" s="31" t="n"/>
      <c r="B159" s="36" t="n"/>
      <c r="C159" s="38" t="n"/>
      <c r="D159" s="32" t="n"/>
      <c r="E159" s="43">
        <f>IF(OR(A159="",B159=""),"",SUMPRODUCT(MAX(($B$6:$B$2005=B159)*($A$6:$A$2005&lt;A159)*$A$6:$A$2005)))</f>
        <v/>
      </c>
      <c r="F159" s="41">
        <f>IF(OR(E159="",E159=0),"",IFERROR(AVERAGEIFS($C$6:$C$2005,$B$6:$B$2005,B159,$A$6:$A$2005,E159),""))</f>
        <v/>
      </c>
      <c r="G159" s="34">
        <f>IF(F159="","",A159-E159)</f>
        <v/>
      </c>
      <c r="H159" s="42">
        <f>IF(OR(F159="",C159=""),"",IFERROR((C159-F159)/G159,""))</f>
        <v/>
      </c>
      <c r="I159" s="39">
        <f>IF(B159="","",IFERROR(INDEX('Animais'!$M$6:$M$1005,MATCH(B159,'Animais'!$A$6:$A$1005,0)),"Brinco não cadastrado"))</f>
        <v/>
      </c>
    </row>
    <row r="160">
      <c r="A160" s="31" t="n"/>
      <c r="B160" s="36" t="n"/>
      <c r="C160" s="38" t="n"/>
      <c r="D160" s="32" t="n"/>
      <c r="E160" s="43">
        <f>IF(OR(A160="",B160=""),"",SUMPRODUCT(MAX(($B$6:$B$2005=B160)*($A$6:$A$2005&lt;A160)*$A$6:$A$2005)))</f>
        <v/>
      </c>
      <c r="F160" s="41">
        <f>IF(OR(E160="",E160=0),"",IFERROR(AVERAGEIFS($C$6:$C$2005,$B$6:$B$2005,B160,$A$6:$A$2005,E160),""))</f>
        <v/>
      </c>
      <c r="G160" s="34">
        <f>IF(F160="","",A160-E160)</f>
        <v/>
      </c>
      <c r="H160" s="42">
        <f>IF(OR(F160="",C160=""),"",IFERROR((C160-F160)/G160,""))</f>
        <v/>
      </c>
      <c r="I160" s="39">
        <f>IF(B160="","",IFERROR(INDEX('Animais'!$M$6:$M$1005,MATCH(B160,'Animais'!$A$6:$A$1005,0)),"Brinco não cadastrado"))</f>
        <v/>
      </c>
    </row>
    <row r="161">
      <c r="A161" s="31" t="n"/>
      <c r="B161" s="36" t="n"/>
      <c r="C161" s="38" t="n"/>
      <c r="D161" s="32" t="n"/>
      <c r="E161" s="43">
        <f>IF(OR(A161="",B161=""),"",SUMPRODUCT(MAX(($B$6:$B$2005=B161)*($A$6:$A$2005&lt;A161)*$A$6:$A$2005)))</f>
        <v/>
      </c>
      <c r="F161" s="41">
        <f>IF(OR(E161="",E161=0),"",IFERROR(AVERAGEIFS($C$6:$C$2005,$B$6:$B$2005,B161,$A$6:$A$2005,E161),""))</f>
        <v/>
      </c>
      <c r="G161" s="34">
        <f>IF(F161="","",A161-E161)</f>
        <v/>
      </c>
      <c r="H161" s="42">
        <f>IF(OR(F161="",C161=""),"",IFERROR((C161-F161)/G161,""))</f>
        <v/>
      </c>
      <c r="I161" s="39">
        <f>IF(B161="","",IFERROR(INDEX('Animais'!$M$6:$M$1005,MATCH(B161,'Animais'!$A$6:$A$1005,0)),"Brinco não cadastrado"))</f>
        <v/>
      </c>
    </row>
    <row r="162">
      <c r="A162" s="31" t="n"/>
      <c r="B162" s="36" t="n"/>
      <c r="C162" s="38" t="n"/>
      <c r="D162" s="32" t="n"/>
      <c r="E162" s="43">
        <f>IF(OR(A162="",B162=""),"",SUMPRODUCT(MAX(($B$6:$B$2005=B162)*($A$6:$A$2005&lt;A162)*$A$6:$A$2005)))</f>
        <v/>
      </c>
      <c r="F162" s="41">
        <f>IF(OR(E162="",E162=0),"",IFERROR(AVERAGEIFS($C$6:$C$2005,$B$6:$B$2005,B162,$A$6:$A$2005,E162),""))</f>
        <v/>
      </c>
      <c r="G162" s="34">
        <f>IF(F162="","",A162-E162)</f>
        <v/>
      </c>
      <c r="H162" s="42">
        <f>IF(OR(F162="",C162=""),"",IFERROR((C162-F162)/G162,""))</f>
        <v/>
      </c>
      <c r="I162" s="39">
        <f>IF(B162="","",IFERROR(INDEX('Animais'!$M$6:$M$1005,MATCH(B162,'Animais'!$A$6:$A$1005,0)),"Brinco não cadastrado"))</f>
        <v/>
      </c>
    </row>
    <row r="163">
      <c r="A163" s="31" t="n"/>
      <c r="B163" s="36" t="n"/>
      <c r="C163" s="38" t="n"/>
      <c r="D163" s="32" t="n"/>
      <c r="E163" s="43">
        <f>IF(OR(A163="",B163=""),"",SUMPRODUCT(MAX(($B$6:$B$2005=B163)*($A$6:$A$2005&lt;A163)*$A$6:$A$2005)))</f>
        <v/>
      </c>
      <c r="F163" s="41">
        <f>IF(OR(E163="",E163=0),"",IFERROR(AVERAGEIFS($C$6:$C$2005,$B$6:$B$2005,B163,$A$6:$A$2005,E163),""))</f>
        <v/>
      </c>
      <c r="G163" s="34">
        <f>IF(F163="","",A163-E163)</f>
        <v/>
      </c>
      <c r="H163" s="42">
        <f>IF(OR(F163="",C163=""),"",IFERROR((C163-F163)/G163,""))</f>
        <v/>
      </c>
      <c r="I163" s="39">
        <f>IF(B163="","",IFERROR(INDEX('Animais'!$M$6:$M$1005,MATCH(B163,'Animais'!$A$6:$A$1005,0)),"Brinco não cadastrado"))</f>
        <v/>
      </c>
    </row>
    <row r="164">
      <c r="A164" s="31" t="n"/>
      <c r="B164" s="36" t="n"/>
      <c r="C164" s="38" t="n"/>
      <c r="D164" s="32" t="n"/>
      <c r="E164" s="43">
        <f>IF(OR(A164="",B164=""),"",SUMPRODUCT(MAX(($B$6:$B$2005=B164)*($A$6:$A$2005&lt;A164)*$A$6:$A$2005)))</f>
        <v/>
      </c>
      <c r="F164" s="41">
        <f>IF(OR(E164="",E164=0),"",IFERROR(AVERAGEIFS($C$6:$C$2005,$B$6:$B$2005,B164,$A$6:$A$2005,E164),""))</f>
        <v/>
      </c>
      <c r="G164" s="34">
        <f>IF(F164="","",A164-E164)</f>
        <v/>
      </c>
      <c r="H164" s="42">
        <f>IF(OR(F164="",C164=""),"",IFERROR((C164-F164)/G164,""))</f>
        <v/>
      </c>
      <c r="I164" s="39">
        <f>IF(B164="","",IFERROR(INDEX('Animais'!$M$6:$M$1005,MATCH(B164,'Animais'!$A$6:$A$1005,0)),"Brinco não cadastrado"))</f>
        <v/>
      </c>
    </row>
    <row r="165">
      <c r="A165" s="31" t="n"/>
      <c r="B165" s="36" t="n"/>
      <c r="C165" s="38" t="n"/>
      <c r="D165" s="32" t="n"/>
      <c r="E165" s="43">
        <f>IF(OR(A165="",B165=""),"",SUMPRODUCT(MAX(($B$6:$B$2005=B165)*($A$6:$A$2005&lt;A165)*$A$6:$A$2005)))</f>
        <v/>
      </c>
      <c r="F165" s="41">
        <f>IF(OR(E165="",E165=0),"",IFERROR(AVERAGEIFS($C$6:$C$2005,$B$6:$B$2005,B165,$A$6:$A$2005,E165),""))</f>
        <v/>
      </c>
      <c r="G165" s="34">
        <f>IF(F165="","",A165-E165)</f>
        <v/>
      </c>
      <c r="H165" s="42">
        <f>IF(OR(F165="",C165=""),"",IFERROR((C165-F165)/G165,""))</f>
        <v/>
      </c>
      <c r="I165" s="39">
        <f>IF(B165="","",IFERROR(INDEX('Animais'!$M$6:$M$1005,MATCH(B165,'Animais'!$A$6:$A$1005,0)),"Brinco não cadastrado"))</f>
        <v/>
      </c>
    </row>
    <row r="166">
      <c r="A166" s="31" t="n"/>
      <c r="B166" s="36" t="n"/>
      <c r="C166" s="38" t="n"/>
      <c r="D166" s="32" t="n"/>
      <c r="E166" s="43">
        <f>IF(OR(A166="",B166=""),"",SUMPRODUCT(MAX(($B$6:$B$2005=B166)*($A$6:$A$2005&lt;A166)*$A$6:$A$2005)))</f>
        <v/>
      </c>
      <c r="F166" s="41">
        <f>IF(OR(E166="",E166=0),"",IFERROR(AVERAGEIFS($C$6:$C$2005,$B$6:$B$2005,B166,$A$6:$A$2005,E166),""))</f>
        <v/>
      </c>
      <c r="G166" s="34">
        <f>IF(F166="","",A166-E166)</f>
        <v/>
      </c>
      <c r="H166" s="42">
        <f>IF(OR(F166="",C166=""),"",IFERROR((C166-F166)/G166,""))</f>
        <v/>
      </c>
      <c r="I166" s="39">
        <f>IF(B166="","",IFERROR(INDEX('Animais'!$M$6:$M$1005,MATCH(B166,'Animais'!$A$6:$A$1005,0)),"Brinco não cadastrado"))</f>
        <v/>
      </c>
    </row>
    <row r="167">
      <c r="A167" s="31" t="n"/>
      <c r="B167" s="36" t="n"/>
      <c r="C167" s="38" t="n"/>
      <c r="D167" s="32" t="n"/>
      <c r="E167" s="43">
        <f>IF(OR(A167="",B167=""),"",SUMPRODUCT(MAX(($B$6:$B$2005=B167)*($A$6:$A$2005&lt;A167)*$A$6:$A$2005)))</f>
        <v/>
      </c>
      <c r="F167" s="41">
        <f>IF(OR(E167="",E167=0),"",IFERROR(AVERAGEIFS($C$6:$C$2005,$B$6:$B$2005,B167,$A$6:$A$2005,E167),""))</f>
        <v/>
      </c>
      <c r="G167" s="34">
        <f>IF(F167="","",A167-E167)</f>
        <v/>
      </c>
      <c r="H167" s="42">
        <f>IF(OR(F167="",C167=""),"",IFERROR((C167-F167)/G167,""))</f>
        <v/>
      </c>
      <c r="I167" s="39">
        <f>IF(B167="","",IFERROR(INDEX('Animais'!$M$6:$M$1005,MATCH(B167,'Animais'!$A$6:$A$1005,0)),"Brinco não cadastrado"))</f>
        <v/>
      </c>
    </row>
    <row r="168">
      <c r="A168" s="31" t="n"/>
      <c r="B168" s="36" t="n"/>
      <c r="C168" s="38" t="n"/>
      <c r="D168" s="32" t="n"/>
      <c r="E168" s="43">
        <f>IF(OR(A168="",B168=""),"",SUMPRODUCT(MAX(($B$6:$B$2005=B168)*($A$6:$A$2005&lt;A168)*$A$6:$A$2005)))</f>
        <v/>
      </c>
      <c r="F168" s="41">
        <f>IF(OR(E168="",E168=0),"",IFERROR(AVERAGEIFS($C$6:$C$2005,$B$6:$B$2005,B168,$A$6:$A$2005,E168),""))</f>
        <v/>
      </c>
      <c r="G168" s="34">
        <f>IF(F168="","",A168-E168)</f>
        <v/>
      </c>
      <c r="H168" s="42">
        <f>IF(OR(F168="",C168=""),"",IFERROR((C168-F168)/G168,""))</f>
        <v/>
      </c>
      <c r="I168" s="39">
        <f>IF(B168="","",IFERROR(INDEX('Animais'!$M$6:$M$1005,MATCH(B168,'Animais'!$A$6:$A$1005,0)),"Brinco não cadastrado"))</f>
        <v/>
      </c>
    </row>
    <row r="169">
      <c r="A169" s="31" t="n"/>
      <c r="B169" s="36" t="n"/>
      <c r="C169" s="38" t="n"/>
      <c r="D169" s="32" t="n"/>
      <c r="E169" s="43">
        <f>IF(OR(A169="",B169=""),"",SUMPRODUCT(MAX(($B$6:$B$2005=B169)*($A$6:$A$2005&lt;A169)*$A$6:$A$2005)))</f>
        <v/>
      </c>
      <c r="F169" s="41">
        <f>IF(OR(E169="",E169=0),"",IFERROR(AVERAGEIFS($C$6:$C$2005,$B$6:$B$2005,B169,$A$6:$A$2005,E169),""))</f>
        <v/>
      </c>
      <c r="G169" s="34">
        <f>IF(F169="","",A169-E169)</f>
        <v/>
      </c>
      <c r="H169" s="42">
        <f>IF(OR(F169="",C169=""),"",IFERROR((C169-F169)/G169,""))</f>
        <v/>
      </c>
      <c r="I169" s="39">
        <f>IF(B169="","",IFERROR(INDEX('Animais'!$M$6:$M$1005,MATCH(B169,'Animais'!$A$6:$A$1005,0)),"Brinco não cadastrado"))</f>
        <v/>
      </c>
    </row>
    <row r="170">
      <c r="A170" s="31" t="n"/>
      <c r="B170" s="36" t="n"/>
      <c r="C170" s="38" t="n"/>
      <c r="D170" s="32" t="n"/>
      <c r="E170" s="43">
        <f>IF(OR(A170="",B170=""),"",SUMPRODUCT(MAX(($B$6:$B$2005=B170)*($A$6:$A$2005&lt;A170)*$A$6:$A$2005)))</f>
        <v/>
      </c>
      <c r="F170" s="41">
        <f>IF(OR(E170="",E170=0),"",IFERROR(AVERAGEIFS($C$6:$C$2005,$B$6:$B$2005,B170,$A$6:$A$2005,E170),""))</f>
        <v/>
      </c>
      <c r="G170" s="34">
        <f>IF(F170="","",A170-E170)</f>
        <v/>
      </c>
      <c r="H170" s="42">
        <f>IF(OR(F170="",C170=""),"",IFERROR((C170-F170)/G170,""))</f>
        <v/>
      </c>
      <c r="I170" s="39">
        <f>IF(B170="","",IFERROR(INDEX('Animais'!$M$6:$M$1005,MATCH(B170,'Animais'!$A$6:$A$1005,0)),"Brinco não cadastrado"))</f>
        <v/>
      </c>
    </row>
    <row r="171">
      <c r="A171" s="31" t="n"/>
      <c r="B171" s="36" t="n"/>
      <c r="C171" s="38" t="n"/>
      <c r="D171" s="32" t="n"/>
      <c r="E171" s="43">
        <f>IF(OR(A171="",B171=""),"",SUMPRODUCT(MAX(($B$6:$B$2005=B171)*($A$6:$A$2005&lt;A171)*$A$6:$A$2005)))</f>
        <v/>
      </c>
      <c r="F171" s="41">
        <f>IF(OR(E171="",E171=0),"",IFERROR(AVERAGEIFS($C$6:$C$2005,$B$6:$B$2005,B171,$A$6:$A$2005,E171),""))</f>
        <v/>
      </c>
      <c r="G171" s="34">
        <f>IF(F171="","",A171-E171)</f>
        <v/>
      </c>
      <c r="H171" s="42">
        <f>IF(OR(F171="",C171=""),"",IFERROR((C171-F171)/G171,""))</f>
        <v/>
      </c>
      <c r="I171" s="39">
        <f>IF(B171="","",IFERROR(INDEX('Animais'!$M$6:$M$1005,MATCH(B171,'Animais'!$A$6:$A$1005,0)),"Brinco não cadastrado"))</f>
        <v/>
      </c>
    </row>
    <row r="172">
      <c r="A172" s="31" t="n"/>
      <c r="B172" s="36" t="n"/>
      <c r="C172" s="38" t="n"/>
      <c r="D172" s="32" t="n"/>
      <c r="E172" s="43">
        <f>IF(OR(A172="",B172=""),"",SUMPRODUCT(MAX(($B$6:$B$2005=B172)*($A$6:$A$2005&lt;A172)*$A$6:$A$2005)))</f>
        <v/>
      </c>
      <c r="F172" s="41">
        <f>IF(OR(E172="",E172=0),"",IFERROR(AVERAGEIFS($C$6:$C$2005,$B$6:$B$2005,B172,$A$6:$A$2005,E172),""))</f>
        <v/>
      </c>
      <c r="G172" s="34">
        <f>IF(F172="","",A172-E172)</f>
        <v/>
      </c>
      <c r="H172" s="42">
        <f>IF(OR(F172="",C172=""),"",IFERROR((C172-F172)/G172,""))</f>
        <v/>
      </c>
      <c r="I172" s="39">
        <f>IF(B172="","",IFERROR(INDEX('Animais'!$M$6:$M$1005,MATCH(B172,'Animais'!$A$6:$A$1005,0)),"Brinco não cadastrado"))</f>
        <v/>
      </c>
    </row>
    <row r="173">
      <c r="A173" s="31" t="n"/>
      <c r="B173" s="36" t="n"/>
      <c r="C173" s="38" t="n"/>
      <c r="D173" s="32" t="n"/>
      <c r="E173" s="43">
        <f>IF(OR(A173="",B173=""),"",SUMPRODUCT(MAX(($B$6:$B$2005=B173)*($A$6:$A$2005&lt;A173)*$A$6:$A$2005)))</f>
        <v/>
      </c>
      <c r="F173" s="41">
        <f>IF(OR(E173="",E173=0),"",IFERROR(AVERAGEIFS($C$6:$C$2005,$B$6:$B$2005,B173,$A$6:$A$2005,E173),""))</f>
        <v/>
      </c>
      <c r="G173" s="34">
        <f>IF(F173="","",A173-E173)</f>
        <v/>
      </c>
      <c r="H173" s="42">
        <f>IF(OR(F173="",C173=""),"",IFERROR((C173-F173)/G173,""))</f>
        <v/>
      </c>
      <c r="I173" s="39">
        <f>IF(B173="","",IFERROR(INDEX('Animais'!$M$6:$M$1005,MATCH(B173,'Animais'!$A$6:$A$1005,0)),"Brinco não cadastrado"))</f>
        <v/>
      </c>
    </row>
    <row r="174">
      <c r="A174" s="31" t="n"/>
      <c r="B174" s="36" t="n"/>
      <c r="C174" s="38" t="n"/>
      <c r="D174" s="32" t="n"/>
      <c r="E174" s="43">
        <f>IF(OR(A174="",B174=""),"",SUMPRODUCT(MAX(($B$6:$B$2005=B174)*($A$6:$A$2005&lt;A174)*$A$6:$A$2005)))</f>
        <v/>
      </c>
      <c r="F174" s="41">
        <f>IF(OR(E174="",E174=0),"",IFERROR(AVERAGEIFS($C$6:$C$2005,$B$6:$B$2005,B174,$A$6:$A$2005,E174),""))</f>
        <v/>
      </c>
      <c r="G174" s="34">
        <f>IF(F174="","",A174-E174)</f>
        <v/>
      </c>
      <c r="H174" s="42">
        <f>IF(OR(F174="",C174=""),"",IFERROR((C174-F174)/G174,""))</f>
        <v/>
      </c>
      <c r="I174" s="39">
        <f>IF(B174="","",IFERROR(INDEX('Animais'!$M$6:$M$1005,MATCH(B174,'Animais'!$A$6:$A$1005,0)),"Brinco não cadastrado"))</f>
        <v/>
      </c>
    </row>
    <row r="175">
      <c r="A175" s="31" t="n"/>
      <c r="B175" s="36" t="n"/>
      <c r="C175" s="38" t="n"/>
      <c r="D175" s="32" t="n"/>
      <c r="E175" s="43">
        <f>IF(OR(A175="",B175=""),"",SUMPRODUCT(MAX(($B$6:$B$2005=B175)*($A$6:$A$2005&lt;A175)*$A$6:$A$2005)))</f>
        <v/>
      </c>
      <c r="F175" s="41">
        <f>IF(OR(E175="",E175=0),"",IFERROR(AVERAGEIFS($C$6:$C$2005,$B$6:$B$2005,B175,$A$6:$A$2005,E175),""))</f>
        <v/>
      </c>
      <c r="G175" s="34">
        <f>IF(F175="","",A175-E175)</f>
        <v/>
      </c>
      <c r="H175" s="42">
        <f>IF(OR(F175="",C175=""),"",IFERROR((C175-F175)/G175,""))</f>
        <v/>
      </c>
      <c r="I175" s="39">
        <f>IF(B175="","",IFERROR(INDEX('Animais'!$M$6:$M$1005,MATCH(B175,'Animais'!$A$6:$A$1005,0)),"Brinco não cadastrado"))</f>
        <v/>
      </c>
    </row>
    <row r="176">
      <c r="A176" s="31" t="n"/>
      <c r="B176" s="36" t="n"/>
      <c r="C176" s="38" t="n"/>
      <c r="D176" s="32" t="n"/>
      <c r="E176" s="43">
        <f>IF(OR(A176="",B176=""),"",SUMPRODUCT(MAX(($B$6:$B$2005=B176)*($A$6:$A$2005&lt;A176)*$A$6:$A$2005)))</f>
        <v/>
      </c>
      <c r="F176" s="41">
        <f>IF(OR(E176="",E176=0),"",IFERROR(AVERAGEIFS($C$6:$C$2005,$B$6:$B$2005,B176,$A$6:$A$2005,E176),""))</f>
        <v/>
      </c>
      <c r="G176" s="34">
        <f>IF(F176="","",A176-E176)</f>
        <v/>
      </c>
      <c r="H176" s="42">
        <f>IF(OR(F176="",C176=""),"",IFERROR((C176-F176)/G176,""))</f>
        <v/>
      </c>
      <c r="I176" s="39">
        <f>IF(B176="","",IFERROR(INDEX('Animais'!$M$6:$M$1005,MATCH(B176,'Animais'!$A$6:$A$1005,0)),"Brinco não cadastrado"))</f>
        <v/>
      </c>
    </row>
    <row r="177">
      <c r="A177" s="31" t="n"/>
      <c r="B177" s="36" t="n"/>
      <c r="C177" s="38" t="n"/>
      <c r="D177" s="32" t="n"/>
      <c r="E177" s="43">
        <f>IF(OR(A177="",B177=""),"",SUMPRODUCT(MAX(($B$6:$B$2005=B177)*($A$6:$A$2005&lt;A177)*$A$6:$A$2005)))</f>
        <v/>
      </c>
      <c r="F177" s="41">
        <f>IF(OR(E177="",E177=0),"",IFERROR(AVERAGEIFS($C$6:$C$2005,$B$6:$B$2005,B177,$A$6:$A$2005,E177),""))</f>
        <v/>
      </c>
      <c r="G177" s="34">
        <f>IF(F177="","",A177-E177)</f>
        <v/>
      </c>
      <c r="H177" s="42">
        <f>IF(OR(F177="",C177=""),"",IFERROR((C177-F177)/G177,""))</f>
        <v/>
      </c>
      <c r="I177" s="39">
        <f>IF(B177="","",IFERROR(INDEX('Animais'!$M$6:$M$1005,MATCH(B177,'Animais'!$A$6:$A$1005,0)),"Brinco não cadastrado"))</f>
        <v/>
      </c>
    </row>
    <row r="178">
      <c r="A178" s="31" t="n"/>
      <c r="B178" s="36" t="n"/>
      <c r="C178" s="38" t="n"/>
      <c r="D178" s="32" t="n"/>
      <c r="E178" s="43">
        <f>IF(OR(A178="",B178=""),"",SUMPRODUCT(MAX(($B$6:$B$2005=B178)*($A$6:$A$2005&lt;A178)*$A$6:$A$2005)))</f>
        <v/>
      </c>
      <c r="F178" s="41">
        <f>IF(OR(E178="",E178=0),"",IFERROR(AVERAGEIFS($C$6:$C$2005,$B$6:$B$2005,B178,$A$6:$A$2005,E178),""))</f>
        <v/>
      </c>
      <c r="G178" s="34">
        <f>IF(F178="","",A178-E178)</f>
        <v/>
      </c>
      <c r="H178" s="42">
        <f>IF(OR(F178="",C178=""),"",IFERROR((C178-F178)/G178,""))</f>
        <v/>
      </c>
      <c r="I178" s="39">
        <f>IF(B178="","",IFERROR(INDEX('Animais'!$M$6:$M$1005,MATCH(B178,'Animais'!$A$6:$A$1005,0)),"Brinco não cadastrado"))</f>
        <v/>
      </c>
    </row>
    <row r="179">
      <c r="A179" s="31" t="n"/>
      <c r="B179" s="36" t="n"/>
      <c r="C179" s="38" t="n"/>
      <c r="D179" s="32" t="n"/>
      <c r="E179" s="43">
        <f>IF(OR(A179="",B179=""),"",SUMPRODUCT(MAX(($B$6:$B$2005=B179)*($A$6:$A$2005&lt;A179)*$A$6:$A$2005)))</f>
        <v/>
      </c>
      <c r="F179" s="41">
        <f>IF(OR(E179="",E179=0),"",IFERROR(AVERAGEIFS($C$6:$C$2005,$B$6:$B$2005,B179,$A$6:$A$2005,E179),""))</f>
        <v/>
      </c>
      <c r="G179" s="34">
        <f>IF(F179="","",A179-E179)</f>
        <v/>
      </c>
      <c r="H179" s="42">
        <f>IF(OR(F179="",C179=""),"",IFERROR((C179-F179)/G179,""))</f>
        <v/>
      </c>
      <c r="I179" s="39">
        <f>IF(B179="","",IFERROR(INDEX('Animais'!$M$6:$M$1005,MATCH(B179,'Animais'!$A$6:$A$1005,0)),"Brinco não cadastrado"))</f>
        <v/>
      </c>
    </row>
    <row r="180">
      <c r="A180" s="31" t="n"/>
      <c r="B180" s="36" t="n"/>
      <c r="C180" s="38" t="n"/>
      <c r="D180" s="32" t="n"/>
      <c r="E180" s="43">
        <f>IF(OR(A180="",B180=""),"",SUMPRODUCT(MAX(($B$6:$B$2005=B180)*($A$6:$A$2005&lt;A180)*$A$6:$A$2005)))</f>
        <v/>
      </c>
      <c r="F180" s="41">
        <f>IF(OR(E180="",E180=0),"",IFERROR(AVERAGEIFS($C$6:$C$2005,$B$6:$B$2005,B180,$A$6:$A$2005,E180),""))</f>
        <v/>
      </c>
      <c r="G180" s="34">
        <f>IF(F180="","",A180-E180)</f>
        <v/>
      </c>
      <c r="H180" s="42">
        <f>IF(OR(F180="",C180=""),"",IFERROR((C180-F180)/G180,""))</f>
        <v/>
      </c>
      <c r="I180" s="39">
        <f>IF(B180="","",IFERROR(INDEX('Animais'!$M$6:$M$1005,MATCH(B180,'Animais'!$A$6:$A$1005,0)),"Brinco não cadastrado"))</f>
        <v/>
      </c>
    </row>
    <row r="181">
      <c r="A181" s="31" t="n"/>
      <c r="B181" s="36" t="n"/>
      <c r="C181" s="38" t="n"/>
      <c r="D181" s="32" t="n"/>
      <c r="E181" s="43">
        <f>IF(OR(A181="",B181=""),"",SUMPRODUCT(MAX(($B$6:$B$2005=B181)*($A$6:$A$2005&lt;A181)*$A$6:$A$2005)))</f>
        <v/>
      </c>
      <c r="F181" s="41">
        <f>IF(OR(E181="",E181=0),"",IFERROR(AVERAGEIFS($C$6:$C$2005,$B$6:$B$2005,B181,$A$6:$A$2005,E181),""))</f>
        <v/>
      </c>
      <c r="G181" s="34">
        <f>IF(F181="","",A181-E181)</f>
        <v/>
      </c>
      <c r="H181" s="42">
        <f>IF(OR(F181="",C181=""),"",IFERROR((C181-F181)/G181,""))</f>
        <v/>
      </c>
      <c r="I181" s="39">
        <f>IF(B181="","",IFERROR(INDEX('Animais'!$M$6:$M$1005,MATCH(B181,'Animais'!$A$6:$A$1005,0)),"Brinco não cadastrado"))</f>
        <v/>
      </c>
    </row>
    <row r="182">
      <c r="A182" s="31" t="n"/>
      <c r="B182" s="36" t="n"/>
      <c r="C182" s="38" t="n"/>
      <c r="D182" s="32" t="n"/>
      <c r="E182" s="43">
        <f>IF(OR(A182="",B182=""),"",SUMPRODUCT(MAX(($B$6:$B$2005=B182)*($A$6:$A$2005&lt;A182)*$A$6:$A$2005)))</f>
        <v/>
      </c>
      <c r="F182" s="41">
        <f>IF(OR(E182="",E182=0),"",IFERROR(AVERAGEIFS($C$6:$C$2005,$B$6:$B$2005,B182,$A$6:$A$2005,E182),""))</f>
        <v/>
      </c>
      <c r="G182" s="34">
        <f>IF(F182="","",A182-E182)</f>
        <v/>
      </c>
      <c r="H182" s="42">
        <f>IF(OR(F182="",C182=""),"",IFERROR((C182-F182)/G182,""))</f>
        <v/>
      </c>
      <c r="I182" s="39">
        <f>IF(B182="","",IFERROR(INDEX('Animais'!$M$6:$M$1005,MATCH(B182,'Animais'!$A$6:$A$1005,0)),"Brinco não cadastrado"))</f>
        <v/>
      </c>
    </row>
    <row r="183">
      <c r="A183" s="31" t="n"/>
      <c r="B183" s="36" t="n"/>
      <c r="C183" s="38" t="n"/>
      <c r="D183" s="32" t="n"/>
      <c r="E183" s="43">
        <f>IF(OR(A183="",B183=""),"",SUMPRODUCT(MAX(($B$6:$B$2005=B183)*($A$6:$A$2005&lt;A183)*$A$6:$A$2005)))</f>
        <v/>
      </c>
      <c r="F183" s="41">
        <f>IF(OR(E183="",E183=0),"",IFERROR(AVERAGEIFS($C$6:$C$2005,$B$6:$B$2005,B183,$A$6:$A$2005,E183),""))</f>
        <v/>
      </c>
      <c r="G183" s="34">
        <f>IF(F183="","",A183-E183)</f>
        <v/>
      </c>
      <c r="H183" s="42">
        <f>IF(OR(F183="",C183=""),"",IFERROR((C183-F183)/G183,""))</f>
        <v/>
      </c>
      <c r="I183" s="39">
        <f>IF(B183="","",IFERROR(INDEX('Animais'!$M$6:$M$1005,MATCH(B183,'Animais'!$A$6:$A$1005,0)),"Brinco não cadastrado"))</f>
        <v/>
      </c>
    </row>
    <row r="184">
      <c r="A184" s="31" t="n"/>
      <c r="B184" s="36" t="n"/>
      <c r="C184" s="38" t="n"/>
      <c r="D184" s="32" t="n"/>
      <c r="E184" s="43">
        <f>IF(OR(A184="",B184=""),"",SUMPRODUCT(MAX(($B$6:$B$2005=B184)*($A$6:$A$2005&lt;A184)*$A$6:$A$2005)))</f>
        <v/>
      </c>
      <c r="F184" s="41">
        <f>IF(OR(E184="",E184=0),"",IFERROR(AVERAGEIFS($C$6:$C$2005,$B$6:$B$2005,B184,$A$6:$A$2005,E184),""))</f>
        <v/>
      </c>
      <c r="G184" s="34">
        <f>IF(F184="","",A184-E184)</f>
        <v/>
      </c>
      <c r="H184" s="42">
        <f>IF(OR(F184="",C184=""),"",IFERROR((C184-F184)/G184,""))</f>
        <v/>
      </c>
      <c r="I184" s="39">
        <f>IF(B184="","",IFERROR(INDEX('Animais'!$M$6:$M$1005,MATCH(B184,'Animais'!$A$6:$A$1005,0)),"Brinco não cadastrado"))</f>
        <v/>
      </c>
    </row>
    <row r="185">
      <c r="A185" s="31" t="n"/>
      <c r="B185" s="36" t="n"/>
      <c r="C185" s="38" t="n"/>
      <c r="D185" s="32" t="n"/>
      <c r="E185" s="43">
        <f>IF(OR(A185="",B185=""),"",SUMPRODUCT(MAX(($B$6:$B$2005=B185)*($A$6:$A$2005&lt;A185)*$A$6:$A$2005)))</f>
        <v/>
      </c>
      <c r="F185" s="41">
        <f>IF(OR(E185="",E185=0),"",IFERROR(AVERAGEIFS($C$6:$C$2005,$B$6:$B$2005,B185,$A$6:$A$2005,E185),""))</f>
        <v/>
      </c>
      <c r="G185" s="34">
        <f>IF(F185="","",A185-E185)</f>
        <v/>
      </c>
      <c r="H185" s="42">
        <f>IF(OR(F185="",C185=""),"",IFERROR((C185-F185)/G185,""))</f>
        <v/>
      </c>
      <c r="I185" s="39">
        <f>IF(B185="","",IFERROR(INDEX('Animais'!$M$6:$M$1005,MATCH(B185,'Animais'!$A$6:$A$1005,0)),"Brinco não cadastrado"))</f>
        <v/>
      </c>
    </row>
    <row r="186">
      <c r="A186" s="31" t="n"/>
      <c r="B186" s="36" t="n"/>
      <c r="C186" s="38" t="n"/>
      <c r="D186" s="32" t="n"/>
      <c r="E186" s="43">
        <f>IF(OR(A186="",B186=""),"",SUMPRODUCT(MAX(($B$6:$B$2005=B186)*($A$6:$A$2005&lt;A186)*$A$6:$A$2005)))</f>
        <v/>
      </c>
      <c r="F186" s="41">
        <f>IF(OR(E186="",E186=0),"",IFERROR(AVERAGEIFS($C$6:$C$2005,$B$6:$B$2005,B186,$A$6:$A$2005,E186),""))</f>
        <v/>
      </c>
      <c r="G186" s="34">
        <f>IF(F186="","",A186-E186)</f>
        <v/>
      </c>
      <c r="H186" s="42">
        <f>IF(OR(F186="",C186=""),"",IFERROR((C186-F186)/G186,""))</f>
        <v/>
      </c>
      <c r="I186" s="39">
        <f>IF(B186="","",IFERROR(INDEX('Animais'!$M$6:$M$1005,MATCH(B186,'Animais'!$A$6:$A$1005,0)),"Brinco não cadastrado"))</f>
        <v/>
      </c>
    </row>
    <row r="187">
      <c r="A187" s="31" t="n"/>
      <c r="B187" s="36" t="n"/>
      <c r="C187" s="38" t="n"/>
      <c r="D187" s="32" t="n"/>
      <c r="E187" s="43">
        <f>IF(OR(A187="",B187=""),"",SUMPRODUCT(MAX(($B$6:$B$2005=B187)*($A$6:$A$2005&lt;A187)*$A$6:$A$2005)))</f>
        <v/>
      </c>
      <c r="F187" s="41">
        <f>IF(OR(E187="",E187=0),"",IFERROR(AVERAGEIFS($C$6:$C$2005,$B$6:$B$2005,B187,$A$6:$A$2005,E187),""))</f>
        <v/>
      </c>
      <c r="G187" s="34">
        <f>IF(F187="","",A187-E187)</f>
        <v/>
      </c>
      <c r="H187" s="42">
        <f>IF(OR(F187="",C187=""),"",IFERROR((C187-F187)/G187,""))</f>
        <v/>
      </c>
      <c r="I187" s="39">
        <f>IF(B187="","",IFERROR(INDEX('Animais'!$M$6:$M$1005,MATCH(B187,'Animais'!$A$6:$A$1005,0)),"Brinco não cadastrado"))</f>
        <v/>
      </c>
    </row>
    <row r="188">
      <c r="A188" s="31" t="n"/>
      <c r="B188" s="36" t="n"/>
      <c r="C188" s="38" t="n"/>
      <c r="D188" s="32" t="n"/>
      <c r="E188" s="43">
        <f>IF(OR(A188="",B188=""),"",SUMPRODUCT(MAX(($B$6:$B$2005=B188)*($A$6:$A$2005&lt;A188)*$A$6:$A$2005)))</f>
        <v/>
      </c>
      <c r="F188" s="41">
        <f>IF(OR(E188="",E188=0),"",IFERROR(AVERAGEIFS($C$6:$C$2005,$B$6:$B$2005,B188,$A$6:$A$2005,E188),""))</f>
        <v/>
      </c>
      <c r="G188" s="34">
        <f>IF(F188="","",A188-E188)</f>
        <v/>
      </c>
      <c r="H188" s="42">
        <f>IF(OR(F188="",C188=""),"",IFERROR((C188-F188)/G188,""))</f>
        <v/>
      </c>
      <c r="I188" s="39">
        <f>IF(B188="","",IFERROR(INDEX('Animais'!$M$6:$M$1005,MATCH(B188,'Animais'!$A$6:$A$1005,0)),"Brinco não cadastrado"))</f>
        <v/>
      </c>
    </row>
    <row r="189">
      <c r="A189" s="31" t="n"/>
      <c r="B189" s="36" t="n"/>
      <c r="C189" s="38" t="n"/>
      <c r="D189" s="32" t="n"/>
      <c r="E189" s="43">
        <f>IF(OR(A189="",B189=""),"",SUMPRODUCT(MAX(($B$6:$B$2005=B189)*($A$6:$A$2005&lt;A189)*$A$6:$A$2005)))</f>
        <v/>
      </c>
      <c r="F189" s="41">
        <f>IF(OR(E189="",E189=0),"",IFERROR(AVERAGEIFS($C$6:$C$2005,$B$6:$B$2005,B189,$A$6:$A$2005,E189),""))</f>
        <v/>
      </c>
      <c r="G189" s="34">
        <f>IF(F189="","",A189-E189)</f>
        <v/>
      </c>
      <c r="H189" s="42">
        <f>IF(OR(F189="",C189=""),"",IFERROR((C189-F189)/G189,""))</f>
        <v/>
      </c>
      <c r="I189" s="39">
        <f>IF(B189="","",IFERROR(INDEX('Animais'!$M$6:$M$1005,MATCH(B189,'Animais'!$A$6:$A$1005,0)),"Brinco não cadastrado"))</f>
        <v/>
      </c>
    </row>
    <row r="190">
      <c r="A190" s="31" t="n"/>
      <c r="B190" s="36" t="n"/>
      <c r="C190" s="38" t="n"/>
      <c r="D190" s="32" t="n"/>
      <c r="E190" s="43">
        <f>IF(OR(A190="",B190=""),"",SUMPRODUCT(MAX(($B$6:$B$2005=B190)*($A$6:$A$2005&lt;A190)*$A$6:$A$2005)))</f>
        <v/>
      </c>
      <c r="F190" s="41">
        <f>IF(OR(E190="",E190=0),"",IFERROR(AVERAGEIFS($C$6:$C$2005,$B$6:$B$2005,B190,$A$6:$A$2005,E190),""))</f>
        <v/>
      </c>
      <c r="G190" s="34">
        <f>IF(F190="","",A190-E190)</f>
        <v/>
      </c>
      <c r="H190" s="42">
        <f>IF(OR(F190="",C190=""),"",IFERROR((C190-F190)/G190,""))</f>
        <v/>
      </c>
      <c r="I190" s="39">
        <f>IF(B190="","",IFERROR(INDEX('Animais'!$M$6:$M$1005,MATCH(B190,'Animais'!$A$6:$A$1005,0)),"Brinco não cadastrado"))</f>
        <v/>
      </c>
    </row>
    <row r="191">
      <c r="A191" s="31" t="n"/>
      <c r="B191" s="36" t="n"/>
      <c r="C191" s="38" t="n"/>
      <c r="D191" s="32" t="n"/>
      <c r="E191" s="43">
        <f>IF(OR(A191="",B191=""),"",SUMPRODUCT(MAX(($B$6:$B$2005=B191)*($A$6:$A$2005&lt;A191)*$A$6:$A$2005)))</f>
        <v/>
      </c>
      <c r="F191" s="41">
        <f>IF(OR(E191="",E191=0),"",IFERROR(AVERAGEIFS($C$6:$C$2005,$B$6:$B$2005,B191,$A$6:$A$2005,E191),""))</f>
        <v/>
      </c>
      <c r="G191" s="34">
        <f>IF(F191="","",A191-E191)</f>
        <v/>
      </c>
      <c r="H191" s="42">
        <f>IF(OR(F191="",C191=""),"",IFERROR((C191-F191)/G191,""))</f>
        <v/>
      </c>
      <c r="I191" s="39">
        <f>IF(B191="","",IFERROR(INDEX('Animais'!$M$6:$M$1005,MATCH(B191,'Animais'!$A$6:$A$1005,0)),"Brinco não cadastrado"))</f>
        <v/>
      </c>
    </row>
    <row r="192">
      <c r="A192" s="31" t="n"/>
      <c r="B192" s="36" t="n"/>
      <c r="C192" s="38" t="n"/>
      <c r="D192" s="32" t="n"/>
      <c r="E192" s="43">
        <f>IF(OR(A192="",B192=""),"",SUMPRODUCT(MAX(($B$6:$B$2005=B192)*($A$6:$A$2005&lt;A192)*$A$6:$A$2005)))</f>
        <v/>
      </c>
      <c r="F192" s="41">
        <f>IF(OR(E192="",E192=0),"",IFERROR(AVERAGEIFS($C$6:$C$2005,$B$6:$B$2005,B192,$A$6:$A$2005,E192),""))</f>
        <v/>
      </c>
      <c r="G192" s="34">
        <f>IF(F192="","",A192-E192)</f>
        <v/>
      </c>
      <c r="H192" s="42">
        <f>IF(OR(F192="",C192=""),"",IFERROR((C192-F192)/G192,""))</f>
        <v/>
      </c>
      <c r="I192" s="39">
        <f>IF(B192="","",IFERROR(INDEX('Animais'!$M$6:$M$1005,MATCH(B192,'Animais'!$A$6:$A$1005,0)),"Brinco não cadastrado"))</f>
        <v/>
      </c>
    </row>
    <row r="193">
      <c r="A193" s="31" t="n"/>
      <c r="B193" s="36" t="n"/>
      <c r="C193" s="38" t="n"/>
      <c r="D193" s="32" t="n"/>
      <c r="E193" s="43">
        <f>IF(OR(A193="",B193=""),"",SUMPRODUCT(MAX(($B$6:$B$2005=B193)*($A$6:$A$2005&lt;A193)*$A$6:$A$2005)))</f>
        <v/>
      </c>
      <c r="F193" s="41">
        <f>IF(OR(E193="",E193=0),"",IFERROR(AVERAGEIFS($C$6:$C$2005,$B$6:$B$2005,B193,$A$6:$A$2005,E193),""))</f>
        <v/>
      </c>
      <c r="G193" s="34">
        <f>IF(F193="","",A193-E193)</f>
        <v/>
      </c>
      <c r="H193" s="42">
        <f>IF(OR(F193="",C193=""),"",IFERROR((C193-F193)/G193,""))</f>
        <v/>
      </c>
      <c r="I193" s="39">
        <f>IF(B193="","",IFERROR(INDEX('Animais'!$M$6:$M$1005,MATCH(B193,'Animais'!$A$6:$A$1005,0)),"Brinco não cadastrado"))</f>
        <v/>
      </c>
    </row>
    <row r="194">
      <c r="A194" s="31" t="n"/>
      <c r="B194" s="36" t="n"/>
      <c r="C194" s="38" t="n"/>
      <c r="D194" s="32" t="n"/>
      <c r="E194" s="43">
        <f>IF(OR(A194="",B194=""),"",SUMPRODUCT(MAX(($B$6:$B$2005=B194)*($A$6:$A$2005&lt;A194)*$A$6:$A$2005)))</f>
        <v/>
      </c>
      <c r="F194" s="41">
        <f>IF(OR(E194="",E194=0),"",IFERROR(AVERAGEIFS($C$6:$C$2005,$B$6:$B$2005,B194,$A$6:$A$2005,E194),""))</f>
        <v/>
      </c>
      <c r="G194" s="34">
        <f>IF(F194="","",A194-E194)</f>
        <v/>
      </c>
      <c r="H194" s="42">
        <f>IF(OR(F194="",C194=""),"",IFERROR((C194-F194)/G194,""))</f>
        <v/>
      </c>
      <c r="I194" s="39">
        <f>IF(B194="","",IFERROR(INDEX('Animais'!$M$6:$M$1005,MATCH(B194,'Animais'!$A$6:$A$1005,0)),"Brinco não cadastrado"))</f>
        <v/>
      </c>
    </row>
    <row r="195">
      <c r="A195" s="31" t="n"/>
      <c r="B195" s="36" t="n"/>
      <c r="C195" s="38" t="n"/>
      <c r="D195" s="32" t="n"/>
      <c r="E195" s="43">
        <f>IF(OR(A195="",B195=""),"",SUMPRODUCT(MAX(($B$6:$B$2005=B195)*($A$6:$A$2005&lt;A195)*$A$6:$A$2005)))</f>
        <v/>
      </c>
      <c r="F195" s="41">
        <f>IF(OR(E195="",E195=0),"",IFERROR(AVERAGEIFS($C$6:$C$2005,$B$6:$B$2005,B195,$A$6:$A$2005,E195),""))</f>
        <v/>
      </c>
      <c r="G195" s="34">
        <f>IF(F195="","",A195-E195)</f>
        <v/>
      </c>
      <c r="H195" s="42">
        <f>IF(OR(F195="",C195=""),"",IFERROR((C195-F195)/G195,""))</f>
        <v/>
      </c>
      <c r="I195" s="39">
        <f>IF(B195="","",IFERROR(INDEX('Animais'!$M$6:$M$1005,MATCH(B195,'Animais'!$A$6:$A$1005,0)),"Brinco não cadastrado"))</f>
        <v/>
      </c>
    </row>
    <row r="196">
      <c r="A196" s="31" t="n"/>
      <c r="B196" s="36" t="n"/>
      <c r="C196" s="38" t="n"/>
      <c r="D196" s="32" t="n"/>
      <c r="E196" s="43">
        <f>IF(OR(A196="",B196=""),"",SUMPRODUCT(MAX(($B$6:$B$2005=B196)*($A$6:$A$2005&lt;A196)*$A$6:$A$2005)))</f>
        <v/>
      </c>
      <c r="F196" s="41">
        <f>IF(OR(E196="",E196=0),"",IFERROR(AVERAGEIFS($C$6:$C$2005,$B$6:$B$2005,B196,$A$6:$A$2005,E196),""))</f>
        <v/>
      </c>
      <c r="G196" s="34">
        <f>IF(F196="","",A196-E196)</f>
        <v/>
      </c>
      <c r="H196" s="42">
        <f>IF(OR(F196="",C196=""),"",IFERROR((C196-F196)/G196,""))</f>
        <v/>
      </c>
      <c r="I196" s="39">
        <f>IF(B196="","",IFERROR(INDEX('Animais'!$M$6:$M$1005,MATCH(B196,'Animais'!$A$6:$A$1005,0)),"Brinco não cadastrado"))</f>
        <v/>
      </c>
    </row>
    <row r="197">
      <c r="A197" s="31" t="n"/>
      <c r="B197" s="36" t="n"/>
      <c r="C197" s="38" t="n"/>
      <c r="D197" s="32" t="n"/>
      <c r="E197" s="43">
        <f>IF(OR(A197="",B197=""),"",SUMPRODUCT(MAX(($B$6:$B$2005=B197)*($A$6:$A$2005&lt;A197)*$A$6:$A$2005)))</f>
        <v/>
      </c>
      <c r="F197" s="41">
        <f>IF(OR(E197="",E197=0),"",IFERROR(AVERAGEIFS($C$6:$C$2005,$B$6:$B$2005,B197,$A$6:$A$2005,E197),""))</f>
        <v/>
      </c>
      <c r="G197" s="34">
        <f>IF(F197="","",A197-E197)</f>
        <v/>
      </c>
      <c r="H197" s="42">
        <f>IF(OR(F197="",C197=""),"",IFERROR((C197-F197)/G197,""))</f>
        <v/>
      </c>
      <c r="I197" s="39">
        <f>IF(B197="","",IFERROR(INDEX('Animais'!$M$6:$M$1005,MATCH(B197,'Animais'!$A$6:$A$1005,0)),"Brinco não cadastrado"))</f>
        <v/>
      </c>
    </row>
    <row r="198">
      <c r="A198" s="31" t="n"/>
      <c r="B198" s="36" t="n"/>
      <c r="C198" s="38" t="n"/>
      <c r="D198" s="32" t="n"/>
      <c r="E198" s="43">
        <f>IF(OR(A198="",B198=""),"",SUMPRODUCT(MAX(($B$6:$B$2005=B198)*($A$6:$A$2005&lt;A198)*$A$6:$A$2005)))</f>
        <v/>
      </c>
      <c r="F198" s="41">
        <f>IF(OR(E198="",E198=0),"",IFERROR(AVERAGEIFS($C$6:$C$2005,$B$6:$B$2005,B198,$A$6:$A$2005,E198),""))</f>
        <v/>
      </c>
      <c r="G198" s="34">
        <f>IF(F198="","",A198-E198)</f>
        <v/>
      </c>
      <c r="H198" s="42">
        <f>IF(OR(F198="",C198=""),"",IFERROR((C198-F198)/G198,""))</f>
        <v/>
      </c>
      <c r="I198" s="39">
        <f>IF(B198="","",IFERROR(INDEX('Animais'!$M$6:$M$1005,MATCH(B198,'Animais'!$A$6:$A$1005,0)),"Brinco não cadastrado"))</f>
        <v/>
      </c>
    </row>
    <row r="199">
      <c r="A199" s="31" t="n"/>
      <c r="B199" s="36" t="n"/>
      <c r="C199" s="38" t="n"/>
      <c r="D199" s="32" t="n"/>
      <c r="E199" s="43">
        <f>IF(OR(A199="",B199=""),"",SUMPRODUCT(MAX(($B$6:$B$2005=B199)*($A$6:$A$2005&lt;A199)*$A$6:$A$2005)))</f>
        <v/>
      </c>
      <c r="F199" s="41">
        <f>IF(OR(E199="",E199=0),"",IFERROR(AVERAGEIFS($C$6:$C$2005,$B$6:$B$2005,B199,$A$6:$A$2005,E199),""))</f>
        <v/>
      </c>
      <c r="G199" s="34">
        <f>IF(F199="","",A199-E199)</f>
        <v/>
      </c>
      <c r="H199" s="42">
        <f>IF(OR(F199="",C199=""),"",IFERROR((C199-F199)/G199,""))</f>
        <v/>
      </c>
      <c r="I199" s="39">
        <f>IF(B199="","",IFERROR(INDEX('Animais'!$M$6:$M$1005,MATCH(B199,'Animais'!$A$6:$A$1005,0)),"Brinco não cadastrado"))</f>
        <v/>
      </c>
    </row>
    <row r="200">
      <c r="A200" s="31" t="n"/>
      <c r="B200" s="36" t="n"/>
      <c r="C200" s="38" t="n"/>
      <c r="D200" s="32" t="n"/>
      <c r="E200" s="43">
        <f>IF(OR(A200="",B200=""),"",SUMPRODUCT(MAX(($B$6:$B$2005=B200)*($A$6:$A$2005&lt;A200)*$A$6:$A$2005)))</f>
        <v/>
      </c>
      <c r="F200" s="41">
        <f>IF(OR(E200="",E200=0),"",IFERROR(AVERAGEIFS($C$6:$C$2005,$B$6:$B$2005,B200,$A$6:$A$2005,E200),""))</f>
        <v/>
      </c>
      <c r="G200" s="34">
        <f>IF(F200="","",A200-E200)</f>
        <v/>
      </c>
      <c r="H200" s="42">
        <f>IF(OR(F200="",C200=""),"",IFERROR((C200-F200)/G200,""))</f>
        <v/>
      </c>
      <c r="I200" s="39">
        <f>IF(B200="","",IFERROR(INDEX('Animais'!$M$6:$M$1005,MATCH(B200,'Animais'!$A$6:$A$1005,0)),"Brinco não cadastrado"))</f>
        <v/>
      </c>
    </row>
    <row r="201">
      <c r="A201" s="31" t="n"/>
      <c r="B201" s="36" t="n"/>
      <c r="C201" s="38" t="n"/>
      <c r="D201" s="32" t="n"/>
      <c r="E201" s="43">
        <f>IF(OR(A201="",B201=""),"",SUMPRODUCT(MAX(($B$6:$B$2005=B201)*($A$6:$A$2005&lt;A201)*$A$6:$A$2005)))</f>
        <v/>
      </c>
      <c r="F201" s="41">
        <f>IF(OR(E201="",E201=0),"",IFERROR(AVERAGEIFS($C$6:$C$2005,$B$6:$B$2005,B201,$A$6:$A$2005,E201),""))</f>
        <v/>
      </c>
      <c r="G201" s="34">
        <f>IF(F201="","",A201-E201)</f>
        <v/>
      </c>
      <c r="H201" s="42">
        <f>IF(OR(F201="",C201=""),"",IFERROR((C201-F201)/G201,""))</f>
        <v/>
      </c>
      <c r="I201" s="39">
        <f>IF(B201="","",IFERROR(INDEX('Animais'!$M$6:$M$1005,MATCH(B201,'Animais'!$A$6:$A$1005,0)),"Brinco não cadastrado"))</f>
        <v/>
      </c>
    </row>
    <row r="202">
      <c r="A202" s="31" t="n"/>
      <c r="B202" s="36" t="n"/>
      <c r="C202" s="38" t="n"/>
      <c r="D202" s="32" t="n"/>
      <c r="E202" s="43">
        <f>IF(OR(A202="",B202=""),"",SUMPRODUCT(MAX(($B$6:$B$2005=B202)*($A$6:$A$2005&lt;A202)*$A$6:$A$2005)))</f>
        <v/>
      </c>
      <c r="F202" s="41">
        <f>IF(OR(E202="",E202=0),"",IFERROR(AVERAGEIFS($C$6:$C$2005,$B$6:$B$2005,B202,$A$6:$A$2005,E202),""))</f>
        <v/>
      </c>
      <c r="G202" s="34">
        <f>IF(F202="","",A202-E202)</f>
        <v/>
      </c>
      <c r="H202" s="42">
        <f>IF(OR(F202="",C202=""),"",IFERROR((C202-F202)/G202,""))</f>
        <v/>
      </c>
      <c r="I202" s="39">
        <f>IF(B202="","",IFERROR(INDEX('Animais'!$M$6:$M$1005,MATCH(B202,'Animais'!$A$6:$A$1005,0)),"Brinco não cadastrado"))</f>
        <v/>
      </c>
    </row>
    <row r="203">
      <c r="A203" s="31" t="n"/>
      <c r="B203" s="36" t="n"/>
      <c r="C203" s="38" t="n"/>
      <c r="D203" s="32" t="n"/>
      <c r="E203" s="43">
        <f>IF(OR(A203="",B203=""),"",SUMPRODUCT(MAX(($B$6:$B$2005=B203)*($A$6:$A$2005&lt;A203)*$A$6:$A$2005)))</f>
        <v/>
      </c>
      <c r="F203" s="41">
        <f>IF(OR(E203="",E203=0),"",IFERROR(AVERAGEIFS($C$6:$C$2005,$B$6:$B$2005,B203,$A$6:$A$2005,E203),""))</f>
        <v/>
      </c>
      <c r="G203" s="34">
        <f>IF(F203="","",A203-E203)</f>
        <v/>
      </c>
      <c r="H203" s="42">
        <f>IF(OR(F203="",C203=""),"",IFERROR((C203-F203)/G203,""))</f>
        <v/>
      </c>
      <c r="I203" s="39">
        <f>IF(B203="","",IFERROR(INDEX('Animais'!$M$6:$M$1005,MATCH(B203,'Animais'!$A$6:$A$1005,0)),"Brinco não cadastrado"))</f>
        <v/>
      </c>
    </row>
    <row r="204">
      <c r="A204" s="31" t="n"/>
      <c r="B204" s="36" t="n"/>
      <c r="C204" s="38" t="n"/>
      <c r="D204" s="32" t="n"/>
      <c r="E204" s="43">
        <f>IF(OR(A204="",B204=""),"",SUMPRODUCT(MAX(($B$6:$B$2005=B204)*($A$6:$A$2005&lt;A204)*$A$6:$A$2005)))</f>
        <v/>
      </c>
      <c r="F204" s="41">
        <f>IF(OR(E204="",E204=0),"",IFERROR(AVERAGEIFS($C$6:$C$2005,$B$6:$B$2005,B204,$A$6:$A$2005,E204),""))</f>
        <v/>
      </c>
      <c r="G204" s="34">
        <f>IF(F204="","",A204-E204)</f>
        <v/>
      </c>
      <c r="H204" s="42">
        <f>IF(OR(F204="",C204=""),"",IFERROR((C204-F204)/G204,""))</f>
        <v/>
      </c>
      <c r="I204" s="39">
        <f>IF(B204="","",IFERROR(INDEX('Animais'!$M$6:$M$1005,MATCH(B204,'Animais'!$A$6:$A$1005,0)),"Brinco não cadastrado"))</f>
        <v/>
      </c>
    </row>
    <row r="205">
      <c r="A205" s="31" t="n"/>
      <c r="B205" s="36" t="n"/>
      <c r="C205" s="38" t="n"/>
      <c r="D205" s="32" t="n"/>
      <c r="E205" s="43">
        <f>IF(OR(A205="",B205=""),"",SUMPRODUCT(MAX(($B$6:$B$2005=B205)*($A$6:$A$2005&lt;A205)*$A$6:$A$2005)))</f>
        <v/>
      </c>
      <c r="F205" s="41">
        <f>IF(OR(E205="",E205=0),"",IFERROR(AVERAGEIFS($C$6:$C$2005,$B$6:$B$2005,B205,$A$6:$A$2005,E205),""))</f>
        <v/>
      </c>
      <c r="G205" s="34">
        <f>IF(F205="","",A205-E205)</f>
        <v/>
      </c>
      <c r="H205" s="42">
        <f>IF(OR(F205="",C205=""),"",IFERROR((C205-F205)/G205,""))</f>
        <v/>
      </c>
      <c r="I205" s="39">
        <f>IF(B205="","",IFERROR(INDEX('Animais'!$M$6:$M$1005,MATCH(B205,'Animais'!$A$6:$A$1005,0)),"Brinco não cadastrado"))</f>
        <v/>
      </c>
    </row>
    <row r="206">
      <c r="A206" s="31" t="n"/>
      <c r="B206" s="36" t="n"/>
      <c r="C206" s="38" t="n"/>
      <c r="D206" s="32" t="n"/>
      <c r="E206" s="43">
        <f>IF(OR(A206="",B206=""),"",SUMPRODUCT(MAX(($B$6:$B$2005=B206)*($A$6:$A$2005&lt;A206)*$A$6:$A$2005)))</f>
        <v/>
      </c>
      <c r="F206" s="41">
        <f>IF(OR(E206="",E206=0),"",IFERROR(AVERAGEIFS($C$6:$C$2005,$B$6:$B$2005,B206,$A$6:$A$2005,E206),""))</f>
        <v/>
      </c>
      <c r="G206" s="34">
        <f>IF(F206="","",A206-E206)</f>
        <v/>
      </c>
      <c r="H206" s="42">
        <f>IF(OR(F206="",C206=""),"",IFERROR((C206-F206)/G206,""))</f>
        <v/>
      </c>
      <c r="I206" s="39">
        <f>IF(B206="","",IFERROR(INDEX('Animais'!$M$6:$M$1005,MATCH(B206,'Animais'!$A$6:$A$1005,0)),"Brinco não cadastrado"))</f>
        <v/>
      </c>
    </row>
    <row r="207">
      <c r="A207" s="31" t="n"/>
      <c r="B207" s="36" t="n"/>
      <c r="C207" s="38" t="n"/>
      <c r="D207" s="32" t="n"/>
      <c r="E207" s="43">
        <f>IF(OR(A207="",B207=""),"",SUMPRODUCT(MAX(($B$6:$B$2005=B207)*($A$6:$A$2005&lt;A207)*$A$6:$A$2005)))</f>
        <v/>
      </c>
      <c r="F207" s="41">
        <f>IF(OR(E207="",E207=0),"",IFERROR(AVERAGEIFS($C$6:$C$2005,$B$6:$B$2005,B207,$A$6:$A$2005,E207),""))</f>
        <v/>
      </c>
      <c r="G207" s="34">
        <f>IF(F207="","",A207-E207)</f>
        <v/>
      </c>
      <c r="H207" s="42">
        <f>IF(OR(F207="",C207=""),"",IFERROR((C207-F207)/G207,""))</f>
        <v/>
      </c>
      <c r="I207" s="39">
        <f>IF(B207="","",IFERROR(INDEX('Animais'!$M$6:$M$1005,MATCH(B207,'Animais'!$A$6:$A$1005,0)),"Brinco não cadastrado"))</f>
        <v/>
      </c>
    </row>
    <row r="208">
      <c r="A208" s="31" t="n"/>
      <c r="B208" s="36" t="n"/>
      <c r="C208" s="38" t="n"/>
      <c r="D208" s="32" t="n"/>
      <c r="E208" s="43">
        <f>IF(OR(A208="",B208=""),"",SUMPRODUCT(MAX(($B$6:$B$2005=B208)*($A$6:$A$2005&lt;A208)*$A$6:$A$2005)))</f>
        <v/>
      </c>
      <c r="F208" s="41">
        <f>IF(OR(E208="",E208=0),"",IFERROR(AVERAGEIFS($C$6:$C$2005,$B$6:$B$2005,B208,$A$6:$A$2005,E208),""))</f>
        <v/>
      </c>
      <c r="G208" s="34">
        <f>IF(F208="","",A208-E208)</f>
        <v/>
      </c>
      <c r="H208" s="42">
        <f>IF(OR(F208="",C208=""),"",IFERROR((C208-F208)/G208,""))</f>
        <v/>
      </c>
      <c r="I208" s="39">
        <f>IF(B208="","",IFERROR(INDEX('Animais'!$M$6:$M$1005,MATCH(B208,'Animais'!$A$6:$A$1005,0)),"Brinco não cadastrado"))</f>
        <v/>
      </c>
    </row>
    <row r="209">
      <c r="A209" s="31" t="n"/>
      <c r="B209" s="36" t="n"/>
      <c r="C209" s="38" t="n"/>
      <c r="D209" s="32" t="n"/>
      <c r="E209" s="43">
        <f>IF(OR(A209="",B209=""),"",SUMPRODUCT(MAX(($B$6:$B$2005=B209)*($A$6:$A$2005&lt;A209)*$A$6:$A$2005)))</f>
        <v/>
      </c>
      <c r="F209" s="41">
        <f>IF(OR(E209="",E209=0),"",IFERROR(AVERAGEIFS($C$6:$C$2005,$B$6:$B$2005,B209,$A$6:$A$2005,E209),""))</f>
        <v/>
      </c>
      <c r="G209" s="34">
        <f>IF(F209="","",A209-E209)</f>
        <v/>
      </c>
      <c r="H209" s="42">
        <f>IF(OR(F209="",C209=""),"",IFERROR((C209-F209)/G209,""))</f>
        <v/>
      </c>
      <c r="I209" s="39">
        <f>IF(B209="","",IFERROR(INDEX('Animais'!$M$6:$M$1005,MATCH(B209,'Animais'!$A$6:$A$1005,0)),"Brinco não cadastrado"))</f>
        <v/>
      </c>
    </row>
    <row r="210">
      <c r="A210" s="31" t="n"/>
      <c r="B210" s="36" t="n"/>
      <c r="C210" s="38" t="n"/>
      <c r="D210" s="32" t="n"/>
      <c r="E210" s="43">
        <f>IF(OR(A210="",B210=""),"",SUMPRODUCT(MAX(($B$6:$B$2005=B210)*($A$6:$A$2005&lt;A210)*$A$6:$A$2005)))</f>
        <v/>
      </c>
      <c r="F210" s="41">
        <f>IF(OR(E210="",E210=0),"",IFERROR(AVERAGEIFS($C$6:$C$2005,$B$6:$B$2005,B210,$A$6:$A$2005,E210),""))</f>
        <v/>
      </c>
      <c r="G210" s="34">
        <f>IF(F210="","",A210-E210)</f>
        <v/>
      </c>
      <c r="H210" s="42">
        <f>IF(OR(F210="",C210=""),"",IFERROR((C210-F210)/G210,""))</f>
        <v/>
      </c>
      <c r="I210" s="39">
        <f>IF(B210="","",IFERROR(INDEX('Animais'!$M$6:$M$1005,MATCH(B210,'Animais'!$A$6:$A$1005,0)),"Brinco não cadastrado"))</f>
        <v/>
      </c>
    </row>
    <row r="211">
      <c r="A211" s="31" t="n"/>
      <c r="B211" s="36" t="n"/>
      <c r="C211" s="38" t="n"/>
      <c r="D211" s="32" t="n"/>
      <c r="E211" s="43">
        <f>IF(OR(A211="",B211=""),"",SUMPRODUCT(MAX(($B$6:$B$2005=B211)*($A$6:$A$2005&lt;A211)*$A$6:$A$2005)))</f>
        <v/>
      </c>
      <c r="F211" s="41">
        <f>IF(OR(E211="",E211=0),"",IFERROR(AVERAGEIFS($C$6:$C$2005,$B$6:$B$2005,B211,$A$6:$A$2005,E211),""))</f>
        <v/>
      </c>
      <c r="G211" s="34">
        <f>IF(F211="","",A211-E211)</f>
        <v/>
      </c>
      <c r="H211" s="42">
        <f>IF(OR(F211="",C211=""),"",IFERROR((C211-F211)/G211,""))</f>
        <v/>
      </c>
      <c r="I211" s="39">
        <f>IF(B211="","",IFERROR(INDEX('Animais'!$M$6:$M$1005,MATCH(B211,'Animais'!$A$6:$A$1005,0)),"Brinco não cadastrado"))</f>
        <v/>
      </c>
    </row>
    <row r="212">
      <c r="A212" s="31" t="n"/>
      <c r="B212" s="36" t="n"/>
      <c r="C212" s="38" t="n"/>
      <c r="D212" s="32" t="n"/>
      <c r="E212" s="43">
        <f>IF(OR(A212="",B212=""),"",SUMPRODUCT(MAX(($B$6:$B$2005=B212)*($A$6:$A$2005&lt;A212)*$A$6:$A$2005)))</f>
        <v/>
      </c>
      <c r="F212" s="41">
        <f>IF(OR(E212="",E212=0),"",IFERROR(AVERAGEIFS($C$6:$C$2005,$B$6:$B$2005,B212,$A$6:$A$2005,E212),""))</f>
        <v/>
      </c>
      <c r="G212" s="34">
        <f>IF(F212="","",A212-E212)</f>
        <v/>
      </c>
      <c r="H212" s="42">
        <f>IF(OR(F212="",C212=""),"",IFERROR((C212-F212)/G212,""))</f>
        <v/>
      </c>
      <c r="I212" s="39">
        <f>IF(B212="","",IFERROR(INDEX('Animais'!$M$6:$M$1005,MATCH(B212,'Animais'!$A$6:$A$1005,0)),"Brinco não cadastrado"))</f>
        <v/>
      </c>
    </row>
    <row r="213">
      <c r="A213" s="31" t="n"/>
      <c r="B213" s="36" t="n"/>
      <c r="C213" s="38" t="n"/>
      <c r="D213" s="32" t="n"/>
      <c r="E213" s="43">
        <f>IF(OR(A213="",B213=""),"",SUMPRODUCT(MAX(($B$6:$B$2005=B213)*($A$6:$A$2005&lt;A213)*$A$6:$A$2005)))</f>
        <v/>
      </c>
      <c r="F213" s="41">
        <f>IF(OR(E213="",E213=0),"",IFERROR(AVERAGEIFS($C$6:$C$2005,$B$6:$B$2005,B213,$A$6:$A$2005,E213),""))</f>
        <v/>
      </c>
      <c r="G213" s="34">
        <f>IF(F213="","",A213-E213)</f>
        <v/>
      </c>
      <c r="H213" s="42">
        <f>IF(OR(F213="",C213=""),"",IFERROR((C213-F213)/G213,""))</f>
        <v/>
      </c>
      <c r="I213" s="39">
        <f>IF(B213="","",IFERROR(INDEX('Animais'!$M$6:$M$1005,MATCH(B213,'Animais'!$A$6:$A$1005,0)),"Brinco não cadastrado"))</f>
        <v/>
      </c>
    </row>
    <row r="214">
      <c r="A214" s="31" t="n"/>
      <c r="B214" s="36" t="n"/>
      <c r="C214" s="38" t="n"/>
      <c r="D214" s="32" t="n"/>
      <c r="E214" s="43">
        <f>IF(OR(A214="",B214=""),"",SUMPRODUCT(MAX(($B$6:$B$2005=B214)*($A$6:$A$2005&lt;A214)*$A$6:$A$2005)))</f>
        <v/>
      </c>
      <c r="F214" s="41">
        <f>IF(OR(E214="",E214=0),"",IFERROR(AVERAGEIFS($C$6:$C$2005,$B$6:$B$2005,B214,$A$6:$A$2005,E214),""))</f>
        <v/>
      </c>
      <c r="G214" s="34">
        <f>IF(F214="","",A214-E214)</f>
        <v/>
      </c>
      <c r="H214" s="42">
        <f>IF(OR(F214="",C214=""),"",IFERROR((C214-F214)/G214,""))</f>
        <v/>
      </c>
      <c r="I214" s="39">
        <f>IF(B214="","",IFERROR(INDEX('Animais'!$M$6:$M$1005,MATCH(B214,'Animais'!$A$6:$A$1005,0)),"Brinco não cadastrado"))</f>
        <v/>
      </c>
    </row>
    <row r="215">
      <c r="A215" s="31" t="n"/>
      <c r="B215" s="36" t="n"/>
      <c r="C215" s="38" t="n"/>
      <c r="D215" s="32" t="n"/>
      <c r="E215" s="43">
        <f>IF(OR(A215="",B215=""),"",SUMPRODUCT(MAX(($B$6:$B$2005=B215)*($A$6:$A$2005&lt;A215)*$A$6:$A$2005)))</f>
        <v/>
      </c>
      <c r="F215" s="41">
        <f>IF(OR(E215="",E215=0),"",IFERROR(AVERAGEIFS($C$6:$C$2005,$B$6:$B$2005,B215,$A$6:$A$2005,E215),""))</f>
        <v/>
      </c>
      <c r="G215" s="34">
        <f>IF(F215="","",A215-E215)</f>
        <v/>
      </c>
      <c r="H215" s="42">
        <f>IF(OR(F215="",C215=""),"",IFERROR((C215-F215)/G215,""))</f>
        <v/>
      </c>
      <c r="I215" s="39">
        <f>IF(B215="","",IFERROR(INDEX('Animais'!$M$6:$M$1005,MATCH(B215,'Animais'!$A$6:$A$1005,0)),"Brinco não cadastrado"))</f>
        <v/>
      </c>
    </row>
    <row r="216">
      <c r="A216" s="31" t="n"/>
      <c r="B216" s="36" t="n"/>
      <c r="C216" s="38" t="n"/>
      <c r="D216" s="32" t="n"/>
      <c r="E216" s="43">
        <f>IF(OR(A216="",B216=""),"",SUMPRODUCT(MAX(($B$6:$B$2005=B216)*($A$6:$A$2005&lt;A216)*$A$6:$A$2005)))</f>
        <v/>
      </c>
      <c r="F216" s="41">
        <f>IF(OR(E216="",E216=0),"",IFERROR(AVERAGEIFS($C$6:$C$2005,$B$6:$B$2005,B216,$A$6:$A$2005,E216),""))</f>
        <v/>
      </c>
      <c r="G216" s="34">
        <f>IF(F216="","",A216-E216)</f>
        <v/>
      </c>
      <c r="H216" s="42">
        <f>IF(OR(F216="",C216=""),"",IFERROR((C216-F216)/G216,""))</f>
        <v/>
      </c>
      <c r="I216" s="39">
        <f>IF(B216="","",IFERROR(INDEX('Animais'!$M$6:$M$1005,MATCH(B216,'Animais'!$A$6:$A$1005,0)),"Brinco não cadastrado"))</f>
        <v/>
      </c>
    </row>
    <row r="217">
      <c r="A217" s="31" t="n"/>
      <c r="B217" s="36" t="n"/>
      <c r="C217" s="38" t="n"/>
      <c r="D217" s="32" t="n"/>
      <c r="E217" s="43">
        <f>IF(OR(A217="",B217=""),"",SUMPRODUCT(MAX(($B$6:$B$2005=B217)*($A$6:$A$2005&lt;A217)*$A$6:$A$2005)))</f>
        <v/>
      </c>
      <c r="F217" s="41">
        <f>IF(OR(E217="",E217=0),"",IFERROR(AVERAGEIFS($C$6:$C$2005,$B$6:$B$2005,B217,$A$6:$A$2005,E217),""))</f>
        <v/>
      </c>
      <c r="G217" s="34">
        <f>IF(F217="","",A217-E217)</f>
        <v/>
      </c>
      <c r="H217" s="42">
        <f>IF(OR(F217="",C217=""),"",IFERROR((C217-F217)/G217,""))</f>
        <v/>
      </c>
      <c r="I217" s="39">
        <f>IF(B217="","",IFERROR(INDEX('Animais'!$M$6:$M$1005,MATCH(B217,'Animais'!$A$6:$A$1005,0)),"Brinco não cadastrado"))</f>
        <v/>
      </c>
    </row>
    <row r="218">
      <c r="A218" s="31" t="n"/>
      <c r="B218" s="36" t="n"/>
      <c r="C218" s="38" t="n"/>
      <c r="D218" s="32" t="n"/>
      <c r="E218" s="43">
        <f>IF(OR(A218="",B218=""),"",SUMPRODUCT(MAX(($B$6:$B$2005=B218)*($A$6:$A$2005&lt;A218)*$A$6:$A$2005)))</f>
        <v/>
      </c>
      <c r="F218" s="41">
        <f>IF(OR(E218="",E218=0),"",IFERROR(AVERAGEIFS($C$6:$C$2005,$B$6:$B$2005,B218,$A$6:$A$2005,E218),""))</f>
        <v/>
      </c>
      <c r="G218" s="34">
        <f>IF(F218="","",A218-E218)</f>
        <v/>
      </c>
      <c r="H218" s="42">
        <f>IF(OR(F218="",C218=""),"",IFERROR((C218-F218)/G218,""))</f>
        <v/>
      </c>
      <c r="I218" s="39">
        <f>IF(B218="","",IFERROR(INDEX('Animais'!$M$6:$M$1005,MATCH(B218,'Animais'!$A$6:$A$1005,0)),"Brinco não cadastrado"))</f>
        <v/>
      </c>
    </row>
    <row r="219">
      <c r="A219" s="31" t="n"/>
      <c r="B219" s="36" t="n"/>
      <c r="C219" s="38" t="n"/>
      <c r="D219" s="32" t="n"/>
      <c r="E219" s="43">
        <f>IF(OR(A219="",B219=""),"",SUMPRODUCT(MAX(($B$6:$B$2005=B219)*($A$6:$A$2005&lt;A219)*$A$6:$A$2005)))</f>
        <v/>
      </c>
      <c r="F219" s="41">
        <f>IF(OR(E219="",E219=0),"",IFERROR(AVERAGEIFS($C$6:$C$2005,$B$6:$B$2005,B219,$A$6:$A$2005,E219),""))</f>
        <v/>
      </c>
      <c r="G219" s="34">
        <f>IF(F219="","",A219-E219)</f>
        <v/>
      </c>
      <c r="H219" s="42">
        <f>IF(OR(F219="",C219=""),"",IFERROR((C219-F219)/G219,""))</f>
        <v/>
      </c>
      <c r="I219" s="39">
        <f>IF(B219="","",IFERROR(INDEX('Animais'!$M$6:$M$1005,MATCH(B219,'Animais'!$A$6:$A$1005,0)),"Brinco não cadastrado"))</f>
        <v/>
      </c>
    </row>
    <row r="220">
      <c r="A220" s="31" t="n"/>
      <c r="B220" s="36" t="n"/>
      <c r="C220" s="38" t="n"/>
      <c r="D220" s="32" t="n"/>
      <c r="E220" s="43">
        <f>IF(OR(A220="",B220=""),"",SUMPRODUCT(MAX(($B$6:$B$2005=B220)*($A$6:$A$2005&lt;A220)*$A$6:$A$2005)))</f>
        <v/>
      </c>
      <c r="F220" s="41">
        <f>IF(OR(E220="",E220=0),"",IFERROR(AVERAGEIFS($C$6:$C$2005,$B$6:$B$2005,B220,$A$6:$A$2005,E220),""))</f>
        <v/>
      </c>
      <c r="G220" s="34">
        <f>IF(F220="","",A220-E220)</f>
        <v/>
      </c>
      <c r="H220" s="42">
        <f>IF(OR(F220="",C220=""),"",IFERROR((C220-F220)/G220,""))</f>
        <v/>
      </c>
      <c r="I220" s="39">
        <f>IF(B220="","",IFERROR(INDEX('Animais'!$M$6:$M$1005,MATCH(B220,'Animais'!$A$6:$A$1005,0)),"Brinco não cadastrado"))</f>
        <v/>
      </c>
    </row>
    <row r="221">
      <c r="A221" s="31" t="n"/>
      <c r="B221" s="36" t="n"/>
      <c r="C221" s="38" t="n"/>
      <c r="D221" s="32" t="n"/>
      <c r="E221" s="43">
        <f>IF(OR(A221="",B221=""),"",SUMPRODUCT(MAX(($B$6:$B$2005=B221)*($A$6:$A$2005&lt;A221)*$A$6:$A$2005)))</f>
        <v/>
      </c>
      <c r="F221" s="41">
        <f>IF(OR(E221="",E221=0),"",IFERROR(AVERAGEIFS($C$6:$C$2005,$B$6:$B$2005,B221,$A$6:$A$2005,E221),""))</f>
        <v/>
      </c>
      <c r="G221" s="34">
        <f>IF(F221="","",A221-E221)</f>
        <v/>
      </c>
      <c r="H221" s="42">
        <f>IF(OR(F221="",C221=""),"",IFERROR((C221-F221)/G221,""))</f>
        <v/>
      </c>
      <c r="I221" s="39">
        <f>IF(B221="","",IFERROR(INDEX('Animais'!$M$6:$M$1005,MATCH(B221,'Animais'!$A$6:$A$1005,0)),"Brinco não cadastrado"))</f>
        <v/>
      </c>
    </row>
    <row r="222">
      <c r="A222" s="31" t="n"/>
      <c r="B222" s="36" t="n"/>
      <c r="C222" s="38" t="n"/>
      <c r="D222" s="32" t="n"/>
      <c r="E222" s="43">
        <f>IF(OR(A222="",B222=""),"",SUMPRODUCT(MAX(($B$6:$B$2005=B222)*($A$6:$A$2005&lt;A222)*$A$6:$A$2005)))</f>
        <v/>
      </c>
      <c r="F222" s="41">
        <f>IF(OR(E222="",E222=0),"",IFERROR(AVERAGEIFS($C$6:$C$2005,$B$6:$B$2005,B222,$A$6:$A$2005,E222),""))</f>
        <v/>
      </c>
      <c r="G222" s="34">
        <f>IF(F222="","",A222-E222)</f>
        <v/>
      </c>
      <c r="H222" s="42">
        <f>IF(OR(F222="",C222=""),"",IFERROR((C222-F222)/G222,""))</f>
        <v/>
      </c>
      <c r="I222" s="39">
        <f>IF(B222="","",IFERROR(INDEX('Animais'!$M$6:$M$1005,MATCH(B222,'Animais'!$A$6:$A$1005,0)),"Brinco não cadastrado"))</f>
        <v/>
      </c>
    </row>
    <row r="223">
      <c r="A223" s="31" t="n"/>
      <c r="B223" s="36" t="n"/>
      <c r="C223" s="38" t="n"/>
      <c r="D223" s="32" t="n"/>
      <c r="E223" s="43">
        <f>IF(OR(A223="",B223=""),"",SUMPRODUCT(MAX(($B$6:$B$2005=B223)*($A$6:$A$2005&lt;A223)*$A$6:$A$2005)))</f>
        <v/>
      </c>
      <c r="F223" s="41">
        <f>IF(OR(E223="",E223=0),"",IFERROR(AVERAGEIFS($C$6:$C$2005,$B$6:$B$2005,B223,$A$6:$A$2005,E223),""))</f>
        <v/>
      </c>
      <c r="G223" s="34">
        <f>IF(F223="","",A223-E223)</f>
        <v/>
      </c>
      <c r="H223" s="42">
        <f>IF(OR(F223="",C223=""),"",IFERROR((C223-F223)/G223,""))</f>
        <v/>
      </c>
      <c r="I223" s="39">
        <f>IF(B223="","",IFERROR(INDEX('Animais'!$M$6:$M$1005,MATCH(B223,'Animais'!$A$6:$A$1005,0)),"Brinco não cadastrado"))</f>
        <v/>
      </c>
    </row>
    <row r="224">
      <c r="A224" s="31" t="n"/>
      <c r="B224" s="36" t="n"/>
      <c r="C224" s="38" t="n"/>
      <c r="D224" s="32" t="n"/>
      <c r="E224" s="43">
        <f>IF(OR(A224="",B224=""),"",SUMPRODUCT(MAX(($B$6:$B$2005=B224)*($A$6:$A$2005&lt;A224)*$A$6:$A$2005)))</f>
        <v/>
      </c>
      <c r="F224" s="41">
        <f>IF(OR(E224="",E224=0),"",IFERROR(AVERAGEIFS($C$6:$C$2005,$B$6:$B$2005,B224,$A$6:$A$2005,E224),""))</f>
        <v/>
      </c>
      <c r="G224" s="34">
        <f>IF(F224="","",A224-E224)</f>
        <v/>
      </c>
      <c r="H224" s="42">
        <f>IF(OR(F224="",C224=""),"",IFERROR((C224-F224)/G224,""))</f>
        <v/>
      </c>
      <c r="I224" s="39">
        <f>IF(B224="","",IFERROR(INDEX('Animais'!$M$6:$M$1005,MATCH(B224,'Animais'!$A$6:$A$1005,0)),"Brinco não cadastrado"))</f>
        <v/>
      </c>
    </row>
    <row r="225">
      <c r="A225" s="31" t="n"/>
      <c r="B225" s="36" t="n"/>
      <c r="C225" s="38" t="n"/>
      <c r="D225" s="32" t="n"/>
      <c r="E225" s="43">
        <f>IF(OR(A225="",B225=""),"",SUMPRODUCT(MAX(($B$6:$B$2005=B225)*($A$6:$A$2005&lt;A225)*$A$6:$A$2005)))</f>
        <v/>
      </c>
      <c r="F225" s="41">
        <f>IF(OR(E225="",E225=0),"",IFERROR(AVERAGEIFS($C$6:$C$2005,$B$6:$B$2005,B225,$A$6:$A$2005,E225),""))</f>
        <v/>
      </c>
      <c r="G225" s="34">
        <f>IF(F225="","",A225-E225)</f>
        <v/>
      </c>
      <c r="H225" s="42">
        <f>IF(OR(F225="",C225=""),"",IFERROR((C225-F225)/G225,""))</f>
        <v/>
      </c>
      <c r="I225" s="39">
        <f>IF(B225="","",IFERROR(INDEX('Animais'!$M$6:$M$1005,MATCH(B225,'Animais'!$A$6:$A$1005,0)),"Brinco não cadastrado"))</f>
        <v/>
      </c>
    </row>
    <row r="226">
      <c r="A226" s="31" t="n"/>
      <c r="B226" s="36" t="n"/>
      <c r="C226" s="38" t="n"/>
      <c r="D226" s="32" t="n"/>
      <c r="E226" s="43">
        <f>IF(OR(A226="",B226=""),"",SUMPRODUCT(MAX(($B$6:$B$2005=B226)*($A$6:$A$2005&lt;A226)*$A$6:$A$2005)))</f>
        <v/>
      </c>
      <c r="F226" s="41">
        <f>IF(OR(E226="",E226=0),"",IFERROR(AVERAGEIFS($C$6:$C$2005,$B$6:$B$2005,B226,$A$6:$A$2005,E226),""))</f>
        <v/>
      </c>
      <c r="G226" s="34">
        <f>IF(F226="","",A226-E226)</f>
        <v/>
      </c>
      <c r="H226" s="42">
        <f>IF(OR(F226="",C226=""),"",IFERROR((C226-F226)/G226,""))</f>
        <v/>
      </c>
      <c r="I226" s="39">
        <f>IF(B226="","",IFERROR(INDEX('Animais'!$M$6:$M$1005,MATCH(B226,'Animais'!$A$6:$A$1005,0)),"Brinco não cadastrado"))</f>
        <v/>
      </c>
    </row>
    <row r="227">
      <c r="A227" s="31" t="n"/>
      <c r="B227" s="36" t="n"/>
      <c r="C227" s="38" t="n"/>
      <c r="D227" s="32" t="n"/>
      <c r="E227" s="43">
        <f>IF(OR(A227="",B227=""),"",SUMPRODUCT(MAX(($B$6:$B$2005=B227)*($A$6:$A$2005&lt;A227)*$A$6:$A$2005)))</f>
        <v/>
      </c>
      <c r="F227" s="41">
        <f>IF(OR(E227="",E227=0),"",IFERROR(AVERAGEIFS($C$6:$C$2005,$B$6:$B$2005,B227,$A$6:$A$2005,E227),""))</f>
        <v/>
      </c>
      <c r="G227" s="34">
        <f>IF(F227="","",A227-E227)</f>
        <v/>
      </c>
      <c r="H227" s="42">
        <f>IF(OR(F227="",C227=""),"",IFERROR((C227-F227)/G227,""))</f>
        <v/>
      </c>
      <c r="I227" s="39">
        <f>IF(B227="","",IFERROR(INDEX('Animais'!$M$6:$M$1005,MATCH(B227,'Animais'!$A$6:$A$1005,0)),"Brinco não cadastrado"))</f>
        <v/>
      </c>
    </row>
    <row r="228">
      <c r="A228" s="31" t="n"/>
      <c r="B228" s="36" t="n"/>
      <c r="C228" s="38" t="n"/>
      <c r="D228" s="32" t="n"/>
      <c r="E228" s="43">
        <f>IF(OR(A228="",B228=""),"",SUMPRODUCT(MAX(($B$6:$B$2005=B228)*($A$6:$A$2005&lt;A228)*$A$6:$A$2005)))</f>
        <v/>
      </c>
      <c r="F228" s="41">
        <f>IF(OR(E228="",E228=0),"",IFERROR(AVERAGEIFS($C$6:$C$2005,$B$6:$B$2005,B228,$A$6:$A$2005,E228),""))</f>
        <v/>
      </c>
      <c r="G228" s="34">
        <f>IF(F228="","",A228-E228)</f>
        <v/>
      </c>
      <c r="H228" s="42">
        <f>IF(OR(F228="",C228=""),"",IFERROR((C228-F228)/G228,""))</f>
        <v/>
      </c>
      <c r="I228" s="39">
        <f>IF(B228="","",IFERROR(INDEX('Animais'!$M$6:$M$1005,MATCH(B228,'Animais'!$A$6:$A$1005,0)),"Brinco não cadastrado"))</f>
        <v/>
      </c>
    </row>
    <row r="229">
      <c r="A229" s="31" t="n"/>
      <c r="B229" s="36" t="n"/>
      <c r="C229" s="38" t="n"/>
      <c r="D229" s="32" t="n"/>
      <c r="E229" s="43">
        <f>IF(OR(A229="",B229=""),"",SUMPRODUCT(MAX(($B$6:$B$2005=B229)*($A$6:$A$2005&lt;A229)*$A$6:$A$2005)))</f>
        <v/>
      </c>
      <c r="F229" s="41">
        <f>IF(OR(E229="",E229=0),"",IFERROR(AVERAGEIFS($C$6:$C$2005,$B$6:$B$2005,B229,$A$6:$A$2005,E229),""))</f>
        <v/>
      </c>
      <c r="G229" s="34">
        <f>IF(F229="","",A229-E229)</f>
        <v/>
      </c>
      <c r="H229" s="42">
        <f>IF(OR(F229="",C229=""),"",IFERROR((C229-F229)/G229,""))</f>
        <v/>
      </c>
      <c r="I229" s="39">
        <f>IF(B229="","",IFERROR(INDEX('Animais'!$M$6:$M$1005,MATCH(B229,'Animais'!$A$6:$A$1005,0)),"Brinco não cadastrado"))</f>
        <v/>
      </c>
    </row>
    <row r="230">
      <c r="A230" s="31" t="n"/>
      <c r="B230" s="36" t="n"/>
      <c r="C230" s="38" t="n"/>
      <c r="D230" s="32" t="n"/>
      <c r="E230" s="43">
        <f>IF(OR(A230="",B230=""),"",SUMPRODUCT(MAX(($B$6:$B$2005=B230)*($A$6:$A$2005&lt;A230)*$A$6:$A$2005)))</f>
        <v/>
      </c>
      <c r="F230" s="41">
        <f>IF(OR(E230="",E230=0),"",IFERROR(AVERAGEIFS($C$6:$C$2005,$B$6:$B$2005,B230,$A$6:$A$2005,E230),""))</f>
        <v/>
      </c>
      <c r="G230" s="34">
        <f>IF(F230="","",A230-E230)</f>
        <v/>
      </c>
      <c r="H230" s="42">
        <f>IF(OR(F230="",C230=""),"",IFERROR((C230-F230)/G230,""))</f>
        <v/>
      </c>
      <c r="I230" s="39">
        <f>IF(B230="","",IFERROR(INDEX('Animais'!$M$6:$M$1005,MATCH(B230,'Animais'!$A$6:$A$1005,0)),"Brinco não cadastrado"))</f>
        <v/>
      </c>
    </row>
    <row r="231">
      <c r="A231" s="31" t="n"/>
      <c r="B231" s="36" t="n"/>
      <c r="C231" s="38" t="n"/>
      <c r="D231" s="32" t="n"/>
      <c r="E231" s="43">
        <f>IF(OR(A231="",B231=""),"",SUMPRODUCT(MAX(($B$6:$B$2005=B231)*($A$6:$A$2005&lt;A231)*$A$6:$A$2005)))</f>
        <v/>
      </c>
      <c r="F231" s="41">
        <f>IF(OR(E231="",E231=0),"",IFERROR(AVERAGEIFS($C$6:$C$2005,$B$6:$B$2005,B231,$A$6:$A$2005,E231),""))</f>
        <v/>
      </c>
      <c r="G231" s="34">
        <f>IF(F231="","",A231-E231)</f>
        <v/>
      </c>
      <c r="H231" s="42">
        <f>IF(OR(F231="",C231=""),"",IFERROR((C231-F231)/G231,""))</f>
        <v/>
      </c>
      <c r="I231" s="39">
        <f>IF(B231="","",IFERROR(INDEX('Animais'!$M$6:$M$1005,MATCH(B231,'Animais'!$A$6:$A$1005,0)),"Brinco não cadastrado"))</f>
        <v/>
      </c>
    </row>
    <row r="232">
      <c r="A232" s="31" t="n"/>
      <c r="B232" s="36" t="n"/>
      <c r="C232" s="38" t="n"/>
      <c r="D232" s="32" t="n"/>
      <c r="E232" s="43">
        <f>IF(OR(A232="",B232=""),"",SUMPRODUCT(MAX(($B$6:$B$2005=B232)*($A$6:$A$2005&lt;A232)*$A$6:$A$2005)))</f>
        <v/>
      </c>
      <c r="F232" s="41">
        <f>IF(OR(E232="",E232=0),"",IFERROR(AVERAGEIFS($C$6:$C$2005,$B$6:$B$2005,B232,$A$6:$A$2005,E232),""))</f>
        <v/>
      </c>
      <c r="G232" s="34">
        <f>IF(F232="","",A232-E232)</f>
        <v/>
      </c>
      <c r="H232" s="42">
        <f>IF(OR(F232="",C232=""),"",IFERROR((C232-F232)/G232,""))</f>
        <v/>
      </c>
      <c r="I232" s="39">
        <f>IF(B232="","",IFERROR(INDEX('Animais'!$M$6:$M$1005,MATCH(B232,'Animais'!$A$6:$A$1005,0)),"Brinco não cadastrado"))</f>
        <v/>
      </c>
    </row>
    <row r="233">
      <c r="A233" s="31" t="n"/>
      <c r="B233" s="36" t="n"/>
      <c r="C233" s="38" t="n"/>
      <c r="D233" s="32" t="n"/>
      <c r="E233" s="43">
        <f>IF(OR(A233="",B233=""),"",SUMPRODUCT(MAX(($B$6:$B$2005=B233)*($A$6:$A$2005&lt;A233)*$A$6:$A$2005)))</f>
        <v/>
      </c>
      <c r="F233" s="41">
        <f>IF(OR(E233="",E233=0),"",IFERROR(AVERAGEIFS($C$6:$C$2005,$B$6:$B$2005,B233,$A$6:$A$2005,E233),""))</f>
        <v/>
      </c>
      <c r="G233" s="34">
        <f>IF(F233="","",A233-E233)</f>
        <v/>
      </c>
      <c r="H233" s="42">
        <f>IF(OR(F233="",C233=""),"",IFERROR((C233-F233)/G233,""))</f>
        <v/>
      </c>
      <c r="I233" s="39">
        <f>IF(B233="","",IFERROR(INDEX('Animais'!$M$6:$M$1005,MATCH(B233,'Animais'!$A$6:$A$1005,0)),"Brinco não cadastrado"))</f>
        <v/>
      </c>
    </row>
    <row r="234">
      <c r="A234" s="31" t="n"/>
      <c r="B234" s="36" t="n"/>
      <c r="C234" s="38" t="n"/>
      <c r="D234" s="32" t="n"/>
      <c r="E234" s="43">
        <f>IF(OR(A234="",B234=""),"",SUMPRODUCT(MAX(($B$6:$B$2005=B234)*($A$6:$A$2005&lt;A234)*$A$6:$A$2005)))</f>
        <v/>
      </c>
      <c r="F234" s="41">
        <f>IF(OR(E234="",E234=0),"",IFERROR(AVERAGEIFS($C$6:$C$2005,$B$6:$B$2005,B234,$A$6:$A$2005,E234),""))</f>
        <v/>
      </c>
      <c r="G234" s="34">
        <f>IF(F234="","",A234-E234)</f>
        <v/>
      </c>
      <c r="H234" s="42">
        <f>IF(OR(F234="",C234=""),"",IFERROR((C234-F234)/G234,""))</f>
        <v/>
      </c>
      <c r="I234" s="39">
        <f>IF(B234="","",IFERROR(INDEX('Animais'!$M$6:$M$1005,MATCH(B234,'Animais'!$A$6:$A$1005,0)),"Brinco não cadastrado"))</f>
        <v/>
      </c>
    </row>
    <row r="235">
      <c r="A235" s="31" t="n"/>
      <c r="B235" s="36" t="n"/>
      <c r="C235" s="38" t="n"/>
      <c r="D235" s="32" t="n"/>
      <c r="E235" s="43">
        <f>IF(OR(A235="",B235=""),"",SUMPRODUCT(MAX(($B$6:$B$2005=B235)*($A$6:$A$2005&lt;A235)*$A$6:$A$2005)))</f>
        <v/>
      </c>
      <c r="F235" s="41">
        <f>IF(OR(E235="",E235=0),"",IFERROR(AVERAGEIFS($C$6:$C$2005,$B$6:$B$2005,B235,$A$6:$A$2005,E235),""))</f>
        <v/>
      </c>
      <c r="G235" s="34">
        <f>IF(F235="","",A235-E235)</f>
        <v/>
      </c>
      <c r="H235" s="42">
        <f>IF(OR(F235="",C235=""),"",IFERROR((C235-F235)/G235,""))</f>
        <v/>
      </c>
      <c r="I235" s="39">
        <f>IF(B235="","",IFERROR(INDEX('Animais'!$M$6:$M$1005,MATCH(B235,'Animais'!$A$6:$A$1005,0)),"Brinco não cadastrado"))</f>
        <v/>
      </c>
    </row>
    <row r="236">
      <c r="A236" s="31" t="n"/>
      <c r="B236" s="36" t="n"/>
      <c r="C236" s="38" t="n"/>
      <c r="D236" s="32" t="n"/>
      <c r="E236" s="43">
        <f>IF(OR(A236="",B236=""),"",SUMPRODUCT(MAX(($B$6:$B$2005=B236)*($A$6:$A$2005&lt;A236)*$A$6:$A$2005)))</f>
        <v/>
      </c>
      <c r="F236" s="41">
        <f>IF(OR(E236="",E236=0),"",IFERROR(AVERAGEIFS($C$6:$C$2005,$B$6:$B$2005,B236,$A$6:$A$2005,E236),""))</f>
        <v/>
      </c>
      <c r="G236" s="34">
        <f>IF(F236="","",A236-E236)</f>
        <v/>
      </c>
      <c r="H236" s="42">
        <f>IF(OR(F236="",C236=""),"",IFERROR((C236-F236)/G236,""))</f>
        <v/>
      </c>
      <c r="I236" s="39">
        <f>IF(B236="","",IFERROR(INDEX('Animais'!$M$6:$M$1005,MATCH(B236,'Animais'!$A$6:$A$1005,0)),"Brinco não cadastrado"))</f>
        <v/>
      </c>
    </row>
    <row r="237">
      <c r="A237" s="31" t="n"/>
      <c r="B237" s="36" t="n"/>
      <c r="C237" s="38" t="n"/>
      <c r="D237" s="32" t="n"/>
      <c r="E237" s="43">
        <f>IF(OR(A237="",B237=""),"",SUMPRODUCT(MAX(($B$6:$B$2005=B237)*($A$6:$A$2005&lt;A237)*$A$6:$A$2005)))</f>
        <v/>
      </c>
      <c r="F237" s="41">
        <f>IF(OR(E237="",E237=0),"",IFERROR(AVERAGEIFS($C$6:$C$2005,$B$6:$B$2005,B237,$A$6:$A$2005,E237),""))</f>
        <v/>
      </c>
      <c r="G237" s="34">
        <f>IF(F237="","",A237-E237)</f>
        <v/>
      </c>
      <c r="H237" s="42">
        <f>IF(OR(F237="",C237=""),"",IFERROR((C237-F237)/G237,""))</f>
        <v/>
      </c>
      <c r="I237" s="39">
        <f>IF(B237="","",IFERROR(INDEX('Animais'!$M$6:$M$1005,MATCH(B237,'Animais'!$A$6:$A$1005,0)),"Brinco não cadastrado"))</f>
        <v/>
      </c>
    </row>
    <row r="238">
      <c r="A238" s="31" t="n"/>
      <c r="B238" s="36" t="n"/>
      <c r="C238" s="38" t="n"/>
      <c r="D238" s="32" t="n"/>
      <c r="E238" s="43">
        <f>IF(OR(A238="",B238=""),"",SUMPRODUCT(MAX(($B$6:$B$2005=B238)*($A$6:$A$2005&lt;A238)*$A$6:$A$2005)))</f>
        <v/>
      </c>
      <c r="F238" s="41">
        <f>IF(OR(E238="",E238=0),"",IFERROR(AVERAGEIFS($C$6:$C$2005,$B$6:$B$2005,B238,$A$6:$A$2005,E238),""))</f>
        <v/>
      </c>
      <c r="G238" s="34">
        <f>IF(F238="","",A238-E238)</f>
        <v/>
      </c>
      <c r="H238" s="42">
        <f>IF(OR(F238="",C238=""),"",IFERROR((C238-F238)/G238,""))</f>
        <v/>
      </c>
      <c r="I238" s="39">
        <f>IF(B238="","",IFERROR(INDEX('Animais'!$M$6:$M$1005,MATCH(B238,'Animais'!$A$6:$A$1005,0)),"Brinco não cadastrado"))</f>
        <v/>
      </c>
    </row>
    <row r="239">
      <c r="A239" s="31" t="n"/>
      <c r="B239" s="36" t="n"/>
      <c r="C239" s="38" t="n"/>
      <c r="D239" s="32" t="n"/>
      <c r="E239" s="43">
        <f>IF(OR(A239="",B239=""),"",SUMPRODUCT(MAX(($B$6:$B$2005=B239)*($A$6:$A$2005&lt;A239)*$A$6:$A$2005)))</f>
        <v/>
      </c>
      <c r="F239" s="41">
        <f>IF(OR(E239="",E239=0),"",IFERROR(AVERAGEIFS($C$6:$C$2005,$B$6:$B$2005,B239,$A$6:$A$2005,E239),""))</f>
        <v/>
      </c>
      <c r="G239" s="34">
        <f>IF(F239="","",A239-E239)</f>
        <v/>
      </c>
      <c r="H239" s="42">
        <f>IF(OR(F239="",C239=""),"",IFERROR((C239-F239)/G239,""))</f>
        <v/>
      </c>
      <c r="I239" s="39">
        <f>IF(B239="","",IFERROR(INDEX('Animais'!$M$6:$M$1005,MATCH(B239,'Animais'!$A$6:$A$1005,0)),"Brinco não cadastrado"))</f>
        <v/>
      </c>
    </row>
    <row r="240">
      <c r="A240" s="31" t="n"/>
      <c r="B240" s="36" t="n"/>
      <c r="C240" s="38" t="n"/>
      <c r="D240" s="32" t="n"/>
      <c r="E240" s="43">
        <f>IF(OR(A240="",B240=""),"",SUMPRODUCT(MAX(($B$6:$B$2005=B240)*($A$6:$A$2005&lt;A240)*$A$6:$A$2005)))</f>
        <v/>
      </c>
      <c r="F240" s="41">
        <f>IF(OR(E240="",E240=0),"",IFERROR(AVERAGEIFS($C$6:$C$2005,$B$6:$B$2005,B240,$A$6:$A$2005,E240),""))</f>
        <v/>
      </c>
      <c r="G240" s="34">
        <f>IF(F240="","",A240-E240)</f>
        <v/>
      </c>
      <c r="H240" s="42">
        <f>IF(OR(F240="",C240=""),"",IFERROR((C240-F240)/G240,""))</f>
        <v/>
      </c>
      <c r="I240" s="39">
        <f>IF(B240="","",IFERROR(INDEX('Animais'!$M$6:$M$1005,MATCH(B240,'Animais'!$A$6:$A$1005,0)),"Brinco não cadastrado"))</f>
        <v/>
      </c>
    </row>
    <row r="241">
      <c r="A241" s="31" t="n"/>
      <c r="B241" s="36" t="n"/>
      <c r="C241" s="38" t="n"/>
      <c r="D241" s="32" t="n"/>
      <c r="E241" s="43">
        <f>IF(OR(A241="",B241=""),"",SUMPRODUCT(MAX(($B$6:$B$2005=B241)*($A$6:$A$2005&lt;A241)*$A$6:$A$2005)))</f>
        <v/>
      </c>
      <c r="F241" s="41">
        <f>IF(OR(E241="",E241=0),"",IFERROR(AVERAGEIFS($C$6:$C$2005,$B$6:$B$2005,B241,$A$6:$A$2005,E241),""))</f>
        <v/>
      </c>
      <c r="G241" s="34">
        <f>IF(F241="","",A241-E241)</f>
        <v/>
      </c>
      <c r="H241" s="42">
        <f>IF(OR(F241="",C241=""),"",IFERROR((C241-F241)/G241,""))</f>
        <v/>
      </c>
      <c r="I241" s="39">
        <f>IF(B241="","",IFERROR(INDEX('Animais'!$M$6:$M$1005,MATCH(B241,'Animais'!$A$6:$A$1005,0)),"Brinco não cadastrado"))</f>
        <v/>
      </c>
    </row>
    <row r="242">
      <c r="A242" s="31" t="n"/>
      <c r="B242" s="36" t="n"/>
      <c r="C242" s="38" t="n"/>
      <c r="D242" s="32" t="n"/>
      <c r="E242" s="43">
        <f>IF(OR(A242="",B242=""),"",SUMPRODUCT(MAX(($B$6:$B$2005=B242)*($A$6:$A$2005&lt;A242)*$A$6:$A$2005)))</f>
        <v/>
      </c>
      <c r="F242" s="41">
        <f>IF(OR(E242="",E242=0),"",IFERROR(AVERAGEIFS($C$6:$C$2005,$B$6:$B$2005,B242,$A$6:$A$2005,E242),""))</f>
        <v/>
      </c>
      <c r="G242" s="34">
        <f>IF(F242="","",A242-E242)</f>
        <v/>
      </c>
      <c r="H242" s="42">
        <f>IF(OR(F242="",C242=""),"",IFERROR((C242-F242)/G242,""))</f>
        <v/>
      </c>
      <c r="I242" s="39">
        <f>IF(B242="","",IFERROR(INDEX('Animais'!$M$6:$M$1005,MATCH(B242,'Animais'!$A$6:$A$1005,0)),"Brinco não cadastrado"))</f>
        <v/>
      </c>
    </row>
    <row r="243">
      <c r="A243" s="31" t="n"/>
      <c r="B243" s="36" t="n"/>
      <c r="C243" s="38" t="n"/>
      <c r="D243" s="32" t="n"/>
      <c r="E243" s="43">
        <f>IF(OR(A243="",B243=""),"",SUMPRODUCT(MAX(($B$6:$B$2005=B243)*($A$6:$A$2005&lt;A243)*$A$6:$A$2005)))</f>
        <v/>
      </c>
      <c r="F243" s="41">
        <f>IF(OR(E243="",E243=0),"",IFERROR(AVERAGEIFS($C$6:$C$2005,$B$6:$B$2005,B243,$A$6:$A$2005,E243),""))</f>
        <v/>
      </c>
      <c r="G243" s="34">
        <f>IF(F243="","",A243-E243)</f>
        <v/>
      </c>
      <c r="H243" s="42">
        <f>IF(OR(F243="",C243=""),"",IFERROR((C243-F243)/G243,""))</f>
        <v/>
      </c>
      <c r="I243" s="39">
        <f>IF(B243="","",IFERROR(INDEX('Animais'!$M$6:$M$1005,MATCH(B243,'Animais'!$A$6:$A$1005,0)),"Brinco não cadastrado"))</f>
        <v/>
      </c>
    </row>
    <row r="244">
      <c r="A244" s="31" t="n"/>
      <c r="B244" s="36" t="n"/>
      <c r="C244" s="38" t="n"/>
      <c r="D244" s="32" t="n"/>
      <c r="E244" s="43">
        <f>IF(OR(A244="",B244=""),"",SUMPRODUCT(MAX(($B$6:$B$2005=B244)*($A$6:$A$2005&lt;A244)*$A$6:$A$2005)))</f>
        <v/>
      </c>
      <c r="F244" s="41">
        <f>IF(OR(E244="",E244=0),"",IFERROR(AVERAGEIFS($C$6:$C$2005,$B$6:$B$2005,B244,$A$6:$A$2005,E244),""))</f>
        <v/>
      </c>
      <c r="G244" s="34">
        <f>IF(F244="","",A244-E244)</f>
        <v/>
      </c>
      <c r="H244" s="42">
        <f>IF(OR(F244="",C244=""),"",IFERROR((C244-F244)/G244,""))</f>
        <v/>
      </c>
      <c r="I244" s="39">
        <f>IF(B244="","",IFERROR(INDEX('Animais'!$M$6:$M$1005,MATCH(B244,'Animais'!$A$6:$A$1005,0)),"Brinco não cadastrado"))</f>
        <v/>
      </c>
    </row>
    <row r="245">
      <c r="A245" s="31" t="n"/>
      <c r="B245" s="36" t="n"/>
      <c r="C245" s="38" t="n"/>
      <c r="D245" s="32" t="n"/>
      <c r="E245" s="43">
        <f>IF(OR(A245="",B245=""),"",SUMPRODUCT(MAX(($B$6:$B$2005=B245)*($A$6:$A$2005&lt;A245)*$A$6:$A$2005)))</f>
        <v/>
      </c>
      <c r="F245" s="41">
        <f>IF(OR(E245="",E245=0),"",IFERROR(AVERAGEIFS($C$6:$C$2005,$B$6:$B$2005,B245,$A$6:$A$2005,E245),""))</f>
        <v/>
      </c>
      <c r="G245" s="34">
        <f>IF(F245="","",A245-E245)</f>
        <v/>
      </c>
      <c r="H245" s="42">
        <f>IF(OR(F245="",C245=""),"",IFERROR((C245-F245)/G245,""))</f>
        <v/>
      </c>
      <c r="I245" s="39">
        <f>IF(B245="","",IFERROR(INDEX('Animais'!$M$6:$M$1005,MATCH(B245,'Animais'!$A$6:$A$1005,0)),"Brinco não cadastrado"))</f>
        <v/>
      </c>
    </row>
    <row r="246">
      <c r="A246" s="31" t="n"/>
      <c r="B246" s="36" t="n"/>
      <c r="C246" s="38" t="n"/>
      <c r="D246" s="32" t="n"/>
      <c r="E246" s="43">
        <f>IF(OR(A246="",B246=""),"",SUMPRODUCT(MAX(($B$6:$B$2005=B246)*($A$6:$A$2005&lt;A246)*$A$6:$A$2005)))</f>
        <v/>
      </c>
      <c r="F246" s="41">
        <f>IF(OR(E246="",E246=0),"",IFERROR(AVERAGEIFS($C$6:$C$2005,$B$6:$B$2005,B246,$A$6:$A$2005,E246),""))</f>
        <v/>
      </c>
      <c r="G246" s="34">
        <f>IF(F246="","",A246-E246)</f>
        <v/>
      </c>
      <c r="H246" s="42">
        <f>IF(OR(F246="",C246=""),"",IFERROR((C246-F246)/G246,""))</f>
        <v/>
      </c>
      <c r="I246" s="39">
        <f>IF(B246="","",IFERROR(INDEX('Animais'!$M$6:$M$1005,MATCH(B246,'Animais'!$A$6:$A$1005,0)),"Brinco não cadastrado"))</f>
        <v/>
      </c>
    </row>
    <row r="247">
      <c r="A247" s="31" t="n"/>
      <c r="B247" s="36" t="n"/>
      <c r="C247" s="38" t="n"/>
      <c r="D247" s="32" t="n"/>
      <c r="E247" s="43">
        <f>IF(OR(A247="",B247=""),"",SUMPRODUCT(MAX(($B$6:$B$2005=B247)*($A$6:$A$2005&lt;A247)*$A$6:$A$2005)))</f>
        <v/>
      </c>
      <c r="F247" s="41">
        <f>IF(OR(E247="",E247=0),"",IFERROR(AVERAGEIFS($C$6:$C$2005,$B$6:$B$2005,B247,$A$6:$A$2005,E247),""))</f>
        <v/>
      </c>
      <c r="G247" s="34">
        <f>IF(F247="","",A247-E247)</f>
        <v/>
      </c>
      <c r="H247" s="42">
        <f>IF(OR(F247="",C247=""),"",IFERROR((C247-F247)/G247,""))</f>
        <v/>
      </c>
      <c r="I247" s="39">
        <f>IF(B247="","",IFERROR(INDEX('Animais'!$M$6:$M$1005,MATCH(B247,'Animais'!$A$6:$A$1005,0)),"Brinco não cadastrado"))</f>
        <v/>
      </c>
    </row>
    <row r="248">
      <c r="A248" s="31" t="n"/>
      <c r="B248" s="36" t="n"/>
      <c r="C248" s="38" t="n"/>
      <c r="D248" s="32" t="n"/>
      <c r="E248" s="43">
        <f>IF(OR(A248="",B248=""),"",SUMPRODUCT(MAX(($B$6:$B$2005=B248)*($A$6:$A$2005&lt;A248)*$A$6:$A$2005)))</f>
        <v/>
      </c>
      <c r="F248" s="41">
        <f>IF(OR(E248="",E248=0),"",IFERROR(AVERAGEIFS($C$6:$C$2005,$B$6:$B$2005,B248,$A$6:$A$2005,E248),""))</f>
        <v/>
      </c>
      <c r="G248" s="34">
        <f>IF(F248="","",A248-E248)</f>
        <v/>
      </c>
      <c r="H248" s="42">
        <f>IF(OR(F248="",C248=""),"",IFERROR((C248-F248)/G248,""))</f>
        <v/>
      </c>
      <c r="I248" s="39">
        <f>IF(B248="","",IFERROR(INDEX('Animais'!$M$6:$M$1005,MATCH(B248,'Animais'!$A$6:$A$1005,0)),"Brinco não cadastrado"))</f>
        <v/>
      </c>
    </row>
    <row r="249">
      <c r="A249" s="31" t="n"/>
      <c r="B249" s="36" t="n"/>
      <c r="C249" s="38" t="n"/>
      <c r="D249" s="32" t="n"/>
      <c r="E249" s="43">
        <f>IF(OR(A249="",B249=""),"",SUMPRODUCT(MAX(($B$6:$B$2005=B249)*($A$6:$A$2005&lt;A249)*$A$6:$A$2005)))</f>
        <v/>
      </c>
      <c r="F249" s="41">
        <f>IF(OR(E249="",E249=0),"",IFERROR(AVERAGEIFS($C$6:$C$2005,$B$6:$B$2005,B249,$A$6:$A$2005,E249),""))</f>
        <v/>
      </c>
      <c r="G249" s="34">
        <f>IF(F249="","",A249-E249)</f>
        <v/>
      </c>
      <c r="H249" s="42">
        <f>IF(OR(F249="",C249=""),"",IFERROR((C249-F249)/G249,""))</f>
        <v/>
      </c>
      <c r="I249" s="39">
        <f>IF(B249="","",IFERROR(INDEX('Animais'!$M$6:$M$1005,MATCH(B249,'Animais'!$A$6:$A$1005,0)),"Brinco não cadastrado"))</f>
        <v/>
      </c>
    </row>
    <row r="250">
      <c r="A250" s="31" t="n"/>
      <c r="B250" s="36" t="n"/>
      <c r="C250" s="38" t="n"/>
      <c r="D250" s="32" t="n"/>
      <c r="E250" s="43">
        <f>IF(OR(A250="",B250=""),"",SUMPRODUCT(MAX(($B$6:$B$2005=B250)*($A$6:$A$2005&lt;A250)*$A$6:$A$2005)))</f>
        <v/>
      </c>
      <c r="F250" s="41">
        <f>IF(OR(E250="",E250=0),"",IFERROR(AVERAGEIFS($C$6:$C$2005,$B$6:$B$2005,B250,$A$6:$A$2005,E250),""))</f>
        <v/>
      </c>
      <c r="G250" s="34">
        <f>IF(F250="","",A250-E250)</f>
        <v/>
      </c>
      <c r="H250" s="42">
        <f>IF(OR(F250="",C250=""),"",IFERROR((C250-F250)/G250,""))</f>
        <v/>
      </c>
      <c r="I250" s="39">
        <f>IF(B250="","",IFERROR(INDEX('Animais'!$M$6:$M$1005,MATCH(B250,'Animais'!$A$6:$A$1005,0)),"Brinco não cadastrado"))</f>
        <v/>
      </c>
    </row>
    <row r="251">
      <c r="A251" s="31" t="n"/>
      <c r="B251" s="36" t="n"/>
      <c r="C251" s="38" t="n"/>
      <c r="D251" s="32" t="n"/>
      <c r="E251" s="43">
        <f>IF(OR(A251="",B251=""),"",SUMPRODUCT(MAX(($B$6:$B$2005=B251)*($A$6:$A$2005&lt;A251)*$A$6:$A$2005)))</f>
        <v/>
      </c>
      <c r="F251" s="41">
        <f>IF(OR(E251="",E251=0),"",IFERROR(AVERAGEIFS($C$6:$C$2005,$B$6:$B$2005,B251,$A$6:$A$2005,E251),""))</f>
        <v/>
      </c>
      <c r="G251" s="34">
        <f>IF(F251="","",A251-E251)</f>
        <v/>
      </c>
      <c r="H251" s="42">
        <f>IF(OR(F251="",C251=""),"",IFERROR((C251-F251)/G251,""))</f>
        <v/>
      </c>
      <c r="I251" s="39">
        <f>IF(B251="","",IFERROR(INDEX('Animais'!$M$6:$M$1005,MATCH(B251,'Animais'!$A$6:$A$1005,0)),"Brinco não cadastrado"))</f>
        <v/>
      </c>
    </row>
    <row r="252">
      <c r="A252" s="31" t="n"/>
      <c r="B252" s="36" t="n"/>
      <c r="C252" s="38" t="n"/>
      <c r="D252" s="32" t="n"/>
      <c r="E252" s="43">
        <f>IF(OR(A252="",B252=""),"",SUMPRODUCT(MAX(($B$6:$B$2005=B252)*($A$6:$A$2005&lt;A252)*$A$6:$A$2005)))</f>
        <v/>
      </c>
      <c r="F252" s="41">
        <f>IF(OR(E252="",E252=0),"",IFERROR(AVERAGEIFS($C$6:$C$2005,$B$6:$B$2005,B252,$A$6:$A$2005,E252),""))</f>
        <v/>
      </c>
      <c r="G252" s="34">
        <f>IF(F252="","",A252-E252)</f>
        <v/>
      </c>
      <c r="H252" s="42">
        <f>IF(OR(F252="",C252=""),"",IFERROR((C252-F252)/G252,""))</f>
        <v/>
      </c>
      <c r="I252" s="39">
        <f>IF(B252="","",IFERROR(INDEX('Animais'!$M$6:$M$1005,MATCH(B252,'Animais'!$A$6:$A$1005,0)),"Brinco não cadastrado"))</f>
        <v/>
      </c>
    </row>
    <row r="253">
      <c r="A253" s="31" t="n"/>
      <c r="B253" s="36" t="n"/>
      <c r="C253" s="38" t="n"/>
      <c r="D253" s="32" t="n"/>
      <c r="E253" s="43">
        <f>IF(OR(A253="",B253=""),"",SUMPRODUCT(MAX(($B$6:$B$2005=B253)*($A$6:$A$2005&lt;A253)*$A$6:$A$2005)))</f>
        <v/>
      </c>
      <c r="F253" s="41">
        <f>IF(OR(E253="",E253=0),"",IFERROR(AVERAGEIFS($C$6:$C$2005,$B$6:$B$2005,B253,$A$6:$A$2005,E253),""))</f>
        <v/>
      </c>
      <c r="G253" s="34">
        <f>IF(F253="","",A253-E253)</f>
        <v/>
      </c>
      <c r="H253" s="42">
        <f>IF(OR(F253="",C253=""),"",IFERROR((C253-F253)/G253,""))</f>
        <v/>
      </c>
      <c r="I253" s="39">
        <f>IF(B253="","",IFERROR(INDEX('Animais'!$M$6:$M$1005,MATCH(B253,'Animais'!$A$6:$A$1005,0)),"Brinco não cadastrado"))</f>
        <v/>
      </c>
    </row>
    <row r="254">
      <c r="A254" s="31" t="n"/>
      <c r="B254" s="36" t="n"/>
      <c r="C254" s="38" t="n"/>
      <c r="D254" s="32" t="n"/>
      <c r="E254" s="43">
        <f>IF(OR(A254="",B254=""),"",SUMPRODUCT(MAX(($B$6:$B$2005=B254)*($A$6:$A$2005&lt;A254)*$A$6:$A$2005)))</f>
        <v/>
      </c>
      <c r="F254" s="41">
        <f>IF(OR(E254="",E254=0),"",IFERROR(AVERAGEIFS($C$6:$C$2005,$B$6:$B$2005,B254,$A$6:$A$2005,E254),""))</f>
        <v/>
      </c>
      <c r="G254" s="34">
        <f>IF(F254="","",A254-E254)</f>
        <v/>
      </c>
      <c r="H254" s="42">
        <f>IF(OR(F254="",C254=""),"",IFERROR((C254-F254)/G254,""))</f>
        <v/>
      </c>
      <c r="I254" s="39">
        <f>IF(B254="","",IFERROR(INDEX('Animais'!$M$6:$M$1005,MATCH(B254,'Animais'!$A$6:$A$1005,0)),"Brinco não cadastrado"))</f>
        <v/>
      </c>
    </row>
    <row r="255">
      <c r="A255" s="31" t="n"/>
      <c r="B255" s="36" t="n"/>
      <c r="C255" s="38" t="n"/>
      <c r="D255" s="32" t="n"/>
      <c r="E255" s="43">
        <f>IF(OR(A255="",B255=""),"",SUMPRODUCT(MAX(($B$6:$B$2005=B255)*($A$6:$A$2005&lt;A255)*$A$6:$A$2005)))</f>
        <v/>
      </c>
      <c r="F255" s="41">
        <f>IF(OR(E255="",E255=0),"",IFERROR(AVERAGEIFS($C$6:$C$2005,$B$6:$B$2005,B255,$A$6:$A$2005,E255),""))</f>
        <v/>
      </c>
      <c r="G255" s="34">
        <f>IF(F255="","",A255-E255)</f>
        <v/>
      </c>
      <c r="H255" s="42">
        <f>IF(OR(F255="",C255=""),"",IFERROR((C255-F255)/G255,""))</f>
        <v/>
      </c>
      <c r="I255" s="39">
        <f>IF(B255="","",IFERROR(INDEX('Animais'!$M$6:$M$1005,MATCH(B255,'Animais'!$A$6:$A$1005,0)),"Brinco não cadastrado"))</f>
        <v/>
      </c>
    </row>
    <row r="256">
      <c r="A256" s="31" t="n"/>
      <c r="B256" s="36" t="n"/>
      <c r="C256" s="38" t="n"/>
      <c r="D256" s="32" t="n"/>
      <c r="E256" s="43">
        <f>IF(OR(A256="",B256=""),"",SUMPRODUCT(MAX(($B$6:$B$2005=B256)*($A$6:$A$2005&lt;A256)*$A$6:$A$2005)))</f>
        <v/>
      </c>
      <c r="F256" s="41">
        <f>IF(OR(E256="",E256=0),"",IFERROR(AVERAGEIFS($C$6:$C$2005,$B$6:$B$2005,B256,$A$6:$A$2005,E256),""))</f>
        <v/>
      </c>
      <c r="G256" s="34">
        <f>IF(F256="","",A256-E256)</f>
        <v/>
      </c>
      <c r="H256" s="42">
        <f>IF(OR(F256="",C256=""),"",IFERROR((C256-F256)/G256,""))</f>
        <v/>
      </c>
      <c r="I256" s="39">
        <f>IF(B256="","",IFERROR(INDEX('Animais'!$M$6:$M$1005,MATCH(B256,'Animais'!$A$6:$A$1005,0)),"Brinco não cadastrado"))</f>
        <v/>
      </c>
    </row>
    <row r="257">
      <c r="A257" s="31" t="n"/>
      <c r="B257" s="36" t="n"/>
      <c r="C257" s="38" t="n"/>
      <c r="D257" s="32" t="n"/>
      <c r="E257" s="43">
        <f>IF(OR(A257="",B257=""),"",SUMPRODUCT(MAX(($B$6:$B$2005=B257)*($A$6:$A$2005&lt;A257)*$A$6:$A$2005)))</f>
        <v/>
      </c>
      <c r="F257" s="41">
        <f>IF(OR(E257="",E257=0),"",IFERROR(AVERAGEIFS($C$6:$C$2005,$B$6:$B$2005,B257,$A$6:$A$2005,E257),""))</f>
        <v/>
      </c>
      <c r="G257" s="34">
        <f>IF(F257="","",A257-E257)</f>
        <v/>
      </c>
      <c r="H257" s="42">
        <f>IF(OR(F257="",C257=""),"",IFERROR((C257-F257)/G257,""))</f>
        <v/>
      </c>
      <c r="I257" s="39">
        <f>IF(B257="","",IFERROR(INDEX('Animais'!$M$6:$M$1005,MATCH(B257,'Animais'!$A$6:$A$1005,0)),"Brinco não cadastrado"))</f>
        <v/>
      </c>
    </row>
    <row r="258">
      <c r="A258" s="31" t="n"/>
      <c r="B258" s="36" t="n"/>
      <c r="C258" s="38" t="n"/>
      <c r="D258" s="32" t="n"/>
      <c r="E258" s="43">
        <f>IF(OR(A258="",B258=""),"",SUMPRODUCT(MAX(($B$6:$B$2005=B258)*($A$6:$A$2005&lt;A258)*$A$6:$A$2005)))</f>
        <v/>
      </c>
      <c r="F258" s="41">
        <f>IF(OR(E258="",E258=0),"",IFERROR(AVERAGEIFS($C$6:$C$2005,$B$6:$B$2005,B258,$A$6:$A$2005,E258),""))</f>
        <v/>
      </c>
      <c r="G258" s="34">
        <f>IF(F258="","",A258-E258)</f>
        <v/>
      </c>
      <c r="H258" s="42">
        <f>IF(OR(F258="",C258=""),"",IFERROR((C258-F258)/G258,""))</f>
        <v/>
      </c>
      <c r="I258" s="39">
        <f>IF(B258="","",IFERROR(INDEX('Animais'!$M$6:$M$1005,MATCH(B258,'Animais'!$A$6:$A$1005,0)),"Brinco não cadastrado"))</f>
        <v/>
      </c>
    </row>
    <row r="259">
      <c r="A259" s="31" t="n"/>
      <c r="B259" s="36" t="n"/>
      <c r="C259" s="38" t="n"/>
      <c r="D259" s="32" t="n"/>
      <c r="E259" s="43">
        <f>IF(OR(A259="",B259=""),"",SUMPRODUCT(MAX(($B$6:$B$2005=B259)*($A$6:$A$2005&lt;A259)*$A$6:$A$2005)))</f>
        <v/>
      </c>
      <c r="F259" s="41">
        <f>IF(OR(E259="",E259=0),"",IFERROR(AVERAGEIFS($C$6:$C$2005,$B$6:$B$2005,B259,$A$6:$A$2005,E259),""))</f>
        <v/>
      </c>
      <c r="G259" s="34">
        <f>IF(F259="","",A259-E259)</f>
        <v/>
      </c>
      <c r="H259" s="42">
        <f>IF(OR(F259="",C259=""),"",IFERROR((C259-F259)/G259,""))</f>
        <v/>
      </c>
      <c r="I259" s="39">
        <f>IF(B259="","",IFERROR(INDEX('Animais'!$M$6:$M$1005,MATCH(B259,'Animais'!$A$6:$A$1005,0)),"Brinco não cadastrado"))</f>
        <v/>
      </c>
    </row>
    <row r="260">
      <c r="A260" s="31" t="n"/>
      <c r="B260" s="36" t="n"/>
      <c r="C260" s="38" t="n"/>
      <c r="D260" s="32" t="n"/>
      <c r="E260" s="43">
        <f>IF(OR(A260="",B260=""),"",SUMPRODUCT(MAX(($B$6:$B$2005=B260)*($A$6:$A$2005&lt;A260)*$A$6:$A$2005)))</f>
        <v/>
      </c>
      <c r="F260" s="41">
        <f>IF(OR(E260="",E260=0),"",IFERROR(AVERAGEIFS($C$6:$C$2005,$B$6:$B$2005,B260,$A$6:$A$2005,E260),""))</f>
        <v/>
      </c>
      <c r="G260" s="34">
        <f>IF(F260="","",A260-E260)</f>
        <v/>
      </c>
      <c r="H260" s="42">
        <f>IF(OR(F260="",C260=""),"",IFERROR((C260-F260)/G260,""))</f>
        <v/>
      </c>
      <c r="I260" s="39">
        <f>IF(B260="","",IFERROR(INDEX('Animais'!$M$6:$M$1005,MATCH(B260,'Animais'!$A$6:$A$1005,0)),"Brinco não cadastrado"))</f>
        <v/>
      </c>
    </row>
    <row r="261">
      <c r="A261" s="31" t="n"/>
      <c r="B261" s="36" t="n"/>
      <c r="C261" s="38" t="n"/>
      <c r="D261" s="32" t="n"/>
      <c r="E261" s="43">
        <f>IF(OR(A261="",B261=""),"",SUMPRODUCT(MAX(($B$6:$B$2005=B261)*($A$6:$A$2005&lt;A261)*$A$6:$A$2005)))</f>
        <v/>
      </c>
      <c r="F261" s="41">
        <f>IF(OR(E261="",E261=0),"",IFERROR(AVERAGEIFS($C$6:$C$2005,$B$6:$B$2005,B261,$A$6:$A$2005,E261),""))</f>
        <v/>
      </c>
      <c r="G261" s="34">
        <f>IF(F261="","",A261-E261)</f>
        <v/>
      </c>
      <c r="H261" s="42">
        <f>IF(OR(F261="",C261=""),"",IFERROR((C261-F261)/G261,""))</f>
        <v/>
      </c>
      <c r="I261" s="39">
        <f>IF(B261="","",IFERROR(INDEX('Animais'!$M$6:$M$1005,MATCH(B261,'Animais'!$A$6:$A$1005,0)),"Brinco não cadastrado"))</f>
        <v/>
      </c>
    </row>
    <row r="262">
      <c r="A262" s="31" t="n"/>
      <c r="B262" s="36" t="n"/>
      <c r="C262" s="38" t="n"/>
      <c r="D262" s="32" t="n"/>
      <c r="E262" s="43">
        <f>IF(OR(A262="",B262=""),"",SUMPRODUCT(MAX(($B$6:$B$2005=B262)*($A$6:$A$2005&lt;A262)*$A$6:$A$2005)))</f>
        <v/>
      </c>
      <c r="F262" s="41">
        <f>IF(OR(E262="",E262=0),"",IFERROR(AVERAGEIFS($C$6:$C$2005,$B$6:$B$2005,B262,$A$6:$A$2005,E262),""))</f>
        <v/>
      </c>
      <c r="G262" s="34">
        <f>IF(F262="","",A262-E262)</f>
        <v/>
      </c>
      <c r="H262" s="42">
        <f>IF(OR(F262="",C262=""),"",IFERROR((C262-F262)/G262,""))</f>
        <v/>
      </c>
      <c r="I262" s="39">
        <f>IF(B262="","",IFERROR(INDEX('Animais'!$M$6:$M$1005,MATCH(B262,'Animais'!$A$6:$A$1005,0)),"Brinco não cadastrado"))</f>
        <v/>
      </c>
    </row>
    <row r="263">
      <c r="A263" s="31" t="n"/>
      <c r="B263" s="36" t="n"/>
      <c r="C263" s="38" t="n"/>
      <c r="D263" s="32" t="n"/>
      <c r="E263" s="43">
        <f>IF(OR(A263="",B263=""),"",SUMPRODUCT(MAX(($B$6:$B$2005=B263)*($A$6:$A$2005&lt;A263)*$A$6:$A$2005)))</f>
        <v/>
      </c>
      <c r="F263" s="41">
        <f>IF(OR(E263="",E263=0),"",IFERROR(AVERAGEIFS($C$6:$C$2005,$B$6:$B$2005,B263,$A$6:$A$2005,E263),""))</f>
        <v/>
      </c>
      <c r="G263" s="34">
        <f>IF(F263="","",A263-E263)</f>
        <v/>
      </c>
      <c r="H263" s="42">
        <f>IF(OR(F263="",C263=""),"",IFERROR((C263-F263)/G263,""))</f>
        <v/>
      </c>
      <c r="I263" s="39">
        <f>IF(B263="","",IFERROR(INDEX('Animais'!$M$6:$M$1005,MATCH(B263,'Animais'!$A$6:$A$1005,0)),"Brinco não cadastrado"))</f>
        <v/>
      </c>
    </row>
    <row r="264">
      <c r="A264" s="31" t="n"/>
      <c r="B264" s="36" t="n"/>
      <c r="C264" s="38" t="n"/>
      <c r="D264" s="32" t="n"/>
      <c r="E264" s="43">
        <f>IF(OR(A264="",B264=""),"",SUMPRODUCT(MAX(($B$6:$B$2005=B264)*($A$6:$A$2005&lt;A264)*$A$6:$A$2005)))</f>
        <v/>
      </c>
      <c r="F264" s="41">
        <f>IF(OR(E264="",E264=0),"",IFERROR(AVERAGEIFS($C$6:$C$2005,$B$6:$B$2005,B264,$A$6:$A$2005,E264),""))</f>
        <v/>
      </c>
      <c r="G264" s="34">
        <f>IF(F264="","",A264-E264)</f>
        <v/>
      </c>
      <c r="H264" s="42">
        <f>IF(OR(F264="",C264=""),"",IFERROR((C264-F264)/G264,""))</f>
        <v/>
      </c>
      <c r="I264" s="39">
        <f>IF(B264="","",IFERROR(INDEX('Animais'!$M$6:$M$1005,MATCH(B264,'Animais'!$A$6:$A$1005,0)),"Brinco não cadastrado"))</f>
        <v/>
      </c>
    </row>
    <row r="265">
      <c r="A265" s="31" t="n"/>
      <c r="B265" s="36" t="n"/>
      <c r="C265" s="38" t="n"/>
      <c r="D265" s="32" t="n"/>
      <c r="E265" s="43">
        <f>IF(OR(A265="",B265=""),"",SUMPRODUCT(MAX(($B$6:$B$2005=B265)*($A$6:$A$2005&lt;A265)*$A$6:$A$2005)))</f>
        <v/>
      </c>
      <c r="F265" s="41">
        <f>IF(OR(E265="",E265=0),"",IFERROR(AVERAGEIFS($C$6:$C$2005,$B$6:$B$2005,B265,$A$6:$A$2005,E265),""))</f>
        <v/>
      </c>
      <c r="G265" s="34">
        <f>IF(F265="","",A265-E265)</f>
        <v/>
      </c>
      <c r="H265" s="42">
        <f>IF(OR(F265="",C265=""),"",IFERROR((C265-F265)/G265,""))</f>
        <v/>
      </c>
      <c r="I265" s="39">
        <f>IF(B265="","",IFERROR(INDEX('Animais'!$M$6:$M$1005,MATCH(B265,'Animais'!$A$6:$A$1005,0)),"Brinco não cadastrado"))</f>
        <v/>
      </c>
    </row>
    <row r="266">
      <c r="A266" s="31" t="n"/>
      <c r="B266" s="36" t="n"/>
      <c r="C266" s="38" t="n"/>
      <c r="D266" s="32" t="n"/>
      <c r="E266" s="43">
        <f>IF(OR(A266="",B266=""),"",SUMPRODUCT(MAX(($B$6:$B$2005=B266)*($A$6:$A$2005&lt;A266)*$A$6:$A$2005)))</f>
        <v/>
      </c>
      <c r="F266" s="41">
        <f>IF(OR(E266="",E266=0),"",IFERROR(AVERAGEIFS($C$6:$C$2005,$B$6:$B$2005,B266,$A$6:$A$2005,E266),""))</f>
        <v/>
      </c>
      <c r="G266" s="34">
        <f>IF(F266="","",A266-E266)</f>
        <v/>
      </c>
      <c r="H266" s="42">
        <f>IF(OR(F266="",C266=""),"",IFERROR((C266-F266)/G266,""))</f>
        <v/>
      </c>
      <c r="I266" s="39">
        <f>IF(B266="","",IFERROR(INDEX('Animais'!$M$6:$M$1005,MATCH(B266,'Animais'!$A$6:$A$1005,0)),"Brinco não cadastrado"))</f>
        <v/>
      </c>
    </row>
    <row r="267">
      <c r="A267" s="31" t="n"/>
      <c r="B267" s="36" t="n"/>
      <c r="C267" s="38" t="n"/>
      <c r="D267" s="32" t="n"/>
      <c r="E267" s="43">
        <f>IF(OR(A267="",B267=""),"",SUMPRODUCT(MAX(($B$6:$B$2005=B267)*($A$6:$A$2005&lt;A267)*$A$6:$A$2005)))</f>
        <v/>
      </c>
      <c r="F267" s="41">
        <f>IF(OR(E267="",E267=0),"",IFERROR(AVERAGEIFS($C$6:$C$2005,$B$6:$B$2005,B267,$A$6:$A$2005,E267),""))</f>
        <v/>
      </c>
      <c r="G267" s="34">
        <f>IF(F267="","",A267-E267)</f>
        <v/>
      </c>
      <c r="H267" s="42">
        <f>IF(OR(F267="",C267=""),"",IFERROR((C267-F267)/G267,""))</f>
        <v/>
      </c>
      <c r="I267" s="39">
        <f>IF(B267="","",IFERROR(INDEX('Animais'!$M$6:$M$1005,MATCH(B267,'Animais'!$A$6:$A$1005,0)),"Brinco não cadastrado"))</f>
        <v/>
      </c>
    </row>
    <row r="268">
      <c r="A268" s="31" t="n"/>
      <c r="B268" s="36" t="n"/>
      <c r="C268" s="38" t="n"/>
      <c r="D268" s="32" t="n"/>
      <c r="E268" s="43">
        <f>IF(OR(A268="",B268=""),"",SUMPRODUCT(MAX(($B$6:$B$2005=B268)*($A$6:$A$2005&lt;A268)*$A$6:$A$2005)))</f>
        <v/>
      </c>
      <c r="F268" s="41">
        <f>IF(OR(E268="",E268=0),"",IFERROR(AVERAGEIFS($C$6:$C$2005,$B$6:$B$2005,B268,$A$6:$A$2005,E268),""))</f>
        <v/>
      </c>
      <c r="G268" s="34">
        <f>IF(F268="","",A268-E268)</f>
        <v/>
      </c>
      <c r="H268" s="42">
        <f>IF(OR(F268="",C268=""),"",IFERROR((C268-F268)/G268,""))</f>
        <v/>
      </c>
      <c r="I268" s="39">
        <f>IF(B268="","",IFERROR(INDEX('Animais'!$M$6:$M$1005,MATCH(B268,'Animais'!$A$6:$A$1005,0)),"Brinco não cadastrado"))</f>
        <v/>
      </c>
    </row>
    <row r="269">
      <c r="A269" s="31" t="n"/>
      <c r="B269" s="36" t="n"/>
      <c r="C269" s="38" t="n"/>
      <c r="D269" s="32" t="n"/>
      <c r="E269" s="43">
        <f>IF(OR(A269="",B269=""),"",SUMPRODUCT(MAX(($B$6:$B$2005=B269)*($A$6:$A$2005&lt;A269)*$A$6:$A$2005)))</f>
        <v/>
      </c>
      <c r="F269" s="41">
        <f>IF(OR(E269="",E269=0),"",IFERROR(AVERAGEIFS($C$6:$C$2005,$B$6:$B$2005,B269,$A$6:$A$2005,E269),""))</f>
        <v/>
      </c>
      <c r="G269" s="34">
        <f>IF(F269="","",A269-E269)</f>
        <v/>
      </c>
      <c r="H269" s="42">
        <f>IF(OR(F269="",C269=""),"",IFERROR((C269-F269)/G269,""))</f>
        <v/>
      </c>
      <c r="I269" s="39">
        <f>IF(B269="","",IFERROR(INDEX('Animais'!$M$6:$M$1005,MATCH(B269,'Animais'!$A$6:$A$1005,0)),"Brinco não cadastrado"))</f>
        <v/>
      </c>
    </row>
    <row r="270">
      <c r="A270" s="31" t="n"/>
      <c r="B270" s="36" t="n"/>
      <c r="C270" s="38" t="n"/>
      <c r="D270" s="32" t="n"/>
      <c r="E270" s="43">
        <f>IF(OR(A270="",B270=""),"",SUMPRODUCT(MAX(($B$6:$B$2005=B270)*($A$6:$A$2005&lt;A270)*$A$6:$A$2005)))</f>
        <v/>
      </c>
      <c r="F270" s="41">
        <f>IF(OR(E270="",E270=0),"",IFERROR(AVERAGEIFS($C$6:$C$2005,$B$6:$B$2005,B270,$A$6:$A$2005,E270),""))</f>
        <v/>
      </c>
      <c r="G270" s="34">
        <f>IF(F270="","",A270-E270)</f>
        <v/>
      </c>
      <c r="H270" s="42">
        <f>IF(OR(F270="",C270=""),"",IFERROR((C270-F270)/G270,""))</f>
        <v/>
      </c>
      <c r="I270" s="39">
        <f>IF(B270="","",IFERROR(INDEX('Animais'!$M$6:$M$1005,MATCH(B270,'Animais'!$A$6:$A$1005,0)),"Brinco não cadastrado"))</f>
        <v/>
      </c>
    </row>
    <row r="271">
      <c r="A271" s="31" t="n"/>
      <c r="B271" s="36" t="n"/>
      <c r="C271" s="38" t="n"/>
      <c r="D271" s="32" t="n"/>
      <c r="E271" s="43">
        <f>IF(OR(A271="",B271=""),"",SUMPRODUCT(MAX(($B$6:$B$2005=B271)*($A$6:$A$2005&lt;A271)*$A$6:$A$2005)))</f>
        <v/>
      </c>
      <c r="F271" s="41">
        <f>IF(OR(E271="",E271=0),"",IFERROR(AVERAGEIFS($C$6:$C$2005,$B$6:$B$2005,B271,$A$6:$A$2005,E271),""))</f>
        <v/>
      </c>
      <c r="G271" s="34">
        <f>IF(F271="","",A271-E271)</f>
        <v/>
      </c>
      <c r="H271" s="42">
        <f>IF(OR(F271="",C271=""),"",IFERROR((C271-F271)/G271,""))</f>
        <v/>
      </c>
      <c r="I271" s="39">
        <f>IF(B271="","",IFERROR(INDEX('Animais'!$M$6:$M$1005,MATCH(B271,'Animais'!$A$6:$A$1005,0)),"Brinco não cadastrado"))</f>
        <v/>
      </c>
    </row>
    <row r="272">
      <c r="A272" s="31" t="n"/>
      <c r="B272" s="36" t="n"/>
      <c r="C272" s="38" t="n"/>
      <c r="D272" s="32" t="n"/>
      <c r="E272" s="43">
        <f>IF(OR(A272="",B272=""),"",SUMPRODUCT(MAX(($B$6:$B$2005=B272)*($A$6:$A$2005&lt;A272)*$A$6:$A$2005)))</f>
        <v/>
      </c>
      <c r="F272" s="41">
        <f>IF(OR(E272="",E272=0),"",IFERROR(AVERAGEIFS($C$6:$C$2005,$B$6:$B$2005,B272,$A$6:$A$2005,E272),""))</f>
        <v/>
      </c>
      <c r="G272" s="34">
        <f>IF(F272="","",A272-E272)</f>
        <v/>
      </c>
      <c r="H272" s="42">
        <f>IF(OR(F272="",C272=""),"",IFERROR((C272-F272)/G272,""))</f>
        <v/>
      </c>
      <c r="I272" s="39">
        <f>IF(B272="","",IFERROR(INDEX('Animais'!$M$6:$M$1005,MATCH(B272,'Animais'!$A$6:$A$1005,0)),"Brinco não cadastrado"))</f>
        <v/>
      </c>
    </row>
    <row r="273">
      <c r="A273" s="31" t="n"/>
      <c r="B273" s="36" t="n"/>
      <c r="C273" s="38" t="n"/>
      <c r="D273" s="32" t="n"/>
      <c r="E273" s="43">
        <f>IF(OR(A273="",B273=""),"",SUMPRODUCT(MAX(($B$6:$B$2005=B273)*($A$6:$A$2005&lt;A273)*$A$6:$A$2005)))</f>
        <v/>
      </c>
      <c r="F273" s="41">
        <f>IF(OR(E273="",E273=0),"",IFERROR(AVERAGEIFS($C$6:$C$2005,$B$6:$B$2005,B273,$A$6:$A$2005,E273),""))</f>
        <v/>
      </c>
      <c r="G273" s="34">
        <f>IF(F273="","",A273-E273)</f>
        <v/>
      </c>
      <c r="H273" s="42">
        <f>IF(OR(F273="",C273=""),"",IFERROR((C273-F273)/G273,""))</f>
        <v/>
      </c>
      <c r="I273" s="39">
        <f>IF(B273="","",IFERROR(INDEX('Animais'!$M$6:$M$1005,MATCH(B273,'Animais'!$A$6:$A$1005,0)),"Brinco não cadastrado"))</f>
        <v/>
      </c>
    </row>
    <row r="274">
      <c r="A274" s="31" t="n"/>
      <c r="B274" s="36" t="n"/>
      <c r="C274" s="38" t="n"/>
      <c r="D274" s="32" t="n"/>
      <c r="E274" s="43">
        <f>IF(OR(A274="",B274=""),"",SUMPRODUCT(MAX(($B$6:$B$2005=B274)*($A$6:$A$2005&lt;A274)*$A$6:$A$2005)))</f>
        <v/>
      </c>
      <c r="F274" s="41">
        <f>IF(OR(E274="",E274=0),"",IFERROR(AVERAGEIFS($C$6:$C$2005,$B$6:$B$2005,B274,$A$6:$A$2005,E274),""))</f>
        <v/>
      </c>
      <c r="G274" s="34">
        <f>IF(F274="","",A274-E274)</f>
        <v/>
      </c>
      <c r="H274" s="42">
        <f>IF(OR(F274="",C274=""),"",IFERROR((C274-F274)/G274,""))</f>
        <v/>
      </c>
      <c r="I274" s="39">
        <f>IF(B274="","",IFERROR(INDEX('Animais'!$M$6:$M$1005,MATCH(B274,'Animais'!$A$6:$A$1005,0)),"Brinco não cadastrado"))</f>
        <v/>
      </c>
    </row>
    <row r="275">
      <c r="A275" s="31" t="n"/>
      <c r="B275" s="36" t="n"/>
      <c r="C275" s="38" t="n"/>
      <c r="D275" s="32" t="n"/>
      <c r="E275" s="43">
        <f>IF(OR(A275="",B275=""),"",SUMPRODUCT(MAX(($B$6:$B$2005=B275)*($A$6:$A$2005&lt;A275)*$A$6:$A$2005)))</f>
        <v/>
      </c>
      <c r="F275" s="41">
        <f>IF(OR(E275="",E275=0),"",IFERROR(AVERAGEIFS($C$6:$C$2005,$B$6:$B$2005,B275,$A$6:$A$2005,E275),""))</f>
        <v/>
      </c>
      <c r="G275" s="34">
        <f>IF(F275="","",A275-E275)</f>
        <v/>
      </c>
      <c r="H275" s="42">
        <f>IF(OR(F275="",C275=""),"",IFERROR((C275-F275)/G275,""))</f>
        <v/>
      </c>
      <c r="I275" s="39">
        <f>IF(B275="","",IFERROR(INDEX('Animais'!$M$6:$M$1005,MATCH(B275,'Animais'!$A$6:$A$1005,0)),"Brinco não cadastrado"))</f>
        <v/>
      </c>
    </row>
    <row r="276">
      <c r="A276" s="31" t="n"/>
      <c r="B276" s="36" t="n"/>
      <c r="C276" s="38" t="n"/>
      <c r="D276" s="32" t="n"/>
      <c r="E276" s="43">
        <f>IF(OR(A276="",B276=""),"",SUMPRODUCT(MAX(($B$6:$B$2005=B276)*($A$6:$A$2005&lt;A276)*$A$6:$A$2005)))</f>
        <v/>
      </c>
      <c r="F276" s="41">
        <f>IF(OR(E276="",E276=0),"",IFERROR(AVERAGEIFS($C$6:$C$2005,$B$6:$B$2005,B276,$A$6:$A$2005,E276),""))</f>
        <v/>
      </c>
      <c r="G276" s="34">
        <f>IF(F276="","",A276-E276)</f>
        <v/>
      </c>
      <c r="H276" s="42">
        <f>IF(OR(F276="",C276=""),"",IFERROR((C276-F276)/G276,""))</f>
        <v/>
      </c>
      <c r="I276" s="39">
        <f>IF(B276="","",IFERROR(INDEX('Animais'!$M$6:$M$1005,MATCH(B276,'Animais'!$A$6:$A$1005,0)),"Brinco não cadastrado"))</f>
        <v/>
      </c>
    </row>
    <row r="277">
      <c r="A277" s="31" t="n"/>
      <c r="B277" s="36" t="n"/>
      <c r="C277" s="38" t="n"/>
      <c r="D277" s="32" t="n"/>
      <c r="E277" s="43">
        <f>IF(OR(A277="",B277=""),"",SUMPRODUCT(MAX(($B$6:$B$2005=B277)*($A$6:$A$2005&lt;A277)*$A$6:$A$2005)))</f>
        <v/>
      </c>
      <c r="F277" s="41">
        <f>IF(OR(E277="",E277=0),"",IFERROR(AVERAGEIFS($C$6:$C$2005,$B$6:$B$2005,B277,$A$6:$A$2005,E277),""))</f>
        <v/>
      </c>
      <c r="G277" s="34">
        <f>IF(F277="","",A277-E277)</f>
        <v/>
      </c>
      <c r="H277" s="42">
        <f>IF(OR(F277="",C277=""),"",IFERROR((C277-F277)/G277,""))</f>
        <v/>
      </c>
      <c r="I277" s="39">
        <f>IF(B277="","",IFERROR(INDEX('Animais'!$M$6:$M$1005,MATCH(B277,'Animais'!$A$6:$A$1005,0)),"Brinco não cadastrado"))</f>
        <v/>
      </c>
    </row>
    <row r="278">
      <c r="A278" s="31" t="n"/>
      <c r="B278" s="36" t="n"/>
      <c r="C278" s="38" t="n"/>
      <c r="D278" s="32" t="n"/>
      <c r="E278" s="43">
        <f>IF(OR(A278="",B278=""),"",SUMPRODUCT(MAX(($B$6:$B$2005=B278)*($A$6:$A$2005&lt;A278)*$A$6:$A$2005)))</f>
        <v/>
      </c>
      <c r="F278" s="41">
        <f>IF(OR(E278="",E278=0),"",IFERROR(AVERAGEIFS($C$6:$C$2005,$B$6:$B$2005,B278,$A$6:$A$2005,E278),""))</f>
        <v/>
      </c>
      <c r="G278" s="34">
        <f>IF(F278="","",A278-E278)</f>
        <v/>
      </c>
      <c r="H278" s="42">
        <f>IF(OR(F278="",C278=""),"",IFERROR((C278-F278)/G278,""))</f>
        <v/>
      </c>
      <c r="I278" s="39">
        <f>IF(B278="","",IFERROR(INDEX('Animais'!$M$6:$M$1005,MATCH(B278,'Animais'!$A$6:$A$1005,0)),"Brinco não cadastrado"))</f>
        <v/>
      </c>
    </row>
    <row r="279">
      <c r="A279" s="31" t="n"/>
      <c r="B279" s="36" t="n"/>
      <c r="C279" s="38" t="n"/>
      <c r="D279" s="32" t="n"/>
      <c r="E279" s="43">
        <f>IF(OR(A279="",B279=""),"",SUMPRODUCT(MAX(($B$6:$B$2005=B279)*($A$6:$A$2005&lt;A279)*$A$6:$A$2005)))</f>
        <v/>
      </c>
      <c r="F279" s="41">
        <f>IF(OR(E279="",E279=0),"",IFERROR(AVERAGEIFS($C$6:$C$2005,$B$6:$B$2005,B279,$A$6:$A$2005,E279),""))</f>
        <v/>
      </c>
      <c r="G279" s="34">
        <f>IF(F279="","",A279-E279)</f>
        <v/>
      </c>
      <c r="H279" s="42">
        <f>IF(OR(F279="",C279=""),"",IFERROR((C279-F279)/G279,""))</f>
        <v/>
      </c>
      <c r="I279" s="39">
        <f>IF(B279="","",IFERROR(INDEX('Animais'!$M$6:$M$1005,MATCH(B279,'Animais'!$A$6:$A$1005,0)),"Brinco não cadastrado"))</f>
        <v/>
      </c>
    </row>
    <row r="280">
      <c r="A280" s="31" t="n"/>
      <c r="B280" s="36" t="n"/>
      <c r="C280" s="38" t="n"/>
      <c r="D280" s="32" t="n"/>
      <c r="E280" s="43">
        <f>IF(OR(A280="",B280=""),"",SUMPRODUCT(MAX(($B$6:$B$2005=B280)*($A$6:$A$2005&lt;A280)*$A$6:$A$2005)))</f>
        <v/>
      </c>
      <c r="F280" s="41">
        <f>IF(OR(E280="",E280=0),"",IFERROR(AVERAGEIFS($C$6:$C$2005,$B$6:$B$2005,B280,$A$6:$A$2005,E280),""))</f>
        <v/>
      </c>
      <c r="G280" s="34">
        <f>IF(F280="","",A280-E280)</f>
        <v/>
      </c>
      <c r="H280" s="42">
        <f>IF(OR(F280="",C280=""),"",IFERROR((C280-F280)/G280,""))</f>
        <v/>
      </c>
      <c r="I280" s="39">
        <f>IF(B280="","",IFERROR(INDEX('Animais'!$M$6:$M$1005,MATCH(B280,'Animais'!$A$6:$A$1005,0)),"Brinco não cadastrado"))</f>
        <v/>
      </c>
    </row>
    <row r="281">
      <c r="A281" s="31" t="n"/>
      <c r="B281" s="36" t="n"/>
      <c r="C281" s="38" t="n"/>
      <c r="D281" s="32" t="n"/>
      <c r="E281" s="43">
        <f>IF(OR(A281="",B281=""),"",SUMPRODUCT(MAX(($B$6:$B$2005=B281)*($A$6:$A$2005&lt;A281)*$A$6:$A$2005)))</f>
        <v/>
      </c>
      <c r="F281" s="41">
        <f>IF(OR(E281="",E281=0),"",IFERROR(AVERAGEIFS($C$6:$C$2005,$B$6:$B$2005,B281,$A$6:$A$2005,E281),""))</f>
        <v/>
      </c>
      <c r="G281" s="34">
        <f>IF(F281="","",A281-E281)</f>
        <v/>
      </c>
      <c r="H281" s="42">
        <f>IF(OR(F281="",C281=""),"",IFERROR((C281-F281)/G281,""))</f>
        <v/>
      </c>
      <c r="I281" s="39">
        <f>IF(B281="","",IFERROR(INDEX('Animais'!$M$6:$M$1005,MATCH(B281,'Animais'!$A$6:$A$1005,0)),"Brinco não cadastrado"))</f>
        <v/>
      </c>
    </row>
    <row r="282">
      <c r="A282" s="31" t="n"/>
      <c r="B282" s="36" t="n"/>
      <c r="C282" s="38" t="n"/>
      <c r="D282" s="32" t="n"/>
      <c r="E282" s="43">
        <f>IF(OR(A282="",B282=""),"",SUMPRODUCT(MAX(($B$6:$B$2005=B282)*($A$6:$A$2005&lt;A282)*$A$6:$A$2005)))</f>
        <v/>
      </c>
      <c r="F282" s="41">
        <f>IF(OR(E282="",E282=0),"",IFERROR(AVERAGEIFS($C$6:$C$2005,$B$6:$B$2005,B282,$A$6:$A$2005,E282),""))</f>
        <v/>
      </c>
      <c r="G282" s="34">
        <f>IF(F282="","",A282-E282)</f>
        <v/>
      </c>
      <c r="H282" s="42">
        <f>IF(OR(F282="",C282=""),"",IFERROR((C282-F282)/G282,""))</f>
        <v/>
      </c>
      <c r="I282" s="39">
        <f>IF(B282="","",IFERROR(INDEX('Animais'!$M$6:$M$1005,MATCH(B282,'Animais'!$A$6:$A$1005,0)),"Brinco não cadastrado"))</f>
        <v/>
      </c>
    </row>
    <row r="283">
      <c r="A283" s="31" t="n"/>
      <c r="B283" s="36" t="n"/>
      <c r="C283" s="38" t="n"/>
      <c r="D283" s="32" t="n"/>
      <c r="E283" s="43">
        <f>IF(OR(A283="",B283=""),"",SUMPRODUCT(MAX(($B$6:$B$2005=B283)*($A$6:$A$2005&lt;A283)*$A$6:$A$2005)))</f>
        <v/>
      </c>
      <c r="F283" s="41">
        <f>IF(OR(E283="",E283=0),"",IFERROR(AVERAGEIFS($C$6:$C$2005,$B$6:$B$2005,B283,$A$6:$A$2005,E283),""))</f>
        <v/>
      </c>
      <c r="G283" s="34">
        <f>IF(F283="","",A283-E283)</f>
        <v/>
      </c>
      <c r="H283" s="42">
        <f>IF(OR(F283="",C283=""),"",IFERROR((C283-F283)/G283,""))</f>
        <v/>
      </c>
      <c r="I283" s="39">
        <f>IF(B283="","",IFERROR(INDEX('Animais'!$M$6:$M$1005,MATCH(B283,'Animais'!$A$6:$A$1005,0)),"Brinco não cadastrado"))</f>
        <v/>
      </c>
    </row>
    <row r="284">
      <c r="A284" s="31" t="n"/>
      <c r="B284" s="36" t="n"/>
      <c r="C284" s="38" t="n"/>
      <c r="D284" s="32" t="n"/>
      <c r="E284" s="43">
        <f>IF(OR(A284="",B284=""),"",SUMPRODUCT(MAX(($B$6:$B$2005=B284)*($A$6:$A$2005&lt;A284)*$A$6:$A$2005)))</f>
        <v/>
      </c>
      <c r="F284" s="41">
        <f>IF(OR(E284="",E284=0),"",IFERROR(AVERAGEIFS($C$6:$C$2005,$B$6:$B$2005,B284,$A$6:$A$2005,E284),""))</f>
        <v/>
      </c>
      <c r="G284" s="34">
        <f>IF(F284="","",A284-E284)</f>
        <v/>
      </c>
      <c r="H284" s="42">
        <f>IF(OR(F284="",C284=""),"",IFERROR((C284-F284)/G284,""))</f>
        <v/>
      </c>
      <c r="I284" s="39">
        <f>IF(B284="","",IFERROR(INDEX('Animais'!$M$6:$M$1005,MATCH(B284,'Animais'!$A$6:$A$1005,0)),"Brinco não cadastrado"))</f>
        <v/>
      </c>
    </row>
    <row r="285">
      <c r="A285" s="31" t="n"/>
      <c r="B285" s="36" t="n"/>
      <c r="C285" s="38" t="n"/>
      <c r="D285" s="32" t="n"/>
      <c r="E285" s="43">
        <f>IF(OR(A285="",B285=""),"",SUMPRODUCT(MAX(($B$6:$B$2005=B285)*($A$6:$A$2005&lt;A285)*$A$6:$A$2005)))</f>
        <v/>
      </c>
      <c r="F285" s="41">
        <f>IF(OR(E285="",E285=0),"",IFERROR(AVERAGEIFS($C$6:$C$2005,$B$6:$B$2005,B285,$A$6:$A$2005,E285),""))</f>
        <v/>
      </c>
      <c r="G285" s="34">
        <f>IF(F285="","",A285-E285)</f>
        <v/>
      </c>
      <c r="H285" s="42">
        <f>IF(OR(F285="",C285=""),"",IFERROR((C285-F285)/G285,""))</f>
        <v/>
      </c>
      <c r="I285" s="39">
        <f>IF(B285="","",IFERROR(INDEX('Animais'!$M$6:$M$1005,MATCH(B285,'Animais'!$A$6:$A$1005,0)),"Brinco não cadastrado"))</f>
        <v/>
      </c>
    </row>
    <row r="286">
      <c r="A286" s="31" t="n"/>
      <c r="B286" s="36" t="n"/>
      <c r="C286" s="38" t="n"/>
      <c r="D286" s="32" t="n"/>
      <c r="E286" s="43">
        <f>IF(OR(A286="",B286=""),"",SUMPRODUCT(MAX(($B$6:$B$2005=B286)*($A$6:$A$2005&lt;A286)*$A$6:$A$2005)))</f>
        <v/>
      </c>
      <c r="F286" s="41">
        <f>IF(OR(E286="",E286=0),"",IFERROR(AVERAGEIFS($C$6:$C$2005,$B$6:$B$2005,B286,$A$6:$A$2005,E286),""))</f>
        <v/>
      </c>
      <c r="G286" s="34">
        <f>IF(F286="","",A286-E286)</f>
        <v/>
      </c>
      <c r="H286" s="42">
        <f>IF(OR(F286="",C286=""),"",IFERROR((C286-F286)/G286,""))</f>
        <v/>
      </c>
      <c r="I286" s="39">
        <f>IF(B286="","",IFERROR(INDEX('Animais'!$M$6:$M$1005,MATCH(B286,'Animais'!$A$6:$A$1005,0)),"Brinco não cadastrado"))</f>
        <v/>
      </c>
    </row>
    <row r="287">
      <c r="A287" s="31" t="n"/>
      <c r="B287" s="36" t="n"/>
      <c r="C287" s="38" t="n"/>
      <c r="D287" s="32" t="n"/>
      <c r="E287" s="43">
        <f>IF(OR(A287="",B287=""),"",SUMPRODUCT(MAX(($B$6:$B$2005=B287)*($A$6:$A$2005&lt;A287)*$A$6:$A$2005)))</f>
        <v/>
      </c>
      <c r="F287" s="41">
        <f>IF(OR(E287="",E287=0),"",IFERROR(AVERAGEIFS($C$6:$C$2005,$B$6:$B$2005,B287,$A$6:$A$2005,E287),""))</f>
        <v/>
      </c>
      <c r="G287" s="34">
        <f>IF(F287="","",A287-E287)</f>
        <v/>
      </c>
      <c r="H287" s="42">
        <f>IF(OR(F287="",C287=""),"",IFERROR((C287-F287)/G287,""))</f>
        <v/>
      </c>
      <c r="I287" s="39">
        <f>IF(B287="","",IFERROR(INDEX('Animais'!$M$6:$M$1005,MATCH(B287,'Animais'!$A$6:$A$1005,0)),"Brinco não cadastrado"))</f>
        <v/>
      </c>
    </row>
    <row r="288">
      <c r="A288" s="31" t="n"/>
      <c r="B288" s="36" t="n"/>
      <c r="C288" s="38" t="n"/>
      <c r="D288" s="32" t="n"/>
      <c r="E288" s="43">
        <f>IF(OR(A288="",B288=""),"",SUMPRODUCT(MAX(($B$6:$B$2005=B288)*($A$6:$A$2005&lt;A288)*$A$6:$A$2005)))</f>
        <v/>
      </c>
      <c r="F288" s="41">
        <f>IF(OR(E288="",E288=0),"",IFERROR(AVERAGEIFS($C$6:$C$2005,$B$6:$B$2005,B288,$A$6:$A$2005,E288),""))</f>
        <v/>
      </c>
      <c r="G288" s="34">
        <f>IF(F288="","",A288-E288)</f>
        <v/>
      </c>
      <c r="H288" s="42">
        <f>IF(OR(F288="",C288=""),"",IFERROR((C288-F288)/G288,""))</f>
        <v/>
      </c>
      <c r="I288" s="39">
        <f>IF(B288="","",IFERROR(INDEX('Animais'!$M$6:$M$1005,MATCH(B288,'Animais'!$A$6:$A$1005,0)),"Brinco não cadastrado"))</f>
        <v/>
      </c>
    </row>
    <row r="289">
      <c r="A289" s="31" t="n"/>
      <c r="B289" s="36" t="n"/>
      <c r="C289" s="38" t="n"/>
      <c r="D289" s="32" t="n"/>
      <c r="E289" s="43">
        <f>IF(OR(A289="",B289=""),"",SUMPRODUCT(MAX(($B$6:$B$2005=B289)*($A$6:$A$2005&lt;A289)*$A$6:$A$2005)))</f>
        <v/>
      </c>
      <c r="F289" s="41">
        <f>IF(OR(E289="",E289=0),"",IFERROR(AVERAGEIFS($C$6:$C$2005,$B$6:$B$2005,B289,$A$6:$A$2005,E289),""))</f>
        <v/>
      </c>
      <c r="G289" s="34">
        <f>IF(F289="","",A289-E289)</f>
        <v/>
      </c>
      <c r="H289" s="42">
        <f>IF(OR(F289="",C289=""),"",IFERROR((C289-F289)/G289,""))</f>
        <v/>
      </c>
      <c r="I289" s="39">
        <f>IF(B289="","",IFERROR(INDEX('Animais'!$M$6:$M$1005,MATCH(B289,'Animais'!$A$6:$A$1005,0)),"Brinco não cadastrado"))</f>
        <v/>
      </c>
    </row>
    <row r="290">
      <c r="A290" s="31" t="n"/>
      <c r="B290" s="36" t="n"/>
      <c r="C290" s="38" t="n"/>
      <c r="D290" s="32" t="n"/>
      <c r="E290" s="43">
        <f>IF(OR(A290="",B290=""),"",SUMPRODUCT(MAX(($B$6:$B$2005=B290)*($A$6:$A$2005&lt;A290)*$A$6:$A$2005)))</f>
        <v/>
      </c>
      <c r="F290" s="41">
        <f>IF(OR(E290="",E290=0),"",IFERROR(AVERAGEIFS($C$6:$C$2005,$B$6:$B$2005,B290,$A$6:$A$2005,E290),""))</f>
        <v/>
      </c>
      <c r="G290" s="34">
        <f>IF(F290="","",A290-E290)</f>
        <v/>
      </c>
      <c r="H290" s="42">
        <f>IF(OR(F290="",C290=""),"",IFERROR((C290-F290)/G290,""))</f>
        <v/>
      </c>
      <c r="I290" s="39">
        <f>IF(B290="","",IFERROR(INDEX('Animais'!$M$6:$M$1005,MATCH(B290,'Animais'!$A$6:$A$1005,0)),"Brinco não cadastrado"))</f>
        <v/>
      </c>
    </row>
    <row r="291">
      <c r="A291" s="31" t="n"/>
      <c r="B291" s="36" t="n"/>
      <c r="C291" s="38" t="n"/>
      <c r="D291" s="32" t="n"/>
      <c r="E291" s="43">
        <f>IF(OR(A291="",B291=""),"",SUMPRODUCT(MAX(($B$6:$B$2005=B291)*($A$6:$A$2005&lt;A291)*$A$6:$A$2005)))</f>
        <v/>
      </c>
      <c r="F291" s="41">
        <f>IF(OR(E291="",E291=0),"",IFERROR(AVERAGEIFS($C$6:$C$2005,$B$6:$B$2005,B291,$A$6:$A$2005,E291),""))</f>
        <v/>
      </c>
      <c r="G291" s="34">
        <f>IF(F291="","",A291-E291)</f>
        <v/>
      </c>
      <c r="H291" s="42">
        <f>IF(OR(F291="",C291=""),"",IFERROR((C291-F291)/G291,""))</f>
        <v/>
      </c>
      <c r="I291" s="39">
        <f>IF(B291="","",IFERROR(INDEX('Animais'!$M$6:$M$1005,MATCH(B291,'Animais'!$A$6:$A$1005,0)),"Brinco não cadastrado"))</f>
        <v/>
      </c>
    </row>
    <row r="292">
      <c r="A292" s="31" t="n"/>
      <c r="B292" s="36" t="n"/>
      <c r="C292" s="38" t="n"/>
      <c r="D292" s="32" t="n"/>
      <c r="E292" s="43">
        <f>IF(OR(A292="",B292=""),"",SUMPRODUCT(MAX(($B$6:$B$2005=B292)*($A$6:$A$2005&lt;A292)*$A$6:$A$2005)))</f>
        <v/>
      </c>
      <c r="F292" s="41">
        <f>IF(OR(E292="",E292=0),"",IFERROR(AVERAGEIFS($C$6:$C$2005,$B$6:$B$2005,B292,$A$6:$A$2005,E292),""))</f>
        <v/>
      </c>
      <c r="G292" s="34">
        <f>IF(F292="","",A292-E292)</f>
        <v/>
      </c>
      <c r="H292" s="42">
        <f>IF(OR(F292="",C292=""),"",IFERROR((C292-F292)/G292,""))</f>
        <v/>
      </c>
      <c r="I292" s="39">
        <f>IF(B292="","",IFERROR(INDEX('Animais'!$M$6:$M$1005,MATCH(B292,'Animais'!$A$6:$A$1005,0)),"Brinco não cadastrado"))</f>
        <v/>
      </c>
    </row>
    <row r="293">
      <c r="A293" s="31" t="n"/>
      <c r="B293" s="36" t="n"/>
      <c r="C293" s="38" t="n"/>
      <c r="D293" s="32" t="n"/>
      <c r="E293" s="43">
        <f>IF(OR(A293="",B293=""),"",SUMPRODUCT(MAX(($B$6:$B$2005=B293)*($A$6:$A$2005&lt;A293)*$A$6:$A$2005)))</f>
        <v/>
      </c>
      <c r="F293" s="41">
        <f>IF(OR(E293="",E293=0),"",IFERROR(AVERAGEIFS($C$6:$C$2005,$B$6:$B$2005,B293,$A$6:$A$2005,E293),""))</f>
        <v/>
      </c>
      <c r="G293" s="34">
        <f>IF(F293="","",A293-E293)</f>
        <v/>
      </c>
      <c r="H293" s="42">
        <f>IF(OR(F293="",C293=""),"",IFERROR((C293-F293)/G293,""))</f>
        <v/>
      </c>
      <c r="I293" s="39">
        <f>IF(B293="","",IFERROR(INDEX('Animais'!$M$6:$M$1005,MATCH(B293,'Animais'!$A$6:$A$1005,0)),"Brinco não cadastrado"))</f>
        <v/>
      </c>
    </row>
    <row r="294">
      <c r="A294" s="31" t="n"/>
      <c r="B294" s="36" t="n"/>
      <c r="C294" s="38" t="n"/>
      <c r="D294" s="32" t="n"/>
      <c r="E294" s="43">
        <f>IF(OR(A294="",B294=""),"",SUMPRODUCT(MAX(($B$6:$B$2005=B294)*($A$6:$A$2005&lt;A294)*$A$6:$A$2005)))</f>
        <v/>
      </c>
      <c r="F294" s="41">
        <f>IF(OR(E294="",E294=0),"",IFERROR(AVERAGEIFS($C$6:$C$2005,$B$6:$B$2005,B294,$A$6:$A$2005,E294),""))</f>
        <v/>
      </c>
      <c r="G294" s="34">
        <f>IF(F294="","",A294-E294)</f>
        <v/>
      </c>
      <c r="H294" s="42">
        <f>IF(OR(F294="",C294=""),"",IFERROR((C294-F294)/G294,""))</f>
        <v/>
      </c>
      <c r="I294" s="39">
        <f>IF(B294="","",IFERROR(INDEX('Animais'!$M$6:$M$1005,MATCH(B294,'Animais'!$A$6:$A$1005,0)),"Brinco não cadastrado"))</f>
        <v/>
      </c>
    </row>
    <row r="295">
      <c r="A295" s="31" t="n"/>
      <c r="B295" s="36" t="n"/>
      <c r="C295" s="38" t="n"/>
      <c r="D295" s="32" t="n"/>
      <c r="E295" s="43">
        <f>IF(OR(A295="",B295=""),"",SUMPRODUCT(MAX(($B$6:$B$2005=B295)*($A$6:$A$2005&lt;A295)*$A$6:$A$2005)))</f>
        <v/>
      </c>
      <c r="F295" s="41">
        <f>IF(OR(E295="",E295=0),"",IFERROR(AVERAGEIFS($C$6:$C$2005,$B$6:$B$2005,B295,$A$6:$A$2005,E295),""))</f>
        <v/>
      </c>
      <c r="G295" s="34">
        <f>IF(F295="","",A295-E295)</f>
        <v/>
      </c>
      <c r="H295" s="42">
        <f>IF(OR(F295="",C295=""),"",IFERROR((C295-F295)/G295,""))</f>
        <v/>
      </c>
      <c r="I295" s="39">
        <f>IF(B295="","",IFERROR(INDEX('Animais'!$M$6:$M$1005,MATCH(B295,'Animais'!$A$6:$A$1005,0)),"Brinco não cadastrado"))</f>
        <v/>
      </c>
    </row>
    <row r="296">
      <c r="A296" s="31" t="n"/>
      <c r="B296" s="36" t="n"/>
      <c r="C296" s="38" t="n"/>
      <c r="D296" s="32" t="n"/>
      <c r="E296" s="43">
        <f>IF(OR(A296="",B296=""),"",SUMPRODUCT(MAX(($B$6:$B$2005=B296)*($A$6:$A$2005&lt;A296)*$A$6:$A$2005)))</f>
        <v/>
      </c>
      <c r="F296" s="41">
        <f>IF(OR(E296="",E296=0),"",IFERROR(AVERAGEIFS($C$6:$C$2005,$B$6:$B$2005,B296,$A$6:$A$2005,E296),""))</f>
        <v/>
      </c>
      <c r="G296" s="34">
        <f>IF(F296="","",A296-E296)</f>
        <v/>
      </c>
      <c r="H296" s="42">
        <f>IF(OR(F296="",C296=""),"",IFERROR((C296-F296)/G296,""))</f>
        <v/>
      </c>
      <c r="I296" s="39">
        <f>IF(B296="","",IFERROR(INDEX('Animais'!$M$6:$M$1005,MATCH(B296,'Animais'!$A$6:$A$1005,0)),"Brinco não cadastrado"))</f>
        <v/>
      </c>
    </row>
    <row r="297">
      <c r="A297" s="31" t="n"/>
      <c r="B297" s="36" t="n"/>
      <c r="C297" s="38" t="n"/>
      <c r="D297" s="32" t="n"/>
      <c r="E297" s="43">
        <f>IF(OR(A297="",B297=""),"",SUMPRODUCT(MAX(($B$6:$B$2005=B297)*($A$6:$A$2005&lt;A297)*$A$6:$A$2005)))</f>
        <v/>
      </c>
      <c r="F297" s="41">
        <f>IF(OR(E297="",E297=0),"",IFERROR(AVERAGEIFS($C$6:$C$2005,$B$6:$B$2005,B297,$A$6:$A$2005,E297),""))</f>
        <v/>
      </c>
      <c r="G297" s="34">
        <f>IF(F297="","",A297-E297)</f>
        <v/>
      </c>
      <c r="H297" s="42">
        <f>IF(OR(F297="",C297=""),"",IFERROR((C297-F297)/G297,""))</f>
        <v/>
      </c>
      <c r="I297" s="39">
        <f>IF(B297="","",IFERROR(INDEX('Animais'!$M$6:$M$1005,MATCH(B297,'Animais'!$A$6:$A$1005,0)),"Brinco não cadastrado"))</f>
        <v/>
      </c>
    </row>
    <row r="298">
      <c r="A298" s="31" t="n"/>
      <c r="B298" s="36" t="n"/>
      <c r="C298" s="38" t="n"/>
      <c r="D298" s="32" t="n"/>
      <c r="E298" s="43">
        <f>IF(OR(A298="",B298=""),"",SUMPRODUCT(MAX(($B$6:$B$2005=B298)*($A$6:$A$2005&lt;A298)*$A$6:$A$2005)))</f>
        <v/>
      </c>
      <c r="F298" s="41">
        <f>IF(OR(E298="",E298=0),"",IFERROR(AVERAGEIFS($C$6:$C$2005,$B$6:$B$2005,B298,$A$6:$A$2005,E298),""))</f>
        <v/>
      </c>
      <c r="G298" s="34">
        <f>IF(F298="","",A298-E298)</f>
        <v/>
      </c>
      <c r="H298" s="42">
        <f>IF(OR(F298="",C298=""),"",IFERROR((C298-F298)/G298,""))</f>
        <v/>
      </c>
      <c r="I298" s="39">
        <f>IF(B298="","",IFERROR(INDEX('Animais'!$M$6:$M$1005,MATCH(B298,'Animais'!$A$6:$A$1005,0)),"Brinco não cadastrado"))</f>
        <v/>
      </c>
    </row>
    <row r="299">
      <c r="A299" s="31" t="n"/>
      <c r="B299" s="36" t="n"/>
      <c r="C299" s="38" t="n"/>
      <c r="D299" s="32" t="n"/>
      <c r="E299" s="43">
        <f>IF(OR(A299="",B299=""),"",SUMPRODUCT(MAX(($B$6:$B$2005=B299)*($A$6:$A$2005&lt;A299)*$A$6:$A$2005)))</f>
        <v/>
      </c>
      <c r="F299" s="41">
        <f>IF(OR(E299="",E299=0),"",IFERROR(AVERAGEIFS($C$6:$C$2005,$B$6:$B$2005,B299,$A$6:$A$2005,E299),""))</f>
        <v/>
      </c>
      <c r="G299" s="34">
        <f>IF(F299="","",A299-E299)</f>
        <v/>
      </c>
      <c r="H299" s="42">
        <f>IF(OR(F299="",C299=""),"",IFERROR((C299-F299)/G299,""))</f>
        <v/>
      </c>
      <c r="I299" s="39">
        <f>IF(B299="","",IFERROR(INDEX('Animais'!$M$6:$M$1005,MATCH(B299,'Animais'!$A$6:$A$1005,0)),"Brinco não cadastrado"))</f>
        <v/>
      </c>
    </row>
    <row r="300">
      <c r="A300" s="31" t="n"/>
      <c r="B300" s="36" t="n"/>
      <c r="C300" s="38" t="n"/>
      <c r="D300" s="32" t="n"/>
      <c r="E300" s="43">
        <f>IF(OR(A300="",B300=""),"",SUMPRODUCT(MAX(($B$6:$B$2005=B300)*($A$6:$A$2005&lt;A300)*$A$6:$A$2005)))</f>
        <v/>
      </c>
      <c r="F300" s="41">
        <f>IF(OR(E300="",E300=0),"",IFERROR(AVERAGEIFS($C$6:$C$2005,$B$6:$B$2005,B300,$A$6:$A$2005,E300),""))</f>
        <v/>
      </c>
      <c r="G300" s="34">
        <f>IF(F300="","",A300-E300)</f>
        <v/>
      </c>
      <c r="H300" s="42">
        <f>IF(OR(F300="",C300=""),"",IFERROR((C300-F300)/G300,""))</f>
        <v/>
      </c>
      <c r="I300" s="39">
        <f>IF(B300="","",IFERROR(INDEX('Animais'!$M$6:$M$1005,MATCH(B300,'Animais'!$A$6:$A$1005,0)),"Brinco não cadastrado"))</f>
        <v/>
      </c>
    </row>
    <row r="301">
      <c r="A301" s="31" t="n"/>
      <c r="B301" s="36" t="n"/>
      <c r="C301" s="38" t="n"/>
      <c r="D301" s="32" t="n"/>
      <c r="E301" s="43">
        <f>IF(OR(A301="",B301=""),"",SUMPRODUCT(MAX(($B$6:$B$2005=B301)*($A$6:$A$2005&lt;A301)*$A$6:$A$2005)))</f>
        <v/>
      </c>
      <c r="F301" s="41">
        <f>IF(OR(E301="",E301=0),"",IFERROR(AVERAGEIFS($C$6:$C$2005,$B$6:$B$2005,B301,$A$6:$A$2005,E301),""))</f>
        <v/>
      </c>
      <c r="G301" s="34">
        <f>IF(F301="","",A301-E301)</f>
        <v/>
      </c>
      <c r="H301" s="42">
        <f>IF(OR(F301="",C301=""),"",IFERROR((C301-F301)/G301,""))</f>
        <v/>
      </c>
      <c r="I301" s="39">
        <f>IF(B301="","",IFERROR(INDEX('Animais'!$M$6:$M$1005,MATCH(B301,'Animais'!$A$6:$A$1005,0)),"Brinco não cadastrado"))</f>
        <v/>
      </c>
    </row>
    <row r="302">
      <c r="A302" s="31" t="n"/>
      <c r="B302" s="36" t="n"/>
      <c r="C302" s="38" t="n"/>
      <c r="D302" s="32" t="n"/>
      <c r="E302" s="43">
        <f>IF(OR(A302="",B302=""),"",SUMPRODUCT(MAX(($B$6:$B$2005=B302)*($A$6:$A$2005&lt;A302)*$A$6:$A$2005)))</f>
        <v/>
      </c>
      <c r="F302" s="41">
        <f>IF(OR(E302="",E302=0),"",IFERROR(AVERAGEIFS($C$6:$C$2005,$B$6:$B$2005,B302,$A$6:$A$2005,E302),""))</f>
        <v/>
      </c>
      <c r="G302" s="34">
        <f>IF(F302="","",A302-E302)</f>
        <v/>
      </c>
      <c r="H302" s="42">
        <f>IF(OR(F302="",C302=""),"",IFERROR((C302-F302)/G302,""))</f>
        <v/>
      </c>
      <c r="I302" s="39">
        <f>IF(B302="","",IFERROR(INDEX('Animais'!$M$6:$M$1005,MATCH(B302,'Animais'!$A$6:$A$1005,0)),"Brinco não cadastrado"))</f>
        <v/>
      </c>
    </row>
    <row r="303">
      <c r="A303" s="31" t="n"/>
      <c r="B303" s="36" t="n"/>
      <c r="C303" s="38" t="n"/>
      <c r="D303" s="32" t="n"/>
      <c r="E303" s="43">
        <f>IF(OR(A303="",B303=""),"",SUMPRODUCT(MAX(($B$6:$B$2005=B303)*($A$6:$A$2005&lt;A303)*$A$6:$A$2005)))</f>
        <v/>
      </c>
      <c r="F303" s="41">
        <f>IF(OR(E303="",E303=0),"",IFERROR(AVERAGEIFS($C$6:$C$2005,$B$6:$B$2005,B303,$A$6:$A$2005,E303),""))</f>
        <v/>
      </c>
      <c r="G303" s="34">
        <f>IF(F303="","",A303-E303)</f>
        <v/>
      </c>
      <c r="H303" s="42">
        <f>IF(OR(F303="",C303=""),"",IFERROR((C303-F303)/G303,""))</f>
        <v/>
      </c>
      <c r="I303" s="39">
        <f>IF(B303="","",IFERROR(INDEX('Animais'!$M$6:$M$1005,MATCH(B303,'Animais'!$A$6:$A$1005,0)),"Brinco não cadastrado"))</f>
        <v/>
      </c>
    </row>
    <row r="304">
      <c r="A304" s="31" t="n"/>
      <c r="B304" s="36" t="n"/>
      <c r="C304" s="38" t="n"/>
      <c r="D304" s="32" t="n"/>
      <c r="E304" s="43">
        <f>IF(OR(A304="",B304=""),"",SUMPRODUCT(MAX(($B$6:$B$2005=B304)*($A$6:$A$2005&lt;A304)*$A$6:$A$2005)))</f>
        <v/>
      </c>
      <c r="F304" s="41">
        <f>IF(OR(E304="",E304=0),"",IFERROR(AVERAGEIFS($C$6:$C$2005,$B$6:$B$2005,B304,$A$6:$A$2005,E304),""))</f>
        <v/>
      </c>
      <c r="G304" s="34">
        <f>IF(F304="","",A304-E304)</f>
        <v/>
      </c>
      <c r="H304" s="42">
        <f>IF(OR(F304="",C304=""),"",IFERROR((C304-F304)/G304,""))</f>
        <v/>
      </c>
      <c r="I304" s="39">
        <f>IF(B304="","",IFERROR(INDEX('Animais'!$M$6:$M$1005,MATCH(B304,'Animais'!$A$6:$A$1005,0)),"Brinco não cadastrado"))</f>
        <v/>
      </c>
    </row>
    <row r="305">
      <c r="A305" s="31" t="n"/>
      <c r="B305" s="36" t="n"/>
      <c r="C305" s="38" t="n"/>
      <c r="D305" s="32" t="n"/>
      <c r="E305" s="43">
        <f>IF(OR(A305="",B305=""),"",SUMPRODUCT(MAX(($B$6:$B$2005=B305)*($A$6:$A$2005&lt;A305)*$A$6:$A$2005)))</f>
        <v/>
      </c>
      <c r="F305" s="41">
        <f>IF(OR(E305="",E305=0),"",IFERROR(AVERAGEIFS($C$6:$C$2005,$B$6:$B$2005,B305,$A$6:$A$2005,E305),""))</f>
        <v/>
      </c>
      <c r="G305" s="34">
        <f>IF(F305="","",A305-E305)</f>
        <v/>
      </c>
      <c r="H305" s="42">
        <f>IF(OR(F305="",C305=""),"",IFERROR((C305-F305)/G305,""))</f>
        <v/>
      </c>
      <c r="I305" s="39">
        <f>IF(B305="","",IFERROR(INDEX('Animais'!$M$6:$M$1005,MATCH(B305,'Animais'!$A$6:$A$1005,0)),"Brinco não cadastrado"))</f>
        <v/>
      </c>
    </row>
    <row r="306">
      <c r="A306" s="31" t="n"/>
      <c r="B306" s="36" t="n"/>
      <c r="C306" s="38" t="n"/>
      <c r="D306" s="32" t="n"/>
      <c r="E306" s="43">
        <f>IF(OR(A306="",B306=""),"",SUMPRODUCT(MAX(($B$6:$B$2005=B306)*($A$6:$A$2005&lt;A306)*$A$6:$A$2005)))</f>
        <v/>
      </c>
      <c r="F306" s="41">
        <f>IF(OR(E306="",E306=0),"",IFERROR(AVERAGEIFS($C$6:$C$2005,$B$6:$B$2005,B306,$A$6:$A$2005,E306),""))</f>
        <v/>
      </c>
      <c r="G306" s="34">
        <f>IF(F306="","",A306-E306)</f>
        <v/>
      </c>
      <c r="H306" s="42">
        <f>IF(OR(F306="",C306=""),"",IFERROR((C306-F306)/G306,""))</f>
        <v/>
      </c>
      <c r="I306" s="39">
        <f>IF(B306="","",IFERROR(INDEX('Animais'!$M$6:$M$1005,MATCH(B306,'Animais'!$A$6:$A$1005,0)),"Brinco não cadastrado"))</f>
        <v/>
      </c>
    </row>
    <row r="307">
      <c r="A307" s="31" t="n"/>
      <c r="B307" s="36" t="n"/>
      <c r="C307" s="38" t="n"/>
      <c r="D307" s="32" t="n"/>
      <c r="E307" s="43">
        <f>IF(OR(A307="",B307=""),"",SUMPRODUCT(MAX(($B$6:$B$2005=B307)*($A$6:$A$2005&lt;A307)*$A$6:$A$2005)))</f>
        <v/>
      </c>
      <c r="F307" s="41">
        <f>IF(OR(E307="",E307=0),"",IFERROR(AVERAGEIFS($C$6:$C$2005,$B$6:$B$2005,B307,$A$6:$A$2005,E307),""))</f>
        <v/>
      </c>
      <c r="G307" s="34">
        <f>IF(F307="","",A307-E307)</f>
        <v/>
      </c>
      <c r="H307" s="42">
        <f>IF(OR(F307="",C307=""),"",IFERROR((C307-F307)/G307,""))</f>
        <v/>
      </c>
      <c r="I307" s="39">
        <f>IF(B307="","",IFERROR(INDEX('Animais'!$M$6:$M$1005,MATCH(B307,'Animais'!$A$6:$A$1005,0)),"Brinco não cadastrado"))</f>
        <v/>
      </c>
    </row>
    <row r="308">
      <c r="A308" s="31" t="n"/>
      <c r="B308" s="36" t="n"/>
      <c r="C308" s="38" t="n"/>
      <c r="D308" s="32" t="n"/>
      <c r="E308" s="43">
        <f>IF(OR(A308="",B308=""),"",SUMPRODUCT(MAX(($B$6:$B$2005=B308)*($A$6:$A$2005&lt;A308)*$A$6:$A$2005)))</f>
        <v/>
      </c>
      <c r="F308" s="41">
        <f>IF(OR(E308="",E308=0),"",IFERROR(AVERAGEIFS($C$6:$C$2005,$B$6:$B$2005,B308,$A$6:$A$2005,E308),""))</f>
        <v/>
      </c>
      <c r="G308" s="34">
        <f>IF(F308="","",A308-E308)</f>
        <v/>
      </c>
      <c r="H308" s="42">
        <f>IF(OR(F308="",C308=""),"",IFERROR((C308-F308)/G308,""))</f>
        <v/>
      </c>
      <c r="I308" s="39">
        <f>IF(B308="","",IFERROR(INDEX('Animais'!$M$6:$M$1005,MATCH(B308,'Animais'!$A$6:$A$1005,0)),"Brinco não cadastrado"))</f>
        <v/>
      </c>
    </row>
    <row r="309">
      <c r="A309" s="31" t="n"/>
      <c r="B309" s="36" t="n"/>
      <c r="C309" s="38" t="n"/>
      <c r="D309" s="32" t="n"/>
      <c r="E309" s="43">
        <f>IF(OR(A309="",B309=""),"",SUMPRODUCT(MAX(($B$6:$B$2005=B309)*($A$6:$A$2005&lt;A309)*$A$6:$A$2005)))</f>
        <v/>
      </c>
      <c r="F309" s="41">
        <f>IF(OR(E309="",E309=0),"",IFERROR(AVERAGEIFS($C$6:$C$2005,$B$6:$B$2005,B309,$A$6:$A$2005,E309),""))</f>
        <v/>
      </c>
      <c r="G309" s="34">
        <f>IF(F309="","",A309-E309)</f>
        <v/>
      </c>
      <c r="H309" s="42">
        <f>IF(OR(F309="",C309=""),"",IFERROR((C309-F309)/G309,""))</f>
        <v/>
      </c>
      <c r="I309" s="39">
        <f>IF(B309="","",IFERROR(INDEX('Animais'!$M$6:$M$1005,MATCH(B309,'Animais'!$A$6:$A$1005,0)),"Brinco não cadastrado"))</f>
        <v/>
      </c>
    </row>
    <row r="310">
      <c r="A310" s="31" t="n"/>
      <c r="B310" s="36" t="n"/>
      <c r="C310" s="38" t="n"/>
      <c r="D310" s="32" t="n"/>
      <c r="E310" s="43">
        <f>IF(OR(A310="",B310=""),"",SUMPRODUCT(MAX(($B$6:$B$2005=B310)*($A$6:$A$2005&lt;A310)*$A$6:$A$2005)))</f>
        <v/>
      </c>
      <c r="F310" s="41">
        <f>IF(OR(E310="",E310=0),"",IFERROR(AVERAGEIFS($C$6:$C$2005,$B$6:$B$2005,B310,$A$6:$A$2005,E310),""))</f>
        <v/>
      </c>
      <c r="G310" s="34">
        <f>IF(F310="","",A310-E310)</f>
        <v/>
      </c>
      <c r="H310" s="42">
        <f>IF(OR(F310="",C310=""),"",IFERROR((C310-F310)/G310,""))</f>
        <v/>
      </c>
      <c r="I310" s="39">
        <f>IF(B310="","",IFERROR(INDEX('Animais'!$M$6:$M$1005,MATCH(B310,'Animais'!$A$6:$A$1005,0)),"Brinco não cadastrado"))</f>
        <v/>
      </c>
    </row>
    <row r="311">
      <c r="A311" s="31" t="n"/>
      <c r="B311" s="36" t="n"/>
      <c r="C311" s="38" t="n"/>
      <c r="D311" s="32" t="n"/>
      <c r="E311" s="43">
        <f>IF(OR(A311="",B311=""),"",SUMPRODUCT(MAX(($B$6:$B$2005=B311)*($A$6:$A$2005&lt;A311)*$A$6:$A$2005)))</f>
        <v/>
      </c>
      <c r="F311" s="41">
        <f>IF(OR(E311="",E311=0),"",IFERROR(AVERAGEIFS($C$6:$C$2005,$B$6:$B$2005,B311,$A$6:$A$2005,E311),""))</f>
        <v/>
      </c>
      <c r="G311" s="34">
        <f>IF(F311="","",A311-E311)</f>
        <v/>
      </c>
      <c r="H311" s="42">
        <f>IF(OR(F311="",C311=""),"",IFERROR((C311-F311)/G311,""))</f>
        <v/>
      </c>
      <c r="I311" s="39">
        <f>IF(B311="","",IFERROR(INDEX('Animais'!$M$6:$M$1005,MATCH(B311,'Animais'!$A$6:$A$1005,0)),"Brinco não cadastrado"))</f>
        <v/>
      </c>
    </row>
    <row r="312">
      <c r="A312" s="31" t="n"/>
      <c r="B312" s="36" t="n"/>
      <c r="C312" s="38" t="n"/>
      <c r="D312" s="32" t="n"/>
      <c r="E312" s="43">
        <f>IF(OR(A312="",B312=""),"",SUMPRODUCT(MAX(($B$6:$B$2005=B312)*($A$6:$A$2005&lt;A312)*$A$6:$A$2005)))</f>
        <v/>
      </c>
      <c r="F312" s="41">
        <f>IF(OR(E312="",E312=0),"",IFERROR(AVERAGEIFS($C$6:$C$2005,$B$6:$B$2005,B312,$A$6:$A$2005,E312),""))</f>
        <v/>
      </c>
      <c r="G312" s="34">
        <f>IF(F312="","",A312-E312)</f>
        <v/>
      </c>
      <c r="H312" s="42">
        <f>IF(OR(F312="",C312=""),"",IFERROR((C312-F312)/G312,""))</f>
        <v/>
      </c>
      <c r="I312" s="39">
        <f>IF(B312="","",IFERROR(INDEX('Animais'!$M$6:$M$1005,MATCH(B312,'Animais'!$A$6:$A$1005,0)),"Brinco não cadastrado"))</f>
        <v/>
      </c>
    </row>
    <row r="313">
      <c r="A313" s="31" t="n"/>
      <c r="B313" s="36" t="n"/>
      <c r="C313" s="38" t="n"/>
      <c r="D313" s="32" t="n"/>
      <c r="E313" s="43">
        <f>IF(OR(A313="",B313=""),"",SUMPRODUCT(MAX(($B$6:$B$2005=B313)*($A$6:$A$2005&lt;A313)*$A$6:$A$2005)))</f>
        <v/>
      </c>
      <c r="F313" s="41">
        <f>IF(OR(E313="",E313=0),"",IFERROR(AVERAGEIFS($C$6:$C$2005,$B$6:$B$2005,B313,$A$6:$A$2005,E313),""))</f>
        <v/>
      </c>
      <c r="G313" s="34">
        <f>IF(F313="","",A313-E313)</f>
        <v/>
      </c>
      <c r="H313" s="42">
        <f>IF(OR(F313="",C313=""),"",IFERROR((C313-F313)/G313,""))</f>
        <v/>
      </c>
      <c r="I313" s="39">
        <f>IF(B313="","",IFERROR(INDEX('Animais'!$M$6:$M$1005,MATCH(B313,'Animais'!$A$6:$A$1005,0)),"Brinco não cadastrado"))</f>
        <v/>
      </c>
    </row>
    <row r="314">
      <c r="A314" s="31" t="n"/>
      <c r="B314" s="36" t="n"/>
      <c r="C314" s="38" t="n"/>
      <c r="D314" s="32" t="n"/>
      <c r="E314" s="43">
        <f>IF(OR(A314="",B314=""),"",SUMPRODUCT(MAX(($B$6:$B$2005=B314)*($A$6:$A$2005&lt;A314)*$A$6:$A$2005)))</f>
        <v/>
      </c>
      <c r="F314" s="41">
        <f>IF(OR(E314="",E314=0),"",IFERROR(AVERAGEIFS($C$6:$C$2005,$B$6:$B$2005,B314,$A$6:$A$2005,E314),""))</f>
        <v/>
      </c>
      <c r="G314" s="34">
        <f>IF(F314="","",A314-E314)</f>
        <v/>
      </c>
      <c r="H314" s="42">
        <f>IF(OR(F314="",C314=""),"",IFERROR((C314-F314)/G314,""))</f>
        <v/>
      </c>
      <c r="I314" s="39">
        <f>IF(B314="","",IFERROR(INDEX('Animais'!$M$6:$M$1005,MATCH(B314,'Animais'!$A$6:$A$1005,0)),"Brinco não cadastrado"))</f>
        <v/>
      </c>
    </row>
    <row r="315">
      <c r="A315" s="31" t="n"/>
      <c r="B315" s="36" t="n"/>
      <c r="C315" s="38" t="n"/>
      <c r="D315" s="32" t="n"/>
      <c r="E315" s="43">
        <f>IF(OR(A315="",B315=""),"",SUMPRODUCT(MAX(($B$6:$B$2005=B315)*($A$6:$A$2005&lt;A315)*$A$6:$A$2005)))</f>
        <v/>
      </c>
      <c r="F315" s="41">
        <f>IF(OR(E315="",E315=0),"",IFERROR(AVERAGEIFS($C$6:$C$2005,$B$6:$B$2005,B315,$A$6:$A$2005,E315),""))</f>
        <v/>
      </c>
      <c r="G315" s="34">
        <f>IF(F315="","",A315-E315)</f>
        <v/>
      </c>
      <c r="H315" s="42">
        <f>IF(OR(F315="",C315=""),"",IFERROR((C315-F315)/G315,""))</f>
        <v/>
      </c>
      <c r="I315" s="39">
        <f>IF(B315="","",IFERROR(INDEX('Animais'!$M$6:$M$1005,MATCH(B315,'Animais'!$A$6:$A$1005,0)),"Brinco não cadastrado"))</f>
        <v/>
      </c>
    </row>
    <row r="316">
      <c r="A316" s="31" t="n"/>
      <c r="B316" s="36" t="n"/>
      <c r="C316" s="38" t="n"/>
      <c r="D316" s="32" t="n"/>
      <c r="E316" s="43">
        <f>IF(OR(A316="",B316=""),"",SUMPRODUCT(MAX(($B$6:$B$2005=B316)*($A$6:$A$2005&lt;A316)*$A$6:$A$2005)))</f>
        <v/>
      </c>
      <c r="F316" s="41">
        <f>IF(OR(E316="",E316=0),"",IFERROR(AVERAGEIFS($C$6:$C$2005,$B$6:$B$2005,B316,$A$6:$A$2005,E316),""))</f>
        <v/>
      </c>
      <c r="G316" s="34">
        <f>IF(F316="","",A316-E316)</f>
        <v/>
      </c>
      <c r="H316" s="42">
        <f>IF(OR(F316="",C316=""),"",IFERROR((C316-F316)/G316,""))</f>
        <v/>
      </c>
      <c r="I316" s="39">
        <f>IF(B316="","",IFERROR(INDEX('Animais'!$M$6:$M$1005,MATCH(B316,'Animais'!$A$6:$A$1005,0)),"Brinco não cadastrado"))</f>
        <v/>
      </c>
    </row>
    <row r="317">
      <c r="A317" s="31" t="n"/>
      <c r="B317" s="36" t="n"/>
      <c r="C317" s="38" t="n"/>
      <c r="D317" s="32" t="n"/>
      <c r="E317" s="43">
        <f>IF(OR(A317="",B317=""),"",SUMPRODUCT(MAX(($B$6:$B$2005=B317)*($A$6:$A$2005&lt;A317)*$A$6:$A$2005)))</f>
        <v/>
      </c>
      <c r="F317" s="41">
        <f>IF(OR(E317="",E317=0),"",IFERROR(AVERAGEIFS($C$6:$C$2005,$B$6:$B$2005,B317,$A$6:$A$2005,E317),""))</f>
        <v/>
      </c>
      <c r="G317" s="34">
        <f>IF(F317="","",A317-E317)</f>
        <v/>
      </c>
      <c r="H317" s="42">
        <f>IF(OR(F317="",C317=""),"",IFERROR((C317-F317)/G317,""))</f>
        <v/>
      </c>
      <c r="I317" s="39">
        <f>IF(B317="","",IFERROR(INDEX('Animais'!$M$6:$M$1005,MATCH(B317,'Animais'!$A$6:$A$1005,0)),"Brinco não cadastrado"))</f>
        <v/>
      </c>
    </row>
    <row r="318">
      <c r="A318" s="31" t="n"/>
      <c r="B318" s="36" t="n"/>
      <c r="C318" s="38" t="n"/>
      <c r="D318" s="32" t="n"/>
      <c r="E318" s="43">
        <f>IF(OR(A318="",B318=""),"",SUMPRODUCT(MAX(($B$6:$B$2005=B318)*($A$6:$A$2005&lt;A318)*$A$6:$A$2005)))</f>
        <v/>
      </c>
      <c r="F318" s="41">
        <f>IF(OR(E318="",E318=0),"",IFERROR(AVERAGEIFS($C$6:$C$2005,$B$6:$B$2005,B318,$A$6:$A$2005,E318),""))</f>
        <v/>
      </c>
      <c r="G318" s="34">
        <f>IF(F318="","",A318-E318)</f>
        <v/>
      </c>
      <c r="H318" s="42">
        <f>IF(OR(F318="",C318=""),"",IFERROR((C318-F318)/G318,""))</f>
        <v/>
      </c>
      <c r="I318" s="39">
        <f>IF(B318="","",IFERROR(INDEX('Animais'!$M$6:$M$1005,MATCH(B318,'Animais'!$A$6:$A$1005,0)),"Brinco não cadastrado"))</f>
        <v/>
      </c>
    </row>
    <row r="319">
      <c r="A319" s="31" t="n"/>
      <c r="B319" s="36" t="n"/>
      <c r="C319" s="38" t="n"/>
      <c r="D319" s="32" t="n"/>
      <c r="E319" s="43">
        <f>IF(OR(A319="",B319=""),"",SUMPRODUCT(MAX(($B$6:$B$2005=B319)*($A$6:$A$2005&lt;A319)*$A$6:$A$2005)))</f>
        <v/>
      </c>
      <c r="F319" s="41">
        <f>IF(OR(E319="",E319=0),"",IFERROR(AVERAGEIFS($C$6:$C$2005,$B$6:$B$2005,B319,$A$6:$A$2005,E319),""))</f>
        <v/>
      </c>
      <c r="G319" s="34">
        <f>IF(F319="","",A319-E319)</f>
        <v/>
      </c>
      <c r="H319" s="42">
        <f>IF(OR(F319="",C319=""),"",IFERROR((C319-F319)/G319,""))</f>
        <v/>
      </c>
      <c r="I319" s="39">
        <f>IF(B319="","",IFERROR(INDEX('Animais'!$M$6:$M$1005,MATCH(B319,'Animais'!$A$6:$A$1005,0)),"Brinco não cadastrado"))</f>
        <v/>
      </c>
    </row>
    <row r="320">
      <c r="A320" s="31" t="n"/>
      <c r="B320" s="36" t="n"/>
      <c r="C320" s="38" t="n"/>
      <c r="D320" s="32" t="n"/>
      <c r="E320" s="43">
        <f>IF(OR(A320="",B320=""),"",SUMPRODUCT(MAX(($B$6:$B$2005=B320)*($A$6:$A$2005&lt;A320)*$A$6:$A$2005)))</f>
        <v/>
      </c>
      <c r="F320" s="41">
        <f>IF(OR(E320="",E320=0),"",IFERROR(AVERAGEIFS($C$6:$C$2005,$B$6:$B$2005,B320,$A$6:$A$2005,E320),""))</f>
        <v/>
      </c>
      <c r="G320" s="34">
        <f>IF(F320="","",A320-E320)</f>
        <v/>
      </c>
      <c r="H320" s="42">
        <f>IF(OR(F320="",C320=""),"",IFERROR((C320-F320)/G320,""))</f>
        <v/>
      </c>
      <c r="I320" s="39">
        <f>IF(B320="","",IFERROR(INDEX('Animais'!$M$6:$M$1005,MATCH(B320,'Animais'!$A$6:$A$1005,0)),"Brinco não cadastrado"))</f>
        <v/>
      </c>
    </row>
    <row r="321">
      <c r="A321" s="31" t="n"/>
      <c r="B321" s="36" t="n"/>
      <c r="C321" s="38" t="n"/>
      <c r="D321" s="32" t="n"/>
      <c r="E321" s="43">
        <f>IF(OR(A321="",B321=""),"",SUMPRODUCT(MAX(($B$6:$B$2005=B321)*($A$6:$A$2005&lt;A321)*$A$6:$A$2005)))</f>
        <v/>
      </c>
      <c r="F321" s="41">
        <f>IF(OR(E321="",E321=0),"",IFERROR(AVERAGEIFS($C$6:$C$2005,$B$6:$B$2005,B321,$A$6:$A$2005,E321),""))</f>
        <v/>
      </c>
      <c r="G321" s="34">
        <f>IF(F321="","",A321-E321)</f>
        <v/>
      </c>
      <c r="H321" s="42">
        <f>IF(OR(F321="",C321=""),"",IFERROR((C321-F321)/G321,""))</f>
        <v/>
      </c>
      <c r="I321" s="39">
        <f>IF(B321="","",IFERROR(INDEX('Animais'!$M$6:$M$1005,MATCH(B321,'Animais'!$A$6:$A$1005,0)),"Brinco não cadastrado"))</f>
        <v/>
      </c>
    </row>
    <row r="322">
      <c r="A322" s="31" t="n"/>
      <c r="B322" s="36" t="n"/>
      <c r="C322" s="38" t="n"/>
      <c r="D322" s="32" t="n"/>
      <c r="E322" s="43">
        <f>IF(OR(A322="",B322=""),"",SUMPRODUCT(MAX(($B$6:$B$2005=B322)*($A$6:$A$2005&lt;A322)*$A$6:$A$2005)))</f>
        <v/>
      </c>
      <c r="F322" s="41">
        <f>IF(OR(E322="",E322=0),"",IFERROR(AVERAGEIFS($C$6:$C$2005,$B$6:$B$2005,B322,$A$6:$A$2005,E322),""))</f>
        <v/>
      </c>
      <c r="G322" s="34">
        <f>IF(F322="","",A322-E322)</f>
        <v/>
      </c>
      <c r="H322" s="42">
        <f>IF(OR(F322="",C322=""),"",IFERROR((C322-F322)/G322,""))</f>
        <v/>
      </c>
      <c r="I322" s="39">
        <f>IF(B322="","",IFERROR(INDEX('Animais'!$M$6:$M$1005,MATCH(B322,'Animais'!$A$6:$A$1005,0)),"Brinco não cadastrado"))</f>
        <v/>
      </c>
    </row>
    <row r="323">
      <c r="A323" s="31" t="n"/>
      <c r="B323" s="36" t="n"/>
      <c r="C323" s="38" t="n"/>
      <c r="D323" s="32" t="n"/>
      <c r="E323" s="43">
        <f>IF(OR(A323="",B323=""),"",SUMPRODUCT(MAX(($B$6:$B$2005=B323)*($A$6:$A$2005&lt;A323)*$A$6:$A$2005)))</f>
        <v/>
      </c>
      <c r="F323" s="41">
        <f>IF(OR(E323="",E323=0),"",IFERROR(AVERAGEIFS($C$6:$C$2005,$B$6:$B$2005,B323,$A$6:$A$2005,E323),""))</f>
        <v/>
      </c>
      <c r="G323" s="34">
        <f>IF(F323="","",A323-E323)</f>
        <v/>
      </c>
      <c r="H323" s="42">
        <f>IF(OR(F323="",C323=""),"",IFERROR((C323-F323)/G323,""))</f>
        <v/>
      </c>
      <c r="I323" s="39">
        <f>IF(B323="","",IFERROR(INDEX('Animais'!$M$6:$M$1005,MATCH(B323,'Animais'!$A$6:$A$1005,0)),"Brinco não cadastrado"))</f>
        <v/>
      </c>
    </row>
    <row r="324">
      <c r="A324" s="31" t="n"/>
      <c r="B324" s="36" t="n"/>
      <c r="C324" s="38" t="n"/>
      <c r="D324" s="32" t="n"/>
      <c r="E324" s="43">
        <f>IF(OR(A324="",B324=""),"",SUMPRODUCT(MAX(($B$6:$B$2005=B324)*($A$6:$A$2005&lt;A324)*$A$6:$A$2005)))</f>
        <v/>
      </c>
      <c r="F324" s="41">
        <f>IF(OR(E324="",E324=0),"",IFERROR(AVERAGEIFS($C$6:$C$2005,$B$6:$B$2005,B324,$A$6:$A$2005,E324),""))</f>
        <v/>
      </c>
      <c r="G324" s="34">
        <f>IF(F324="","",A324-E324)</f>
        <v/>
      </c>
      <c r="H324" s="42">
        <f>IF(OR(F324="",C324=""),"",IFERROR((C324-F324)/G324,""))</f>
        <v/>
      </c>
      <c r="I324" s="39">
        <f>IF(B324="","",IFERROR(INDEX('Animais'!$M$6:$M$1005,MATCH(B324,'Animais'!$A$6:$A$1005,0)),"Brinco não cadastrado"))</f>
        <v/>
      </c>
    </row>
    <row r="325">
      <c r="A325" s="31" t="n"/>
      <c r="B325" s="36" t="n"/>
      <c r="C325" s="38" t="n"/>
      <c r="D325" s="32" t="n"/>
      <c r="E325" s="43">
        <f>IF(OR(A325="",B325=""),"",SUMPRODUCT(MAX(($B$6:$B$2005=B325)*($A$6:$A$2005&lt;A325)*$A$6:$A$2005)))</f>
        <v/>
      </c>
      <c r="F325" s="41">
        <f>IF(OR(E325="",E325=0),"",IFERROR(AVERAGEIFS($C$6:$C$2005,$B$6:$B$2005,B325,$A$6:$A$2005,E325),""))</f>
        <v/>
      </c>
      <c r="G325" s="34">
        <f>IF(F325="","",A325-E325)</f>
        <v/>
      </c>
      <c r="H325" s="42">
        <f>IF(OR(F325="",C325=""),"",IFERROR((C325-F325)/G325,""))</f>
        <v/>
      </c>
      <c r="I325" s="39">
        <f>IF(B325="","",IFERROR(INDEX('Animais'!$M$6:$M$1005,MATCH(B325,'Animais'!$A$6:$A$1005,0)),"Brinco não cadastrado"))</f>
        <v/>
      </c>
    </row>
    <row r="326">
      <c r="A326" s="31" t="n"/>
      <c r="B326" s="36" t="n"/>
      <c r="C326" s="38" t="n"/>
      <c r="D326" s="32" t="n"/>
      <c r="E326" s="43">
        <f>IF(OR(A326="",B326=""),"",SUMPRODUCT(MAX(($B$6:$B$2005=B326)*($A$6:$A$2005&lt;A326)*$A$6:$A$2005)))</f>
        <v/>
      </c>
      <c r="F326" s="41">
        <f>IF(OR(E326="",E326=0),"",IFERROR(AVERAGEIFS($C$6:$C$2005,$B$6:$B$2005,B326,$A$6:$A$2005,E326),""))</f>
        <v/>
      </c>
      <c r="G326" s="34">
        <f>IF(F326="","",A326-E326)</f>
        <v/>
      </c>
      <c r="H326" s="42">
        <f>IF(OR(F326="",C326=""),"",IFERROR((C326-F326)/G326,""))</f>
        <v/>
      </c>
      <c r="I326" s="39">
        <f>IF(B326="","",IFERROR(INDEX('Animais'!$M$6:$M$1005,MATCH(B326,'Animais'!$A$6:$A$1005,0)),"Brinco não cadastrado"))</f>
        <v/>
      </c>
    </row>
    <row r="327">
      <c r="A327" s="31" t="n"/>
      <c r="B327" s="36" t="n"/>
      <c r="C327" s="38" t="n"/>
      <c r="D327" s="32" t="n"/>
      <c r="E327" s="43">
        <f>IF(OR(A327="",B327=""),"",SUMPRODUCT(MAX(($B$6:$B$2005=B327)*($A$6:$A$2005&lt;A327)*$A$6:$A$2005)))</f>
        <v/>
      </c>
      <c r="F327" s="41">
        <f>IF(OR(E327="",E327=0),"",IFERROR(AVERAGEIFS($C$6:$C$2005,$B$6:$B$2005,B327,$A$6:$A$2005,E327),""))</f>
        <v/>
      </c>
      <c r="G327" s="34">
        <f>IF(F327="","",A327-E327)</f>
        <v/>
      </c>
      <c r="H327" s="42">
        <f>IF(OR(F327="",C327=""),"",IFERROR((C327-F327)/G327,""))</f>
        <v/>
      </c>
      <c r="I327" s="39">
        <f>IF(B327="","",IFERROR(INDEX('Animais'!$M$6:$M$1005,MATCH(B327,'Animais'!$A$6:$A$1005,0)),"Brinco não cadastrado"))</f>
        <v/>
      </c>
    </row>
    <row r="328">
      <c r="A328" s="31" t="n"/>
      <c r="B328" s="36" t="n"/>
      <c r="C328" s="38" t="n"/>
      <c r="D328" s="32" t="n"/>
      <c r="E328" s="43">
        <f>IF(OR(A328="",B328=""),"",SUMPRODUCT(MAX(($B$6:$B$2005=B328)*($A$6:$A$2005&lt;A328)*$A$6:$A$2005)))</f>
        <v/>
      </c>
      <c r="F328" s="41">
        <f>IF(OR(E328="",E328=0),"",IFERROR(AVERAGEIFS($C$6:$C$2005,$B$6:$B$2005,B328,$A$6:$A$2005,E328),""))</f>
        <v/>
      </c>
      <c r="G328" s="34">
        <f>IF(F328="","",A328-E328)</f>
        <v/>
      </c>
      <c r="H328" s="42">
        <f>IF(OR(F328="",C328=""),"",IFERROR((C328-F328)/G328,""))</f>
        <v/>
      </c>
      <c r="I328" s="39">
        <f>IF(B328="","",IFERROR(INDEX('Animais'!$M$6:$M$1005,MATCH(B328,'Animais'!$A$6:$A$1005,0)),"Brinco não cadastrado"))</f>
        <v/>
      </c>
    </row>
    <row r="329">
      <c r="A329" s="31" t="n"/>
      <c r="B329" s="36" t="n"/>
      <c r="C329" s="38" t="n"/>
      <c r="D329" s="32" t="n"/>
      <c r="E329" s="43">
        <f>IF(OR(A329="",B329=""),"",SUMPRODUCT(MAX(($B$6:$B$2005=B329)*($A$6:$A$2005&lt;A329)*$A$6:$A$2005)))</f>
        <v/>
      </c>
      <c r="F329" s="41">
        <f>IF(OR(E329="",E329=0),"",IFERROR(AVERAGEIFS($C$6:$C$2005,$B$6:$B$2005,B329,$A$6:$A$2005,E329),""))</f>
        <v/>
      </c>
      <c r="G329" s="34">
        <f>IF(F329="","",A329-E329)</f>
        <v/>
      </c>
      <c r="H329" s="42">
        <f>IF(OR(F329="",C329=""),"",IFERROR((C329-F329)/G329,""))</f>
        <v/>
      </c>
      <c r="I329" s="39">
        <f>IF(B329="","",IFERROR(INDEX('Animais'!$M$6:$M$1005,MATCH(B329,'Animais'!$A$6:$A$1005,0)),"Brinco não cadastrado"))</f>
        <v/>
      </c>
    </row>
    <row r="330">
      <c r="A330" s="31" t="n"/>
      <c r="B330" s="36" t="n"/>
      <c r="C330" s="38" t="n"/>
      <c r="D330" s="32" t="n"/>
      <c r="E330" s="43">
        <f>IF(OR(A330="",B330=""),"",SUMPRODUCT(MAX(($B$6:$B$2005=B330)*($A$6:$A$2005&lt;A330)*$A$6:$A$2005)))</f>
        <v/>
      </c>
      <c r="F330" s="41">
        <f>IF(OR(E330="",E330=0),"",IFERROR(AVERAGEIFS($C$6:$C$2005,$B$6:$B$2005,B330,$A$6:$A$2005,E330),""))</f>
        <v/>
      </c>
      <c r="G330" s="34">
        <f>IF(F330="","",A330-E330)</f>
        <v/>
      </c>
      <c r="H330" s="42">
        <f>IF(OR(F330="",C330=""),"",IFERROR((C330-F330)/G330,""))</f>
        <v/>
      </c>
      <c r="I330" s="39">
        <f>IF(B330="","",IFERROR(INDEX('Animais'!$M$6:$M$1005,MATCH(B330,'Animais'!$A$6:$A$1005,0)),"Brinco não cadastrado"))</f>
        <v/>
      </c>
    </row>
    <row r="331">
      <c r="A331" s="31" t="n"/>
      <c r="B331" s="36" t="n"/>
      <c r="C331" s="38" t="n"/>
      <c r="D331" s="32" t="n"/>
      <c r="E331" s="43">
        <f>IF(OR(A331="",B331=""),"",SUMPRODUCT(MAX(($B$6:$B$2005=B331)*($A$6:$A$2005&lt;A331)*$A$6:$A$2005)))</f>
        <v/>
      </c>
      <c r="F331" s="41">
        <f>IF(OR(E331="",E331=0),"",IFERROR(AVERAGEIFS($C$6:$C$2005,$B$6:$B$2005,B331,$A$6:$A$2005,E331),""))</f>
        <v/>
      </c>
      <c r="G331" s="34">
        <f>IF(F331="","",A331-E331)</f>
        <v/>
      </c>
      <c r="H331" s="42">
        <f>IF(OR(F331="",C331=""),"",IFERROR((C331-F331)/G331,""))</f>
        <v/>
      </c>
      <c r="I331" s="39">
        <f>IF(B331="","",IFERROR(INDEX('Animais'!$M$6:$M$1005,MATCH(B331,'Animais'!$A$6:$A$1005,0)),"Brinco não cadastrado"))</f>
        <v/>
      </c>
    </row>
    <row r="332">
      <c r="A332" s="31" t="n"/>
      <c r="B332" s="36" t="n"/>
      <c r="C332" s="38" t="n"/>
      <c r="D332" s="32" t="n"/>
      <c r="E332" s="43">
        <f>IF(OR(A332="",B332=""),"",SUMPRODUCT(MAX(($B$6:$B$2005=B332)*($A$6:$A$2005&lt;A332)*$A$6:$A$2005)))</f>
        <v/>
      </c>
      <c r="F332" s="41">
        <f>IF(OR(E332="",E332=0),"",IFERROR(AVERAGEIFS($C$6:$C$2005,$B$6:$B$2005,B332,$A$6:$A$2005,E332),""))</f>
        <v/>
      </c>
      <c r="G332" s="34">
        <f>IF(F332="","",A332-E332)</f>
        <v/>
      </c>
      <c r="H332" s="42">
        <f>IF(OR(F332="",C332=""),"",IFERROR((C332-F332)/G332,""))</f>
        <v/>
      </c>
      <c r="I332" s="39">
        <f>IF(B332="","",IFERROR(INDEX('Animais'!$M$6:$M$1005,MATCH(B332,'Animais'!$A$6:$A$1005,0)),"Brinco não cadastrado"))</f>
        <v/>
      </c>
    </row>
    <row r="333">
      <c r="A333" s="31" t="n"/>
      <c r="B333" s="36" t="n"/>
      <c r="C333" s="38" t="n"/>
      <c r="D333" s="32" t="n"/>
      <c r="E333" s="43">
        <f>IF(OR(A333="",B333=""),"",SUMPRODUCT(MAX(($B$6:$B$2005=B333)*($A$6:$A$2005&lt;A333)*$A$6:$A$2005)))</f>
        <v/>
      </c>
      <c r="F333" s="41">
        <f>IF(OR(E333="",E333=0),"",IFERROR(AVERAGEIFS($C$6:$C$2005,$B$6:$B$2005,B333,$A$6:$A$2005,E333),""))</f>
        <v/>
      </c>
      <c r="G333" s="34">
        <f>IF(F333="","",A333-E333)</f>
        <v/>
      </c>
      <c r="H333" s="42">
        <f>IF(OR(F333="",C333=""),"",IFERROR((C333-F333)/G333,""))</f>
        <v/>
      </c>
      <c r="I333" s="39">
        <f>IF(B333="","",IFERROR(INDEX('Animais'!$M$6:$M$1005,MATCH(B333,'Animais'!$A$6:$A$1005,0)),"Brinco não cadastrado"))</f>
        <v/>
      </c>
    </row>
    <row r="334">
      <c r="A334" s="31" t="n"/>
      <c r="B334" s="36" t="n"/>
      <c r="C334" s="38" t="n"/>
      <c r="D334" s="32" t="n"/>
      <c r="E334" s="43">
        <f>IF(OR(A334="",B334=""),"",SUMPRODUCT(MAX(($B$6:$B$2005=B334)*($A$6:$A$2005&lt;A334)*$A$6:$A$2005)))</f>
        <v/>
      </c>
      <c r="F334" s="41">
        <f>IF(OR(E334="",E334=0),"",IFERROR(AVERAGEIFS($C$6:$C$2005,$B$6:$B$2005,B334,$A$6:$A$2005,E334),""))</f>
        <v/>
      </c>
      <c r="G334" s="34">
        <f>IF(F334="","",A334-E334)</f>
        <v/>
      </c>
      <c r="H334" s="42">
        <f>IF(OR(F334="",C334=""),"",IFERROR((C334-F334)/G334,""))</f>
        <v/>
      </c>
      <c r="I334" s="39">
        <f>IF(B334="","",IFERROR(INDEX('Animais'!$M$6:$M$1005,MATCH(B334,'Animais'!$A$6:$A$1005,0)),"Brinco não cadastrado"))</f>
        <v/>
      </c>
    </row>
    <row r="335">
      <c r="A335" s="31" t="n"/>
      <c r="B335" s="36" t="n"/>
      <c r="C335" s="38" t="n"/>
      <c r="D335" s="32" t="n"/>
      <c r="E335" s="43">
        <f>IF(OR(A335="",B335=""),"",SUMPRODUCT(MAX(($B$6:$B$2005=B335)*($A$6:$A$2005&lt;A335)*$A$6:$A$2005)))</f>
        <v/>
      </c>
      <c r="F335" s="41">
        <f>IF(OR(E335="",E335=0),"",IFERROR(AVERAGEIFS($C$6:$C$2005,$B$6:$B$2005,B335,$A$6:$A$2005,E335),""))</f>
        <v/>
      </c>
      <c r="G335" s="34">
        <f>IF(F335="","",A335-E335)</f>
        <v/>
      </c>
      <c r="H335" s="42">
        <f>IF(OR(F335="",C335=""),"",IFERROR((C335-F335)/G335,""))</f>
        <v/>
      </c>
      <c r="I335" s="39">
        <f>IF(B335="","",IFERROR(INDEX('Animais'!$M$6:$M$1005,MATCH(B335,'Animais'!$A$6:$A$1005,0)),"Brinco não cadastrado"))</f>
        <v/>
      </c>
    </row>
    <row r="336">
      <c r="A336" s="31" t="n"/>
      <c r="B336" s="36" t="n"/>
      <c r="C336" s="38" t="n"/>
      <c r="D336" s="32" t="n"/>
      <c r="E336" s="43">
        <f>IF(OR(A336="",B336=""),"",SUMPRODUCT(MAX(($B$6:$B$2005=B336)*($A$6:$A$2005&lt;A336)*$A$6:$A$2005)))</f>
        <v/>
      </c>
      <c r="F336" s="41">
        <f>IF(OR(E336="",E336=0),"",IFERROR(AVERAGEIFS($C$6:$C$2005,$B$6:$B$2005,B336,$A$6:$A$2005,E336),""))</f>
        <v/>
      </c>
      <c r="G336" s="34">
        <f>IF(F336="","",A336-E336)</f>
        <v/>
      </c>
      <c r="H336" s="42">
        <f>IF(OR(F336="",C336=""),"",IFERROR((C336-F336)/G336,""))</f>
        <v/>
      </c>
      <c r="I336" s="39">
        <f>IF(B336="","",IFERROR(INDEX('Animais'!$M$6:$M$1005,MATCH(B336,'Animais'!$A$6:$A$1005,0)),"Brinco não cadastrado"))</f>
        <v/>
      </c>
    </row>
    <row r="337">
      <c r="A337" s="31" t="n"/>
      <c r="B337" s="36" t="n"/>
      <c r="C337" s="38" t="n"/>
      <c r="D337" s="32" t="n"/>
      <c r="E337" s="43">
        <f>IF(OR(A337="",B337=""),"",SUMPRODUCT(MAX(($B$6:$B$2005=B337)*($A$6:$A$2005&lt;A337)*$A$6:$A$2005)))</f>
        <v/>
      </c>
      <c r="F337" s="41">
        <f>IF(OR(E337="",E337=0),"",IFERROR(AVERAGEIFS($C$6:$C$2005,$B$6:$B$2005,B337,$A$6:$A$2005,E337),""))</f>
        <v/>
      </c>
      <c r="G337" s="34">
        <f>IF(F337="","",A337-E337)</f>
        <v/>
      </c>
      <c r="H337" s="42">
        <f>IF(OR(F337="",C337=""),"",IFERROR((C337-F337)/G337,""))</f>
        <v/>
      </c>
      <c r="I337" s="39">
        <f>IF(B337="","",IFERROR(INDEX('Animais'!$M$6:$M$1005,MATCH(B337,'Animais'!$A$6:$A$1005,0)),"Brinco não cadastrado"))</f>
        <v/>
      </c>
    </row>
    <row r="338">
      <c r="A338" s="31" t="n"/>
      <c r="B338" s="36" t="n"/>
      <c r="C338" s="38" t="n"/>
      <c r="D338" s="32" t="n"/>
      <c r="E338" s="43">
        <f>IF(OR(A338="",B338=""),"",SUMPRODUCT(MAX(($B$6:$B$2005=B338)*($A$6:$A$2005&lt;A338)*$A$6:$A$2005)))</f>
        <v/>
      </c>
      <c r="F338" s="41">
        <f>IF(OR(E338="",E338=0),"",IFERROR(AVERAGEIFS($C$6:$C$2005,$B$6:$B$2005,B338,$A$6:$A$2005,E338),""))</f>
        <v/>
      </c>
      <c r="G338" s="34">
        <f>IF(F338="","",A338-E338)</f>
        <v/>
      </c>
      <c r="H338" s="42">
        <f>IF(OR(F338="",C338=""),"",IFERROR((C338-F338)/G338,""))</f>
        <v/>
      </c>
      <c r="I338" s="39">
        <f>IF(B338="","",IFERROR(INDEX('Animais'!$M$6:$M$1005,MATCH(B338,'Animais'!$A$6:$A$1005,0)),"Brinco não cadastrado"))</f>
        <v/>
      </c>
    </row>
    <row r="339">
      <c r="A339" s="31" t="n"/>
      <c r="B339" s="36" t="n"/>
      <c r="C339" s="38" t="n"/>
      <c r="D339" s="32" t="n"/>
      <c r="E339" s="43">
        <f>IF(OR(A339="",B339=""),"",SUMPRODUCT(MAX(($B$6:$B$2005=B339)*($A$6:$A$2005&lt;A339)*$A$6:$A$2005)))</f>
        <v/>
      </c>
      <c r="F339" s="41">
        <f>IF(OR(E339="",E339=0),"",IFERROR(AVERAGEIFS($C$6:$C$2005,$B$6:$B$2005,B339,$A$6:$A$2005,E339),""))</f>
        <v/>
      </c>
      <c r="G339" s="34">
        <f>IF(F339="","",A339-E339)</f>
        <v/>
      </c>
      <c r="H339" s="42">
        <f>IF(OR(F339="",C339=""),"",IFERROR((C339-F339)/G339,""))</f>
        <v/>
      </c>
      <c r="I339" s="39">
        <f>IF(B339="","",IFERROR(INDEX('Animais'!$M$6:$M$1005,MATCH(B339,'Animais'!$A$6:$A$1005,0)),"Brinco não cadastrado"))</f>
        <v/>
      </c>
    </row>
    <row r="340">
      <c r="A340" s="31" t="n"/>
      <c r="B340" s="36" t="n"/>
      <c r="C340" s="38" t="n"/>
      <c r="D340" s="32" t="n"/>
      <c r="E340" s="43">
        <f>IF(OR(A340="",B340=""),"",SUMPRODUCT(MAX(($B$6:$B$2005=B340)*($A$6:$A$2005&lt;A340)*$A$6:$A$2005)))</f>
        <v/>
      </c>
      <c r="F340" s="41">
        <f>IF(OR(E340="",E340=0),"",IFERROR(AVERAGEIFS($C$6:$C$2005,$B$6:$B$2005,B340,$A$6:$A$2005,E340),""))</f>
        <v/>
      </c>
      <c r="G340" s="34">
        <f>IF(F340="","",A340-E340)</f>
        <v/>
      </c>
      <c r="H340" s="42">
        <f>IF(OR(F340="",C340=""),"",IFERROR((C340-F340)/G340,""))</f>
        <v/>
      </c>
      <c r="I340" s="39">
        <f>IF(B340="","",IFERROR(INDEX('Animais'!$M$6:$M$1005,MATCH(B340,'Animais'!$A$6:$A$1005,0)),"Brinco não cadastrado"))</f>
        <v/>
      </c>
    </row>
    <row r="341">
      <c r="A341" s="31" t="n"/>
      <c r="B341" s="36" t="n"/>
      <c r="C341" s="38" t="n"/>
      <c r="D341" s="32" t="n"/>
      <c r="E341" s="43">
        <f>IF(OR(A341="",B341=""),"",SUMPRODUCT(MAX(($B$6:$B$2005=B341)*($A$6:$A$2005&lt;A341)*$A$6:$A$2005)))</f>
        <v/>
      </c>
      <c r="F341" s="41">
        <f>IF(OR(E341="",E341=0),"",IFERROR(AVERAGEIFS($C$6:$C$2005,$B$6:$B$2005,B341,$A$6:$A$2005,E341),""))</f>
        <v/>
      </c>
      <c r="G341" s="34">
        <f>IF(F341="","",A341-E341)</f>
        <v/>
      </c>
      <c r="H341" s="42">
        <f>IF(OR(F341="",C341=""),"",IFERROR((C341-F341)/G341,""))</f>
        <v/>
      </c>
      <c r="I341" s="39">
        <f>IF(B341="","",IFERROR(INDEX('Animais'!$M$6:$M$1005,MATCH(B341,'Animais'!$A$6:$A$1005,0)),"Brinco não cadastrado"))</f>
        <v/>
      </c>
    </row>
    <row r="342">
      <c r="A342" s="31" t="n"/>
      <c r="B342" s="36" t="n"/>
      <c r="C342" s="38" t="n"/>
      <c r="D342" s="32" t="n"/>
      <c r="E342" s="43">
        <f>IF(OR(A342="",B342=""),"",SUMPRODUCT(MAX(($B$6:$B$2005=B342)*($A$6:$A$2005&lt;A342)*$A$6:$A$2005)))</f>
        <v/>
      </c>
      <c r="F342" s="41">
        <f>IF(OR(E342="",E342=0),"",IFERROR(AVERAGEIFS($C$6:$C$2005,$B$6:$B$2005,B342,$A$6:$A$2005,E342),""))</f>
        <v/>
      </c>
      <c r="G342" s="34">
        <f>IF(F342="","",A342-E342)</f>
        <v/>
      </c>
      <c r="H342" s="42">
        <f>IF(OR(F342="",C342=""),"",IFERROR((C342-F342)/G342,""))</f>
        <v/>
      </c>
      <c r="I342" s="39">
        <f>IF(B342="","",IFERROR(INDEX('Animais'!$M$6:$M$1005,MATCH(B342,'Animais'!$A$6:$A$1005,0)),"Brinco não cadastrado"))</f>
        <v/>
      </c>
    </row>
    <row r="343">
      <c r="A343" s="31" t="n"/>
      <c r="B343" s="36" t="n"/>
      <c r="C343" s="38" t="n"/>
      <c r="D343" s="32" t="n"/>
      <c r="E343" s="43">
        <f>IF(OR(A343="",B343=""),"",SUMPRODUCT(MAX(($B$6:$B$2005=B343)*($A$6:$A$2005&lt;A343)*$A$6:$A$2005)))</f>
        <v/>
      </c>
      <c r="F343" s="41">
        <f>IF(OR(E343="",E343=0),"",IFERROR(AVERAGEIFS($C$6:$C$2005,$B$6:$B$2005,B343,$A$6:$A$2005,E343),""))</f>
        <v/>
      </c>
      <c r="G343" s="34">
        <f>IF(F343="","",A343-E343)</f>
        <v/>
      </c>
      <c r="H343" s="42">
        <f>IF(OR(F343="",C343=""),"",IFERROR((C343-F343)/G343,""))</f>
        <v/>
      </c>
      <c r="I343" s="39">
        <f>IF(B343="","",IFERROR(INDEX('Animais'!$M$6:$M$1005,MATCH(B343,'Animais'!$A$6:$A$1005,0)),"Brinco não cadastrado"))</f>
        <v/>
      </c>
    </row>
    <row r="344">
      <c r="A344" s="31" t="n"/>
      <c r="B344" s="36" t="n"/>
      <c r="C344" s="38" t="n"/>
      <c r="D344" s="32" t="n"/>
      <c r="E344" s="43">
        <f>IF(OR(A344="",B344=""),"",SUMPRODUCT(MAX(($B$6:$B$2005=B344)*($A$6:$A$2005&lt;A344)*$A$6:$A$2005)))</f>
        <v/>
      </c>
      <c r="F344" s="41">
        <f>IF(OR(E344="",E344=0),"",IFERROR(AVERAGEIFS($C$6:$C$2005,$B$6:$B$2005,B344,$A$6:$A$2005,E344),""))</f>
        <v/>
      </c>
      <c r="G344" s="34">
        <f>IF(F344="","",A344-E344)</f>
        <v/>
      </c>
      <c r="H344" s="42">
        <f>IF(OR(F344="",C344=""),"",IFERROR((C344-F344)/G344,""))</f>
        <v/>
      </c>
      <c r="I344" s="39">
        <f>IF(B344="","",IFERROR(INDEX('Animais'!$M$6:$M$1005,MATCH(B344,'Animais'!$A$6:$A$1005,0)),"Brinco não cadastrado"))</f>
        <v/>
      </c>
    </row>
    <row r="345">
      <c r="A345" s="31" t="n"/>
      <c r="B345" s="36" t="n"/>
      <c r="C345" s="38" t="n"/>
      <c r="D345" s="32" t="n"/>
      <c r="E345" s="43">
        <f>IF(OR(A345="",B345=""),"",SUMPRODUCT(MAX(($B$6:$B$2005=B345)*($A$6:$A$2005&lt;A345)*$A$6:$A$2005)))</f>
        <v/>
      </c>
      <c r="F345" s="41">
        <f>IF(OR(E345="",E345=0),"",IFERROR(AVERAGEIFS($C$6:$C$2005,$B$6:$B$2005,B345,$A$6:$A$2005,E345),""))</f>
        <v/>
      </c>
      <c r="G345" s="34">
        <f>IF(F345="","",A345-E345)</f>
        <v/>
      </c>
      <c r="H345" s="42">
        <f>IF(OR(F345="",C345=""),"",IFERROR((C345-F345)/G345,""))</f>
        <v/>
      </c>
      <c r="I345" s="39">
        <f>IF(B345="","",IFERROR(INDEX('Animais'!$M$6:$M$1005,MATCH(B345,'Animais'!$A$6:$A$1005,0)),"Brinco não cadastrado"))</f>
        <v/>
      </c>
    </row>
    <row r="346">
      <c r="A346" s="31" t="n"/>
      <c r="B346" s="36" t="n"/>
      <c r="C346" s="38" t="n"/>
      <c r="D346" s="32" t="n"/>
      <c r="E346" s="43">
        <f>IF(OR(A346="",B346=""),"",SUMPRODUCT(MAX(($B$6:$B$2005=B346)*($A$6:$A$2005&lt;A346)*$A$6:$A$2005)))</f>
        <v/>
      </c>
      <c r="F346" s="41">
        <f>IF(OR(E346="",E346=0),"",IFERROR(AVERAGEIFS($C$6:$C$2005,$B$6:$B$2005,B346,$A$6:$A$2005,E346),""))</f>
        <v/>
      </c>
      <c r="G346" s="34">
        <f>IF(F346="","",A346-E346)</f>
        <v/>
      </c>
      <c r="H346" s="42">
        <f>IF(OR(F346="",C346=""),"",IFERROR((C346-F346)/G346,""))</f>
        <v/>
      </c>
      <c r="I346" s="39">
        <f>IF(B346="","",IFERROR(INDEX('Animais'!$M$6:$M$1005,MATCH(B346,'Animais'!$A$6:$A$1005,0)),"Brinco não cadastrado"))</f>
        <v/>
      </c>
    </row>
    <row r="347">
      <c r="A347" s="31" t="n"/>
      <c r="B347" s="36" t="n"/>
      <c r="C347" s="38" t="n"/>
      <c r="D347" s="32" t="n"/>
      <c r="E347" s="43">
        <f>IF(OR(A347="",B347=""),"",SUMPRODUCT(MAX(($B$6:$B$2005=B347)*($A$6:$A$2005&lt;A347)*$A$6:$A$2005)))</f>
        <v/>
      </c>
      <c r="F347" s="41">
        <f>IF(OR(E347="",E347=0),"",IFERROR(AVERAGEIFS($C$6:$C$2005,$B$6:$B$2005,B347,$A$6:$A$2005,E347),""))</f>
        <v/>
      </c>
      <c r="G347" s="34">
        <f>IF(F347="","",A347-E347)</f>
        <v/>
      </c>
      <c r="H347" s="42">
        <f>IF(OR(F347="",C347=""),"",IFERROR((C347-F347)/G347,""))</f>
        <v/>
      </c>
      <c r="I347" s="39">
        <f>IF(B347="","",IFERROR(INDEX('Animais'!$M$6:$M$1005,MATCH(B347,'Animais'!$A$6:$A$1005,0)),"Brinco não cadastrado"))</f>
        <v/>
      </c>
    </row>
    <row r="348">
      <c r="A348" s="31" t="n"/>
      <c r="B348" s="36" t="n"/>
      <c r="C348" s="38" t="n"/>
      <c r="D348" s="32" t="n"/>
      <c r="E348" s="43">
        <f>IF(OR(A348="",B348=""),"",SUMPRODUCT(MAX(($B$6:$B$2005=B348)*($A$6:$A$2005&lt;A348)*$A$6:$A$2005)))</f>
        <v/>
      </c>
      <c r="F348" s="41">
        <f>IF(OR(E348="",E348=0),"",IFERROR(AVERAGEIFS($C$6:$C$2005,$B$6:$B$2005,B348,$A$6:$A$2005,E348),""))</f>
        <v/>
      </c>
      <c r="G348" s="34">
        <f>IF(F348="","",A348-E348)</f>
        <v/>
      </c>
      <c r="H348" s="42">
        <f>IF(OR(F348="",C348=""),"",IFERROR((C348-F348)/G348,""))</f>
        <v/>
      </c>
      <c r="I348" s="39">
        <f>IF(B348="","",IFERROR(INDEX('Animais'!$M$6:$M$1005,MATCH(B348,'Animais'!$A$6:$A$1005,0)),"Brinco não cadastrado"))</f>
        <v/>
      </c>
    </row>
    <row r="349">
      <c r="A349" s="31" t="n"/>
      <c r="B349" s="36" t="n"/>
      <c r="C349" s="38" t="n"/>
      <c r="D349" s="32" t="n"/>
      <c r="E349" s="43">
        <f>IF(OR(A349="",B349=""),"",SUMPRODUCT(MAX(($B$6:$B$2005=B349)*($A$6:$A$2005&lt;A349)*$A$6:$A$2005)))</f>
        <v/>
      </c>
      <c r="F349" s="41">
        <f>IF(OR(E349="",E349=0),"",IFERROR(AVERAGEIFS($C$6:$C$2005,$B$6:$B$2005,B349,$A$6:$A$2005,E349),""))</f>
        <v/>
      </c>
      <c r="G349" s="34">
        <f>IF(F349="","",A349-E349)</f>
        <v/>
      </c>
      <c r="H349" s="42">
        <f>IF(OR(F349="",C349=""),"",IFERROR((C349-F349)/G349,""))</f>
        <v/>
      </c>
      <c r="I349" s="39">
        <f>IF(B349="","",IFERROR(INDEX('Animais'!$M$6:$M$1005,MATCH(B349,'Animais'!$A$6:$A$1005,0)),"Brinco não cadastrado"))</f>
        <v/>
      </c>
    </row>
    <row r="350">
      <c r="A350" s="31" t="n"/>
      <c r="B350" s="36" t="n"/>
      <c r="C350" s="38" t="n"/>
      <c r="D350" s="32" t="n"/>
      <c r="E350" s="43">
        <f>IF(OR(A350="",B350=""),"",SUMPRODUCT(MAX(($B$6:$B$2005=B350)*($A$6:$A$2005&lt;A350)*$A$6:$A$2005)))</f>
        <v/>
      </c>
      <c r="F350" s="41">
        <f>IF(OR(E350="",E350=0),"",IFERROR(AVERAGEIFS($C$6:$C$2005,$B$6:$B$2005,B350,$A$6:$A$2005,E350),""))</f>
        <v/>
      </c>
      <c r="G350" s="34">
        <f>IF(F350="","",A350-E350)</f>
        <v/>
      </c>
      <c r="H350" s="42">
        <f>IF(OR(F350="",C350=""),"",IFERROR((C350-F350)/G350,""))</f>
        <v/>
      </c>
      <c r="I350" s="39">
        <f>IF(B350="","",IFERROR(INDEX('Animais'!$M$6:$M$1005,MATCH(B350,'Animais'!$A$6:$A$1005,0)),"Brinco não cadastrado"))</f>
        <v/>
      </c>
    </row>
    <row r="351">
      <c r="A351" s="31" t="n"/>
      <c r="B351" s="36" t="n"/>
      <c r="C351" s="38" t="n"/>
      <c r="D351" s="32" t="n"/>
      <c r="E351" s="43">
        <f>IF(OR(A351="",B351=""),"",SUMPRODUCT(MAX(($B$6:$B$2005=B351)*($A$6:$A$2005&lt;A351)*$A$6:$A$2005)))</f>
        <v/>
      </c>
      <c r="F351" s="41">
        <f>IF(OR(E351="",E351=0),"",IFERROR(AVERAGEIFS($C$6:$C$2005,$B$6:$B$2005,B351,$A$6:$A$2005,E351),""))</f>
        <v/>
      </c>
      <c r="G351" s="34">
        <f>IF(F351="","",A351-E351)</f>
        <v/>
      </c>
      <c r="H351" s="42">
        <f>IF(OR(F351="",C351=""),"",IFERROR((C351-F351)/G351,""))</f>
        <v/>
      </c>
      <c r="I351" s="39">
        <f>IF(B351="","",IFERROR(INDEX('Animais'!$M$6:$M$1005,MATCH(B351,'Animais'!$A$6:$A$1005,0)),"Brinco não cadastrado"))</f>
        <v/>
      </c>
    </row>
    <row r="352">
      <c r="A352" s="31" t="n"/>
      <c r="B352" s="36" t="n"/>
      <c r="C352" s="38" t="n"/>
      <c r="D352" s="32" t="n"/>
      <c r="E352" s="43">
        <f>IF(OR(A352="",B352=""),"",SUMPRODUCT(MAX(($B$6:$B$2005=B352)*($A$6:$A$2005&lt;A352)*$A$6:$A$2005)))</f>
        <v/>
      </c>
      <c r="F352" s="41">
        <f>IF(OR(E352="",E352=0),"",IFERROR(AVERAGEIFS($C$6:$C$2005,$B$6:$B$2005,B352,$A$6:$A$2005,E352),""))</f>
        <v/>
      </c>
      <c r="G352" s="34">
        <f>IF(F352="","",A352-E352)</f>
        <v/>
      </c>
      <c r="H352" s="42">
        <f>IF(OR(F352="",C352=""),"",IFERROR((C352-F352)/G352,""))</f>
        <v/>
      </c>
      <c r="I352" s="39">
        <f>IF(B352="","",IFERROR(INDEX('Animais'!$M$6:$M$1005,MATCH(B352,'Animais'!$A$6:$A$1005,0)),"Brinco não cadastrado"))</f>
        <v/>
      </c>
    </row>
    <row r="353">
      <c r="A353" s="31" t="n"/>
      <c r="B353" s="36" t="n"/>
      <c r="C353" s="38" t="n"/>
      <c r="D353" s="32" t="n"/>
      <c r="E353" s="43">
        <f>IF(OR(A353="",B353=""),"",SUMPRODUCT(MAX(($B$6:$B$2005=B353)*($A$6:$A$2005&lt;A353)*$A$6:$A$2005)))</f>
        <v/>
      </c>
      <c r="F353" s="41">
        <f>IF(OR(E353="",E353=0),"",IFERROR(AVERAGEIFS($C$6:$C$2005,$B$6:$B$2005,B353,$A$6:$A$2005,E353),""))</f>
        <v/>
      </c>
      <c r="G353" s="34">
        <f>IF(F353="","",A353-E353)</f>
        <v/>
      </c>
      <c r="H353" s="42">
        <f>IF(OR(F353="",C353=""),"",IFERROR((C353-F353)/G353,""))</f>
        <v/>
      </c>
      <c r="I353" s="39">
        <f>IF(B353="","",IFERROR(INDEX('Animais'!$M$6:$M$1005,MATCH(B353,'Animais'!$A$6:$A$1005,0)),"Brinco não cadastrado"))</f>
        <v/>
      </c>
    </row>
    <row r="354">
      <c r="A354" s="31" t="n"/>
      <c r="B354" s="36" t="n"/>
      <c r="C354" s="38" t="n"/>
      <c r="D354" s="32" t="n"/>
      <c r="E354" s="43">
        <f>IF(OR(A354="",B354=""),"",SUMPRODUCT(MAX(($B$6:$B$2005=B354)*($A$6:$A$2005&lt;A354)*$A$6:$A$2005)))</f>
        <v/>
      </c>
      <c r="F354" s="41">
        <f>IF(OR(E354="",E354=0),"",IFERROR(AVERAGEIFS($C$6:$C$2005,$B$6:$B$2005,B354,$A$6:$A$2005,E354),""))</f>
        <v/>
      </c>
      <c r="G354" s="34">
        <f>IF(F354="","",A354-E354)</f>
        <v/>
      </c>
      <c r="H354" s="42">
        <f>IF(OR(F354="",C354=""),"",IFERROR((C354-F354)/G354,""))</f>
        <v/>
      </c>
      <c r="I354" s="39">
        <f>IF(B354="","",IFERROR(INDEX('Animais'!$M$6:$M$1005,MATCH(B354,'Animais'!$A$6:$A$1005,0)),"Brinco não cadastrado"))</f>
        <v/>
      </c>
    </row>
    <row r="355">
      <c r="A355" s="31" t="n"/>
      <c r="B355" s="36" t="n"/>
      <c r="C355" s="38" t="n"/>
      <c r="D355" s="32" t="n"/>
      <c r="E355" s="43">
        <f>IF(OR(A355="",B355=""),"",SUMPRODUCT(MAX(($B$6:$B$2005=B355)*($A$6:$A$2005&lt;A355)*$A$6:$A$2005)))</f>
        <v/>
      </c>
      <c r="F355" s="41">
        <f>IF(OR(E355="",E355=0),"",IFERROR(AVERAGEIFS($C$6:$C$2005,$B$6:$B$2005,B355,$A$6:$A$2005,E355),""))</f>
        <v/>
      </c>
      <c r="G355" s="34">
        <f>IF(F355="","",A355-E355)</f>
        <v/>
      </c>
      <c r="H355" s="42">
        <f>IF(OR(F355="",C355=""),"",IFERROR((C355-F355)/G355,""))</f>
        <v/>
      </c>
      <c r="I355" s="39">
        <f>IF(B355="","",IFERROR(INDEX('Animais'!$M$6:$M$1005,MATCH(B355,'Animais'!$A$6:$A$1005,0)),"Brinco não cadastrado"))</f>
        <v/>
      </c>
    </row>
    <row r="356">
      <c r="A356" s="31" t="n"/>
      <c r="B356" s="36" t="n"/>
      <c r="C356" s="38" t="n"/>
      <c r="D356" s="32" t="n"/>
      <c r="E356" s="43">
        <f>IF(OR(A356="",B356=""),"",SUMPRODUCT(MAX(($B$6:$B$2005=B356)*($A$6:$A$2005&lt;A356)*$A$6:$A$2005)))</f>
        <v/>
      </c>
      <c r="F356" s="41">
        <f>IF(OR(E356="",E356=0),"",IFERROR(AVERAGEIFS($C$6:$C$2005,$B$6:$B$2005,B356,$A$6:$A$2005,E356),""))</f>
        <v/>
      </c>
      <c r="G356" s="34">
        <f>IF(F356="","",A356-E356)</f>
        <v/>
      </c>
      <c r="H356" s="42">
        <f>IF(OR(F356="",C356=""),"",IFERROR((C356-F356)/G356,""))</f>
        <v/>
      </c>
      <c r="I356" s="39">
        <f>IF(B356="","",IFERROR(INDEX('Animais'!$M$6:$M$1005,MATCH(B356,'Animais'!$A$6:$A$1005,0)),"Brinco não cadastrado"))</f>
        <v/>
      </c>
    </row>
    <row r="357">
      <c r="A357" s="31" t="n"/>
      <c r="B357" s="36" t="n"/>
      <c r="C357" s="38" t="n"/>
      <c r="D357" s="32" t="n"/>
      <c r="E357" s="43">
        <f>IF(OR(A357="",B357=""),"",SUMPRODUCT(MAX(($B$6:$B$2005=B357)*($A$6:$A$2005&lt;A357)*$A$6:$A$2005)))</f>
        <v/>
      </c>
      <c r="F357" s="41">
        <f>IF(OR(E357="",E357=0),"",IFERROR(AVERAGEIFS($C$6:$C$2005,$B$6:$B$2005,B357,$A$6:$A$2005,E357),""))</f>
        <v/>
      </c>
      <c r="G357" s="34">
        <f>IF(F357="","",A357-E357)</f>
        <v/>
      </c>
      <c r="H357" s="42">
        <f>IF(OR(F357="",C357=""),"",IFERROR((C357-F357)/G357,""))</f>
        <v/>
      </c>
      <c r="I357" s="39">
        <f>IF(B357="","",IFERROR(INDEX('Animais'!$M$6:$M$1005,MATCH(B357,'Animais'!$A$6:$A$1005,0)),"Brinco não cadastrado"))</f>
        <v/>
      </c>
    </row>
    <row r="358">
      <c r="A358" s="31" t="n"/>
      <c r="B358" s="36" t="n"/>
      <c r="C358" s="38" t="n"/>
      <c r="D358" s="32" t="n"/>
      <c r="E358" s="43">
        <f>IF(OR(A358="",B358=""),"",SUMPRODUCT(MAX(($B$6:$B$2005=B358)*($A$6:$A$2005&lt;A358)*$A$6:$A$2005)))</f>
        <v/>
      </c>
      <c r="F358" s="41">
        <f>IF(OR(E358="",E358=0),"",IFERROR(AVERAGEIFS($C$6:$C$2005,$B$6:$B$2005,B358,$A$6:$A$2005,E358),""))</f>
        <v/>
      </c>
      <c r="G358" s="34">
        <f>IF(F358="","",A358-E358)</f>
        <v/>
      </c>
      <c r="H358" s="42">
        <f>IF(OR(F358="",C358=""),"",IFERROR((C358-F358)/G358,""))</f>
        <v/>
      </c>
      <c r="I358" s="39">
        <f>IF(B358="","",IFERROR(INDEX('Animais'!$M$6:$M$1005,MATCH(B358,'Animais'!$A$6:$A$1005,0)),"Brinco não cadastrado"))</f>
        <v/>
      </c>
    </row>
    <row r="359">
      <c r="A359" s="31" t="n"/>
      <c r="B359" s="36" t="n"/>
      <c r="C359" s="38" t="n"/>
      <c r="D359" s="32" t="n"/>
      <c r="E359" s="43">
        <f>IF(OR(A359="",B359=""),"",SUMPRODUCT(MAX(($B$6:$B$2005=B359)*($A$6:$A$2005&lt;A359)*$A$6:$A$2005)))</f>
        <v/>
      </c>
      <c r="F359" s="41">
        <f>IF(OR(E359="",E359=0),"",IFERROR(AVERAGEIFS($C$6:$C$2005,$B$6:$B$2005,B359,$A$6:$A$2005,E359),""))</f>
        <v/>
      </c>
      <c r="G359" s="34">
        <f>IF(F359="","",A359-E359)</f>
        <v/>
      </c>
      <c r="H359" s="42">
        <f>IF(OR(F359="",C359=""),"",IFERROR((C359-F359)/G359,""))</f>
        <v/>
      </c>
      <c r="I359" s="39">
        <f>IF(B359="","",IFERROR(INDEX('Animais'!$M$6:$M$1005,MATCH(B359,'Animais'!$A$6:$A$1005,0)),"Brinco não cadastrado"))</f>
        <v/>
      </c>
    </row>
    <row r="360">
      <c r="A360" s="31" t="n"/>
      <c r="B360" s="36" t="n"/>
      <c r="C360" s="38" t="n"/>
      <c r="D360" s="32" t="n"/>
      <c r="E360" s="43">
        <f>IF(OR(A360="",B360=""),"",SUMPRODUCT(MAX(($B$6:$B$2005=B360)*($A$6:$A$2005&lt;A360)*$A$6:$A$2005)))</f>
        <v/>
      </c>
      <c r="F360" s="41">
        <f>IF(OR(E360="",E360=0),"",IFERROR(AVERAGEIFS($C$6:$C$2005,$B$6:$B$2005,B360,$A$6:$A$2005,E360),""))</f>
        <v/>
      </c>
      <c r="G360" s="34">
        <f>IF(F360="","",A360-E360)</f>
        <v/>
      </c>
      <c r="H360" s="42">
        <f>IF(OR(F360="",C360=""),"",IFERROR((C360-F360)/G360,""))</f>
        <v/>
      </c>
      <c r="I360" s="39">
        <f>IF(B360="","",IFERROR(INDEX('Animais'!$M$6:$M$1005,MATCH(B360,'Animais'!$A$6:$A$1005,0)),"Brinco não cadastrado"))</f>
        <v/>
      </c>
    </row>
    <row r="361">
      <c r="A361" s="31" t="n"/>
      <c r="B361" s="36" t="n"/>
      <c r="C361" s="38" t="n"/>
      <c r="D361" s="32" t="n"/>
      <c r="E361" s="43">
        <f>IF(OR(A361="",B361=""),"",SUMPRODUCT(MAX(($B$6:$B$2005=B361)*($A$6:$A$2005&lt;A361)*$A$6:$A$2005)))</f>
        <v/>
      </c>
      <c r="F361" s="41">
        <f>IF(OR(E361="",E361=0),"",IFERROR(AVERAGEIFS($C$6:$C$2005,$B$6:$B$2005,B361,$A$6:$A$2005,E361),""))</f>
        <v/>
      </c>
      <c r="G361" s="34">
        <f>IF(F361="","",A361-E361)</f>
        <v/>
      </c>
      <c r="H361" s="42">
        <f>IF(OR(F361="",C361=""),"",IFERROR((C361-F361)/G361,""))</f>
        <v/>
      </c>
      <c r="I361" s="39">
        <f>IF(B361="","",IFERROR(INDEX('Animais'!$M$6:$M$1005,MATCH(B361,'Animais'!$A$6:$A$1005,0)),"Brinco não cadastrado"))</f>
        <v/>
      </c>
    </row>
    <row r="362">
      <c r="A362" s="31" t="n"/>
      <c r="B362" s="36" t="n"/>
      <c r="C362" s="38" t="n"/>
      <c r="D362" s="32" t="n"/>
      <c r="E362" s="43">
        <f>IF(OR(A362="",B362=""),"",SUMPRODUCT(MAX(($B$6:$B$2005=B362)*($A$6:$A$2005&lt;A362)*$A$6:$A$2005)))</f>
        <v/>
      </c>
      <c r="F362" s="41">
        <f>IF(OR(E362="",E362=0),"",IFERROR(AVERAGEIFS($C$6:$C$2005,$B$6:$B$2005,B362,$A$6:$A$2005,E362),""))</f>
        <v/>
      </c>
      <c r="G362" s="34">
        <f>IF(F362="","",A362-E362)</f>
        <v/>
      </c>
      <c r="H362" s="42">
        <f>IF(OR(F362="",C362=""),"",IFERROR((C362-F362)/G362,""))</f>
        <v/>
      </c>
      <c r="I362" s="39">
        <f>IF(B362="","",IFERROR(INDEX('Animais'!$M$6:$M$1005,MATCH(B362,'Animais'!$A$6:$A$1005,0)),"Brinco não cadastrado"))</f>
        <v/>
      </c>
    </row>
    <row r="363">
      <c r="A363" s="31" t="n"/>
      <c r="B363" s="36" t="n"/>
      <c r="C363" s="38" t="n"/>
      <c r="D363" s="32" t="n"/>
      <c r="E363" s="43">
        <f>IF(OR(A363="",B363=""),"",SUMPRODUCT(MAX(($B$6:$B$2005=B363)*($A$6:$A$2005&lt;A363)*$A$6:$A$2005)))</f>
        <v/>
      </c>
      <c r="F363" s="41">
        <f>IF(OR(E363="",E363=0),"",IFERROR(AVERAGEIFS($C$6:$C$2005,$B$6:$B$2005,B363,$A$6:$A$2005,E363),""))</f>
        <v/>
      </c>
      <c r="G363" s="34">
        <f>IF(F363="","",A363-E363)</f>
        <v/>
      </c>
      <c r="H363" s="42">
        <f>IF(OR(F363="",C363=""),"",IFERROR((C363-F363)/G363,""))</f>
        <v/>
      </c>
      <c r="I363" s="39">
        <f>IF(B363="","",IFERROR(INDEX('Animais'!$M$6:$M$1005,MATCH(B363,'Animais'!$A$6:$A$1005,0)),"Brinco não cadastrado"))</f>
        <v/>
      </c>
    </row>
    <row r="364">
      <c r="A364" s="31" t="n"/>
      <c r="B364" s="36" t="n"/>
      <c r="C364" s="38" t="n"/>
      <c r="D364" s="32" t="n"/>
      <c r="E364" s="43">
        <f>IF(OR(A364="",B364=""),"",SUMPRODUCT(MAX(($B$6:$B$2005=B364)*($A$6:$A$2005&lt;A364)*$A$6:$A$2005)))</f>
        <v/>
      </c>
      <c r="F364" s="41">
        <f>IF(OR(E364="",E364=0),"",IFERROR(AVERAGEIFS($C$6:$C$2005,$B$6:$B$2005,B364,$A$6:$A$2005,E364),""))</f>
        <v/>
      </c>
      <c r="G364" s="34">
        <f>IF(F364="","",A364-E364)</f>
        <v/>
      </c>
      <c r="H364" s="42">
        <f>IF(OR(F364="",C364=""),"",IFERROR((C364-F364)/G364,""))</f>
        <v/>
      </c>
      <c r="I364" s="39">
        <f>IF(B364="","",IFERROR(INDEX('Animais'!$M$6:$M$1005,MATCH(B364,'Animais'!$A$6:$A$1005,0)),"Brinco não cadastrado"))</f>
        <v/>
      </c>
    </row>
    <row r="365">
      <c r="A365" s="31" t="n"/>
      <c r="B365" s="36" t="n"/>
      <c r="C365" s="38" t="n"/>
      <c r="D365" s="32" t="n"/>
      <c r="E365" s="43">
        <f>IF(OR(A365="",B365=""),"",SUMPRODUCT(MAX(($B$6:$B$2005=B365)*($A$6:$A$2005&lt;A365)*$A$6:$A$2005)))</f>
        <v/>
      </c>
      <c r="F365" s="41">
        <f>IF(OR(E365="",E365=0),"",IFERROR(AVERAGEIFS($C$6:$C$2005,$B$6:$B$2005,B365,$A$6:$A$2005,E365),""))</f>
        <v/>
      </c>
      <c r="G365" s="34">
        <f>IF(F365="","",A365-E365)</f>
        <v/>
      </c>
      <c r="H365" s="42">
        <f>IF(OR(F365="",C365=""),"",IFERROR((C365-F365)/G365,""))</f>
        <v/>
      </c>
      <c r="I365" s="39">
        <f>IF(B365="","",IFERROR(INDEX('Animais'!$M$6:$M$1005,MATCH(B365,'Animais'!$A$6:$A$1005,0)),"Brinco não cadastrado"))</f>
        <v/>
      </c>
    </row>
    <row r="366">
      <c r="A366" s="31" t="n"/>
      <c r="B366" s="36" t="n"/>
      <c r="C366" s="38" t="n"/>
      <c r="D366" s="32" t="n"/>
      <c r="E366" s="43">
        <f>IF(OR(A366="",B366=""),"",SUMPRODUCT(MAX(($B$6:$B$2005=B366)*($A$6:$A$2005&lt;A366)*$A$6:$A$2005)))</f>
        <v/>
      </c>
      <c r="F366" s="41">
        <f>IF(OR(E366="",E366=0),"",IFERROR(AVERAGEIFS($C$6:$C$2005,$B$6:$B$2005,B366,$A$6:$A$2005,E366),""))</f>
        <v/>
      </c>
      <c r="G366" s="34">
        <f>IF(F366="","",A366-E366)</f>
        <v/>
      </c>
      <c r="H366" s="42">
        <f>IF(OR(F366="",C366=""),"",IFERROR((C366-F366)/G366,""))</f>
        <v/>
      </c>
      <c r="I366" s="39">
        <f>IF(B366="","",IFERROR(INDEX('Animais'!$M$6:$M$1005,MATCH(B366,'Animais'!$A$6:$A$1005,0)),"Brinco não cadastrado"))</f>
        <v/>
      </c>
    </row>
    <row r="367">
      <c r="A367" s="31" t="n"/>
      <c r="B367" s="36" t="n"/>
      <c r="C367" s="38" t="n"/>
      <c r="D367" s="32" t="n"/>
      <c r="E367" s="43">
        <f>IF(OR(A367="",B367=""),"",SUMPRODUCT(MAX(($B$6:$B$2005=B367)*($A$6:$A$2005&lt;A367)*$A$6:$A$2005)))</f>
        <v/>
      </c>
      <c r="F367" s="41">
        <f>IF(OR(E367="",E367=0),"",IFERROR(AVERAGEIFS($C$6:$C$2005,$B$6:$B$2005,B367,$A$6:$A$2005,E367),""))</f>
        <v/>
      </c>
      <c r="G367" s="34">
        <f>IF(F367="","",A367-E367)</f>
        <v/>
      </c>
      <c r="H367" s="42">
        <f>IF(OR(F367="",C367=""),"",IFERROR((C367-F367)/G367,""))</f>
        <v/>
      </c>
      <c r="I367" s="39">
        <f>IF(B367="","",IFERROR(INDEX('Animais'!$M$6:$M$1005,MATCH(B367,'Animais'!$A$6:$A$1005,0)),"Brinco não cadastrado"))</f>
        <v/>
      </c>
    </row>
    <row r="368">
      <c r="A368" s="31" t="n"/>
      <c r="B368" s="36" t="n"/>
      <c r="C368" s="38" t="n"/>
      <c r="D368" s="32" t="n"/>
      <c r="E368" s="43">
        <f>IF(OR(A368="",B368=""),"",SUMPRODUCT(MAX(($B$6:$B$2005=B368)*($A$6:$A$2005&lt;A368)*$A$6:$A$2005)))</f>
        <v/>
      </c>
      <c r="F368" s="41">
        <f>IF(OR(E368="",E368=0),"",IFERROR(AVERAGEIFS($C$6:$C$2005,$B$6:$B$2005,B368,$A$6:$A$2005,E368),""))</f>
        <v/>
      </c>
      <c r="G368" s="34">
        <f>IF(F368="","",A368-E368)</f>
        <v/>
      </c>
      <c r="H368" s="42">
        <f>IF(OR(F368="",C368=""),"",IFERROR((C368-F368)/G368,""))</f>
        <v/>
      </c>
      <c r="I368" s="39">
        <f>IF(B368="","",IFERROR(INDEX('Animais'!$M$6:$M$1005,MATCH(B368,'Animais'!$A$6:$A$1005,0)),"Brinco não cadastrado"))</f>
        <v/>
      </c>
    </row>
    <row r="369">
      <c r="A369" s="31" t="n"/>
      <c r="B369" s="36" t="n"/>
      <c r="C369" s="38" t="n"/>
      <c r="D369" s="32" t="n"/>
      <c r="E369" s="43">
        <f>IF(OR(A369="",B369=""),"",SUMPRODUCT(MAX(($B$6:$B$2005=B369)*($A$6:$A$2005&lt;A369)*$A$6:$A$2005)))</f>
        <v/>
      </c>
      <c r="F369" s="41">
        <f>IF(OR(E369="",E369=0),"",IFERROR(AVERAGEIFS($C$6:$C$2005,$B$6:$B$2005,B369,$A$6:$A$2005,E369),""))</f>
        <v/>
      </c>
      <c r="G369" s="34">
        <f>IF(F369="","",A369-E369)</f>
        <v/>
      </c>
      <c r="H369" s="42">
        <f>IF(OR(F369="",C369=""),"",IFERROR((C369-F369)/G369,""))</f>
        <v/>
      </c>
      <c r="I369" s="39">
        <f>IF(B369="","",IFERROR(INDEX('Animais'!$M$6:$M$1005,MATCH(B369,'Animais'!$A$6:$A$1005,0)),"Brinco não cadastrado"))</f>
        <v/>
      </c>
    </row>
    <row r="370">
      <c r="A370" s="31" t="n"/>
      <c r="B370" s="36" t="n"/>
      <c r="C370" s="38" t="n"/>
      <c r="D370" s="32" t="n"/>
      <c r="E370" s="43">
        <f>IF(OR(A370="",B370=""),"",SUMPRODUCT(MAX(($B$6:$B$2005=B370)*($A$6:$A$2005&lt;A370)*$A$6:$A$2005)))</f>
        <v/>
      </c>
      <c r="F370" s="41">
        <f>IF(OR(E370="",E370=0),"",IFERROR(AVERAGEIFS($C$6:$C$2005,$B$6:$B$2005,B370,$A$6:$A$2005,E370),""))</f>
        <v/>
      </c>
      <c r="G370" s="34">
        <f>IF(F370="","",A370-E370)</f>
        <v/>
      </c>
      <c r="H370" s="42">
        <f>IF(OR(F370="",C370=""),"",IFERROR((C370-F370)/G370,""))</f>
        <v/>
      </c>
      <c r="I370" s="39">
        <f>IF(B370="","",IFERROR(INDEX('Animais'!$M$6:$M$1005,MATCH(B370,'Animais'!$A$6:$A$1005,0)),"Brinco não cadastrado"))</f>
        <v/>
      </c>
    </row>
    <row r="371">
      <c r="A371" s="31" t="n"/>
      <c r="B371" s="36" t="n"/>
      <c r="C371" s="38" t="n"/>
      <c r="D371" s="32" t="n"/>
      <c r="E371" s="43">
        <f>IF(OR(A371="",B371=""),"",SUMPRODUCT(MAX(($B$6:$B$2005=B371)*($A$6:$A$2005&lt;A371)*$A$6:$A$2005)))</f>
        <v/>
      </c>
      <c r="F371" s="41">
        <f>IF(OR(E371="",E371=0),"",IFERROR(AVERAGEIFS($C$6:$C$2005,$B$6:$B$2005,B371,$A$6:$A$2005,E371),""))</f>
        <v/>
      </c>
      <c r="G371" s="34">
        <f>IF(F371="","",A371-E371)</f>
        <v/>
      </c>
      <c r="H371" s="42">
        <f>IF(OR(F371="",C371=""),"",IFERROR((C371-F371)/G371,""))</f>
        <v/>
      </c>
      <c r="I371" s="39">
        <f>IF(B371="","",IFERROR(INDEX('Animais'!$M$6:$M$1005,MATCH(B371,'Animais'!$A$6:$A$1005,0)),"Brinco não cadastrado"))</f>
        <v/>
      </c>
    </row>
    <row r="372">
      <c r="A372" s="31" t="n"/>
      <c r="B372" s="36" t="n"/>
      <c r="C372" s="38" t="n"/>
      <c r="D372" s="32" t="n"/>
      <c r="E372" s="43">
        <f>IF(OR(A372="",B372=""),"",SUMPRODUCT(MAX(($B$6:$B$2005=B372)*($A$6:$A$2005&lt;A372)*$A$6:$A$2005)))</f>
        <v/>
      </c>
      <c r="F372" s="41">
        <f>IF(OR(E372="",E372=0),"",IFERROR(AVERAGEIFS($C$6:$C$2005,$B$6:$B$2005,B372,$A$6:$A$2005,E372),""))</f>
        <v/>
      </c>
      <c r="G372" s="34">
        <f>IF(F372="","",A372-E372)</f>
        <v/>
      </c>
      <c r="H372" s="42">
        <f>IF(OR(F372="",C372=""),"",IFERROR((C372-F372)/G372,""))</f>
        <v/>
      </c>
      <c r="I372" s="39">
        <f>IF(B372="","",IFERROR(INDEX('Animais'!$M$6:$M$1005,MATCH(B372,'Animais'!$A$6:$A$1005,0)),"Brinco não cadastrado"))</f>
        <v/>
      </c>
    </row>
    <row r="373">
      <c r="A373" s="31" t="n"/>
      <c r="B373" s="36" t="n"/>
      <c r="C373" s="38" t="n"/>
      <c r="D373" s="32" t="n"/>
      <c r="E373" s="43">
        <f>IF(OR(A373="",B373=""),"",SUMPRODUCT(MAX(($B$6:$B$2005=B373)*($A$6:$A$2005&lt;A373)*$A$6:$A$2005)))</f>
        <v/>
      </c>
      <c r="F373" s="41">
        <f>IF(OR(E373="",E373=0),"",IFERROR(AVERAGEIFS($C$6:$C$2005,$B$6:$B$2005,B373,$A$6:$A$2005,E373),""))</f>
        <v/>
      </c>
      <c r="G373" s="34">
        <f>IF(F373="","",A373-E373)</f>
        <v/>
      </c>
      <c r="H373" s="42">
        <f>IF(OR(F373="",C373=""),"",IFERROR((C373-F373)/G373,""))</f>
        <v/>
      </c>
      <c r="I373" s="39">
        <f>IF(B373="","",IFERROR(INDEX('Animais'!$M$6:$M$1005,MATCH(B373,'Animais'!$A$6:$A$1005,0)),"Brinco não cadastrado"))</f>
        <v/>
      </c>
    </row>
    <row r="374">
      <c r="A374" s="31" t="n"/>
      <c r="B374" s="36" t="n"/>
      <c r="C374" s="38" t="n"/>
      <c r="D374" s="32" t="n"/>
      <c r="E374" s="43">
        <f>IF(OR(A374="",B374=""),"",SUMPRODUCT(MAX(($B$6:$B$2005=B374)*($A$6:$A$2005&lt;A374)*$A$6:$A$2005)))</f>
        <v/>
      </c>
      <c r="F374" s="41">
        <f>IF(OR(E374="",E374=0),"",IFERROR(AVERAGEIFS($C$6:$C$2005,$B$6:$B$2005,B374,$A$6:$A$2005,E374),""))</f>
        <v/>
      </c>
      <c r="G374" s="34">
        <f>IF(F374="","",A374-E374)</f>
        <v/>
      </c>
      <c r="H374" s="42">
        <f>IF(OR(F374="",C374=""),"",IFERROR((C374-F374)/G374,""))</f>
        <v/>
      </c>
      <c r="I374" s="39">
        <f>IF(B374="","",IFERROR(INDEX('Animais'!$M$6:$M$1005,MATCH(B374,'Animais'!$A$6:$A$1005,0)),"Brinco não cadastrado"))</f>
        <v/>
      </c>
    </row>
    <row r="375">
      <c r="A375" s="31" t="n"/>
      <c r="B375" s="36" t="n"/>
      <c r="C375" s="38" t="n"/>
      <c r="D375" s="32" t="n"/>
      <c r="E375" s="43">
        <f>IF(OR(A375="",B375=""),"",SUMPRODUCT(MAX(($B$6:$B$2005=B375)*($A$6:$A$2005&lt;A375)*$A$6:$A$2005)))</f>
        <v/>
      </c>
      <c r="F375" s="41">
        <f>IF(OR(E375="",E375=0),"",IFERROR(AVERAGEIFS($C$6:$C$2005,$B$6:$B$2005,B375,$A$6:$A$2005,E375),""))</f>
        <v/>
      </c>
      <c r="G375" s="34">
        <f>IF(F375="","",A375-E375)</f>
        <v/>
      </c>
      <c r="H375" s="42">
        <f>IF(OR(F375="",C375=""),"",IFERROR((C375-F375)/G375,""))</f>
        <v/>
      </c>
      <c r="I375" s="39">
        <f>IF(B375="","",IFERROR(INDEX('Animais'!$M$6:$M$1005,MATCH(B375,'Animais'!$A$6:$A$1005,0)),"Brinco não cadastrado"))</f>
        <v/>
      </c>
    </row>
    <row r="376">
      <c r="A376" s="31" t="n"/>
      <c r="B376" s="36" t="n"/>
      <c r="C376" s="38" t="n"/>
      <c r="D376" s="32" t="n"/>
      <c r="E376" s="43">
        <f>IF(OR(A376="",B376=""),"",SUMPRODUCT(MAX(($B$6:$B$2005=B376)*($A$6:$A$2005&lt;A376)*$A$6:$A$2005)))</f>
        <v/>
      </c>
      <c r="F376" s="41">
        <f>IF(OR(E376="",E376=0),"",IFERROR(AVERAGEIFS($C$6:$C$2005,$B$6:$B$2005,B376,$A$6:$A$2005,E376),""))</f>
        <v/>
      </c>
      <c r="G376" s="34">
        <f>IF(F376="","",A376-E376)</f>
        <v/>
      </c>
      <c r="H376" s="42">
        <f>IF(OR(F376="",C376=""),"",IFERROR((C376-F376)/G376,""))</f>
        <v/>
      </c>
      <c r="I376" s="39">
        <f>IF(B376="","",IFERROR(INDEX('Animais'!$M$6:$M$1005,MATCH(B376,'Animais'!$A$6:$A$1005,0)),"Brinco não cadastrado"))</f>
        <v/>
      </c>
    </row>
    <row r="377">
      <c r="A377" s="31" t="n"/>
      <c r="B377" s="36" t="n"/>
      <c r="C377" s="38" t="n"/>
      <c r="D377" s="32" t="n"/>
      <c r="E377" s="43">
        <f>IF(OR(A377="",B377=""),"",SUMPRODUCT(MAX(($B$6:$B$2005=B377)*($A$6:$A$2005&lt;A377)*$A$6:$A$2005)))</f>
        <v/>
      </c>
      <c r="F377" s="41">
        <f>IF(OR(E377="",E377=0),"",IFERROR(AVERAGEIFS($C$6:$C$2005,$B$6:$B$2005,B377,$A$6:$A$2005,E377),""))</f>
        <v/>
      </c>
      <c r="G377" s="34">
        <f>IF(F377="","",A377-E377)</f>
        <v/>
      </c>
      <c r="H377" s="42">
        <f>IF(OR(F377="",C377=""),"",IFERROR((C377-F377)/G377,""))</f>
        <v/>
      </c>
      <c r="I377" s="39">
        <f>IF(B377="","",IFERROR(INDEX('Animais'!$M$6:$M$1005,MATCH(B377,'Animais'!$A$6:$A$1005,0)),"Brinco não cadastrado"))</f>
        <v/>
      </c>
    </row>
    <row r="378">
      <c r="A378" s="31" t="n"/>
      <c r="B378" s="36" t="n"/>
      <c r="C378" s="38" t="n"/>
      <c r="D378" s="32" t="n"/>
      <c r="E378" s="43">
        <f>IF(OR(A378="",B378=""),"",SUMPRODUCT(MAX(($B$6:$B$2005=B378)*($A$6:$A$2005&lt;A378)*$A$6:$A$2005)))</f>
        <v/>
      </c>
      <c r="F378" s="41">
        <f>IF(OR(E378="",E378=0),"",IFERROR(AVERAGEIFS($C$6:$C$2005,$B$6:$B$2005,B378,$A$6:$A$2005,E378),""))</f>
        <v/>
      </c>
      <c r="G378" s="34">
        <f>IF(F378="","",A378-E378)</f>
        <v/>
      </c>
      <c r="H378" s="42">
        <f>IF(OR(F378="",C378=""),"",IFERROR((C378-F378)/G378,""))</f>
        <v/>
      </c>
      <c r="I378" s="39">
        <f>IF(B378="","",IFERROR(INDEX('Animais'!$M$6:$M$1005,MATCH(B378,'Animais'!$A$6:$A$1005,0)),"Brinco não cadastrado"))</f>
        <v/>
      </c>
    </row>
    <row r="379">
      <c r="A379" s="31" t="n"/>
      <c r="B379" s="36" t="n"/>
      <c r="C379" s="38" t="n"/>
      <c r="D379" s="32" t="n"/>
      <c r="E379" s="43">
        <f>IF(OR(A379="",B379=""),"",SUMPRODUCT(MAX(($B$6:$B$2005=B379)*($A$6:$A$2005&lt;A379)*$A$6:$A$2005)))</f>
        <v/>
      </c>
      <c r="F379" s="41">
        <f>IF(OR(E379="",E379=0),"",IFERROR(AVERAGEIFS($C$6:$C$2005,$B$6:$B$2005,B379,$A$6:$A$2005,E379),""))</f>
        <v/>
      </c>
      <c r="G379" s="34">
        <f>IF(F379="","",A379-E379)</f>
        <v/>
      </c>
      <c r="H379" s="42">
        <f>IF(OR(F379="",C379=""),"",IFERROR((C379-F379)/G379,""))</f>
        <v/>
      </c>
      <c r="I379" s="39">
        <f>IF(B379="","",IFERROR(INDEX('Animais'!$M$6:$M$1005,MATCH(B379,'Animais'!$A$6:$A$1005,0)),"Brinco não cadastrado"))</f>
        <v/>
      </c>
    </row>
    <row r="380">
      <c r="A380" s="31" t="n"/>
      <c r="B380" s="36" t="n"/>
      <c r="C380" s="38" t="n"/>
      <c r="D380" s="32" t="n"/>
      <c r="E380" s="43">
        <f>IF(OR(A380="",B380=""),"",SUMPRODUCT(MAX(($B$6:$B$2005=B380)*($A$6:$A$2005&lt;A380)*$A$6:$A$2005)))</f>
        <v/>
      </c>
      <c r="F380" s="41">
        <f>IF(OR(E380="",E380=0),"",IFERROR(AVERAGEIFS($C$6:$C$2005,$B$6:$B$2005,B380,$A$6:$A$2005,E380),""))</f>
        <v/>
      </c>
      <c r="G380" s="34">
        <f>IF(F380="","",A380-E380)</f>
        <v/>
      </c>
      <c r="H380" s="42">
        <f>IF(OR(F380="",C380=""),"",IFERROR((C380-F380)/G380,""))</f>
        <v/>
      </c>
      <c r="I380" s="39">
        <f>IF(B380="","",IFERROR(INDEX('Animais'!$M$6:$M$1005,MATCH(B380,'Animais'!$A$6:$A$1005,0)),"Brinco não cadastrado"))</f>
        <v/>
      </c>
    </row>
    <row r="381">
      <c r="A381" s="31" t="n"/>
      <c r="B381" s="36" t="n"/>
      <c r="C381" s="38" t="n"/>
      <c r="D381" s="32" t="n"/>
      <c r="E381" s="43">
        <f>IF(OR(A381="",B381=""),"",SUMPRODUCT(MAX(($B$6:$B$2005=B381)*($A$6:$A$2005&lt;A381)*$A$6:$A$2005)))</f>
        <v/>
      </c>
      <c r="F381" s="41">
        <f>IF(OR(E381="",E381=0),"",IFERROR(AVERAGEIFS($C$6:$C$2005,$B$6:$B$2005,B381,$A$6:$A$2005,E381),""))</f>
        <v/>
      </c>
      <c r="G381" s="34">
        <f>IF(F381="","",A381-E381)</f>
        <v/>
      </c>
      <c r="H381" s="42">
        <f>IF(OR(F381="",C381=""),"",IFERROR((C381-F381)/G381,""))</f>
        <v/>
      </c>
      <c r="I381" s="39">
        <f>IF(B381="","",IFERROR(INDEX('Animais'!$M$6:$M$1005,MATCH(B381,'Animais'!$A$6:$A$1005,0)),"Brinco não cadastrado"))</f>
        <v/>
      </c>
    </row>
    <row r="382">
      <c r="A382" s="31" t="n"/>
      <c r="B382" s="36" t="n"/>
      <c r="C382" s="38" t="n"/>
      <c r="D382" s="32" t="n"/>
      <c r="E382" s="43">
        <f>IF(OR(A382="",B382=""),"",SUMPRODUCT(MAX(($B$6:$B$2005=B382)*($A$6:$A$2005&lt;A382)*$A$6:$A$2005)))</f>
        <v/>
      </c>
      <c r="F382" s="41">
        <f>IF(OR(E382="",E382=0),"",IFERROR(AVERAGEIFS($C$6:$C$2005,$B$6:$B$2005,B382,$A$6:$A$2005,E382),""))</f>
        <v/>
      </c>
      <c r="G382" s="34">
        <f>IF(F382="","",A382-E382)</f>
        <v/>
      </c>
      <c r="H382" s="42">
        <f>IF(OR(F382="",C382=""),"",IFERROR((C382-F382)/G382,""))</f>
        <v/>
      </c>
      <c r="I382" s="39">
        <f>IF(B382="","",IFERROR(INDEX('Animais'!$M$6:$M$1005,MATCH(B382,'Animais'!$A$6:$A$1005,0)),"Brinco não cadastrado"))</f>
        <v/>
      </c>
    </row>
    <row r="383">
      <c r="A383" s="31" t="n"/>
      <c r="B383" s="36" t="n"/>
      <c r="C383" s="38" t="n"/>
      <c r="D383" s="32" t="n"/>
      <c r="E383" s="43">
        <f>IF(OR(A383="",B383=""),"",SUMPRODUCT(MAX(($B$6:$B$2005=B383)*($A$6:$A$2005&lt;A383)*$A$6:$A$2005)))</f>
        <v/>
      </c>
      <c r="F383" s="41">
        <f>IF(OR(E383="",E383=0),"",IFERROR(AVERAGEIFS($C$6:$C$2005,$B$6:$B$2005,B383,$A$6:$A$2005,E383),""))</f>
        <v/>
      </c>
      <c r="G383" s="34">
        <f>IF(F383="","",A383-E383)</f>
        <v/>
      </c>
      <c r="H383" s="42">
        <f>IF(OR(F383="",C383=""),"",IFERROR((C383-F383)/G383,""))</f>
        <v/>
      </c>
      <c r="I383" s="39">
        <f>IF(B383="","",IFERROR(INDEX('Animais'!$M$6:$M$1005,MATCH(B383,'Animais'!$A$6:$A$1005,0)),"Brinco não cadastrado"))</f>
        <v/>
      </c>
    </row>
    <row r="384">
      <c r="A384" s="31" t="n"/>
      <c r="B384" s="36" t="n"/>
      <c r="C384" s="38" t="n"/>
      <c r="D384" s="32" t="n"/>
      <c r="E384" s="43">
        <f>IF(OR(A384="",B384=""),"",SUMPRODUCT(MAX(($B$6:$B$2005=B384)*($A$6:$A$2005&lt;A384)*$A$6:$A$2005)))</f>
        <v/>
      </c>
      <c r="F384" s="41">
        <f>IF(OR(E384="",E384=0),"",IFERROR(AVERAGEIFS($C$6:$C$2005,$B$6:$B$2005,B384,$A$6:$A$2005,E384),""))</f>
        <v/>
      </c>
      <c r="G384" s="34">
        <f>IF(F384="","",A384-E384)</f>
        <v/>
      </c>
      <c r="H384" s="42">
        <f>IF(OR(F384="",C384=""),"",IFERROR((C384-F384)/G384,""))</f>
        <v/>
      </c>
      <c r="I384" s="39">
        <f>IF(B384="","",IFERROR(INDEX('Animais'!$M$6:$M$1005,MATCH(B384,'Animais'!$A$6:$A$1005,0)),"Brinco não cadastrado"))</f>
        <v/>
      </c>
    </row>
    <row r="385">
      <c r="A385" s="31" t="n"/>
      <c r="B385" s="36" t="n"/>
      <c r="C385" s="38" t="n"/>
      <c r="D385" s="32" t="n"/>
      <c r="E385" s="43">
        <f>IF(OR(A385="",B385=""),"",SUMPRODUCT(MAX(($B$6:$B$2005=B385)*($A$6:$A$2005&lt;A385)*$A$6:$A$2005)))</f>
        <v/>
      </c>
      <c r="F385" s="41">
        <f>IF(OR(E385="",E385=0),"",IFERROR(AVERAGEIFS($C$6:$C$2005,$B$6:$B$2005,B385,$A$6:$A$2005,E385),""))</f>
        <v/>
      </c>
      <c r="G385" s="34">
        <f>IF(F385="","",A385-E385)</f>
        <v/>
      </c>
      <c r="H385" s="42">
        <f>IF(OR(F385="",C385=""),"",IFERROR((C385-F385)/G385,""))</f>
        <v/>
      </c>
      <c r="I385" s="39">
        <f>IF(B385="","",IFERROR(INDEX('Animais'!$M$6:$M$1005,MATCH(B385,'Animais'!$A$6:$A$1005,0)),"Brinco não cadastrado"))</f>
        <v/>
      </c>
    </row>
    <row r="386">
      <c r="A386" s="31" t="n"/>
      <c r="B386" s="36" t="n"/>
      <c r="C386" s="38" t="n"/>
      <c r="D386" s="32" t="n"/>
      <c r="E386" s="43">
        <f>IF(OR(A386="",B386=""),"",SUMPRODUCT(MAX(($B$6:$B$2005=B386)*($A$6:$A$2005&lt;A386)*$A$6:$A$2005)))</f>
        <v/>
      </c>
      <c r="F386" s="41">
        <f>IF(OR(E386="",E386=0),"",IFERROR(AVERAGEIFS($C$6:$C$2005,$B$6:$B$2005,B386,$A$6:$A$2005,E386),""))</f>
        <v/>
      </c>
      <c r="G386" s="34">
        <f>IF(F386="","",A386-E386)</f>
        <v/>
      </c>
      <c r="H386" s="42">
        <f>IF(OR(F386="",C386=""),"",IFERROR((C386-F386)/G386,""))</f>
        <v/>
      </c>
      <c r="I386" s="39">
        <f>IF(B386="","",IFERROR(INDEX('Animais'!$M$6:$M$1005,MATCH(B386,'Animais'!$A$6:$A$1005,0)),"Brinco não cadastrado"))</f>
        <v/>
      </c>
    </row>
    <row r="387">
      <c r="A387" s="31" t="n"/>
      <c r="B387" s="36" t="n"/>
      <c r="C387" s="38" t="n"/>
      <c r="D387" s="32" t="n"/>
      <c r="E387" s="43">
        <f>IF(OR(A387="",B387=""),"",SUMPRODUCT(MAX(($B$6:$B$2005=B387)*($A$6:$A$2005&lt;A387)*$A$6:$A$2005)))</f>
        <v/>
      </c>
      <c r="F387" s="41">
        <f>IF(OR(E387="",E387=0),"",IFERROR(AVERAGEIFS($C$6:$C$2005,$B$6:$B$2005,B387,$A$6:$A$2005,E387),""))</f>
        <v/>
      </c>
      <c r="G387" s="34">
        <f>IF(F387="","",A387-E387)</f>
        <v/>
      </c>
      <c r="H387" s="42">
        <f>IF(OR(F387="",C387=""),"",IFERROR((C387-F387)/G387,""))</f>
        <v/>
      </c>
      <c r="I387" s="39">
        <f>IF(B387="","",IFERROR(INDEX('Animais'!$M$6:$M$1005,MATCH(B387,'Animais'!$A$6:$A$1005,0)),"Brinco não cadastrado"))</f>
        <v/>
      </c>
    </row>
    <row r="388">
      <c r="A388" s="31" t="n"/>
      <c r="B388" s="36" t="n"/>
      <c r="C388" s="38" t="n"/>
      <c r="D388" s="32" t="n"/>
      <c r="E388" s="43">
        <f>IF(OR(A388="",B388=""),"",SUMPRODUCT(MAX(($B$6:$B$2005=B388)*($A$6:$A$2005&lt;A388)*$A$6:$A$2005)))</f>
        <v/>
      </c>
      <c r="F388" s="41">
        <f>IF(OR(E388="",E388=0),"",IFERROR(AVERAGEIFS($C$6:$C$2005,$B$6:$B$2005,B388,$A$6:$A$2005,E388),""))</f>
        <v/>
      </c>
      <c r="G388" s="34">
        <f>IF(F388="","",A388-E388)</f>
        <v/>
      </c>
      <c r="H388" s="42">
        <f>IF(OR(F388="",C388=""),"",IFERROR((C388-F388)/G388,""))</f>
        <v/>
      </c>
      <c r="I388" s="39">
        <f>IF(B388="","",IFERROR(INDEX('Animais'!$M$6:$M$1005,MATCH(B388,'Animais'!$A$6:$A$1005,0)),"Brinco não cadastrado"))</f>
        <v/>
      </c>
    </row>
    <row r="389">
      <c r="A389" s="31" t="n"/>
      <c r="B389" s="36" t="n"/>
      <c r="C389" s="38" t="n"/>
      <c r="D389" s="32" t="n"/>
      <c r="E389" s="43">
        <f>IF(OR(A389="",B389=""),"",SUMPRODUCT(MAX(($B$6:$B$2005=B389)*($A$6:$A$2005&lt;A389)*$A$6:$A$2005)))</f>
        <v/>
      </c>
      <c r="F389" s="41">
        <f>IF(OR(E389="",E389=0),"",IFERROR(AVERAGEIFS($C$6:$C$2005,$B$6:$B$2005,B389,$A$6:$A$2005,E389),""))</f>
        <v/>
      </c>
      <c r="G389" s="34">
        <f>IF(F389="","",A389-E389)</f>
        <v/>
      </c>
      <c r="H389" s="42">
        <f>IF(OR(F389="",C389=""),"",IFERROR((C389-F389)/G389,""))</f>
        <v/>
      </c>
      <c r="I389" s="39">
        <f>IF(B389="","",IFERROR(INDEX('Animais'!$M$6:$M$1005,MATCH(B389,'Animais'!$A$6:$A$1005,0)),"Brinco não cadastrado"))</f>
        <v/>
      </c>
    </row>
    <row r="390">
      <c r="A390" s="31" t="n"/>
      <c r="B390" s="36" t="n"/>
      <c r="C390" s="38" t="n"/>
      <c r="D390" s="32" t="n"/>
      <c r="E390" s="43">
        <f>IF(OR(A390="",B390=""),"",SUMPRODUCT(MAX(($B$6:$B$2005=B390)*($A$6:$A$2005&lt;A390)*$A$6:$A$2005)))</f>
        <v/>
      </c>
      <c r="F390" s="41">
        <f>IF(OR(E390="",E390=0),"",IFERROR(AVERAGEIFS($C$6:$C$2005,$B$6:$B$2005,B390,$A$6:$A$2005,E390),""))</f>
        <v/>
      </c>
      <c r="G390" s="34">
        <f>IF(F390="","",A390-E390)</f>
        <v/>
      </c>
      <c r="H390" s="42">
        <f>IF(OR(F390="",C390=""),"",IFERROR((C390-F390)/G390,""))</f>
        <v/>
      </c>
      <c r="I390" s="39">
        <f>IF(B390="","",IFERROR(INDEX('Animais'!$M$6:$M$1005,MATCH(B390,'Animais'!$A$6:$A$1005,0)),"Brinco não cadastrado"))</f>
        <v/>
      </c>
    </row>
    <row r="391">
      <c r="A391" s="31" t="n"/>
      <c r="B391" s="36" t="n"/>
      <c r="C391" s="38" t="n"/>
      <c r="D391" s="32" t="n"/>
      <c r="E391" s="43">
        <f>IF(OR(A391="",B391=""),"",SUMPRODUCT(MAX(($B$6:$B$2005=B391)*($A$6:$A$2005&lt;A391)*$A$6:$A$2005)))</f>
        <v/>
      </c>
      <c r="F391" s="41">
        <f>IF(OR(E391="",E391=0),"",IFERROR(AVERAGEIFS($C$6:$C$2005,$B$6:$B$2005,B391,$A$6:$A$2005,E391),""))</f>
        <v/>
      </c>
      <c r="G391" s="34">
        <f>IF(F391="","",A391-E391)</f>
        <v/>
      </c>
      <c r="H391" s="42">
        <f>IF(OR(F391="",C391=""),"",IFERROR((C391-F391)/G391,""))</f>
        <v/>
      </c>
      <c r="I391" s="39">
        <f>IF(B391="","",IFERROR(INDEX('Animais'!$M$6:$M$1005,MATCH(B391,'Animais'!$A$6:$A$1005,0)),"Brinco não cadastrado"))</f>
        <v/>
      </c>
    </row>
    <row r="392">
      <c r="A392" s="31" t="n"/>
      <c r="B392" s="36" t="n"/>
      <c r="C392" s="38" t="n"/>
      <c r="D392" s="32" t="n"/>
      <c r="E392" s="43">
        <f>IF(OR(A392="",B392=""),"",SUMPRODUCT(MAX(($B$6:$B$2005=B392)*($A$6:$A$2005&lt;A392)*$A$6:$A$2005)))</f>
        <v/>
      </c>
      <c r="F392" s="41">
        <f>IF(OR(E392="",E392=0),"",IFERROR(AVERAGEIFS($C$6:$C$2005,$B$6:$B$2005,B392,$A$6:$A$2005,E392),""))</f>
        <v/>
      </c>
      <c r="G392" s="34">
        <f>IF(F392="","",A392-E392)</f>
        <v/>
      </c>
      <c r="H392" s="42">
        <f>IF(OR(F392="",C392=""),"",IFERROR((C392-F392)/G392,""))</f>
        <v/>
      </c>
      <c r="I392" s="39">
        <f>IF(B392="","",IFERROR(INDEX('Animais'!$M$6:$M$1005,MATCH(B392,'Animais'!$A$6:$A$1005,0)),"Brinco não cadastrado"))</f>
        <v/>
      </c>
    </row>
    <row r="393">
      <c r="A393" s="31" t="n"/>
      <c r="B393" s="36" t="n"/>
      <c r="C393" s="38" t="n"/>
      <c r="D393" s="32" t="n"/>
      <c r="E393" s="43">
        <f>IF(OR(A393="",B393=""),"",SUMPRODUCT(MAX(($B$6:$B$2005=B393)*($A$6:$A$2005&lt;A393)*$A$6:$A$2005)))</f>
        <v/>
      </c>
      <c r="F393" s="41">
        <f>IF(OR(E393="",E393=0),"",IFERROR(AVERAGEIFS($C$6:$C$2005,$B$6:$B$2005,B393,$A$6:$A$2005,E393),""))</f>
        <v/>
      </c>
      <c r="G393" s="34">
        <f>IF(F393="","",A393-E393)</f>
        <v/>
      </c>
      <c r="H393" s="42">
        <f>IF(OR(F393="",C393=""),"",IFERROR((C393-F393)/G393,""))</f>
        <v/>
      </c>
      <c r="I393" s="39">
        <f>IF(B393="","",IFERROR(INDEX('Animais'!$M$6:$M$1005,MATCH(B393,'Animais'!$A$6:$A$1005,0)),"Brinco não cadastrado"))</f>
        <v/>
      </c>
    </row>
    <row r="394">
      <c r="A394" s="31" t="n"/>
      <c r="B394" s="36" t="n"/>
      <c r="C394" s="38" t="n"/>
      <c r="D394" s="32" t="n"/>
      <c r="E394" s="43">
        <f>IF(OR(A394="",B394=""),"",SUMPRODUCT(MAX(($B$6:$B$2005=B394)*($A$6:$A$2005&lt;A394)*$A$6:$A$2005)))</f>
        <v/>
      </c>
      <c r="F394" s="41">
        <f>IF(OR(E394="",E394=0),"",IFERROR(AVERAGEIFS($C$6:$C$2005,$B$6:$B$2005,B394,$A$6:$A$2005,E394),""))</f>
        <v/>
      </c>
      <c r="G394" s="34">
        <f>IF(F394="","",A394-E394)</f>
        <v/>
      </c>
      <c r="H394" s="42">
        <f>IF(OR(F394="",C394=""),"",IFERROR((C394-F394)/G394,""))</f>
        <v/>
      </c>
      <c r="I394" s="39">
        <f>IF(B394="","",IFERROR(INDEX('Animais'!$M$6:$M$1005,MATCH(B394,'Animais'!$A$6:$A$1005,0)),"Brinco não cadastrado"))</f>
        <v/>
      </c>
    </row>
    <row r="395">
      <c r="A395" s="31" t="n"/>
      <c r="B395" s="36" t="n"/>
      <c r="C395" s="38" t="n"/>
      <c r="D395" s="32" t="n"/>
      <c r="E395" s="43">
        <f>IF(OR(A395="",B395=""),"",SUMPRODUCT(MAX(($B$6:$B$2005=B395)*($A$6:$A$2005&lt;A395)*$A$6:$A$2005)))</f>
        <v/>
      </c>
      <c r="F395" s="41">
        <f>IF(OR(E395="",E395=0),"",IFERROR(AVERAGEIFS($C$6:$C$2005,$B$6:$B$2005,B395,$A$6:$A$2005,E395),""))</f>
        <v/>
      </c>
      <c r="G395" s="34">
        <f>IF(F395="","",A395-E395)</f>
        <v/>
      </c>
      <c r="H395" s="42">
        <f>IF(OR(F395="",C395=""),"",IFERROR((C395-F395)/G395,""))</f>
        <v/>
      </c>
      <c r="I395" s="39">
        <f>IF(B395="","",IFERROR(INDEX('Animais'!$M$6:$M$1005,MATCH(B395,'Animais'!$A$6:$A$1005,0)),"Brinco não cadastrado"))</f>
        <v/>
      </c>
    </row>
    <row r="396">
      <c r="A396" s="31" t="n"/>
      <c r="B396" s="36" t="n"/>
      <c r="C396" s="38" t="n"/>
      <c r="D396" s="32" t="n"/>
      <c r="E396" s="43">
        <f>IF(OR(A396="",B396=""),"",SUMPRODUCT(MAX(($B$6:$B$2005=B396)*($A$6:$A$2005&lt;A396)*$A$6:$A$2005)))</f>
        <v/>
      </c>
      <c r="F396" s="41">
        <f>IF(OR(E396="",E396=0),"",IFERROR(AVERAGEIFS($C$6:$C$2005,$B$6:$B$2005,B396,$A$6:$A$2005,E396),""))</f>
        <v/>
      </c>
      <c r="G396" s="34">
        <f>IF(F396="","",A396-E396)</f>
        <v/>
      </c>
      <c r="H396" s="42">
        <f>IF(OR(F396="",C396=""),"",IFERROR((C396-F396)/G396,""))</f>
        <v/>
      </c>
      <c r="I396" s="39">
        <f>IF(B396="","",IFERROR(INDEX('Animais'!$M$6:$M$1005,MATCH(B396,'Animais'!$A$6:$A$1005,0)),"Brinco não cadastrado"))</f>
        <v/>
      </c>
    </row>
    <row r="397">
      <c r="A397" s="31" t="n"/>
      <c r="B397" s="36" t="n"/>
      <c r="C397" s="38" t="n"/>
      <c r="D397" s="32" t="n"/>
      <c r="E397" s="43">
        <f>IF(OR(A397="",B397=""),"",SUMPRODUCT(MAX(($B$6:$B$2005=B397)*($A$6:$A$2005&lt;A397)*$A$6:$A$2005)))</f>
        <v/>
      </c>
      <c r="F397" s="41">
        <f>IF(OR(E397="",E397=0),"",IFERROR(AVERAGEIFS($C$6:$C$2005,$B$6:$B$2005,B397,$A$6:$A$2005,E397),""))</f>
        <v/>
      </c>
      <c r="G397" s="34">
        <f>IF(F397="","",A397-E397)</f>
        <v/>
      </c>
      <c r="H397" s="42">
        <f>IF(OR(F397="",C397=""),"",IFERROR((C397-F397)/G397,""))</f>
        <v/>
      </c>
      <c r="I397" s="39">
        <f>IF(B397="","",IFERROR(INDEX('Animais'!$M$6:$M$1005,MATCH(B397,'Animais'!$A$6:$A$1005,0)),"Brinco não cadastrado"))</f>
        <v/>
      </c>
    </row>
    <row r="398">
      <c r="A398" s="31" t="n"/>
      <c r="B398" s="36" t="n"/>
      <c r="C398" s="38" t="n"/>
      <c r="D398" s="32" t="n"/>
      <c r="E398" s="43">
        <f>IF(OR(A398="",B398=""),"",SUMPRODUCT(MAX(($B$6:$B$2005=B398)*($A$6:$A$2005&lt;A398)*$A$6:$A$2005)))</f>
        <v/>
      </c>
      <c r="F398" s="41">
        <f>IF(OR(E398="",E398=0),"",IFERROR(AVERAGEIFS($C$6:$C$2005,$B$6:$B$2005,B398,$A$6:$A$2005,E398),""))</f>
        <v/>
      </c>
      <c r="G398" s="34">
        <f>IF(F398="","",A398-E398)</f>
        <v/>
      </c>
      <c r="H398" s="42">
        <f>IF(OR(F398="",C398=""),"",IFERROR((C398-F398)/G398,""))</f>
        <v/>
      </c>
      <c r="I398" s="39">
        <f>IF(B398="","",IFERROR(INDEX('Animais'!$M$6:$M$1005,MATCH(B398,'Animais'!$A$6:$A$1005,0)),"Brinco não cadastrado"))</f>
        <v/>
      </c>
    </row>
    <row r="399">
      <c r="A399" s="31" t="n"/>
      <c r="B399" s="36" t="n"/>
      <c r="C399" s="38" t="n"/>
      <c r="D399" s="32" t="n"/>
      <c r="E399" s="43">
        <f>IF(OR(A399="",B399=""),"",SUMPRODUCT(MAX(($B$6:$B$2005=B399)*($A$6:$A$2005&lt;A399)*$A$6:$A$2005)))</f>
        <v/>
      </c>
      <c r="F399" s="41">
        <f>IF(OR(E399="",E399=0),"",IFERROR(AVERAGEIFS($C$6:$C$2005,$B$6:$B$2005,B399,$A$6:$A$2005,E399),""))</f>
        <v/>
      </c>
      <c r="G399" s="34">
        <f>IF(F399="","",A399-E399)</f>
        <v/>
      </c>
      <c r="H399" s="42">
        <f>IF(OR(F399="",C399=""),"",IFERROR((C399-F399)/G399,""))</f>
        <v/>
      </c>
      <c r="I399" s="39">
        <f>IF(B399="","",IFERROR(INDEX('Animais'!$M$6:$M$1005,MATCH(B399,'Animais'!$A$6:$A$1005,0)),"Brinco não cadastrado"))</f>
        <v/>
      </c>
    </row>
    <row r="400">
      <c r="A400" s="31" t="n"/>
      <c r="B400" s="36" t="n"/>
      <c r="C400" s="38" t="n"/>
      <c r="D400" s="32" t="n"/>
      <c r="E400" s="43">
        <f>IF(OR(A400="",B400=""),"",SUMPRODUCT(MAX(($B$6:$B$2005=B400)*($A$6:$A$2005&lt;A400)*$A$6:$A$2005)))</f>
        <v/>
      </c>
      <c r="F400" s="41">
        <f>IF(OR(E400="",E400=0),"",IFERROR(AVERAGEIFS($C$6:$C$2005,$B$6:$B$2005,B400,$A$6:$A$2005,E400),""))</f>
        <v/>
      </c>
      <c r="G400" s="34">
        <f>IF(F400="","",A400-E400)</f>
        <v/>
      </c>
      <c r="H400" s="42">
        <f>IF(OR(F400="",C400=""),"",IFERROR((C400-F400)/G400,""))</f>
        <v/>
      </c>
      <c r="I400" s="39">
        <f>IF(B400="","",IFERROR(INDEX('Animais'!$M$6:$M$1005,MATCH(B400,'Animais'!$A$6:$A$1005,0)),"Brinco não cadastrado"))</f>
        <v/>
      </c>
    </row>
    <row r="401">
      <c r="A401" s="31" t="n"/>
      <c r="B401" s="36" t="n"/>
      <c r="C401" s="38" t="n"/>
      <c r="D401" s="32" t="n"/>
      <c r="E401" s="43">
        <f>IF(OR(A401="",B401=""),"",SUMPRODUCT(MAX(($B$6:$B$2005=B401)*($A$6:$A$2005&lt;A401)*$A$6:$A$2005)))</f>
        <v/>
      </c>
      <c r="F401" s="41">
        <f>IF(OR(E401="",E401=0),"",IFERROR(AVERAGEIFS($C$6:$C$2005,$B$6:$B$2005,B401,$A$6:$A$2005,E401),""))</f>
        <v/>
      </c>
      <c r="G401" s="34">
        <f>IF(F401="","",A401-E401)</f>
        <v/>
      </c>
      <c r="H401" s="42">
        <f>IF(OR(F401="",C401=""),"",IFERROR((C401-F401)/G401,""))</f>
        <v/>
      </c>
      <c r="I401" s="39">
        <f>IF(B401="","",IFERROR(INDEX('Animais'!$M$6:$M$1005,MATCH(B401,'Animais'!$A$6:$A$1005,0)),"Brinco não cadastrado"))</f>
        <v/>
      </c>
    </row>
    <row r="402">
      <c r="A402" s="31" t="n"/>
      <c r="B402" s="36" t="n"/>
      <c r="C402" s="38" t="n"/>
      <c r="D402" s="32" t="n"/>
      <c r="E402" s="43">
        <f>IF(OR(A402="",B402=""),"",SUMPRODUCT(MAX(($B$6:$B$2005=B402)*($A$6:$A$2005&lt;A402)*$A$6:$A$2005)))</f>
        <v/>
      </c>
      <c r="F402" s="41">
        <f>IF(OR(E402="",E402=0),"",IFERROR(AVERAGEIFS($C$6:$C$2005,$B$6:$B$2005,B402,$A$6:$A$2005,E402),""))</f>
        <v/>
      </c>
      <c r="G402" s="34">
        <f>IF(F402="","",A402-E402)</f>
        <v/>
      </c>
      <c r="H402" s="42">
        <f>IF(OR(F402="",C402=""),"",IFERROR((C402-F402)/G402,""))</f>
        <v/>
      </c>
      <c r="I402" s="39">
        <f>IF(B402="","",IFERROR(INDEX('Animais'!$M$6:$M$1005,MATCH(B402,'Animais'!$A$6:$A$1005,0)),"Brinco não cadastrado"))</f>
        <v/>
      </c>
    </row>
    <row r="403">
      <c r="A403" s="31" t="n"/>
      <c r="B403" s="36" t="n"/>
      <c r="C403" s="38" t="n"/>
      <c r="D403" s="32" t="n"/>
      <c r="E403" s="43">
        <f>IF(OR(A403="",B403=""),"",SUMPRODUCT(MAX(($B$6:$B$2005=B403)*($A$6:$A$2005&lt;A403)*$A$6:$A$2005)))</f>
        <v/>
      </c>
      <c r="F403" s="41">
        <f>IF(OR(E403="",E403=0),"",IFERROR(AVERAGEIFS($C$6:$C$2005,$B$6:$B$2005,B403,$A$6:$A$2005,E403),""))</f>
        <v/>
      </c>
      <c r="G403" s="34">
        <f>IF(F403="","",A403-E403)</f>
        <v/>
      </c>
      <c r="H403" s="42">
        <f>IF(OR(F403="",C403=""),"",IFERROR((C403-F403)/G403,""))</f>
        <v/>
      </c>
      <c r="I403" s="39">
        <f>IF(B403="","",IFERROR(INDEX('Animais'!$M$6:$M$1005,MATCH(B403,'Animais'!$A$6:$A$1005,0)),"Brinco não cadastrado"))</f>
        <v/>
      </c>
    </row>
    <row r="404">
      <c r="A404" s="31" t="n"/>
      <c r="B404" s="36" t="n"/>
      <c r="C404" s="38" t="n"/>
      <c r="D404" s="32" t="n"/>
      <c r="E404" s="43">
        <f>IF(OR(A404="",B404=""),"",SUMPRODUCT(MAX(($B$6:$B$2005=B404)*($A$6:$A$2005&lt;A404)*$A$6:$A$2005)))</f>
        <v/>
      </c>
      <c r="F404" s="41">
        <f>IF(OR(E404="",E404=0),"",IFERROR(AVERAGEIFS($C$6:$C$2005,$B$6:$B$2005,B404,$A$6:$A$2005,E404),""))</f>
        <v/>
      </c>
      <c r="G404" s="34">
        <f>IF(F404="","",A404-E404)</f>
        <v/>
      </c>
      <c r="H404" s="42">
        <f>IF(OR(F404="",C404=""),"",IFERROR((C404-F404)/G404,""))</f>
        <v/>
      </c>
      <c r="I404" s="39">
        <f>IF(B404="","",IFERROR(INDEX('Animais'!$M$6:$M$1005,MATCH(B404,'Animais'!$A$6:$A$1005,0)),"Brinco não cadastrado"))</f>
        <v/>
      </c>
    </row>
    <row r="405">
      <c r="A405" s="31" t="n"/>
      <c r="B405" s="36" t="n"/>
      <c r="C405" s="38" t="n"/>
      <c r="D405" s="32" t="n"/>
      <c r="E405" s="43">
        <f>IF(OR(A405="",B405=""),"",SUMPRODUCT(MAX(($B$6:$B$2005=B405)*($A$6:$A$2005&lt;A405)*$A$6:$A$2005)))</f>
        <v/>
      </c>
      <c r="F405" s="41">
        <f>IF(OR(E405="",E405=0),"",IFERROR(AVERAGEIFS($C$6:$C$2005,$B$6:$B$2005,B405,$A$6:$A$2005,E405),""))</f>
        <v/>
      </c>
      <c r="G405" s="34">
        <f>IF(F405="","",A405-E405)</f>
        <v/>
      </c>
      <c r="H405" s="42">
        <f>IF(OR(F405="",C405=""),"",IFERROR((C405-F405)/G405,""))</f>
        <v/>
      </c>
      <c r="I405" s="39">
        <f>IF(B405="","",IFERROR(INDEX('Animais'!$M$6:$M$1005,MATCH(B405,'Animais'!$A$6:$A$1005,0)),"Brinco não cadastrado"))</f>
        <v/>
      </c>
    </row>
    <row r="406">
      <c r="A406" s="31" t="n"/>
      <c r="B406" s="36" t="n"/>
      <c r="C406" s="38" t="n"/>
      <c r="D406" s="32" t="n"/>
      <c r="E406" s="43">
        <f>IF(OR(A406="",B406=""),"",SUMPRODUCT(MAX(($B$6:$B$2005=B406)*($A$6:$A$2005&lt;A406)*$A$6:$A$2005)))</f>
        <v/>
      </c>
      <c r="F406" s="41">
        <f>IF(OR(E406="",E406=0),"",IFERROR(AVERAGEIFS($C$6:$C$2005,$B$6:$B$2005,B406,$A$6:$A$2005,E406),""))</f>
        <v/>
      </c>
      <c r="G406" s="34">
        <f>IF(F406="","",A406-E406)</f>
        <v/>
      </c>
      <c r="H406" s="42">
        <f>IF(OR(F406="",C406=""),"",IFERROR((C406-F406)/G406,""))</f>
        <v/>
      </c>
      <c r="I406" s="39">
        <f>IF(B406="","",IFERROR(INDEX('Animais'!$M$6:$M$1005,MATCH(B406,'Animais'!$A$6:$A$1005,0)),"Brinco não cadastrado"))</f>
        <v/>
      </c>
    </row>
    <row r="407">
      <c r="A407" s="31" t="n"/>
      <c r="B407" s="36" t="n"/>
      <c r="C407" s="38" t="n"/>
      <c r="D407" s="32" t="n"/>
      <c r="E407" s="43">
        <f>IF(OR(A407="",B407=""),"",SUMPRODUCT(MAX(($B$6:$B$2005=B407)*($A$6:$A$2005&lt;A407)*$A$6:$A$2005)))</f>
        <v/>
      </c>
      <c r="F407" s="41">
        <f>IF(OR(E407="",E407=0),"",IFERROR(AVERAGEIFS($C$6:$C$2005,$B$6:$B$2005,B407,$A$6:$A$2005,E407),""))</f>
        <v/>
      </c>
      <c r="G407" s="34">
        <f>IF(F407="","",A407-E407)</f>
        <v/>
      </c>
      <c r="H407" s="42">
        <f>IF(OR(F407="",C407=""),"",IFERROR((C407-F407)/G407,""))</f>
        <v/>
      </c>
      <c r="I407" s="39">
        <f>IF(B407="","",IFERROR(INDEX('Animais'!$M$6:$M$1005,MATCH(B407,'Animais'!$A$6:$A$1005,0)),"Brinco não cadastrado"))</f>
        <v/>
      </c>
    </row>
    <row r="408">
      <c r="A408" s="31" t="n"/>
      <c r="B408" s="36" t="n"/>
      <c r="C408" s="38" t="n"/>
      <c r="D408" s="32" t="n"/>
      <c r="E408" s="43">
        <f>IF(OR(A408="",B408=""),"",SUMPRODUCT(MAX(($B$6:$B$2005=B408)*($A$6:$A$2005&lt;A408)*$A$6:$A$2005)))</f>
        <v/>
      </c>
      <c r="F408" s="41">
        <f>IF(OR(E408="",E408=0),"",IFERROR(AVERAGEIFS($C$6:$C$2005,$B$6:$B$2005,B408,$A$6:$A$2005,E408),""))</f>
        <v/>
      </c>
      <c r="G408" s="34">
        <f>IF(F408="","",A408-E408)</f>
        <v/>
      </c>
      <c r="H408" s="42">
        <f>IF(OR(F408="",C408=""),"",IFERROR((C408-F408)/G408,""))</f>
        <v/>
      </c>
      <c r="I408" s="39">
        <f>IF(B408="","",IFERROR(INDEX('Animais'!$M$6:$M$1005,MATCH(B408,'Animais'!$A$6:$A$1005,0)),"Brinco não cadastrado"))</f>
        <v/>
      </c>
    </row>
    <row r="409">
      <c r="A409" s="31" t="n"/>
      <c r="B409" s="36" t="n"/>
      <c r="C409" s="38" t="n"/>
      <c r="D409" s="32" t="n"/>
      <c r="E409" s="43">
        <f>IF(OR(A409="",B409=""),"",SUMPRODUCT(MAX(($B$6:$B$2005=B409)*($A$6:$A$2005&lt;A409)*$A$6:$A$2005)))</f>
        <v/>
      </c>
      <c r="F409" s="41">
        <f>IF(OR(E409="",E409=0),"",IFERROR(AVERAGEIFS($C$6:$C$2005,$B$6:$B$2005,B409,$A$6:$A$2005,E409),""))</f>
        <v/>
      </c>
      <c r="G409" s="34">
        <f>IF(F409="","",A409-E409)</f>
        <v/>
      </c>
      <c r="H409" s="42">
        <f>IF(OR(F409="",C409=""),"",IFERROR((C409-F409)/G409,""))</f>
        <v/>
      </c>
      <c r="I409" s="39">
        <f>IF(B409="","",IFERROR(INDEX('Animais'!$M$6:$M$1005,MATCH(B409,'Animais'!$A$6:$A$1005,0)),"Brinco não cadastrado"))</f>
        <v/>
      </c>
    </row>
    <row r="410">
      <c r="A410" s="31" t="n"/>
      <c r="B410" s="36" t="n"/>
      <c r="C410" s="38" t="n"/>
      <c r="D410" s="32" t="n"/>
      <c r="E410" s="43">
        <f>IF(OR(A410="",B410=""),"",SUMPRODUCT(MAX(($B$6:$B$2005=B410)*($A$6:$A$2005&lt;A410)*$A$6:$A$2005)))</f>
        <v/>
      </c>
      <c r="F410" s="41">
        <f>IF(OR(E410="",E410=0),"",IFERROR(AVERAGEIFS($C$6:$C$2005,$B$6:$B$2005,B410,$A$6:$A$2005,E410),""))</f>
        <v/>
      </c>
      <c r="G410" s="34">
        <f>IF(F410="","",A410-E410)</f>
        <v/>
      </c>
      <c r="H410" s="42">
        <f>IF(OR(F410="",C410=""),"",IFERROR((C410-F410)/G410,""))</f>
        <v/>
      </c>
      <c r="I410" s="39">
        <f>IF(B410="","",IFERROR(INDEX('Animais'!$M$6:$M$1005,MATCH(B410,'Animais'!$A$6:$A$1005,0)),"Brinco não cadastrado"))</f>
        <v/>
      </c>
    </row>
    <row r="411">
      <c r="A411" s="31" t="n"/>
      <c r="B411" s="36" t="n"/>
      <c r="C411" s="38" t="n"/>
      <c r="D411" s="32" t="n"/>
      <c r="E411" s="43">
        <f>IF(OR(A411="",B411=""),"",SUMPRODUCT(MAX(($B$6:$B$2005=B411)*($A$6:$A$2005&lt;A411)*$A$6:$A$2005)))</f>
        <v/>
      </c>
      <c r="F411" s="41">
        <f>IF(OR(E411="",E411=0),"",IFERROR(AVERAGEIFS($C$6:$C$2005,$B$6:$B$2005,B411,$A$6:$A$2005,E411),""))</f>
        <v/>
      </c>
      <c r="G411" s="34">
        <f>IF(F411="","",A411-E411)</f>
        <v/>
      </c>
      <c r="H411" s="42">
        <f>IF(OR(F411="",C411=""),"",IFERROR((C411-F411)/G411,""))</f>
        <v/>
      </c>
      <c r="I411" s="39">
        <f>IF(B411="","",IFERROR(INDEX('Animais'!$M$6:$M$1005,MATCH(B411,'Animais'!$A$6:$A$1005,0)),"Brinco não cadastrado"))</f>
        <v/>
      </c>
    </row>
    <row r="412">
      <c r="A412" s="31" t="n"/>
      <c r="B412" s="36" t="n"/>
      <c r="C412" s="38" t="n"/>
      <c r="D412" s="32" t="n"/>
      <c r="E412" s="43">
        <f>IF(OR(A412="",B412=""),"",SUMPRODUCT(MAX(($B$6:$B$2005=B412)*($A$6:$A$2005&lt;A412)*$A$6:$A$2005)))</f>
        <v/>
      </c>
      <c r="F412" s="41">
        <f>IF(OR(E412="",E412=0),"",IFERROR(AVERAGEIFS($C$6:$C$2005,$B$6:$B$2005,B412,$A$6:$A$2005,E412),""))</f>
        <v/>
      </c>
      <c r="G412" s="34">
        <f>IF(F412="","",A412-E412)</f>
        <v/>
      </c>
      <c r="H412" s="42">
        <f>IF(OR(F412="",C412=""),"",IFERROR((C412-F412)/G412,""))</f>
        <v/>
      </c>
      <c r="I412" s="39">
        <f>IF(B412="","",IFERROR(INDEX('Animais'!$M$6:$M$1005,MATCH(B412,'Animais'!$A$6:$A$1005,0)),"Brinco não cadastrado"))</f>
        <v/>
      </c>
    </row>
    <row r="413">
      <c r="A413" s="31" t="n"/>
      <c r="B413" s="36" t="n"/>
      <c r="C413" s="38" t="n"/>
      <c r="D413" s="32" t="n"/>
      <c r="E413" s="43">
        <f>IF(OR(A413="",B413=""),"",SUMPRODUCT(MAX(($B$6:$B$2005=B413)*($A$6:$A$2005&lt;A413)*$A$6:$A$2005)))</f>
        <v/>
      </c>
      <c r="F413" s="41">
        <f>IF(OR(E413="",E413=0),"",IFERROR(AVERAGEIFS($C$6:$C$2005,$B$6:$B$2005,B413,$A$6:$A$2005,E413),""))</f>
        <v/>
      </c>
      <c r="G413" s="34">
        <f>IF(F413="","",A413-E413)</f>
        <v/>
      </c>
      <c r="H413" s="42">
        <f>IF(OR(F413="",C413=""),"",IFERROR((C413-F413)/G413,""))</f>
        <v/>
      </c>
      <c r="I413" s="39">
        <f>IF(B413="","",IFERROR(INDEX('Animais'!$M$6:$M$1005,MATCH(B413,'Animais'!$A$6:$A$1005,0)),"Brinco não cadastrado"))</f>
        <v/>
      </c>
    </row>
    <row r="414">
      <c r="A414" s="31" t="n"/>
      <c r="B414" s="36" t="n"/>
      <c r="C414" s="38" t="n"/>
      <c r="D414" s="32" t="n"/>
      <c r="E414" s="43">
        <f>IF(OR(A414="",B414=""),"",SUMPRODUCT(MAX(($B$6:$B$2005=B414)*($A$6:$A$2005&lt;A414)*$A$6:$A$2005)))</f>
        <v/>
      </c>
      <c r="F414" s="41">
        <f>IF(OR(E414="",E414=0),"",IFERROR(AVERAGEIFS($C$6:$C$2005,$B$6:$B$2005,B414,$A$6:$A$2005,E414),""))</f>
        <v/>
      </c>
      <c r="G414" s="34">
        <f>IF(F414="","",A414-E414)</f>
        <v/>
      </c>
      <c r="H414" s="42">
        <f>IF(OR(F414="",C414=""),"",IFERROR((C414-F414)/G414,""))</f>
        <v/>
      </c>
      <c r="I414" s="39">
        <f>IF(B414="","",IFERROR(INDEX('Animais'!$M$6:$M$1005,MATCH(B414,'Animais'!$A$6:$A$1005,0)),"Brinco não cadastrado"))</f>
        <v/>
      </c>
    </row>
    <row r="415">
      <c r="A415" s="31" t="n"/>
      <c r="B415" s="36" t="n"/>
      <c r="C415" s="38" t="n"/>
      <c r="D415" s="32" t="n"/>
      <c r="E415" s="43">
        <f>IF(OR(A415="",B415=""),"",SUMPRODUCT(MAX(($B$6:$B$2005=B415)*($A$6:$A$2005&lt;A415)*$A$6:$A$2005)))</f>
        <v/>
      </c>
      <c r="F415" s="41">
        <f>IF(OR(E415="",E415=0),"",IFERROR(AVERAGEIFS($C$6:$C$2005,$B$6:$B$2005,B415,$A$6:$A$2005,E415),""))</f>
        <v/>
      </c>
      <c r="G415" s="34">
        <f>IF(F415="","",A415-E415)</f>
        <v/>
      </c>
      <c r="H415" s="42">
        <f>IF(OR(F415="",C415=""),"",IFERROR((C415-F415)/G415,""))</f>
        <v/>
      </c>
      <c r="I415" s="39">
        <f>IF(B415="","",IFERROR(INDEX('Animais'!$M$6:$M$1005,MATCH(B415,'Animais'!$A$6:$A$1005,0)),"Brinco não cadastrado"))</f>
        <v/>
      </c>
    </row>
    <row r="416">
      <c r="A416" s="31" t="n"/>
      <c r="B416" s="36" t="n"/>
      <c r="C416" s="38" t="n"/>
      <c r="D416" s="32" t="n"/>
      <c r="E416" s="43">
        <f>IF(OR(A416="",B416=""),"",SUMPRODUCT(MAX(($B$6:$B$2005=B416)*($A$6:$A$2005&lt;A416)*$A$6:$A$2005)))</f>
        <v/>
      </c>
      <c r="F416" s="41">
        <f>IF(OR(E416="",E416=0),"",IFERROR(AVERAGEIFS($C$6:$C$2005,$B$6:$B$2005,B416,$A$6:$A$2005,E416),""))</f>
        <v/>
      </c>
      <c r="G416" s="34">
        <f>IF(F416="","",A416-E416)</f>
        <v/>
      </c>
      <c r="H416" s="42">
        <f>IF(OR(F416="",C416=""),"",IFERROR((C416-F416)/G416,""))</f>
        <v/>
      </c>
      <c r="I416" s="39">
        <f>IF(B416="","",IFERROR(INDEX('Animais'!$M$6:$M$1005,MATCH(B416,'Animais'!$A$6:$A$1005,0)),"Brinco não cadastrado"))</f>
        <v/>
      </c>
    </row>
    <row r="417">
      <c r="A417" s="31" t="n"/>
      <c r="B417" s="36" t="n"/>
      <c r="C417" s="38" t="n"/>
      <c r="D417" s="32" t="n"/>
      <c r="E417" s="43">
        <f>IF(OR(A417="",B417=""),"",SUMPRODUCT(MAX(($B$6:$B$2005=B417)*($A$6:$A$2005&lt;A417)*$A$6:$A$2005)))</f>
        <v/>
      </c>
      <c r="F417" s="41">
        <f>IF(OR(E417="",E417=0),"",IFERROR(AVERAGEIFS($C$6:$C$2005,$B$6:$B$2005,B417,$A$6:$A$2005,E417),""))</f>
        <v/>
      </c>
      <c r="G417" s="34">
        <f>IF(F417="","",A417-E417)</f>
        <v/>
      </c>
      <c r="H417" s="42">
        <f>IF(OR(F417="",C417=""),"",IFERROR((C417-F417)/G417,""))</f>
        <v/>
      </c>
      <c r="I417" s="39">
        <f>IF(B417="","",IFERROR(INDEX('Animais'!$M$6:$M$1005,MATCH(B417,'Animais'!$A$6:$A$1005,0)),"Brinco não cadastrado"))</f>
        <v/>
      </c>
    </row>
    <row r="418">
      <c r="A418" s="31" t="n"/>
      <c r="B418" s="36" t="n"/>
      <c r="C418" s="38" t="n"/>
      <c r="D418" s="32" t="n"/>
      <c r="E418" s="43">
        <f>IF(OR(A418="",B418=""),"",SUMPRODUCT(MAX(($B$6:$B$2005=B418)*($A$6:$A$2005&lt;A418)*$A$6:$A$2005)))</f>
        <v/>
      </c>
      <c r="F418" s="41">
        <f>IF(OR(E418="",E418=0),"",IFERROR(AVERAGEIFS($C$6:$C$2005,$B$6:$B$2005,B418,$A$6:$A$2005,E418),""))</f>
        <v/>
      </c>
      <c r="G418" s="34">
        <f>IF(F418="","",A418-E418)</f>
        <v/>
      </c>
      <c r="H418" s="42">
        <f>IF(OR(F418="",C418=""),"",IFERROR((C418-F418)/G418,""))</f>
        <v/>
      </c>
      <c r="I418" s="39">
        <f>IF(B418="","",IFERROR(INDEX('Animais'!$M$6:$M$1005,MATCH(B418,'Animais'!$A$6:$A$1005,0)),"Brinco não cadastrado"))</f>
        <v/>
      </c>
    </row>
    <row r="419">
      <c r="A419" s="31" t="n"/>
      <c r="B419" s="36" t="n"/>
      <c r="C419" s="38" t="n"/>
      <c r="D419" s="32" t="n"/>
      <c r="E419" s="43">
        <f>IF(OR(A419="",B419=""),"",SUMPRODUCT(MAX(($B$6:$B$2005=B419)*($A$6:$A$2005&lt;A419)*$A$6:$A$2005)))</f>
        <v/>
      </c>
      <c r="F419" s="41">
        <f>IF(OR(E419="",E419=0),"",IFERROR(AVERAGEIFS($C$6:$C$2005,$B$6:$B$2005,B419,$A$6:$A$2005,E419),""))</f>
        <v/>
      </c>
      <c r="G419" s="34">
        <f>IF(F419="","",A419-E419)</f>
        <v/>
      </c>
      <c r="H419" s="42">
        <f>IF(OR(F419="",C419=""),"",IFERROR((C419-F419)/G419,""))</f>
        <v/>
      </c>
      <c r="I419" s="39">
        <f>IF(B419="","",IFERROR(INDEX('Animais'!$M$6:$M$1005,MATCH(B419,'Animais'!$A$6:$A$1005,0)),"Brinco não cadastrado"))</f>
        <v/>
      </c>
    </row>
    <row r="420">
      <c r="A420" s="31" t="n"/>
      <c r="B420" s="36" t="n"/>
      <c r="C420" s="38" t="n"/>
      <c r="D420" s="32" t="n"/>
      <c r="E420" s="43">
        <f>IF(OR(A420="",B420=""),"",SUMPRODUCT(MAX(($B$6:$B$2005=B420)*($A$6:$A$2005&lt;A420)*$A$6:$A$2005)))</f>
        <v/>
      </c>
      <c r="F420" s="41">
        <f>IF(OR(E420="",E420=0),"",IFERROR(AVERAGEIFS($C$6:$C$2005,$B$6:$B$2005,B420,$A$6:$A$2005,E420),""))</f>
        <v/>
      </c>
      <c r="G420" s="34">
        <f>IF(F420="","",A420-E420)</f>
        <v/>
      </c>
      <c r="H420" s="42">
        <f>IF(OR(F420="",C420=""),"",IFERROR((C420-F420)/G420,""))</f>
        <v/>
      </c>
      <c r="I420" s="39">
        <f>IF(B420="","",IFERROR(INDEX('Animais'!$M$6:$M$1005,MATCH(B420,'Animais'!$A$6:$A$1005,0)),"Brinco não cadastrado"))</f>
        <v/>
      </c>
    </row>
    <row r="421">
      <c r="A421" s="31" t="n"/>
      <c r="B421" s="36" t="n"/>
      <c r="C421" s="38" t="n"/>
      <c r="D421" s="32" t="n"/>
      <c r="E421" s="43">
        <f>IF(OR(A421="",B421=""),"",SUMPRODUCT(MAX(($B$6:$B$2005=B421)*($A$6:$A$2005&lt;A421)*$A$6:$A$2005)))</f>
        <v/>
      </c>
      <c r="F421" s="41">
        <f>IF(OR(E421="",E421=0),"",IFERROR(AVERAGEIFS($C$6:$C$2005,$B$6:$B$2005,B421,$A$6:$A$2005,E421),""))</f>
        <v/>
      </c>
      <c r="G421" s="34">
        <f>IF(F421="","",A421-E421)</f>
        <v/>
      </c>
      <c r="H421" s="42">
        <f>IF(OR(F421="",C421=""),"",IFERROR((C421-F421)/G421,""))</f>
        <v/>
      </c>
      <c r="I421" s="39">
        <f>IF(B421="","",IFERROR(INDEX('Animais'!$M$6:$M$1005,MATCH(B421,'Animais'!$A$6:$A$1005,0)),"Brinco não cadastrado"))</f>
        <v/>
      </c>
    </row>
    <row r="422">
      <c r="A422" s="31" t="n"/>
      <c r="B422" s="36" t="n"/>
      <c r="C422" s="38" t="n"/>
      <c r="D422" s="32" t="n"/>
      <c r="E422" s="43">
        <f>IF(OR(A422="",B422=""),"",SUMPRODUCT(MAX(($B$6:$B$2005=B422)*($A$6:$A$2005&lt;A422)*$A$6:$A$2005)))</f>
        <v/>
      </c>
      <c r="F422" s="41">
        <f>IF(OR(E422="",E422=0),"",IFERROR(AVERAGEIFS($C$6:$C$2005,$B$6:$B$2005,B422,$A$6:$A$2005,E422),""))</f>
        <v/>
      </c>
      <c r="G422" s="34">
        <f>IF(F422="","",A422-E422)</f>
        <v/>
      </c>
      <c r="H422" s="42">
        <f>IF(OR(F422="",C422=""),"",IFERROR((C422-F422)/G422,""))</f>
        <v/>
      </c>
      <c r="I422" s="39">
        <f>IF(B422="","",IFERROR(INDEX('Animais'!$M$6:$M$1005,MATCH(B422,'Animais'!$A$6:$A$1005,0)),"Brinco não cadastrado"))</f>
        <v/>
      </c>
    </row>
    <row r="423">
      <c r="A423" s="31" t="n"/>
      <c r="B423" s="36" t="n"/>
      <c r="C423" s="38" t="n"/>
      <c r="D423" s="32" t="n"/>
      <c r="E423" s="43">
        <f>IF(OR(A423="",B423=""),"",SUMPRODUCT(MAX(($B$6:$B$2005=B423)*($A$6:$A$2005&lt;A423)*$A$6:$A$2005)))</f>
        <v/>
      </c>
      <c r="F423" s="41">
        <f>IF(OR(E423="",E423=0),"",IFERROR(AVERAGEIFS($C$6:$C$2005,$B$6:$B$2005,B423,$A$6:$A$2005,E423),""))</f>
        <v/>
      </c>
      <c r="G423" s="34">
        <f>IF(F423="","",A423-E423)</f>
        <v/>
      </c>
      <c r="H423" s="42">
        <f>IF(OR(F423="",C423=""),"",IFERROR((C423-F423)/G423,""))</f>
        <v/>
      </c>
      <c r="I423" s="39">
        <f>IF(B423="","",IFERROR(INDEX('Animais'!$M$6:$M$1005,MATCH(B423,'Animais'!$A$6:$A$1005,0)),"Brinco não cadastrado"))</f>
        <v/>
      </c>
    </row>
    <row r="424">
      <c r="A424" s="31" t="n"/>
      <c r="B424" s="36" t="n"/>
      <c r="C424" s="38" t="n"/>
      <c r="D424" s="32" t="n"/>
      <c r="E424" s="43">
        <f>IF(OR(A424="",B424=""),"",SUMPRODUCT(MAX(($B$6:$B$2005=B424)*($A$6:$A$2005&lt;A424)*$A$6:$A$2005)))</f>
        <v/>
      </c>
      <c r="F424" s="41">
        <f>IF(OR(E424="",E424=0),"",IFERROR(AVERAGEIFS($C$6:$C$2005,$B$6:$B$2005,B424,$A$6:$A$2005,E424),""))</f>
        <v/>
      </c>
      <c r="G424" s="34">
        <f>IF(F424="","",A424-E424)</f>
        <v/>
      </c>
      <c r="H424" s="42">
        <f>IF(OR(F424="",C424=""),"",IFERROR((C424-F424)/G424,""))</f>
        <v/>
      </c>
      <c r="I424" s="39">
        <f>IF(B424="","",IFERROR(INDEX('Animais'!$M$6:$M$1005,MATCH(B424,'Animais'!$A$6:$A$1005,0)),"Brinco não cadastrado"))</f>
        <v/>
      </c>
    </row>
    <row r="425">
      <c r="A425" s="31" t="n"/>
      <c r="B425" s="36" t="n"/>
      <c r="C425" s="38" t="n"/>
      <c r="D425" s="32" t="n"/>
      <c r="E425" s="43">
        <f>IF(OR(A425="",B425=""),"",SUMPRODUCT(MAX(($B$6:$B$2005=B425)*($A$6:$A$2005&lt;A425)*$A$6:$A$2005)))</f>
        <v/>
      </c>
      <c r="F425" s="41">
        <f>IF(OR(E425="",E425=0),"",IFERROR(AVERAGEIFS($C$6:$C$2005,$B$6:$B$2005,B425,$A$6:$A$2005,E425),""))</f>
        <v/>
      </c>
      <c r="G425" s="34">
        <f>IF(F425="","",A425-E425)</f>
        <v/>
      </c>
      <c r="H425" s="42">
        <f>IF(OR(F425="",C425=""),"",IFERROR((C425-F425)/G425,""))</f>
        <v/>
      </c>
      <c r="I425" s="39">
        <f>IF(B425="","",IFERROR(INDEX('Animais'!$M$6:$M$1005,MATCH(B425,'Animais'!$A$6:$A$1005,0)),"Brinco não cadastrado"))</f>
        <v/>
      </c>
    </row>
    <row r="426">
      <c r="A426" s="31" t="n"/>
      <c r="B426" s="36" t="n"/>
      <c r="C426" s="38" t="n"/>
      <c r="D426" s="32" t="n"/>
      <c r="E426" s="43">
        <f>IF(OR(A426="",B426=""),"",SUMPRODUCT(MAX(($B$6:$B$2005=B426)*($A$6:$A$2005&lt;A426)*$A$6:$A$2005)))</f>
        <v/>
      </c>
      <c r="F426" s="41">
        <f>IF(OR(E426="",E426=0),"",IFERROR(AVERAGEIFS($C$6:$C$2005,$B$6:$B$2005,B426,$A$6:$A$2005,E426),""))</f>
        <v/>
      </c>
      <c r="G426" s="34">
        <f>IF(F426="","",A426-E426)</f>
        <v/>
      </c>
      <c r="H426" s="42">
        <f>IF(OR(F426="",C426=""),"",IFERROR((C426-F426)/G426,""))</f>
        <v/>
      </c>
      <c r="I426" s="39">
        <f>IF(B426="","",IFERROR(INDEX('Animais'!$M$6:$M$1005,MATCH(B426,'Animais'!$A$6:$A$1005,0)),"Brinco não cadastrado"))</f>
        <v/>
      </c>
    </row>
    <row r="427">
      <c r="A427" s="31" t="n"/>
      <c r="B427" s="36" t="n"/>
      <c r="C427" s="38" t="n"/>
      <c r="D427" s="32" t="n"/>
      <c r="E427" s="43">
        <f>IF(OR(A427="",B427=""),"",SUMPRODUCT(MAX(($B$6:$B$2005=B427)*($A$6:$A$2005&lt;A427)*$A$6:$A$2005)))</f>
        <v/>
      </c>
      <c r="F427" s="41">
        <f>IF(OR(E427="",E427=0),"",IFERROR(AVERAGEIFS($C$6:$C$2005,$B$6:$B$2005,B427,$A$6:$A$2005,E427),""))</f>
        <v/>
      </c>
      <c r="G427" s="34">
        <f>IF(F427="","",A427-E427)</f>
        <v/>
      </c>
      <c r="H427" s="42">
        <f>IF(OR(F427="",C427=""),"",IFERROR((C427-F427)/G427,""))</f>
        <v/>
      </c>
      <c r="I427" s="39">
        <f>IF(B427="","",IFERROR(INDEX('Animais'!$M$6:$M$1005,MATCH(B427,'Animais'!$A$6:$A$1005,0)),"Brinco não cadastrado"))</f>
        <v/>
      </c>
    </row>
    <row r="428">
      <c r="A428" s="31" t="n"/>
      <c r="B428" s="36" t="n"/>
      <c r="C428" s="38" t="n"/>
      <c r="D428" s="32" t="n"/>
      <c r="E428" s="43">
        <f>IF(OR(A428="",B428=""),"",SUMPRODUCT(MAX(($B$6:$B$2005=B428)*($A$6:$A$2005&lt;A428)*$A$6:$A$2005)))</f>
        <v/>
      </c>
      <c r="F428" s="41">
        <f>IF(OR(E428="",E428=0),"",IFERROR(AVERAGEIFS($C$6:$C$2005,$B$6:$B$2005,B428,$A$6:$A$2005,E428),""))</f>
        <v/>
      </c>
      <c r="G428" s="34">
        <f>IF(F428="","",A428-E428)</f>
        <v/>
      </c>
      <c r="H428" s="42">
        <f>IF(OR(F428="",C428=""),"",IFERROR((C428-F428)/G428,""))</f>
        <v/>
      </c>
      <c r="I428" s="39">
        <f>IF(B428="","",IFERROR(INDEX('Animais'!$M$6:$M$1005,MATCH(B428,'Animais'!$A$6:$A$1005,0)),"Brinco não cadastrado"))</f>
        <v/>
      </c>
    </row>
    <row r="429">
      <c r="A429" s="31" t="n"/>
      <c r="B429" s="36" t="n"/>
      <c r="C429" s="38" t="n"/>
      <c r="D429" s="32" t="n"/>
      <c r="E429" s="43">
        <f>IF(OR(A429="",B429=""),"",SUMPRODUCT(MAX(($B$6:$B$2005=B429)*($A$6:$A$2005&lt;A429)*$A$6:$A$2005)))</f>
        <v/>
      </c>
      <c r="F429" s="41">
        <f>IF(OR(E429="",E429=0),"",IFERROR(AVERAGEIFS($C$6:$C$2005,$B$6:$B$2005,B429,$A$6:$A$2005,E429),""))</f>
        <v/>
      </c>
      <c r="G429" s="34">
        <f>IF(F429="","",A429-E429)</f>
        <v/>
      </c>
      <c r="H429" s="42">
        <f>IF(OR(F429="",C429=""),"",IFERROR((C429-F429)/G429,""))</f>
        <v/>
      </c>
      <c r="I429" s="39">
        <f>IF(B429="","",IFERROR(INDEX('Animais'!$M$6:$M$1005,MATCH(B429,'Animais'!$A$6:$A$1005,0)),"Brinco não cadastrado"))</f>
        <v/>
      </c>
    </row>
    <row r="430">
      <c r="A430" s="31" t="n"/>
      <c r="B430" s="36" t="n"/>
      <c r="C430" s="38" t="n"/>
      <c r="D430" s="32" t="n"/>
      <c r="E430" s="43">
        <f>IF(OR(A430="",B430=""),"",SUMPRODUCT(MAX(($B$6:$B$2005=B430)*($A$6:$A$2005&lt;A430)*$A$6:$A$2005)))</f>
        <v/>
      </c>
      <c r="F430" s="41">
        <f>IF(OR(E430="",E430=0),"",IFERROR(AVERAGEIFS($C$6:$C$2005,$B$6:$B$2005,B430,$A$6:$A$2005,E430),""))</f>
        <v/>
      </c>
      <c r="G430" s="34">
        <f>IF(F430="","",A430-E430)</f>
        <v/>
      </c>
      <c r="H430" s="42">
        <f>IF(OR(F430="",C430=""),"",IFERROR((C430-F430)/G430,""))</f>
        <v/>
      </c>
      <c r="I430" s="39">
        <f>IF(B430="","",IFERROR(INDEX('Animais'!$M$6:$M$1005,MATCH(B430,'Animais'!$A$6:$A$1005,0)),"Brinco não cadastrado"))</f>
        <v/>
      </c>
    </row>
    <row r="431">
      <c r="A431" s="31" t="n"/>
      <c r="B431" s="36" t="n"/>
      <c r="C431" s="38" t="n"/>
      <c r="D431" s="32" t="n"/>
      <c r="E431" s="43">
        <f>IF(OR(A431="",B431=""),"",SUMPRODUCT(MAX(($B$6:$B$2005=B431)*($A$6:$A$2005&lt;A431)*$A$6:$A$2005)))</f>
        <v/>
      </c>
      <c r="F431" s="41">
        <f>IF(OR(E431="",E431=0),"",IFERROR(AVERAGEIFS($C$6:$C$2005,$B$6:$B$2005,B431,$A$6:$A$2005,E431),""))</f>
        <v/>
      </c>
      <c r="G431" s="34">
        <f>IF(F431="","",A431-E431)</f>
        <v/>
      </c>
      <c r="H431" s="42">
        <f>IF(OR(F431="",C431=""),"",IFERROR((C431-F431)/G431,""))</f>
        <v/>
      </c>
      <c r="I431" s="39">
        <f>IF(B431="","",IFERROR(INDEX('Animais'!$M$6:$M$1005,MATCH(B431,'Animais'!$A$6:$A$1005,0)),"Brinco não cadastrado"))</f>
        <v/>
      </c>
    </row>
    <row r="432">
      <c r="A432" s="31" t="n"/>
      <c r="B432" s="36" t="n"/>
      <c r="C432" s="38" t="n"/>
      <c r="D432" s="32" t="n"/>
      <c r="E432" s="43">
        <f>IF(OR(A432="",B432=""),"",SUMPRODUCT(MAX(($B$6:$B$2005=B432)*($A$6:$A$2005&lt;A432)*$A$6:$A$2005)))</f>
        <v/>
      </c>
      <c r="F432" s="41">
        <f>IF(OR(E432="",E432=0),"",IFERROR(AVERAGEIFS($C$6:$C$2005,$B$6:$B$2005,B432,$A$6:$A$2005,E432),""))</f>
        <v/>
      </c>
      <c r="G432" s="34">
        <f>IF(F432="","",A432-E432)</f>
        <v/>
      </c>
      <c r="H432" s="42">
        <f>IF(OR(F432="",C432=""),"",IFERROR((C432-F432)/G432,""))</f>
        <v/>
      </c>
      <c r="I432" s="39">
        <f>IF(B432="","",IFERROR(INDEX('Animais'!$M$6:$M$1005,MATCH(B432,'Animais'!$A$6:$A$1005,0)),"Brinco não cadastrado"))</f>
        <v/>
      </c>
    </row>
    <row r="433">
      <c r="A433" s="31" t="n"/>
      <c r="B433" s="36" t="n"/>
      <c r="C433" s="38" t="n"/>
      <c r="D433" s="32" t="n"/>
      <c r="E433" s="43">
        <f>IF(OR(A433="",B433=""),"",SUMPRODUCT(MAX(($B$6:$B$2005=B433)*($A$6:$A$2005&lt;A433)*$A$6:$A$2005)))</f>
        <v/>
      </c>
      <c r="F433" s="41">
        <f>IF(OR(E433="",E433=0),"",IFERROR(AVERAGEIFS($C$6:$C$2005,$B$6:$B$2005,B433,$A$6:$A$2005,E433),""))</f>
        <v/>
      </c>
      <c r="G433" s="34">
        <f>IF(F433="","",A433-E433)</f>
        <v/>
      </c>
      <c r="H433" s="42">
        <f>IF(OR(F433="",C433=""),"",IFERROR((C433-F433)/G433,""))</f>
        <v/>
      </c>
      <c r="I433" s="39">
        <f>IF(B433="","",IFERROR(INDEX('Animais'!$M$6:$M$1005,MATCH(B433,'Animais'!$A$6:$A$1005,0)),"Brinco não cadastrado"))</f>
        <v/>
      </c>
    </row>
    <row r="434">
      <c r="A434" s="31" t="n"/>
      <c r="B434" s="36" t="n"/>
      <c r="C434" s="38" t="n"/>
      <c r="D434" s="32" t="n"/>
      <c r="E434" s="43">
        <f>IF(OR(A434="",B434=""),"",SUMPRODUCT(MAX(($B$6:$B$2005=B434)*($A$6:$A$2005&lt;A434)*$A$6:$A$2005)))</f>
        <v/>
      </c>
      <c r="F434" s="41">
        <f>IF(OR(E434="",E434=0),"",IFERROR(AVERAGEIFS($C$6:$C$2005,$B$6:$B$2005,B434,$A$6:$A$2005,E434),""))</f>
        <v/>
      </c>
      <c r="G434" s="34">
        <f>IF(F434="","",A434-E434)</f>
        <v/>
      </c>
      <c r="H434" s="42">
        <f>IF(OR(F434="",C434=""),"",IFERROR((C434-F434)/G434,""))</f>
        <v/>
      </c>
      <c r="I434" s="39">
        <f>IF(B434="","",IFERROR(INDEX('Animais'!$M$6:$M$1005,MATCH(B434,'Animais'!$A$6:$A$1005,0)),"Brinco não cadastrado"))</f>
        <v/>
      </c>
    </row>
    <row r="435">
      <c r="A435" s="31" t="n"/>
      <c r="B435" s="36" t="n"/>
      <c r="C435" s="38" t="n"/>
      <c r="D435" s="32" t="n"/>
      <c r="E435" s="43">
        <f>IF(OR(A435="",B435=""),"",SUMPRODUCT(MAX(($B$6:$B$2005=B435)*($A$6:$A$2005&lt;A435)*$A$6:$A$2005)))</f>
        <v/>
      </c>
      <c r="F435" s="41">
        <f>IF(OR(E435="",E435=0),"",IFERROR(AVERAGEIFS($C$6:$C$2005,$B$6:$B$2005,B435,$A$6:$A$2005,E435),""))</f>
        <v/>
      </c>
      <c r="G435" s="34">
        <f>IF(F435="","",A435-E435)</f>
        <v/>
      </c>
      <c r="H435" s="42">
        <f>IF(OR(F435="",C435=""),"",IFERROR((C435-F435)/G435,""))</f>
        <v/>
      </c>
      <c r="I435" s="39">
        <f>IF(B435="","",IFERROR(INDEX('Animais'!$M$6:$M$1005,MATCH(B435,'Animais'!$A$6:$A$1005,0)),"Brinco não cadastrado"))</f>
        <v/>
      </c>
    </row>
    <row r="436">
      <c r="A436" s="31" t="n"/>
      <c r="B436" s="36" t="n"/>
      <c r="C436" s="38" t="n"/>
      <c r="D436" s="32" t="n"/>
      <c r="E436" s="43">
        <f>IF(OR(A436="",B436=""),"",SUMPRODUCT(MAX(($B$6:$B$2005=B436)*($A$6:$A$2005&lt;A436)*$A$6:$A$2005)))</f>
        <v/>
      </c>
      <c r="F436" s="41">
        <f>IF(OR(E436="",E436=0),"",IFERROR(AVERAGEIFS($C$6:$C$2005,$B$6:$B$2005,B436,$A$6:$A$2005,E436),""))</f>
        <v/>
      </c>
      <c r="G436" s="34">
        <f>IF(F436="","",A436-E436)</f>
        <v/>
      </c>
      <c r="H436" s="42">
        <f>IF(OR(F436="",C436=""),"",IFERROR((C436-F436)/G436,""))</f>
        <v/>
      </c>
      <c r="I436" s="39">
        <f>IF(B436="","",IFERROR(INDEX('Animais'!$M$6:$M$1005,MATCH(B436,'Animais'!$A$6:$A$1005,0)),"Brinco não cadastrado"))</f>
        <v/>
      </c>
    </row>
    <row r="437">
      <c r="A437" s="31" t="n"/>
      <c r="B437" s="36" t="n"/>
      <c r="C437" s="38" t="n"/>
      <c r="D437" s="32" t="n"/>
      <c r="E437" s="43">
        <f>IF(OR(A437="",B437=""),"",SUMPRODUCT(MAX(($B$6:$B$2005=B437)*($A$6:$A$2005&lt;A437)*$A$6:$A$2005)))</f>
        <v/>
      </c>
      <c r="F437" s="41">
        <f>IF(OR(E437="",E437=0),"",IFERROR(AVERAGEIFS($C$6:$C$2005,$B$6:$B$2005,B437,$A$6:$A$2005,E437),""))</f>
        <v/>
      </c>
      <c r="G437" s="34">
        <f>IF(F437="","",A437-E437)</f>
        <v/>
      </c>
      <c r="H437" s="42">
        <f>IF(OR(F437="",C437=""),"",IFERROR((C437-F437)/G437,""))</f>
        <v/>
      </c>
      <c r="I437" s="39">
        <f>IF(B437="","",IFERROR(INDEX('Animais'!$M$6:$M$1005,MATCH(B437,'Animais'!$A$6:$A$1005,0)),"Brinco não cadastrado"))</f>
        <v/>
      </c>
    </row>
    <row r="438">
      <c r="A438" s="31" t="n"/>
      <c r="B438" s="36" t="n"/>
      <c r="C438" s="38" t="n"/>
      <c r="D438" s="32" t="n"/>
      <c r="E438" s="43">
        <f>IF(OR(A438="",B438=""),"",SUMPRODUCT(MAX(($B$6:$B$2005=B438)*($A$6:$A$2005&lt;A438)*$A$6:$A$2005)))</f>
        <v/>
      </c>
      <c r="F438" s="41">
        <f>IF(OR(E438="",E438=0),"",IFERROR(AVERAGEIFS($C$6:$C$2005,$B$6:$B$2005,B438,$A$6:$A$2005,E438),""))</f>
        <v/>
      </c>
      <c r="G438" s="34">
        <f>IF(F438="","",A438-E438)</f>
        <v/>
      </c>
      <c r="H438" s="42">
        <f>IF(OR(F438="",C438=""),"",IFERROR((C438-F438)/G438,""))</f>
        <v/>
      </c>
      <c r="I438" s="39">
        <f>IF(B438="","",IFERROR(INDEX('Animais'!$M$6:$M$1005,MATCH(B438,'Animais'!$A$6:$A$1005,0)),"Brinco não cadastrado"))</f>
        <v/>
      </c>
    </row>
    <row r="439">
      <c r="A439" s="31" t="n"/>
      <c r="B439" s="36" t="n"/>
      <c r="C439" s="38" t="n"/>
      <c r="D439" s="32" t="n"/>
      <c r="E439" s="43">
        <f>IF(OR(A439="",B439=""),"",SUMPRODUCT(MAX(($B$6:$B$2005=B439)*($A$6:$A$2005&lt;A439)*$A$6:$A$2005)))</f>
        <v/>
      </c>
      <c r="F439" s="41">
        <f>IF(OR(E439="",E439=0),"",IFERROR(AVERAGEIFS($C$6:$C$2005,$B$6:$B$2005,B439,$A$6:$A$2005,E439),""))</f>
        <v/>
      </c>
      <c r="G439" s="34">
        <f>IF(F439="","",A439-E439)</f>
        <v/>
      </c>
      <c r="H439" s="42">
        <f>IF(OR(F439="",C439=""),"",IFERROR((C439-F439)/G439,""))</f>
        <v/>
      </c>
      <c r="I439" s="39">
        <f>IF(B439="","",IFERROR(INDEX('Animais'!$M$6:$M$1005,MATCH(B439,'Animais'!$A$6:$A$1005,0)),"Brinco não cadastrado"))</f>
        <v/>
      </c>
    </row>
    <row r="440">
      <c r="A440" s="31" t="n"/>
      <c r="B440" s="36" t="n"/>
      <c r="C440" s="38" t="n"/>
      <c r="D440" s="32" t="n"/>
      <c r="E440" s="43">
        <f>IF(OR(A440="",B440=""),"",SUMPRODUCT(MAX(($B$6:$B$2005=B440)*($A$6:$A$2005&lt;A440)*$A$6:$A$2005)))</f>
        <v/>
      </c>
      <c r="F440" s="41">
        <f>IF(OR(E440="",E440=0),"",IFERROR(AVERAGEIFS($C$6:$C$2005,$B$6:$B$2005,B440,$A$6:$A$2005,E440),""))</f>
        <v/>
      </c>
      <c r="G440" s="34">
        <f>IF(F440="","",A440-E440)</f>
        <v/>
      </c>
      <c r="H440" s="42">
        <f>IF(OR(F440="",C440=""),"",IFERROR((C440-F440)/G440,""))</f>
        <v/>
      </c>
      <c r="I440" s="39">
        <f>IF(B440="","",IFERROR(INDEX('Animais'!$M$6:$M$1005,MATCH(B440,'Animais'!$A$6:$A$1005,0)),"Brinco não cadastrado"))</f>
        <v/>
      </c>
    </row>
    <row r="441">
      <c r="A441" s="31" t="n"/>
      <c r="B441" s="36" t="n"/>
      <c r="C441" s="38" t="n"/>
      <c r="D441" s="32" t="n"/>
      <c r="E441" s="43">
        <f>IF(OR(A441="",B441=""),"",SUMPRODUCT(MAX(($B$6:$B$2005=B441)*($A$6:$A$2005&lt;A441)*$A$6:$A$2005)))</f>
        <v/>
      </c>
      <c r="F441" s="41">
        <f>IF(OR(E441="",E441=0),"",IFERROR(AVERAGEIFS($C$6:$C$2005,$B$6:$B$2005,B441,$A$6:$A$2005,E441),""))</f>
        <v/>
      </c>
      <c r="G441" s="34">
        <f>IF(F441="","",A441-E441)</f>
        <v/>
      </c>
      <c r="H441" s="42">
        <f>IF(OR(F441="",C441=""),"",IFERROR((C441-F441)/G441,""))</f>
        <v/>
      </c>
      <c r="I441" s="39">
        <f>IF(B441="","",IFERROR(INDEX('Animais'!$M$6:$M$1005,MATCH(B441,'Animais'!$A$6:$A$1005,0)),"Brinco não cadastrado"))</f>
        <v/>
      </c>
    </row>
    <row r="442">
      <c r="A442" s="31" t="n"/>
      <c r="B442" s="36" t="n"/>
      <c r="C442" s="38" t="n"/>
      <c r="D442" s="32" t="n"/>
      <c r="E442" s="43">
        <f>IF(OR(A442="",B442=""),"",SUMPRODUCT(MAX(($B$6:$B$2005=B442)*($A$6:$A$2005&lt;A442)*$A$6:$A$2005)))</f>
        <v/>
      </c>
      <c r="F442" s="41">
        <f>IF(OR(E442="",E442=0),"",IFERROR(AVERAGEIFS($C$6:$C$2005,$B$6:$B$2005,B442,$A$6:$A$2005,E442),""))</f>
        <v/>
      </c>
      <c r="G442" s="34">
        <f>IF(F442="","",A442-E442)</f>
        <v/>
      </c>
      <c r="H442" s="42">
        <f>IF(OR(F442="",C442=""),"",IFERROR((C442-F442)/G442,""))</f>
        <v/>
      </c>
      <c r="I442" s="39">
        <f>IF(B442="","",IFERROR(INDEX('Animais'!$M$6:$M$1005,MATCH(B442,'Animais'!$A$6:$A$1005,0)),"Brinco não cadastrado"))</f>
        <v/>
      </c>
    </row>
    <row r="443">
      <c r="A443" s="31" t="n"/>
      <c r="B443" s="36" t="n"/>
      <c r="C443" s="38" t="n"/>
      <c r="D443" s="32" t="n"/>
      <c r="E443" s="43">
        <f>IF(OR(A443="",B443=""),"",SUMPRODUCT(MAX(($B$6:$B$2005=B443)*($A$6:$A$2005&lt;A443)*$A$6:$A$2005)))</f>
        <v/>
      </c>
      <c r="F443" s="41">
        <f>IF(OR(E443="",E443=0),"",IFERROR(AVERAGEIFS($C$6:$C$2005,$B$6:$B$2005,B443,$A$6:$A$2005,E443),""))</f>
        <v/>
      </c>
      <c r="G443" s="34">
        <f>IF(F443="","",A443-E443)</f>
        <v/>
      </c>
      <c r="H443" s="42">
        <f>IF(OR(F443="",C443=""),"",IFERROR((C443-F443)/G443,""))</f>
        <v/>
      </c>
      <c r="I443" s="39">
        <f>IF(B443="","",IFERROR(INDEX('Animais'!$M$6:$M$1005,MATCH(B443,'Animais'!$A$6:$A$1005,0)),"Brinco não cadastrado"))</f>
        <v/>
      </c>
    </row>
    <row r="444">
      <c r="A444" s="31" t="n"/>
      <c r="B444" s="36" t="n"/>
      <c r="C444" s="38" t="n"/>
      <c r="D444" s="32" t="n"/>
      <c r="E444" s="43">
        <f>IF(OR(A444="",B444=""),"",SUMPRODUCT(MAX(($B$6:$B$2005=B444)*($A$6:$A$2005&lt;A444)*$A$6:$A$2005)))</f>
        <v/>
      </c>
      <c r="F444" s="41">
        <f>IF(OR(E444="",E444=0),"",IFERROR(AVERAGEIFS($C$6:$C$2005,$B$6:$B$2005,B444,$A$6:$A$2005,E444),""))</f>
        <v/>
      </c>
      <c r="G444" s="34">
        <f>IF(F444="","",A444-E444)</f>
        <v/>
      </c>
      <c r="H444" s="42">
        <f>IF(OR(F444="",C444=""),"",IFERROR((C444-F444)/G444,""))</f>
        <v/>
      </c>
      <c r="I444" s="39">
        <f>IF(B444="","",IFERROR(INDEX('Animais'!$M$6:$M$1005,MATCH(B444,'Animais'!$A$6:$A$1005,0)),"Brinco não cadastrado"))</f>
        <v/>
      </c>
    </row>
    <row r="445">
      <c r="A445" s="31" t="n"/>
      <c r="B445" s="36" t="n"/>
      <c r="C445" s="38" t="n"/>
      <c r="D445" s="32" t="n"/>
      <c r="E445" s="43">
        <f>IF(OR(A445="",B445=""),"",SUMPRODUCT(MAX(($B$6:$B$2005=B445)*($A$6:$A$2005&lt;A445)*$A$6:$A$2005)))</f>
        <v/>
      </c>
      <c r="F445" s="41">
        <f>IF(OR(E445="",E445=0),"",IFERROR(AVERAGEIFS($C$6:$C$2005,$B$6:$B$2005,B445,$A$6:$A$2005,E445),""))</f>
        <v/>
      </c>
      <c r="G445" s="34">
        <f>IF(F445="","",A445-E445)</f>
        <v/>
      </c>
      <c r="H445" s="42">
        <f>IF(OR(F445="",C445=""),"",IFERROR((C445-F445)/G445,""))</f>
        <v/>
      </c>
      <c r="I445" s="39">
        <f>IF(B445="","",IFERROR(INDEX('Animais'!$M$6:$M$1005,MATCH(B445,'Animais'!$A$6:$A$1005,0)),"Brinco não cadastrado"))</f>
        <v/>
      </c>
    </row>
    <row r="446">
      <c r="A446" s="31" t="n"/>
      <c r="B446" s="36" t="n"/>
      <c r="C446" s="38" t="n"/>
      <c r="D446" s="32" t="n"/>
      <c r="E446" s="43">
        <f>IF(OR(A446="",B446=""),"",SUMPRODUCT(MAX(($B$6:$B$2005=B446)*($A$6:$A$2005&lt;A446)*$A$6:$A$2005)))</f>
        <v/>
      </c>
      <c r="F446" s="41">
        <f>IF(OR(E446="",E446=0),"",IFERROR(AVERAGEIFS($C$6:$C$2005,$B$6:$B$2005,B446,$A$6:$A$2005,E446),""))</f>
        <v/>
      </c>
      <c r="G446" s="34">
        <f>IF(F446="","",A446-E446)</f>
        <v/>
      </c>
      <c r="H446" s="42">
        <f>IF(OR(F446="",C446=""),"",IFERROR((C446-F446)/G446,""))</f>
        <v/>
      </c>
      <c r="I446" s="39">
        <f>IF(B446="","",IFERROR(INDEX('Animais'!$M$6:$M$1005,MATCH(B446,'Animais'!$A$6:$A$1005,0)),"Brinco não cadastrado"))</f>
        <v/>
      </c>
    </row>
    <row r="447">
      <c r="A447" s="31" t="n"/>
      <c r="B447" s="36" t="n"/>
      <c r="C447" s="38" t="n"/>
      <c r="D447" s="32" t="n"/>
      <c r="E447" s="43">
        <f>IF(OR(A447="",B447=""),"",SUMPRODUCT(MAX(($B$6:$B$2005=B447)*($A$6:$A$2005&lt;A447)*$A$6:$A$2005)))</f>
        <v/>
      </c>
      <c r="F447" s="41">
        <f>IF(OR(E447="",E447=0),"",IFERROR(AVERAGEIFS($C$6:$C$2005,$B$6:$B$2005,B447,$A$6:$A$2005,E447),""))</f>
        <v/>
      </c>
      <c r="G447" s="34">
        <f>IF(F447="","",A447-E447)</f>
        <v/>
      </c>
      <c r="H447" s="42">
        <f>IF(OR(F447="",C447=""),"",IFERROR((C447-F447)/G447,""))</f>
        <v/>
      </c>
      <c r="I447" s="39">
        <f>IF(B447="","",IFERROR(INDEX('Animais'!$M$6:$M$1005,MATCH(B447,'Animais'!$A$6:$A$1005,0)),"Brinco não cadastrado"))</f>
        <v/>
      </c>
    </row>
    <row r="448">
      <c r="A448" s="31" t="n"/>
      <c r="B448" s="36" t="n"/>
      <c r="C448" s="38" t="n"/>
      <c r="D448" s="32" t="n"/>
      <c r="E448" s="43">
        <f>IF(OR(A448="",B448=""),"",SUMPRODUCT(MAX(($B$6:$B$2005=B448)*($A$6:$A$2005&lt;A448)*$A$6:$A$2005)))</f>
        <v/>
      </c>
      <c r="F448" s="41">
        <f>IF(OR(E448="",E448=0),"",IFERROR(AVERAGEIFS($C$6:$C$2005,$B$6:$B$2005,B448,$A$6:$A$2005,E448),""))</f>
        <v/>
      </c>
      <c r="G448" s="34">
        <f>IF(F448="","",A448-E448)</f>
        <v/>
      </c>
      <c r="H448" s="42">
        <f>IF(OR(F448="",C448=""),"",IFERROR((C448-F448)/G448,""))</f>
        <v/>
      </c>
      <c r="I448" s="39">
        <f>IF(B448="","",IFERROR(INDEX('Animais'!$M$6:$M$1005,MATCH(B448,'Animais'!$A$6:$A$1005,0)),"Brinco não cadastrado"))</f>
        <v/>
      </c>
    </row>
    <row r="449">
      <c r="A449" s="31" t="n"/>
      <c r="B449" s="36" t="n"/>
      <c r="C449" s="38" t="n"/>
      <c r="D449" s="32" t="n"/>
      <c r="E449" s="43">
        <f>IF(OR(A449="",B449=""),"",SUMPRODUCT(MAX(($B$6:$B$2005=B449)*($A$6:$A$2005&lt;A449)*$A$6:$A$2005)))</f>
        <v/>
      </c>
      <c r="F449" s="41">
        <f>IF(OR(E449="",E449=0),"",IFERROR(AVERAGEIFS($C$6:$C$2005,$B$6:$B$2005,B449,$A$6:$A$2005,E449),""))</f>
        <v/>
      </c>
      <c r="G449" s="34">
        <f>IF(F449="","",A449-E449)</f>
        <v/>
      </c>
      <c r="H449" s="42">
        <f>IF(OR(F449="",C449=""),"",IFERROR((C449-F449)/G449,""))</f>
        <v/>
      </c>
      <c r="I449" s="39">
        <f>IF(B449="","",IFERROR(INDEX('Animais'!$M$6:$M$1005,MATCH(B449,'Animais'!$A$6:$A$1005,0)),"Brinco não cadastrado"))</f>
        <v/>
      </c>
    </row>
    <row r="450">
      <c r="A450" s="31" t="n"/>
      <c r="B450" s="36" t="n"/>
      <c r="C450" s="38" t="n"/>
      <c r="D450" s="32" t="n"/>
      <c r="E450" s="43">
        <f>IF(OR(A450="",B450=""),"",SUMPRODUCT(MAX(($B$6:$B$2005=B450)*($A$6:$A$2005&lt;A450)*$A$6:$A$2005)))</f>
        <v/>
      </c>
      <c r="F450" s="41">
        <f>IF(OR(E450="",E450=0),"",IFERROR(AVERAGEIFS($C$6:$C$2005,$B$6:$B$2005,B450,$A$6:$A$2005,E450),""))</f>
        <v/>
      </c>
      <c r="G450" s="34">
        <f>IF(F450="","",A450-E450)</f>
        <v/>
      </c>
      <c r="H450" s="42">
        <f>IF(OR(F450="",C450=""),"",IFERROR((C450-F450)/G450,""))</f>
        <v/>
      </c>
      <c r="I450" s="39">
        <f>IF(B450="","",IFERROR(INDEX('Animais'!$M$6:$M$1005,MATCH(B450,'Animais'!$A$6:$A$1005,0)),"Brinco não cadastrado"))</f>
        <v/>
      </c>
    </row>
    <row r="451">
      <c r="A451" s="31" t="n"/>
      <c r="B451" s="36" t="n"/>
      <c r="C451" s="38" t="n"/>
      <c r="D451" s="32" t="n"/>
      <c r="E451" s="43">
        <f>IF(OR(A451="",B451=""),"",SUMPRODUCT(MAX(($B$6:$B$2005=B451)*($A$6:$A$2005&lt;A451)*$A$6:$A$2005)))</f>
        <v/>
      </c>
      <c r="F451" s="41">
        <f>IF(OR(E451="",E451=0),"",IFERROR(AVERAGEIFS($C$6:$C$2005,$B$6:$B$2005,B451,$A$6:$A$2005,E451),""))</f>
        <v/>
      </c>
      <c r="G451" s="34">
        <f>IF(F451="","",A451-E451)</f>
        <v/>
      </c>
      <c r="H451" s="42">
        <f>IF(OR(F451="",C451=""),"",IFERROR((C451-F451)/G451,""))</f>
        <v/>
      </c>
      <c r="I451" s="39">
        <f>IF(B451="","",IFERROR(INDEX('Animais'!$M$6:$M$1005,MATCH(B451,'Animais'!$A$6:$A$1005,0)),"Brinco não cadastrado"))</f>
        <v/>
      </c>
    </row>
    <row r="452">
      <c r="A452" s="31" t="n"/>
      <c r="B452" s="36" t="n"/>
      <c r="C452" s="38" t="n"/>
      <c r="D452" s="32" t="n"/>
      <c r="E452" s="43">
        <f>IF(OR(A452="",B452=""),"",SUMPRODUCT(MAX(($B$6:$B$2005=B452)*($A$6:$A$2005&lt;A452)*$A$6:$A$2005)))</f>
        <v/>
      </c>
      <c r="F452" s="41">
        <f>IF(OR(E452="",E452=0),"",IFERROR(AVERAGEIFS($C$6:$C$2005,$B$6:$B$2005,B452,$A$6:$A$2005,E452),""))</f>
        <v/>
      </c>
      <c r="G452" s="34">
        <f>IF(F452="","",A452-E452)</f>
        <v/>
      </c>
      <c r="H452" s="42">
        <f>IF(OR(F452="",C452=""),"",IFERROR((C452-F452)/G452,""))</f>
        <v/>
      </c>
      <c r="I452" s="39">
        <f>IF(B452="","",IFERROR(INDEX('Animais'!$M$6:$M$1005,MATCH(B452,'Animais'!$A$6:$A$1005,0)),"Brinco não cadastrado"))</f>
        <v/>
      </c>
    </row>
    <row r="453">
      <c r="A453" s="31" t="n"/>
      <c r="B453" s="36" t="n"/>
      <c r="C453" s="38" t="n"/>
      <c r="D453" s="32" t="n"/>
      <c r="E453" s="43">
        <f>IF(OR(A453="",B453=""),"",SUMPRODUCT(MAX(($B$6:$B$2005=B453)*($A$6:$A$2005&lt;A453)*$A$6:$A$2005)))</f>
        <v/>
      </c>
      <c r="F453" s="41">
        <f>IF(OR(E453="",E453=0),"",IFERROR(AVERAGEIFS($C$6:$C$2005,$B$6:$B$2005,B453,$A$6:$A$2005,E453),""))</f>
        <v/>
      </c>
      <c r="G453" s="34">
        <f>IF(F453="","",A453-E453)</f>
        <v/>
      </c>
      <c r="H453" s="42">
        <f>IF(OR(F453="",C453=""),"",IFERROR((C453-F453)/G453,""))</f>
        <v/>
      </c>
      <c r="I453" s="39">
        <f>IF(B453="","",IFERROR(INDEX('Animais'!$M$6:$M$1005,MATCH(B453,'Animais'!$A$6:$A$1005,0)),"Brinco não cadastrado"))</f>
        <v/>
      </c>
    </row>
    <row r="454">
      <c r="A454" s="31" t="n"/>
      <c r="B454" s="36" t="n"/>
      <c r="C454" s="38" t="n"/>
      <c r="D454" s="32" t="n"/>
      <c r="E454" s="43">
        <f>IF(OR(A454="",B454=""),"",SUMPRODUCT(MAX(($B$6:$B$2005=B454)*($A$6:$A$2005&lt;A454)*$A$6:$A$2005)))</f>
        <v/>
      </c>
      <c r="F454" s="41">
        <f>IF(OR(E454="",E454=0),"",IFERROR(AVERAGEIFS($C$6:$C$2005,$B$6:$B$2005,B454,$A$6:$A$2005,E454),""))</f>
        <v/>
      </c>
      <c r="G454" s="34">
        <f>IF(F454="","",A454-E454)</f>
        <v/>
      </c>
      <c r="H454" s="42">
        <f>IF(OR(F454="",C454=""),"",IFERROR((C454-F454)/G454,""))</f>
        <v/>
      </c>
      <c r="I454" s="39">
        <f>IF(B454="","",IFERROR(INDEX('Animais'!$M$6:$M$1005,MATCH(B454,'Animais'!$A$6:$A$1005,0)),"Brinco não cadastrado"))</f>
        <v/>
      </c>
    </row>
    <row r="455">
      <c r="A455" s="31" t="n"/>
      <c r="B455" s="36" t="n"/>
      <c r="C455" s="38" t="n"/>
      <c r="D455" s="32" t="n"/>
      <c r="E455" s="43">
        <f>IF(OR(A455="",B455=""),"",SUMPRODUCT(MAX(($B$6:$B$2005=B455)*($A$6:$A$2005&lt;A455)*$A$6:$A$2005)))</f>
        <v/>
      </c>
      <c r="F455" s="41">
        <f>IF(OR(E455="",E455=0),"",IFERROR(AVERAGEIFS($C$6:$C$2005,$B$6:$B$2005,B455,$A$6:$A$2005,E455),""))</f>
        <v/>
      </c>
      <c r="G455" s="34">
        <f>IF(F455="","",A455-E455)</f>
        <v/>
      </c>
      <c r="H455" s="42">
        <f>IF(OR(F455="",C455=""),"",IFERROR((C455-F455)/G455,""))</f>
        <v/>
      </c>
      <c r="I455" s="39">
        <f>IF(B455="","",IFERROR(INDEX('Animais'!$M$6:$M$1005,MATCH(B455,'Animais'!$A$6:$A$1005,0)),"Brinco não cadastrado"))</f>
        <v/>
      </c>
    </row>
    <row r="456">
      <c r="A456" s="31" t="n"/>
      <c r="B456" s="36" t="n"/>
      <c r="C456" s="38" t="n"/>
      <c r="D456" s="32" t="n"/>
      <c r="E456" s="43">
        <f>IF(OR(A456="",B456=""),"",SUMPRODUCT(MAX(($B$6:$B$2005=B456)*($A$6:$A$2005&lt;A456)*$A$6:$A$2005)))</f>
        <v/>
      </c>
      <c r="F456" s="41">
        <f>IF(OR(E456="",E456=0),"",IFERROR(AVERAGEIFS($C$6:$C$2005,$B$6:$B$2005,B456,$A$6:$A$2005,E456),""))</f>
        <v/>
      </c>
      <c r="G456" s="34">
        <f>IF(F456="","",A456-E456)</f>
        <v/>
      </c>
      <c r="H456" s="42">
        <f>IF(OR(F456="",C456=""),"",IFERROR((C456-F456)/G456,""))</f>
        <v/>
      </c>
      <c r="I456" s="39">
        <f>IF(B456="","",IFERROR(INDEX('Animais'!$M$6:$M$1005,MATCH(B456,'Animais'!$A$6:$A$1005,0)),"Brinco não cadastrado"))</f>
        <v/>
      </c>
    </row>
    <row r="457">
      <c r="A457" s="31" t="n"/>
      <c r="B457" s="36" t="n"/>
      <c r="C457" s="38" t="n"/>
      <c r="D457" s="32" t="n"/>
      <c r="E457" s="43">
        <f>IF(OR(A457="",B457=""),"",SUMPRODUCT(MAX(($B$6:$B$2005=B457)*($A$6:$A$2005&lt;A457)*$A$6:$A$2005)))</f>
        <v/>
      </c>
      <c r="F457" s="41">
        <f>IF(OR(E457="",E457=0),"",IFERROR(AVERAGEIFS($C$6:$C$2005,$B$6:$B$2005,B457,$A$6:$A$2005,E457),""))</f>
        <v/>
      </c>
      <c r="G457" s="34">
        <f>IF(F457="","",A457-E457)</f>
        <v/>
      </c>
      <c r="H457" s="42">
        <f>IF(OR(F457="",C457=""),"",IFERROR((C457-F457)/G457,""))</f>
        <v/>
      </c>
      <c r="I457" s="39">
        <f>IF(B457="","",IFERROR(INDEX('Animais'!$M$6:$M$1005,MATCH(B457,'Animais'!$A$6:$A$1005,0)),"Brinco não cadastrado"))</f>
        <v/>
      </c>
    </row>
    <row r="458">
      <c r="A458" s="31" t="n"/>
      <c r="B458" s="36" t="n"/>
      <c r="C458" s="38" t="n"/>
      <c r="D458" s="32" t="n"/>
      <c r="E458" s="43">
        <f>IF(OR(A458="",B458=""),"",SUMPRODUCT(MAX(($B$6:$B$2005=B458)*($A$6:$A$2005&lt;A458)*$A$6:$A$2005)))</f>
        <v/>
      </c>
      <c r="F458" s="41">
        <f>IF(OR(E458="",E458=0),"",IFERROR(AVERAGEIFS($C$6:$C$2005,$B$6:$B$2005,B458,$A$6:$A$2005,E458),""))</f>
        <v/>
      </c>
      <c r="G458" s="34">
        <f>IF(F458="","",A458-E458)</f>
        <v/>
      </c>
      <c r="H458" s="42">
        <f>IF(OR(F458="",C458=""),"",IFERROR((C458-F458)/G458,""))</f>
        <v/>
      </c>
      <c r="I458" s="39">
        <f>IF(B458="","",IFERROR(INDEX('Animais'!$M$6:$M$1005,MATCH(B458,'Animais'!$A$6:$A$1005,0)),"Brinco não cadastrado"))</f>
        <v/>
      </c>
    </row>
    <row r="459">
      <c r="A459" s="31" t="n"/>
      <c r="B459" s="36" t="n"/>
      <c r="C459" s="38" t="n"/>
      <c r="D459" s="32" t="n"/>
      <c r="E459" s="43">
        <f>IF(OR(A459="",B459=""),"",SUMPRODUCT(MAX(($B$6:$B$2005=B459)*($A$6:$A$2005&lt;A459)*$A$6:$A$2005)))</f>
        <v/>
      </c>
      <c r="F459" s="41">
        <f>IF(OR(E459="",E459=0),"",IFERROR(AVERAGEIFS($C$6:$C$2005,$B$6:$B$2005,B459,$A$6:$A$2005,E459),""))</f>
        <v/>
      </c>
      <c r="G459" s="34">
        <f>IF(F459="","",A459-E459)</f>
        <v/>
      </c>
      <c r="H459" s="42">
        <f>IF(OR(F459="",C459=""),"",IFERROR((C459-F459)/G459,""))</f>
        <v/>
      </c>
      <c r="I459" s="39">
        <f>IF(B459="","",IFERROR(INDEX('Animais'!$M$6:$M$1005,MATCH(B459,'Animais'!$A$6:$A$1005,0)),"Brinco não cadastrado"))</f>
        <v/>
      </c>
    </row>
    <row r="460">
      <c r="A460" s="31" t="n"/>
      <c r="B460" s="36" t="n"/>
      <c r="C460" s="38" t="n"/>
      <c r="D460" s="32" t="n"/>
      <c r="E460" s="43">
        <f>IF(OR(A460="",B460=""),"",SUMPRODUCT(MAX(($B$6:$B$2005=B460)*($A$6:$A$2005&lt;A460)*$A$6:$A$2005)))</f>
        <v/>
      </c>
      <c r="F460" s="41">
        <f>IF(OR(E460="",E460=0),"",IFERROR(AVERAGEIFS($C$6:$C$2005,$B$6:$B$2005,B460,$A$6:$A$2005,E460),""))</f>
        <v/>
      </c>
      <c r="G460" s="34">
        <f>IF(F460="","",A460-E460)</f>
        <v/>
      </c>
      <c r="H460" s="42">
        <f>IF(OR(F460="",C460=""),"",IFERROR((C460-F460)/G460,""))</f>
        <v/>
      </c>
      <c r="I460" s="39">
        <f>IF(B460="","",IFERROR(INDEX('Animais'!$M$6:$M$1005,MATCH(B460,'Animais'!$A$6:$A$1005,0)),"Brinco não cadastrado"))</f>
        <v/>
      </c>
    </row>
    <row r="461">
      <c r="A461" s="31" t="n"/>
      <c r="B461" s="36" t="n"/>
      <c r="C461" s="38" t="n"/>
      <c r="D461" s="32" t="n"/>
      <c r="E461" s="43">
        <f>IF(OR(A461="",B461=""),"",SUMPRODUCT(MAX(($B$6:$B$2005=B461)*($A$6:$A$2005&lt;A461)*$A$6:$A$2005)))</f>
        <v/>
      </c>
      <c r="F461" s="41">
        <f>IF(OR(E461="",E461=0),"",IFERROR(AVERAGEIFS($C$6:$C$2005,$B$6:$B$2005,B461,$A$6:$A$2005,E461),""))</f>
        <v/>
      </c>
      <c r="G461" s="34">
        <f>IF(F461="","",A461-E461)</f>
        <v/>
      </c>
      <c r="H461" s="42">
        <f>IF(OR(F461="",C461=""),"",IFERROR((C461-F461)/G461,""))</f>
        <v/>
      </c>
      <c r="I461" s="39">
        <f>IF(B461="","",IFERROR(INDEX('Animais'!$M$6:$M$1005,MATCH(B461,'Animais'!$A$6:$A$1005,0)),"Brinco não cadastrado"))</f>
        <v/>
      </c>
    </row>
    <row r="462">
      <c r="A462" s="31" t="n"/>
      <c r="B462" s="36" t="n"/>
      <c r="C462" s="38" t="n"/>
      <c r="D462" s="32" t="n"/>
      <c r="E462" s="43">
        <f>IF(OR(A462="",B462=""),"",SUMPRODUCT(MAX(($B$6:$B$2005=B462)*($A$6:$A$2005&lt;A462)*$A$6:$A$2005)))</f>
        <v/>
      </c>
      <c r="F462" s="41">
        <f>IF(OR(E462="",E462=0),"",IFERROR(AVERAGEIFS($C$6:$C$2005,$B$6:$B$2005,B462,$A$6:$A$2005,E462),""))</f>
        <v/>
      </c>
      <c r="G462" s="34">
        <f>IF(F462="","",A462-E462)</f>
        <v/>
      </c>
      <c r="H462" s="42">
        <f>IF(OR(F462="",C462=""),"",IFERROR((C462-F462)/G462,""))</f>
        <v/>
      </c>
      <c r="I462" s="39">
        <f>IF(B462="","",IFERROR(INDEX('Animais'!$M$6:$M$1005,MATCH(B462,'Animais'!$A$6:$A$1005,0)),"Brinco não cadastrado"))</f>
        <v/>
      </c>
    </row>
    <row r="463">
      <c r="A463" s="31" t="n"/>
      <c r="B463" s="36" t="n"/>
      <c r="C463" s="38" t="n"/>
      <c r="D463" s="32" t="n"/>
      <c r="E463" s="43">
        <f>IF(OR(A463="",B463=""),"",SUMPRODUCT(MAX(($B$6:$B$2005=B463)*($A$6:$A$2005&lt;A463)*$A$6:$A$2005)))</f>
        <v/>
      </c>
      <c r="F463" s="41">
        <f>IF(OR(E463="",E463=0),"",IFERROR(AVERAGEIFS($C$6:$C$2005,$B$6:$B$2005,B463,$A$6:$A$2005,E463),""))</f>
        <v/>
      </c>
      <c r="G463" s="34">
        <f>IF(F463="","",A463-E463)</f>
        <v/>
      </c>
      <c r="H463" s="42">
        <f>IF(OR(F463="",C463=""),"",IFERROR((C463-F463)/G463,""))</f>
        <v/>
      </c>
      <c r="I463" s="39">
        <f>IF(B463="","",IFERROR(INDEX('Animais'!$M$6:$M$1005,MATCH(B463,'Animais'!$A$6:$A$1005,0)),"Brinco não cadastrado"))</f>
        <v/>
      </c>
    </row>
    <row r="464">
      <c r="A464" s="31" t="n"/>
      <c r="B464" s="36" t="n"/>
      <c r="C464" s="38" t="n"/>
      <c r="D464" s="32" t="n"/>
      <c r="E464" s="43">
        <f>IF(OR(A464="",B464=""),"",SUMPRODUCT(MAX(($B$6:$B$2005=B464)*($A$6:$A$2005&lt;A464)*$A$6:$A$2005)))</f>
        <v/>
      </c>
      <c r="F464" s="41">
        <f>IF(OR(E464="",E464=0),"",IFERROR(AVERAGEIFS($C$6:$C$2005,$B$6:$B$2005,B464,$A$6:$A$2005,E464),""))</f>
        <v/>
      </c>
      <c r="G464" s="34">
        <f>IF(F464="","",A464-E464)</f>
        <v/>
      </c>
      <c r="H464" s="42">
        <f>IF(OR(F464="",C464=""),"",IFERROR((C464-F464)/G464,""))</f>
        <v/>
      </c>
      <c r="I464" s="39">
        <f>IF(B464="","",IFERROR(INDEX('Animais'!$M$6:$M$1005,MATCH(B464,'Animais'!$A$6:$A$1005,0)),"Brinco não cadastrado"))</f>
        <v/>
      </c>
    </row>
    <row r="465">
      <c r="A465" s="31" t="n"/>
      <c r="B465" s="36" t="n"/>
      <c r="C465" s="38" t="n"/>
      <c r="D465" s="32" t="n"/>
      <c r="E465" s="43">
        <f>IF(OR(A465="",B465=""),"",SUMPRODUCT(MAX(($B$6:$B$2005=B465)*($A$6:$A$2005&lt;A465)*$A$6:$A$2005)))</f>
        <v/>
      </c>
      <c r="F465" s="41">
        <f>IF(OR(E465="",E465=0),"",IFERROR(AVERAGEIFS($C$6:$C$2005,$B$6:$B$2005,B465,$A$6:$A$2005,E465),""))</f>
        <v/>
      </c>
      <c r="G465" s="34">
        <f>IF(F465="","",A465-E465)</f>
        <v/>
      </c>
      <c r="H465" s="42">
        <f>IF(OR(F465="",C465=""),"",IFERROR((C465-F465)/G465,""))</f>
        <v/>
      </c>
      <c r="I465" s="39">
        <f>IF(B465="","",IFERROR(INDEX('Animais'!$M$6:$M$1005,MATCH(B465,'Animais'!$A$6:$A$1005,0)),"Brinco não cadastrado"))</f>
        <v/>
      </c>
    </row>
    <row r="466">
      <c r="A466" s="31" t="n"/>
      <c r="B466" s="36" t="n"/>
      <c r="C466" s="38" t="n"/>
      <c r="D466" s="32" t="n"/>
      <c r="E466" s="43">
        <f>IF(OR(A466="",B466=""),"",SUMPRODUCT(MAX(($B$6:$B$2005=B466)*($A$6:$A$2005&lt;A466)*$A$6:$A$2005)))</f>
        <v/>
      </c>
      <c r="F466" s="41">
        <f>IF(OR(E466="",E466=0),"",IFERROR(AVERAGEIFS($C$6:$C$2005,$B$6:$B$2005,B466,$A$6:$A$2005,E466),""))</f>
        <v/>
      </c>
      <c r="G466" s="34">
        <f>IF(F466="","",A466-E466)</f>
        <v/>
      </c>
      <c r="H466" s="42">
        <f>IF(OR(F466="",C466=""),"",IFERROR((C466-F466)/G466,""))</f>
        <v/>
      </c>
      <c r="I466" s="39">
        <f>IF(B466="","",IFERROR(INDEX('Animais'!$M$6:$M$1005,MATCH(B466,'Animais'!$A$6:$A$1005,0)),"Brinco não cadastrado"))</f>
        <v/>
      </c>
    </row>
    <row r="467">
      <c r="A467" s="31" t="n"/>
      <c r="B467" s="36" t="n"/>
      <c r="C467" s="38" t="n"/>
      <c r="D467" s="32" t="n"/>
      <c r="E467" s="43">
        <f>IF(OR(A467="",B467=""),"",SUMPRODUCT(MAX(($B$6:$B$2005=B467)*($A$6:$A$2005&lt;A467)*$A$6:$A$2005)))</f>
        <v/>
      </c>
      <c r="F467" s="41">
        <f>IF(OR(E467="",E467=0),"",IFERROR(AVERAGEIFS($C$6:$C$2005,$B$6:$B$2005,B467,$A$6:$A$2005,E467),""))</f>
        <v/>
      </c>
      <c r="G467" s="34">
        <f>IF(F467="","",A467-E467)</f>
        <v/>
      </c>
      <c r="H467" s="42">
        <f>IF(OR(F467="",C467=""),"",IFERROR((C467-F467)/G467,""))</f>
        <v/>
      </c>
      <c r="I467" s="39">
        <f>IF(B467="","",IFERROR(INDEX('Animais'!$M$6:$M$1005,MATCH(B467,'Animais'!$A$6:$A$1005,0)),"Brinco não cadastrado"))</f>
        <v/>
      </c>
    </row>
    <row r="468">
      <c r="A468" s="31" t="n"/>
      <c r="B468" s="36" t="n"/>
      <c r="C468" s="38" t="n"/>
      <c r="D468" s="32" t="n"/>
      <c r="E468" s="43">
        <f>IF(OR(A468="",B468=""),"",SUMPRODUCT(MAX(($B$6:$B$2005=B468)*($A$6:$A$2005&lt;A468)*$A$6:$A$2005)))</f>
        <v/>
      </c>
      <c r="F468" s="41">
        <f>IF(OR(E468="",E468=0),"",IFERROR(AVERAGEIFS($C$6:$C$2005,$B$6:$B$2005,B468,$A$6:$A$2005,E468),""))</f>
        <v/>
      </c>
      <c r="G468" s="34">
        <f>IF(F468="","",A468-E468)</f>
        <v/>
      </c>
      <c r="H468" s="42">
        <f>IF(OR(F468="",C468=""),"",IFERROR((C468-F468)/G468,""))</f>
        <v/>
      </c>
      <c r="I468" s="39">
        <f>IF(B468="","",IFERROR(INDEX('Animais'!$M$6:$M$1005,MATCH(B468,'Animais'!$A$6:$A$1005,0)),"Brinco não cadastrado"))</f>
        <v/>
      </c>
    </row>
    <row r="469">
      <c r="A469" s="31" t="n"/>
      <c r="B469" s="36" t="n"/>
      <c r="C469" s="38" t="n"/>
      <c r="D469" s="32" t="n"/>
      <c r="E469" s="43">
        <f>IF(OR(A469="",B469=""),"",SUMPRODUCT(MAX(($B$6:$B$2005=B469)*($A$6:$A$2005&lt;A469)*$A$6:$A$2005)))</f>
        <v/>
      </c>
      <c r="F469" s="41">
        <f>IF(OR(E469="",E469=0),"",IFERROR(AVERAGEIFS($C$6:$C$2005,$B$6:$B$2005,B469,$A$6:$A$2005,E469),""))</f>
        <v/>
      </c>
      <c r="G469" s="34">
        <f>IF(F469="","",A469-E469)</f>
        <v/>
      </c>
      <c r="H469" s="42">
        <f>IF(OR(F469="",C469=""),"",IFERROR((C469-F469)/G469,""))</f>
        <v/>
      </c>
      <c r="I469" s="39">
        <f>IF(B469="","",IFERROR(INDEX('Animais'!$M$6:$M$1005,MATCH(B469,'Animais'!$A$6:$A$1005,0)),"Brinco não cadastrado"))</f>
        <v/>
      </c>
    </row>
    <row r="470">
      <c r="A470" s="31" t="n"/>
      <c r="B470" s="36" t="n"/>
      <c r="C470" s="38" t="n"/>
      <c r="D470" s="32" t="n"/>
      <c r="E470" s="43">
        <f>IF(OR(A470="",B470=""),"",SUMPRODUCT(MAX(($B$6:$B$2005=B470)*($A$6:$A$2005&lt;A470)*$A$6:$A$2005)))</f>
        <v/>
      </c>
      <c r="F470" s="41">
        <f>IF(OR(E470="",E470=0),"",IFERROR(AVERAGEIFS($C$6:$C$2005,$B$6:$B$2005,B470,$A$6:$A$2005,E470),""))</f>
        <v/>
      </c>
      <c r="G470" s="34">
        <f>IF(F470="","",A470-E470)</f>
        <v/>
      </c>
      <c r="H470" s="42">
        <f>IF(OR(F470="",C470=""),"",IFERROR((C470-F470)/G470,""))</f>
        <v/>
      </c>
      <c r="I470" s="39">
        <f>IF(B470="","",IFERROR(INDEX('Animais'!$M$6:$M$1005,MATCH(B470,'Animais'!$A$6:$A$1005,0)),"Brinco não cadastrado"))</f>
        <v/>
      </c>
    </row>
    <row r="471">
      <c r="A471" s="31" t="n"/>
      <c r="B471" s="36" t="n"/>
      <c r="C471" s="38" t="n"/>
      <c r="D471" s="32" t="n"/>
      <c r="E471" s="43">
        <f>IF(OR(A471="",B471=""),"",SUMPRODUCT(MAX(($B$6:$B$2005=B471)*($A$6:$A$2005&lt;A471)*$A$6:$A$2005)))</f>
        <v/>
      </c>
      <c r="F471" s="41">
        <f>IF(OR(E471="",E471=0),"",IFERROR(AVERAGEIFS($C$6:$C$2005,$B$6:$B$2005,B471,$A$6:$A$2005,E471),""))</f>
        <v/>
      </c>
      <c r="G471" s="34">
        <f>IF(F471="","",A471-E471)</f>
        <v/>
      </c>
      <c r="H471" s="42">
        <f>IF(OR(F471="",C471=""),"",IFERROR((C471-F471)/G471,""))</f>
        <v/>
      </c>
      <c r="I471" s="39">
        <f>IF(B471="","",IFERROR(INDEX('Animais'!$M$6:$M$1005,MATCH(B471,'Animais'!$A$6:$A$1005,0)),"Brinco não cadastrado"))</f>
        <v/>
      </c>
    </row>
    <row r="472">
      <c r="A472" s="31" t="n"/>
      <c r="B472" s="36" t="n"/>
      <c r="C472" s="38" t="n"/>
      <c r="D472" s="32" t="n"/>
      <c r="E472" s="43">
        <f>IF(OR(A472="",B472=""),"",SUMPRODUCT(MAX(($B$6:$B$2005=B472)*($A$6:$A$2005&lt;A472)*$A$6:$A$2005)))</f>
        <v/>
      </c>
      <c r="F472" s="41">
        <f>IF(OR(E472="",E472=0),"",IFERROR(AVERAGEIFS($C$6:$C$2005,$B$6:$B$2005,B472,$A$6:$A$2005,E472),""))</f>
        <v/>
      </c>
      <c r="G472" s="34">
        <f>IF(F472="","",A472-E472)</f>
        <v/>
      </c>
      <c r="H472" s="42">
        <f>IF(OR(F472="",C472=""),"",IFERROR((C472-F472)/G472,""))</f>
        <v/>
      </c>
      <c r="I472" s="39">
        <f>IF(B472="","",IFERROR(INDEX('Animais'!$M$6:$M$1005,MATCH(B472,'Animais'!$A$6:$A$1005,0)),"Brinco não cadastrado"))</f>
        <v/>
      </c>
    </row>
    <row r="473">
      <c r="A473" s="31" t="n"/>
      <c r="B473" s="36" t="n"/>
      <c r="C473" s="38" t="n"/>
      <c r="D473" s="32" t="n"/>
      <c r="E473" s="43">
        <f>IF(OR(A473="",B473=""),"",SUMPRODUCT(MAX(($B$6:$B$2005=B473)*($A$6:$A$2005&lt;A473)*$A$6:$A$2005)))</f>
        <v/>
      </c>
      <c r="F473" s="41">
        <f>IF(OR(E473="",E473=0),"",IFERROR(AVERAGEIFS($C$6:$C$2005,$B$6:$B$2005,B473,$A$6:$A$2005,E473),""))</f>
        <v/>
      </c>
      <c r="G473" s="34">
        <f>IF(F473="","",A473-E473)</f>
        <v/>
      </c>
      <c r="H473" s="42">
        <f>IF(OR(F473="",C473=""),"",IFERROR((C473-F473)/G473,""))</f>
        <v/>
      </c>
      <c r="I473" s="39">
        <f>IF(B473="","",IFERROR(INDEX('Animais'!$M$6:$M$1005,MATCH(B473,'Animais'!$A$6:$A$1005,0)),"Brinco não cadastrado"))</f>
        <v/>
      </c>
    </row>
    <row r="474">
      <c r="A474" s="31" t="n"/>
      <c r="B474" s="36" t="n"/>
      <c r="C474" s="38" t="n"/>
      <c r="D474" s="32" t="n"/>
      <c r="E474" s="43">
        <f>IF(OR(A474="",B474=""),"",SUMPRODUCT(MAX(($B$6:$B$2005=B474)*($A$6:$A$2005&lt;A474)*$A$6:$A$2005)))</f>
        <v/>
      </c>
      <c r="F474" s="41">
        <f>IF(OR(E474="",E474=0),"",IFERROR(AVERAGEIFS($C$6:$C$2005,$B$6:$B$2005,B474,$A$6:$A$2005,E474),""))</f>
        <v/>
      </c>
      <c r="G474" s="34">
        <f>IF(F474="","",A474-E474)</f>
        <v/>
      </c>
      <c r="H474" s="42">
        <f>IF(OR(F474="",C474=""),"",IFERROR((C474-F474)/G474,""))</f>
        <v/>
      </c>
      <c r="I474" s="39">
        <f>IF(B474="","",IFERROR(INDEX('Animais'!$M$6:$M$1005,MATCH(B474,'Animais'!$A$6:$A$1005,0)),"Brinco não cadastrado"))</f>
        <v/>
      </c>
    </row>
    <row r="475">
      <c r="A475" s="31" t="n"/>
      <c r="B475" s="36" t="n"/>
      <c r="C475" s="38" t="n"/>
      <c r="D475" s="32" t="n"/>
      <c r="E475" s="43">
        <f>IF(OR(A475="",B475=""),"",SUMPRODUCT(MAX(($B$6:$B$2005=B475)*($A$6:$A$2005&lt;A475)*$A$6:$A$2005)))</f>
        <v/>
      </c>
      <c r="F475" s="41">
        <f>IF(OR(E475="",E475=0),"",IFERROR(AVERAGEIFS($C$6:$C$2005,$B$6:$B$2005,B475,$A$6:$A$2005,E475),""))</f>
        <v/>
      </c>
      <c r="G475" s="34">
        <f>IF(F475="","",A475-E475)</f>
        <v/>
      </c>
      <c r="H475" s="42">
        <f>IF(OR(F475="",C475=""),"",IFERROR((C475-F475)/G475,""))</f>
        <v/>
      </c>
      <c r="I475" s="39">
        <f>IF(B475="","",IFERROR(INDEX('Animais'!$M$6:$M$1005,MATCH(B475,'Animais'!$A$6:$A$1005,0)),"Brinco não cadastrado"))</f>
        <v/>
      </c>
    </row>
    <row r="476">
      <c r="A476" s="31" t="n"/>
      <c r="B476" s="36" t="n"/>
      <c r="C476" s="38" t="n"/>
      <c r="D476" s="32" t="n"/>
      <c r="E476" s="43">
        <f>IF(OR(A476="",B476=""),"",SUMPRODUCT(MAX(($B$6:$B$2005=B476)*($A$6:$A$2005&lt;A476)*$A$6:$A$2005)))</f>
        <v/>
      </c>
      <c r="F476" s="41">
        <f>IF(OR(E476="",E476=0),"",IFERROR(AVERAGEIFS($C$6:$C$2005,$B$6:$B$2005,B476,$A$6:$A$2005,E476),""))</f>
        <v/>
      </c>
      <c r="G476" s="34">
        <f>IF(F476="","",A476-E476)</f>
        <v/>
      </c>
      <c r="H476" s="42">
        <f>IF(OR(F476="",C476=""),"",IFERROR((C476-F476)/G476,""))</f>
        <v/>
      </c>
      <c r="I476" s="39">
        <f>IF(B476="","",IFERROR(INDEX('Animais'!$M$6:$M$1005,MATCH(B476,'Animais'!$A$6:$A$1005,0)),"Brinco não cadastrado"))</f>
        <v/>
      </c>
    </row>
    <row r="477">
      <c r="A477" s="31" t="n"/>
      <c r="B477" s="36" t="n"/>
      <c r="C477" s="38" t="n"/>
      <c r="D477" s="32" t="n"/>
      <c r="E477" s="43">
        <f>IF(OR(A477="",B477=""),"",SUMPRODUCT(MAX(($B$6:$B$2005=B477)*($A$6:$A$2005&lt;A477)*$A$6:$A$2005)))</f>
        <v/>
      </c>
      <c r="F477" s="41">
        <f>IF(OR(E477="",E477=0),"",IFERROR(AVERAGEIFS($C$6:$C$2005,$B$6:$B$2005,B477,$A$6:$A$2005,E477),""))</f>
        <v/>
      </c>
      <c r="G477" s="34">
        <f>IF(F477="","",A477-E477)</f>
        <v/>
      </c>
      <c r="H477" s="42">
        <f>IF(OR(F477="",C477=""),"",IFERROR((C477-F477)/G477,""))</f>
        <v/>
      </c>
      <c r="I477" s="39">
        <f>IF(B477="","",IFERROR(INDEX('Animais'!$M$6:$M$1005,MATCH(B477,'Animais'!$A$6:$A$1005,0)),"Brinco não cadastrado"))</f>
        <v/>
      </c>
    </row>
    <row r="478">
      <c r="A478" s="31" t="n"/>
      <c r="B478" s="36" t="n"/>
      <c r="C478" s="38" t="n"/>
      <c r="D478" s="32" t="n"/>
      <c r="E478" s="43">
        <f>IF(OR(A478="",B478=""),"",SUMPRODUCT(MAX(($B$6:$B$2005=B478)*($A$6:$A$2005&lt;A478)*$A$6:$A$2005)))</f>
        <v/>
      </c>
      <c r="F478" s="41">
        <f>IF(OR(E478="",E478=0),"",IFERROR(AVERAGEIFS($C$6:$C$2005,$B$6:$B$2005,B478,$A$6:$A$2005,E478),""))</f>
        <v/>
      </c>
      <c r="G478" s="34">
        <f>IF(F478="","",A478-E478)</f>
        <v/>
      </c>
      <c r="H478" s="42">
        <f>IF(OR(F478="",C478=""),"",IFERROR((C478-F478)/G478,""))</f>
        <v/>
      </c>
      <c r="I478" s="39">
        <f>IF(B478="","",IFERROR(INDEX('Animais'!$M$6:$M$1005,MATCH(B478,'Animais'!$A$6:$A$1005,0)),"Brinco não cadastrado"))</f>
        <v/>
      </c>
    </row>
    <row r="479">
      <c r="A479" s="31" t="n"/>
      <c r="B479" s="36" t="n"/>
      <c r="C479" s="38" t="n"/>
      <c r="D479" s="32" t="n"/>
      <c r="E479" s="43">
        <f>IF(OR(A479="",B479=""),"",SUMPRODUCT(MAX(($B$6:$B$2005=B479)*($A$6:$A$2005&lt;A479)*$A$6:$A$2005)))</f>
        <v/>
      </c>
      <c r="F479" s="41">
        <f>IF(OR(E479="",E479=0),"",IFERROR(AVERAGEIFS($C$6:$C$2005,$B$6:$B$2005,B479,$A$6:$A$2005,E479),""))</f>
        <v/>
      </c>
      <c r="G479" s="34">
        <f>IF(F479="","",A479-E479)</f>
        <v/>
      </c>
      <c r="H479" s="42">
        <f>IF(OR(F479="",C479=""),"",IFERROR((C479-F479)/G479,""))</f>
        <v/>
      </c>
      <c r="I479" s="39">
        <f>IF(B479="","",IFERROR(INDEX('Animais'!$M$6:$M$1005,MATCH(B479,'Animais'!$A$6:$A$1005,0)),"Brinco não cadastrado"))</f>
        <v/>
      </c>
    </row>
    <row r="480">
      <c r="A480" s="31" t="n"/>
      <c r="B480" s="36" t="n"/>
      <c r="C480" s="38" t="n"/>
      <c r="D480" s="32" t="n"/>
      <c r="E480" s="43">
        <f>IF(OR(A480="",B480=""),"",SUMPRODUCT(MAX(($B$6:$B$2005=B480)*($A$6:$A$2005&lt;A480)*$A$6:$A$2005)))</f>
        <v/>
      </c>
      <c r="F480" s="41">
        <f>IF(OR(E480="",E480=0),"",IFERROR(AVERAGEIFS($C$6:$C$2005,$B$6:$B$2005,B480,$A$6:$A$2005,E480),""))</f>
        <v/>
      </c>
      <c r="G480" s="34">
        <f>IF(F480="","",A480-E480)</f>
        <v/>
      </c>
      <c r="H480" s="42">
        <f>IF(OR(F480="",C480=""),"",IFERROR((C480-F480)/G480,""))</f>
        <v/>
      </c>
      <c r="I480" s="39">
        <f>IF(B480="","",IFERROR(INDEX('Animais'!$M$6:$M$1005,MATCH(B480,'Animais'!$A$6:$A$1005,0)),"Brinco não cadastrado"))</f>
        <v/>
      </c>
    </row>
    <row r="481">
      <c r="A481" s="31" t="n"/>
      <c r="B481" s="36" t="n"/>
      <c r="C481" s="38" t="n"/>
      <c r="D481" s="32" t="n"/>
      <c r="E481" s="43">
        <f>IF(OR(A481="",B481=""),"",SUMPRODUCT(MAX(($B$6:$B$2005=B481)*($A$6:$A$2005&lt;A481)*$A$6:$A$2005)))</f>
        <v/>
      </c>
      <c r="F481" s="41">
        <f>IF(OR(E481="",E481=0),"",IFERROR(AVERAGEIFS($C$6:$C$2005,$B$6:$B$2005,B481,$A$6:$A$2005,E481),""))</f>
        <v/>
      </c>
      <c r="G481" s="34">
        <f>IF(F481="","",A481-E481)</f>
        <v/>
      </c>
      <c r="H481" s="42">
        <f>IF(OR(F481="",C481=""),"",IFERROR((C481-F481)/G481,""))</f>
        <v/>
      </c>
      <c r="I481" s="39">
        <f>IF(B481="","",IFERROR(INDEX('Animais'!$M$6:$M$1005,MATCH(B481,'Animais'!$A$6:$A$1005,0)),"Brinco não cadastrado"))</f>
        <v/>
      </c>
    </row>
    <row r="482">
      <c r="A482" s="31" t="n"/>
      <c r="B482" s="36" t="n"/>
      <c r="C482" s="38" t="n"/>
      <c r="D482" s="32" t="n"/>
      <c r="E482" s="43">
        <f>IF(OR(A482="",B482=""),"",SUMPRODUCT(MAX(($B$6:$B$2005=B482)*($A$6:$A$2005&lt;A482)*$A$6:$A$2005)))</f>
        <v/>
      </c>
      <c r="F482" s="41">
        <f>IF(OR(E482="",E482=0),"",IFERROR(AVERAGEIFS($C$6:$C$2005,$B$6:$B$2005,B482,$A$6:$A$2005,E482),""))</f>
        <v/>
      </c>
      <c r="G482" s="34">
        <f>IF(F482="","",A482-E482)</f>
        <v/>
      </c>
      <c r="H482" s="42">
        <f>IF(OR(F482="",C482=""),"",IFERROR((C482-F482)/G482,""))</f>
        <v/>
      </c>
      <c r="I482" s="39">
        <f>IF(B482="","",IFERROR(INDEX('Animais'!$M$6:$M$1005,MATCH(B482,'Animais'!$A$6:$A$1005,0)),"Brinco não cadastrado"))</f>
        <v/>
      </c>
    </row>
    <row r="483">
      <c r="A483" s="31" t="n"/>
      <c r="B483" s="36" t="n"/>
      <c r="C483" s="38" t="n"/>
      <c r="D483" s="32" t="n"/>
      <c r="E483" s="43">
        <f>IF(OR(A483="",B483=""),"",SUMPRODUCT(MAX(($B$6:$B$2005=B483)*($A$6:$A$2005&lt;A483)*$A$6:$A$2005)))</f>
        <v/>
      </c>
      <c r="F483" s="41">
        <f>IF(OR(E483="",E483=0),"",IFERROR(AVERAGEIFS($C$6:$C$2005,$B$6:$B$2005,B483,$A$6:$A$2005,E483),""))</f>
        <v/>
      </c>
      <c r="G483" s="34">
        <f>IF(F483="","",A483-E483)</f>
        <v/>
      </c>
      <c r="H483" s="42">
        <f>IF(OR(F483="",C483=""),"",IFERROR((C483-F483)/G483,""))</f>
        <v/>
      </c>
      <c r="I483" s="39">
        <f>IF(B483="","",IFERROR(INDEX('Animais'!$M$6:$M$1005,MATCH(B483,'Animais'!$A$6:$A$1005,0)),"Brinco não cadastrado"))</f>
        <v/>
      </c>
    </row>
    <row r="484">
      <c r="A484" s="31" t="n"/>
      <c r="B484" s="36" t="n"/>
      <c r="C484" s="38" t="n"/>
      <c r="D484" s="32" t="n"/>
      <c r="E484" s="43">
        <f>IF(OR(A484="",B484=""),"",SUMPRODUCT(MAX(($B$6:$B$2005=B484)*($A$6:$A$2005&lt;A484)*$A$6:$A$2005)))</f>
        <v/>
      </c>
      <c r="F484" s="41">
        <f>IF(OR(E484="",E484=0),"",IFERROR(AVERAGEIFS($C$6:$C$2005,$B$6:$B$2005,B484,$A$6:$A$2005,E484),""))</f>
        <v/>
      </c>
      <c r="G484" s="34">
        <f>IF(F484="","",A484-E484)</f>
        <v/>
      </c>
      <c r="H484" s="42">
        <f>IF(OR(F484="",C484=""),"",IFERROR((C484-F484)/G484,""))</f>
        <v/>
      </c>
      <c r="I484" s="39">
        <f>IF(B484="","",IFERROR(INDEX('Animais'!$M$6:$M$1005,MATCH(B484,'Animais'!$A$6:$A$1005,0)),"Brinco não cadastrado"))</f>
        <v/>
      </c>
    </row>
    <row r="485">
      <c r="A485" s="31" t="n"/>
      <c r="B485" s="36" t="n"/>
      <c r="C485" s="38" t="n"/>
      <c r="D485" s="32" t="n"/>
      <c r="E485" s="43">
        <f>IF(OR(A485="",B485=""),"",SUMPRODUCT(MAX(($B$6:$B$2005=B485)*($A$6:$A$2005&lt;A485)*$A$6:$A$2005)))</f>
        <v/>
      </c>
      <c r="F485" s="41">
        <f>IF(OR(E485="",E485=0),"",IFERROR(AVERAGEIFS($C$6:$C$2005,$B$6:$B$2005,B485,$A$6:$A$2005,E485),""))</f>
        <v/>
      </c>
      <c r="G485" s="34">
        <f>IF(F485="","",A485-E485)</f>
        <v/>
      </c>
      <c r="H485" s="42">
        <f>IF(OR(F485="",C485=""),"",IFERROR((C485-F485)/G485,""))</f>
        <v/>
      </c>
      <c r="I485" s="39">
        <f>IF(B485="","",IFERROR(INDEX('Animais'!$M$6:$M$1005,MATCH(B485,'Animais'!$A$6:$A$1005,0)),"Brinco não cadastrado"))</f>
        <v/>
      </c>
    </row>
    <row r="486">
      <c r="A486" s="31" t="n"/>
      <c r="B486" s="36" t="n"/>
      <c r="C486" s="38" t="n"/>
      <c r="D486" s="32" t="n"/>
      <c r="E486" s="43">
        <f>IF(OR(A486="",B486=""),"",SUMPRODUCT(MAX(($B$6:$B$2005=B486)*($A$6:$A$2005&lt;A486)*$A$6:$A$2005)))</f>
        <v/>
      </c>
      <c r="F486" s="41">
        <f>IF(OR(E486="",E486=0),"",IFERROR(AVERAGEIFS($C$6:$C$2005,$B$6:$B$2005,B486,$A$6:$A$2005,E486),""))</f>
        <v/>
      </c>
      <c r="G486" s="34">
        <f>IF(F486="","",A486-E486)</f>
        <v/>
      </c>
      <c r="H486" s="42">
        <f>IF(OR(F486="",C486=""),"",IFERROR((C486-F486)/G486,""))</f>
        <v/>
      </c>
      <c r="I486" s="39">
        <f>IF(B486="","",IFERROR(INDEX('Animais'!$M$6:$M$1005,MATCH(B486,'Animais'!$A$6:$A$1005,0)),"Brinco não cadastrado"))</f>
        <v/>
      </c>
    </row>
    <row r="487">
      <c r="A487" s="31" t="n"/>
      <c r="B487" s="36" t="n"/>
      <c r="C487" s="38" t="n"/>
      <c r="D487" s="32" t="n"/>
      <c r="E487" s="43">
        <f>IF(OR(A487="",B487=""),"",SUMPRODUCT(MAX(($B$6:$B$2005=B487)*($A$6:$A$2005&lt;A487)*$A$6:$A$2005)))</f>
        <v/>
      </c>
      <c r="F487" s="41">
        <f>IF(OR(E487="",E487=0),"",IFERROR(AVERAGEIFS($C$6:$C$2005,$B$6:$B$2005,B487,$A$6:$A$2005,E487),""))</f>
        <v/>
      </c>
      <c r="G487" s="34">
        <f>IF(F487="","",A487-E487)</f>
        <v/>
      </c>
      <c r="H487" s="42">
        <f>IF(OR(F487="",C487=""),"",IFERROR((C487-F487)/G487,""))</f>
        <v/>
      </c>
      <c r="I487" s="39">
        <f>IF(B487="","",IFERROR(INDEX('Animais'!$M$6:$M$1005,MATCH(B487,'Animais'!$A$6:$A$1005,0)),"Brinco não cadastrado"))</f>
        <v/>
      </c>
    </row>
    <row r="488">
      <c r="A488" s="31" t="n"/>
      <c r="B488" s="36" t="n"/>
      <c r="C488" s="38" t="n"/>
      <c r="D488" s="32" t="n"/>
      <c r="E488" s="43">
        <f>IF(OR(A488="",B488=""),"",SUMPRODUCT(MAX(($B$6:$B$2005=B488)*($A$6:$A$2005&lt;A488)*$A$6:$A$2005)))</f>
        <v/>
      </c>
      <c r="F488" s="41">
        <f>IF(OR(E488="",E488=0),"",IFERROR(AVERAGEIFS($C$6:$C$2005,$B$6:$B$2005,B488,$A$6:$A$2005,E488),""))</f>
        <v/>
      </c>
      <c r="G488" s="34">
        <f>IF(F488="","",A488-E488)</f>
        <v/>
      </c>
      <c r="H488" s="42">
        <f>IF(OR(F488="",C488=""),"",IFERROR((C488-F488)/G488,""))</f>
        <v/>
      </c>
      <c r="I488" s="39">
        <f>IF(B488="","",IFERROR(INDEX('Animais'!$M$6:$M$1005,MATCH(B488,'Animais'!$A$6:$A$1005,0)),"Brinco não cadastrado"))</f>
        <v/>
      </c>
    </row>
    <row r="489">
      <c r="A489" s="31" t="n"/>
      <c r="B489" s="36" t="n"/>
      <c r="C489" s="38" t="n"/>
      <c r="D489" s="32" t="n"/>
      <c r="E489" s="43">
        <f>IF(OR(A489="",B489=""),"",SUMPRODUCT(MAX(($B$6:$B$2005=B489)*($A$6:$A$2005&lt;A489)*$A$6:$A$2005)))</f>
        <v/>
      </c>
      <c r="F489" s="41">
        <f>IF(OR(E489="",E489=0),"",IFERROR(AVERAGEIFS($C$6:$C$2005,$B$6:$B$2005,B489,$A$6:$A$2005,E489),""))</f>
        <v/>
      </c>
      <c r="G489" s="34">
        <f>IF(F489="","",A489-E489)</f>
        <v/>
      </c>
      <c r="H489" s="42">
        <f>IF(OR(F489="",C489=""),"",IFERROR((C489-F489)/G489,""))</f>
        <v/>
      </c>
      <c r="I489" s="39">
        <f>IF(B489="","",IFERROR(INDEX('Animais'!$M$6:$M$1005,MATCH(B489,'Animais'!$A$6:$A$1005,0)),"Brinco não cadastrado"))</f>
        <v/>
      </c>
    </row>
    <row r="490">
      <c r="A490" s="31" t="n"/>
      <c r="B490" s="36" t="n"/>
      <c r="C490" s="38" t="n"/>
      <c r="D490" s="32" t="n"/>
      <c r="E490" s="43">
        <f>IF(OR(A490="",B490=""),"",SUMPRODUCT(MAX(($B$6:$B$2005=B490)*($A$6:$A$2005&lt;A490)*$A$6:$A$2005)))</f>
        <v/>
      </c>
      <c r="F490" s="41">
        <f>IF(OR(E490="",E490=0),"",IFERROR(AVERAGEIFS($C$6:$C$2005,$B$6:$B$2005,B490,$A$6:$A$2005,E490),""))</f>
        <v/>
      </c>
      <c r="G490" s="34">
        <f>IF(F490="","",A490-E490)</f>
        <v/>
      </c>
      <c r="H490" s="42">
        <f>IF(OR(F490="",C490=""),"",IFERROR((C490-F490)/G490,""))</f>
        <v/>
      </c>
      <c r="I490" s="39">
        <f>IF(B490="","",IFERROR(INDEX('Animais'!$M$6:$M$1005,MATCH(B490,'Animais'!$A$6:$A$1005,0)),"Brinco não cadastrado"))</f>
        <v/>
      </c>
    </row>
    <row r="491">
      <c r="A491" s="31" t="n"/>
      <c r="B491" s="36" t="n"/>
      <c r="C491" s="38" t="n"/>
      <c r="D491" s="32" t="n"/>
      <c r="E491" s="43">
        <f>IF(OR(A491="",B491=""),"",SUMPRODUCT(MAX(($B$6:$B$2005=B491)*($A$6:$A$2005&lt;A491)*$A$6:$A$2005)))</f>
        <v/>
      </c>
      <c r="F491" s="41">
        <f>IF(OR(E491="",E491=0),"",IFERROR(AVERAGEIFS($C$6:$C$2005,$B$6:$B$2005,B491,$A$6:$A$2005,E491),""))</f>
        <v/>
      </c>
      <c r="G491" s="34">
        <f>IF(F491="","",A491-E491)</f>
        <v/>
      </c>
      <c r="H491" s="42">
        <f>IF(OR(F491="",C491=""),"",IFERROR((C491-F491)/G491,""))</f>
        <v/>
      </c>
      <c r="I491" s="39">
        <f>IF(B491="","",IFERROR(INDEX('Animais'!$M$6:$M$1005,MATCH(B491,'Animais'!$A$6:$A$1005,0)),"Brinco não cadastrado"))</f>
        <v/>
      </c>
    </row>
    <row r="492">
      <c r="A492" s="31" t="n"/>
      <c r="B492" s="36" t="n"/>
      <c r="C492" s="38" t="n"/>
      <c r="D492" s="32" t="n"/>
      <c r="E492" s="43">
        <f>IF(OR(A492="",B492=""),"",SUMPRODUCT(MAX(($B$6:$B$2005=B492)*($A$6:$A$2005&lt;A492)*$A$6:$A$2005)))</f>
        <v/>
      </c>
      <c r="F492" s="41">
        <f>IF(OR(E492="",E492=0),"",IFERROR(AVERAGEIFS($C$6:$C$2005,$B$6:$B$2005,B492,$A$6:$A$2005,E492),""))</f>
        <v/>
      </c>
      <c r="G492" s="34">
        <f>IF(F492="","",A492-E492)</f>
        <v/>
      </c>
      <c r="H492" s="42">
        <f>IF(OR(F492="",C492=""),"",IFERROR((C492-F492)/G492,""))</f>
        <v/>
      </c>
      <c r="I492" s="39">
        <f>IF(B492="","",IFERROR(INDEX('Animais'!$M$6:$M$1005,MATCH(B492,'Animais'!$A$6:$A$1005,0)),"Brinco não cadastrado"))</f>
        <v/>
      </c>
    </row>
    <row r="493">
      <c r="A493" s="31" t="n"/>
      <c r="B493" s="36" t="n"/>
      <c r="C493" s="38" t="n"/>
      <c r="D493" s="32" t="n"/>
      <c r="E493" s="43">
        <f>IF(OR(A493="",B493=""),"",SUMPRODUCT(MAX(($B$6:$B$2005=B493)*($A$6:$A$2005&lt;A493)*$A$6:$A$2005)))</f>
        <v/>
      </c>
      <c r="F493" s="41">
        <f>IF(OR(E493="",E493=0),"",IFERROR(AVERAGEIFS($C$6:$C$2005,$B$6:$B$2005,B493,$A$6:$A$2005,E493),""))</f>
        <v/>
      </c>
      <c r="G493" s="34">
        <f>IF(F493="","",A493-E493)</f>
        <v/>
      </c>
      <c r="H493" s="42">
        <f>IF(OR(F493="",C493=""),"",IFERROR((C493-F493)/G493,""))</f>
        <v/>
      </c>
      <c r="I493" s="39">
        <f>IF(B493="","",IFERROR(INDEX('Animais'!$M$6:$M$1005,MATCH(B493,'Animais'!$A$6:$A$1005,0)),"Brinco não cadastrado"))</f>
        <v/>
      </c>
    </row>
    <row r="494">
      <c r="A494" s="31" t="n"/>
      <c r="B494" s="36" t="n"/>
      <c r="C494" s="38" t="n"/>
      <c r="D494" s="32" t="n"/>
      <c r="E494" s="43">
        <f>IF(OR(A494="",B494=""),"",SUMPRODUCT(MAX(($B$6:$B$2005=B494)*($A$6:$A$2005&lt;A494)*$A$6:$A$2005)))</f>
        <v/>
      </c>
      <c r="F494" s="41">
        <f>IF(OR(E494="",E494=0),"",IFERROR(AVERAGEIFS($C$6:$C$2005,$B$6:$B$2005,B494,$A$6:$A$2005,E494),""))</f>
        <v/>
      </c>
      <c r="G494" s="34">
        <f>IF(F494="","",A494-E494)</f>
        <v/>
      </c>
      <c r="H494" s="42">
        <f>IF(OR(F494="",C494=""),"",IFERROR((C494-F494)/G494,""))</f>
        <v/>
      </c>
      <c r="I494" s="39">
        <f>IF(B494="","",IFERROR(INDEX('Animais'!$M$6:$M$1005,MATCH(B494,'Animais'!$A$6:$A$1005,0)),"Brinco não cadastrado"))</f>
        <v/>
      </c>
    </row>
    <row r="495">
      <c r="A495" s="31" t="n"/>
      <c r="B495" s="36" t="n"/>
      <c r="C495" s="38" t="n"/>
      <c r="D495" s="32" t="n"/>
      <c r="E495" s="43">
        <f>IF(OR(A495="",B495=""),"",SUMPRODUCT(MAX(($B$6:$B$2005=B495)*($A$6:$A$2005&lt;A495)*$A$6:$A$2005)))</f>
        <v/>
      </c>
      <c r="F495" s="41">
        <f>IF(OR(E495="",E495=0),"",IFERROR(AVERAGEIFS($C$6:$C$2005,$B$6:$B$2005,B495,$A$6:$A$2005,E495),""))</f>
        <v/>
      </c>
      <c r="G495" s="34">
        <f>IF(F495="","",A495-E495)</f>
        <v/>
      </c>
      <c r="H495" s="42">
        <f>IF(OR(F495="",C495=""),"",IFERROR((C495-F495)/G495,""))</f>
        <v/>
      </c>
      <c r="I495" s="39">
        <f>IF(B495="","",IFERROR(INDEX('Animais'!$M$6:$M$1005,MATCH(B495,'Animais'!$A$6:$A$1005,0)),"Brinco não cadastrado"))</f>
        <v/>
      </c>
    </row>
    <row r="496">
      <c r="A496" s="31" t="n"/>
      <c r="B496" s="36" t="n"/>
      <c r="C496" s="38" t="n"/>
      <c r="D496" s="32" t="n"/>
      <c r="E496" s="43">
        <f>IF(OR(A496="",B496=""),"",SUMPRODUCT(MAX(($B$6:$B$2005=B496)*($A$6:$A$2005&lt;A496)*$A$6:$A$2005)))</f>
        <v/>
      </c>
      <c r="F496" s="41">
        <f>IF(OR(E496="",E496=0),"",IFERROR(AVERAGEIFS($C$6:$C$2005,$B$6:$B$2005,B496,$A$6:$A$2005,E496),""))</f>
        <v/>
      </c>
      <c r="G496" s="34">
        <f>IF(F496="","",A496-E496)</f>
        <v/>
      </c>
      <c r="H496" s="42">
        <f>IF(OR(F496="",C496=""),"",IFERROR((C496-F496)/G496,""))</f>
        <v/>
      </c>
      <c r="I496" s="39">
        <f>IF(B496="","",IFERROR(INDEX('Animais'!$M$6:$M$1005,MATCH(B496,'Animais'!$A$6:$A$1005,0)),"Brinco não cadastrado"))</f>
        <v/>
      </c>
    </row>
    <row r="497">
      <c r="A497" s="31" t="n"/>
      <c r="B497" s="36" t="n"/>
      <c r="C497" s="38" t="n"/>
      <c r="D497" s="32" t="n"/>
      <c r="E497" s="43">
        <f>IF(OR(A497="",B497=""),"",SUMPRODUCT(MAX(($B$6:$B$2005=B497)*($A$6:$A$2005&lt;A497)*$A$6:$A$2005)))</f>
        <v/>
      </c>
      <c r="F497" s="41">
        <f>IF(OR(E497="",E497=0),"",IFERROR(AVERAGEIFS($C$6:$C$2005,$B$6:$B$2005,B497,$A$6:$A$2005,E497),""))</f>
        <v/>
      </c>
      <c r="G497" s="34">
        <f>IF(F497="","",A497-E497)</f>
        <v/>
      </c>
      <c r="H497" s="42">
        <f>IF(OR(F497="",C497=""),"",IFERROR((C497-F497)/G497,""))</f>
        <v/>
      </c>
      <c r="I497" s="39">
        <f>IF(B497="","",IFERROR(INDEX('Animais'!$M$6:$M$1005,MATCH(B497,'Animais'!$A$6:$A$1005,0)),"Brinco não cadastrado"))</f>
        <v/>
      </c>
    </row>
    <row r="498">
      <c r="A498" s="31" t="n"/>
      <c r="B498" s="36" t="n"/>
      <c r="C498" s="38" t="n"/>
      <c r="D498" s="32" t="n"/>
      <c r="E498" s="43">
        <f>IF(OR(A498="",B498=""),"",SUMPRODUCT(MAX(($B$6:$B$2005=B498)*($A$6:$A$2005&lt;A498)*$A$6:$A$2005)))</f>
        <v/>
      </c>
      <c r="F498" s="41">
        <f>IF(OR(E498="",E498=0),"",IFERROR(AVERAGEIFS($C$6:$C$2005,$B$6:$B$2005,B498,$A$6:$A$2005,E498),""))</f>
        <v/>
      </c>
      <c r="G498" s="34">
        <f>IF(F498="","",A498-E498)</f>
        <v/>
      </c>
      <c r="H498" s="42">
        <f>IF(OR(F498="",C498=""),"",IFERROR((C498-F498)/G498,""))</f>
        <v/>
      </c>
      <c r="I498" s="39">
        <f>IF(B498="","",IFERROR(INDEX('Animais'!$M$6:$M$1005,MATCH(B498,'Animais'!$A$6:$A$1005,0)),"Brinco não cadastrado"))</f>
        <v/>
      </c>
    </row>
    <row r="499">
      <c r="A499" s="31" t="n"/>
      <c r="B499" s="36" t="n"/>
      <c r="C499" s="38" t="n"/>
      <c r="D499" s="32" t="n"/>
      <c r="E499" s="43">
        <f>IF(OR(A499="",B499=""),"",SUMPRODUCT(MAX(($B$6:$B$2005=B499)*($A$6:$A$2005&lt;A499)*$A$6:$A$2005)))</f>
        <v/>
      </c>
      <c r="F499" s="41">
        <f>IF(OR(E499="",E499=0),"",IFERROR(AVERAGEIFS($C$6:$C$2005,$B$6:$B$2005,B499,$A$6:$A$2005,E499),""))</f>
        <v/>
      </c>
      <c r="G499" s="34">
        <f>IF(F499="","",A499-E499)</f>
        <v/>
      </c>
      <c r="H499" s="42">
        <f>IF(OR(F499="",C499=""),"",IFERROR((C499-F499)/G499,""))</f>
        <v/>
      </c>
      <c r="I499" s="39">
        <f>IF(B499="","",IFERROR(INDEX('Animais'!$M$6:$M$1005,MATCH(B499,'Animais'!$A$6:$A$1005,0)),"Brinco não cadastrado"))</f>
        <v/>
      </c>
    </row>
    <row r="500">
      <c r="A500" s="31" t="n"/>
      <c r="B500" s="36" t="n"/>
      <c r="C500" s="38" t="n"/>
      <c r="D500" s="32" t="n"/>
      <c r="E500" s="43">
        <f>IF(OR(A500="",B500=""),"",SUMPRODUCT(MAX(($B$6:$B$2005=B500)*($A$6:$A$2005&lt;A500)*$A$6:$A$2005)))</f>
        <v/>
      </c>
      <c r="F500" s="41">
        <f>IF(OR(E500="",E500=0),"",IFERROR(AVERAGEIFS($C$6:$C$2005,$B$6:$B$2005,B500,$A$6:$A$2005,E500),""))</f>
        <v/>
      </c>
      <c r="G500" s="34">
        <f>IF(F500="","",A500-E500)</f>
        <v/>
      </c>
      <c r="H500" s="42">
        <f>IF(OR(F500="",C500=""),"",IFERROR((C500-F500)/G500,""))</f>
        <v/>
      </c>
      <c r="I500" s="39">
        <f>IF(B500="","",IFERROR(INDEX('Animais'!$M$6:$M$1005,MATCH(B500,'Animais'!$A$6:$A$1005,0)),"Brinco não cadastrado"))</f>
        <v/>
      </c>
    </row>
    <row r="501">
      <c r="A501" s="31" t="n"/>
      <c r="B501" s="36" t="n"/>
      <c r="C501" s="38" t="n"/>
      <c r="D501" s="32" t="n"/>
      <c r="E501" s="43">
        <f>IF(OR(A501="",B501=""),"",SUMPRODUCT(MAX(($B$6:$B$2005=B501)*($A$6:$A$2005&lt;A501)*$A$6:$A$2005)))</f>
        <v/>
      </c>
      <c r="F501" s="41">
        <f>IF(OR(E501="",E501=0),"",IFERROR(AVERAGEIFS($C$6:$C$2005,$B$6:$B$2005,B501,$A$6:$A$2005,E501),""))</f>
        <v/>
      </c>
      <c r="G501" s="34">
        <f>IF(F501="","",A501-E501)</f>
        <v/>
      </c>
      <c r="H501" s="42">
        <f>IF(OR(F501="",C501=""),"",IFERROR((C501-F501)/G501,""))</f>
        <v/>
      </c>
      <c r="I501" s="39">
        <f>IF(B501="","",IFERROR(INDEX('Animais'!$M$6:$M$1005,MATCH(B501,'Animais'!$A$6:$A$1005,0)),"Brinco não cadastrado"))</f>
        <v/>
      </c>
    </row>
    <row r="502">
      <c r="A502" s="31" t="n"/>
      <c r="B502" s="36" t="n"/>
      <c r="C502" s="38" t="n"/>
      <c r="D502" s="32" t="n"/>
      <c r="E502" s="43">
        <f>IF(OR(A502="",B502=""),"",SUMPRODUCT(MAX(($B$6:$B$2005=B502)*($A$6:$A$2005&lt;A502)*$A$6:$A$2005)))</f>
        <v/>
      </c>
      <c r="F502" s="41">
        <f>IF(OR(E502="",E502=0),"",IFERROR(AVERAGEIFS($C$6:$C$2005,$B$6:$B$2005,B502,$A$6:$A$2005,E502),""))</f>
        <v/>
      </c>
      <c r="G502" s="34">
        <f>IF(F502="","",A502-E502)</f>
        <v/>
      </c>
      <c r="H502" s="42">
        <f>IF(OR(F502="",C502=""),"",IFERROR((C502-F502)/G502,""))</f>
        <v/>
      </c>
      <c r="I502" s="39">
        <f>IF(B502="","",IFERROR(INDEX('Animais'!$M$6:$M$1005,MATCH(B502,'Animais'!$A$6:$A$1005,0)),"Brinco não cadastrado"))</f>
        <v/>
      </c>
    </row>
    <row r="503">
      <c r="A503" s="31" t="n"/>
      <c r="B503" s="36" t="n"/>
      <c r="C503" s="38" t="n"/>
      <c r="D503" s="32" t="n"/>
      <c r="E503" s="43">
        <f>IF(OR(A503="",B503=""),"",SUMPRODUCT(MAX(($B$6:$B$2005=B503)*($A$6:$A$2005&lt;A503)*$A$6:$A$2005)))</f>
        <v/>
      </c>
      <c r="F503" s="41">
        <f>IF(OR(E503="",E503=0),"",IFERROR(AVERAGEIFS($C$6:$C$2005,$B$6:$B$2005,B503,$A$6:$A$2005,E503),""))</f>
        <v/>
      </c>
      <c r="G503" s="34">
        <f>IF(F503="","",A503-E503)</f>
        <v/>
      </c>
      <c r="H503" s="42">
        <f>IF(OR(F503="",C503=""),"",IFERROR((C503-F503)/G503,""))</f>
        <v/>
      </c>
      <c r="I503" s="39">
        <f>IF(B503="","",IFERROR(INDEX('Animais'!$M$6:$M$1005,MATCH(B503,'Animais'!$A$6:$A$1005,0)),"Brinco não cadastrado"))</f>
        <v/>
      </c>
    </row>
    <row r="504">
      <c r="A504" s="31" t="n"/>
      <c r="B504" s="36" t="n"/>
      <c r="C504" s="38" t="n"/>
      <c r="D504" s="32" t="n"/>
      <c r="E504" s="43">
        <f>IF(OR(A504="",B504=""),"",SUMPRODUCT(MAX(($B$6:$B$2005=B504)*($A$6:$A$2005&lt;A504)*$A$6:$A$2005)))</f>
        <v/>
      </c>
      <c r="F504" s="41">
        <f>IF(OR(E504="",E504=0),"",IFERROR(AVERAGEIFS($C$6:$C$2005,$B$6:$B$2005,B504,$A$6:$A$2005,E504),""))</f>
        <v/>
      </c>
      <c r="G504" s="34">
        <f>IF(F504="","",A504-E504)</f>
        <v/>
      </c>
      <c r="H504" s="42">
        <f>IF(OR(F504="",C504=""),"",IFERROR((C504-F504)/G504,""))</f>
        <v/>
      </c>
      <c r="I504" s="39">
        <f>IF(B504="","",IFERROR(INDEX('Animais'!$M$6:$M$1005,MATCH(B504,'Animais'!$A$6:$A$1005,0)),"Brinco não cadastrado"))</f>
        <v/>
      </c>
    </row>
    <row r="505">
      <c r="A505" s="31" t="n"/>
      <c r="B505" s="36" t="n"/>
      <c r="C505" s="38" t="n"/>
      <c r="D505" s="32" t="n"/>
      <c r="E505" s="43">
        <f>IF(OR(A505="",B505=""),"",SUMPRODUCT(MAX(($B$6:$B$2005=B505)*($A$6:$A$2005&lt;A505)*$A$6:$A$2005)))</f>
        <v/>
      </c>
      <c r="F505" s="41">
        <f>IF(OR(E505="",E505=0),"",IFERROR(AVERAGEIFS($C$6:$C$2005,$B$6:$B$2005,B505,$A$6:$A$2005,E505),""))</f>
        <v/>
      </c>
      <c r="G505" s="34">
        <f>IF(F505="","",A505-E505)</f>
        <v/>
      </c>
      <c r="H505" s="42">
        <f>IF(OR(F505="",C505=""),"",IFERROR((C505-F505)/G505,""))</f>
        <v/>
      </c>
      <c r="I505" s="39">
        <f>IF(B505="","",IFERROR(INDEX('Animais'!$M$6:$M$1005,MATCH(B505,'Animais'!$A$6:$A$1005,0)),"Brinco não cadastrado"))</f>
        <v/>
      </c>
    </row>
    <row r="506">
      <c r="A506" s="31" t="n"/>
      <c r="B506" s="36" t="n"/>
      <c r="C506" s="38" t="n"/>
      <c r="D506" s="32" t="n"/>
      <c r="E506" s="43">
        <f>IF(OR(A506="",B506=""),"",SUMPRODUCT(MAX(($B$6:$B$2005=B506)*($A$6:$A$2005&lt;A506)*$A$6:$A$2005)))</f>
        <v/>
      </c>
      <c r="F506" s="41">
        <f>IF(OR(E506="",E506=0),"",IFERROR(AVERAGEIFS($C$6:$C$2005,$B$6:$B$2005,B506,$A$6:$A$2005,E506),""))</f>
        <v/>
      </c>
      <c r="G506" s="34">
        <f>IF(F506="","",A506-E506)</f>
        <v/>
      </c>
      <c r="H506" s="42">
        <f>IF(OR(F506="",C506=""),"",IFERROR((C506-F506)/G506,""))</f>
        <v/>
      </c>
      <c r="I506" s="39">
        <f>IF(B506="","",IFERROR(INDEX('Animais'!$M$6:$M$1005,MATCH(B506,'Animais'!$A$6:$A$1005,0)),"Brinco não cadastrado"))</f>
        <v/>
      </c>
    </row>
    <row r="507">
      <c r="A507" s="31" t="n"/>
      <c r="B507" s="36" t="n"/>
      <c r="C507" s="38" t="n"/>
      <c r="D507" s="32" t="n"/>
      <c r="E507" s="43">
        <f>IF(OR(A507="",B507=""),"",SUMPRODUCT(MAX(($B$6:$B$2005=B507)*($A$6:$A$2005&lt;A507)*$A$6:$A$2005)))</f>
        <v/>
      </c>
      <c r="F507" s="41">
        <f>IF(OR(E507="",E507=0),"",IFERROR(AVERAGEIFS($C$6:$C$2005,$B$6:$B$2005,B507,$A$6:$A$2005,E507),""))</f>
        <v/>
      </c>
      <c r="G507" s="34">
        <f>IF(F507="","",A507-E507)</f>
        <v/>
      </c>
      <c r="H507" s="42">
        <f>IF(OR(F507="",C507=""),"",IFERROR((C507-F507)/G507,""))</f>
        <v/>
      </c>
      <c r="I507" s="39">
        <f>IF(B507="","",IFERROR(INDEX('Animais'!$M$6:$M$1005,MATCH(B507,'Animais'!$A$6:$A$1005,0)),"Brinco não cadastrado"))</f>
        <v/>
      </c>
    </row>
    <row r="508">
      <c r="A508" s="31" t="n"/>
      <c r="B508" s="36" t="n"/>
      <c r="C508" s="38" t="n"/>
      <c r="D508" s="32" t="n"/>
      <c r="E508" s="43">
        <f>IF(OR(A508="",B508=""),"",SUMPRODUCT(MAX(($B$6:$B$2005=B508)*($A$6:$A$2005&lt;A508)*$A$6:$A$2005)))</f>
        <v/>
      </c>
      <c r="F508" s="41">
        <f>IF(OR(E508="",E508=0),"",IFERROR(AVERAGEIFS($C$6:$C$2005,$B$6:$B$2005,B508,$A$6:$A$2005,E508),""))</f>
        <v/>
      </c>
      <c r="G508" s="34">
        <f>IF(F508="","",A508-E508)</f>
        <v/>
      </c>
      <c r="H508" s="42">
        <f>IF(OR(F508="",C508=""),"",IFERROR((C508-F508)/G508,""))</f>
        <v/>
      </c>
      <c r="I508" s="39">
        <f>IF(B508="","",IFERROR(INDEX('Animais'!$M$6:$M$1005,MATCH(B508,'Animais'!$A$6:$A$1005,0)),"Brinco não cadastrado"))</f>
        <v/>
      </c>
    </row>
    <row r="509">
      <c r="A509" s="31" t="n"/>
      <c r="B509" s="36" t="n"/>
      <c r="C509" s="38" t="n"/>
      <c r="D509" s="32" t="n"/>
      <c r="E509" s="43">
        <f>IF(OR(A509="",B509=""),"",SUMPRODUCT(MAX(($B$6:$B$2005=B509)*($A$6:$A$2005&lt;A509)*$A$6:$A$2005)))</f>
        <v/>
      </c>
      <c r="F509" s="41">
        <f>IF(OR(E509="",E509=0),"",IFERROR(AVERAGEIFS($C$6:$C$2005,$B$6:$B$2005,B509,$A$6:$A$2005,E509),""))</f>
        <v/>
      </c>
      <c r="G509" s="34">
        <f>IF(F509="","",A509-E509)</f>
        <v/>
      </c>
      <c r="H509" s="42">
        <f>IF(OR(F509="",C509=""),"",IFERROR((C509-F509)/G509,""))</f>
        <v/>
      </c>
      <c r="I509" s="39">
        <f>IF(B509="","",IFERROR(INDEX('Animais'!$M$6:$M$1005,MATCH(B509,'Animais'!$A$6:$A$1005,0)),"Brinco não cadastrado"))</f>
        <v/>
      </c>
    </row>
    <row r="510">
      <c r="A510" s="31" t="n"/>
      <c r="B510" s="36" t="n"/>
      <c r="C510" s="38" t="n"/>
      <c r="D510" s="32" t="n"/>
      <c r="E510" s="43">
        <f>IF(OR(A510="",B510=""),"",SUMPRODUCT(MAX(($B$6:$B$2005=B510)*($A$6:$A$2005&lt;A510)*$A$6:$A$2005)))</f>
        <v/>
      </c>
      <c r="F510" s="41">
        <f>IF(OR(E510="",E510=0),"",IFERROR(AVERAGEIFS($C$6:$C$2005,$B$6:$B$2005,B510,$A$6:$A$2005,E510),""))</f>
        <v/>
      </c>
      <c r="G510" s="34">
        <f>IF(F510="","",A510-E510)</f>
        <v/>
      </c>
      <c r="H510" s="42">
        <f>IF(OR(F510="",C510=""),"",IFERROR((C510-F510)/G510,""))</f>
        <v/>
      </c>
      <c r="I510" s="39">
        <f>IF(B510="","",IFERROR(INDEX('Animais'!$M$6:$M$1005,MATCH(B510,'Animais'!$A$6:$A$1005,0)),"Brinco não cadastrado"))</f>
        <v/>
      </c>
    </row>
    <row r="511">
      <c r="A511" s="31" t="n"/>
      <c r="B511" s="36" t="n"/>
      <c r="C511" s="38" t="n"/>
      <c r="D511" s="32" t="n"/>
      <c r="E511" s="43">
        <f>IF(OR(A511="",B511=""),"",SUMPRODUCT(MAX(($B$6:$B$2005=B511)*($A$6:$A$2005&lt;A511)*$A$6:$A$2005)))</f>
        <v/>
      </c>
      <c r="F511" s="41">
        <f>IF(OR(E511="",E511=0),"",IFERROR(AVERAGEIFS($C$6:$C$2005,$B$6:$B$2005,B511,$A$6:$A$2005,E511),""))</f>
        <v/>
      </c>
      <c r="G511" s="34">
        <f>IF(F511="","",A511-E511)</f>
        <v/>
      </c>
      <c r="H511" s="42">
        <f>IF(OR(F511="",C511=""),"",IFERROR((C511-F511)/G511,""))</f>
        <v/>
      </c>
      <c r="I511" s="39">
        <f>IF(B511="","",IFERROR(INDEX('Animais'!$M$6:$M$1005,MATCH(B511,'Animais'!$A$6:$A$1005,0)),"Brinco não cadastrado"))</f>
        <v/>
      </c>
    </row>
    <row r="512">
      <c r="A512" s="31" t="n"/>
      <c r="B512" s="36" t="n"/>
      <c r="C512" s="38" t="n"/>
      <c r="D512" s="32" t="n"/>
      <c r="E512" s="43">
        <f>IF(OR(A512="",B512=""),"",SUMPRODUCT(MAX(($B$6:$B$2005=B512)*($A$6:$A$2005&lt;A512)*$A$6:$A$2005)))</f>
        <v/>
      </c>
      <c r="F512" s="41">
        <f>IF(OR(E512="",E512=0),"",IFERROR(AVERAGEIFS($C$6:$C$2005,$B$6:$B$2005,B512,$A$6:$A$2005,E512),""))</f>
        <v/>
      </c>
      <c r="G512" s="34">
        <f>IF(F512="","",A512-E512)</f>
        <v/>
      </c>
      <c r="H512" s="42">
        <f>IF(OR(F512="",C512=""),"",IFERROR((C512-F512)/G512,""))</f>
        <v/>
      </c>
      <c r="I512" s="39">
        <f>IF(B512="","",IFERROR(INDEX('Animais'!$M$6:$M$1005,MATCH(B512,'Animais'!$A$6:$A$1005,0)),"Brinco não cadastrado"))</f>
        <v/>
      </c>
    </row>
    <row r="513">
      <c r="A513" s="31" t="n"/>
      <c r="B513" s="36" t="n"/>
      <c r="C513" s="38" t="n"/>
      <c r="D513" s="32" t="n"/>
      <c r="E513" s="43">
        <f>IF(OR(A513="",B513=""),"",SUMPRODUCT(MAX(($B$6:$B$2005=B513)*($A$6:$A$2005&lt;A513)*$A$6:$A$2005)))</f>
        <v/>
      </c>
      <c r="F513" s="41">
        <f>IF(OR(E513="",E513=0),"",IFERROR(AVERAGEIFS($C$6:$C$2005,$B$6:$B$2005,B513,$A$6:$A$2005,E513),""))</f>
        <v/>
      </c>
      <c r="G513" s="34">
        <f>IF(F513="","",A513-E513)</f>
        <v/>
      </c>
      <c r="H513" s="42">
        <f>IF(OR(F513="",C513=""),"",IFERROR((C513-F513)/G513,""))</f>
        <v/>
      </c>
      <c r="I513" s="39">
        <f>IF(B513="","",IFERROR(INDEX('Animais'!$M$6:$M$1005,MATCH(B513,'Animais'!$A$6:$A$1005,0)),"Brinco não cadastrado"))</f>
        <v/>
      </c>
    </row>
    <row r="514">
      <c r="A514" s="31" t="n"/>
      <c r="B514" s="36" t="n"/>
      <c r="C514" s="38" t="n"/>
      <c r="D514" s="32" t="n"/>
      <c r="E514" s="43">
        <f>IF(OR(A514="",B514=""),"",SUMPRODUCT(MAX(($B$6:$B$2005=B514)*($A$6:$A$2005&lt;A514)*$A$6:$A$2005)))</f>
        <v/>
      </c>
      <c r="F514" s="41">
        <f>IF(OR(E514="",E514=0),"",IFERROR(AVERAGEIFS($C$6:$C$2005,$B$6:$B$2005,B514,$A$6:$A$2005,E514),""))</f>
        <v/>
      </c>
      <c r="G514" s="34">
        <f>IF(F514="","",A514-E514)</f>
        <v/>
      </c>
      <c r="H514" s="42">
        <f>IF(OR(F514="",C514=""),"",IFERROR((C514-F514)/G514,""))</f>
        <v/>
      </c>
      <c r="I514" s="39">
        <f>IF(B514="","",IFERROR(INDEX('Animais'!$M$6:$M$1005,MATCH(B514,'Animais'!$A$6:$A$1005,0)),"Brinco não cadastrado"))</f>
        <v/>
      </c>
    </row>
    <row r="515">
      <c r="A515" s="31" t="n"/>
      <c r="B515" s="36" t="n"/>
      <c r="C515" s="38" t="n"/>
      <c r="D515" s="32" t="n"/>
      <c r="E515" s="43">
        <f>IF(OR(A515="",B515=""),"",SUMPRODUCT(MAX(($B$6:$B$2005=B515)*($A$6:$A$2005&lt;A515)*$A$6:$A$2005)))</f>
        <v/>
      </c>
      <c r="F515" s="41">
        <f>IF(OR(E515="",E515=0),"",IFERROR(AVERAGEIFS($C$6:$C$2005,$B$6:$B$2005,B515,$A$6:$A$2005,E515),""))</f>
        <v/>
      </c>
      <c r="G515" s="34">
        <f>IF(F515="","",A515-E515)</f>
        <v/>
      </c>
      <c r="H515" s="42">
        <f>IF(OR(F515="",C515=""),"",IFERROR((C515-F515)/G515,""))</f>
        <v/>
      </c>
      <c r="I515" s="39">
        <f>IF(B515="","",IFERROR(INDEX('Animais'!$M$6:$M$1005,MATCH(B515,'Animais'!$A$6:$A$1005,0)),"Brinco não cadastrado"))</f>
        <v/>
      </c>
    </row>
    <row r="516">
      <c r="A516" s="31" t="n"/>
      <c r="B516" s="36" t="n"/>
      <c r="C516" s="38" t="n"/>
      <c r="D516" s="32" t="n"/>
      <c r="E516" s="43">
        <f>IF(OR(A516="",B516=""),"",SUMPRODUCT(MAX(($B$6:$B$2005=B516)*($A$6:$A$2005&lt;A516)*$A$6:$A$2005)))</f>
        <v/>
      </c>
      <c r="F516" s="41">
        <f>IF(OR(E516="",E516=0),"",IFERROR(AVERAGEIFS($C$6:$C$2005,$B$6:$B$2005,B516,$A$6:$A$2005,E516),""))</f>
        <v/>
      </c>
      <c r="G516" s="34">
        <f>IF(F516="","",A516-E516)</f>
        <v/>
      </c>
      <c r="H516" s="42">
        <f>IF(OR(F516="",C516=""),"",IFERROR((C516-F516)/G516,""))</f>
        <v/>
      </c>
      <c r="I516" s="39">
        <f>IF(B516="","",IFERROR(INDEX('Animais'!$M$6:$M$1005,MATCH(B516,'Animais'!$A$6:$A$1005,0)),"Brinco não cadastrado"))</f>
        <v/>
      </c>
    </row>
    <row r="517">
      <c r="A517" s="31" t="n"/>
      <c r="B517" s="36" t="n"/>
      <c r="C517" s="38" t="n"/>
      <c r="D517" s="32" t="n"/>
      <c r="E517" s="43">
        <f>IF(OR(A517="",B517=""),"",SUMPRODUCT(MAX(($B$6:$B$2005=B517)*($A$6:$A$2005&lt;A517)*$A$6:$A$2005)))</f>
        <v/>
      </c>
      <c r="F517" s="41">
        <f>IF(OR(E517="",E517=0),"",IFERROR(AVERAGEIFS($C$6:$C$2005,$B$6:$B$2005,B517,$A$6:$A$2005,E517),""))</f>
        <v/>
      </c>
      <c r="G517" s="34">
        <f>IF(F517="","",A517-E517)</f>
        <v/>
      </c>
      <c r="H517" s="42">
        <f>IF(OR(F517="",C517=""),"",IFERROR((C517-F517)/G517,""))</f>
        <v/>
      </c>
      <c r="I517" s="39">
        <f>IF(B517="","",IFERROR(INDEX('Animais'!$M$6:$M$1005,MATCH(B517,'Animais'!$A$6:$A$1005,0)),"Brinco não cadastrado"))</f>
        <v/>
      </c>
    </row>
    <row r="518">
      <c r="A518" s="31" t="n"/>
      <c r="B518" s="36" t="n"/>
      <c r="C518" s="38" t="n"/>
      <c r="D518" s="32" t="n"/>
      <c r="E518" s="43">
        <f>IF(OR(A518="",B518=""),"",SUMPRODUCT(MAX(($B$6:$B$2005=B518)*($A$6:$A$2005&lt;A518)*$A$6:$A$2005)))</f>
        <v/>
      </c>
      <c r="F518" s="41">
        <f>IF(OR(E518="",E518=0),"",IFERROR(AVERAGEIFS($C$6:$C$2005,$B$6:$B$2005,B518,$A$6:$A$2005,E518),""))</f>
        <v/>
      </c>
      <c r="G518" s="34">
        <f>IF(F518="","",A518-E518)</f>
        <v/>
      </c>
      <c r="H518" s="42">
        <f>IF(OR(F518="",C518=""),"",IFERROR((C518-F518)/G518,""))</f>
        <v/>
      </c>
      <c r="I518" s="39">
        <f>IF(B518="","",IFERROR(INDEX('Animais'!$M$6:$M$1005,MATCH(B518,'Animais'!$A$6:$A$1005,0)),"Brinco não cadastrado"))</f>
        <v/>
      </c>
    </row>
    <row r="519">
      <c r="A519" s="31" t="n"/>
      <c r="B519" s="36" t="n"/>
      <c r="C519" s="38" t="n"/>
      <c r="D519" s="32" t="n"/>
      <c r="E519" s="43">
        <f>IF(OR(A519="",B519=""),"",SUMPRODUCT(MAX(($B$6:$B$2005=B519)*($A$6:$A$2005&lt;A519)*$A$6:$A$2005)))</f>
        <v/>
      </c>
      <c r="F519" s="41">
        <f>IF(OR(E519="",E519=0),"",IFERROR(AVERAGEIFS($C$6:$C$2005,$B$6:$B$2005,B519,$A$6:$A$2005,E519),""))</f>
        <v/>
      </c>
      <c r="G519" s="34">
        <f>IF(F519="","",A519-E519)</f>
        <v/>
      </c>
      <c r="H519" s="42">
        <f>IF(OR(F519="",C519=""),"",IFERROR((C519-F519)/G519,""))</f>
        <v/>
      </c>
      <c r="I519" s="39">
        <f>IF(B519="","",IFERROR(INDEX('Animais'!$M$6:$M$1005,MATCH(B519,'Animais'!$A$6:$A$1005,0)),"Brinco não cadastrado"))</f>
        <v/>
      </c>
    </row>
    <row r="520">
      <c r="A520" s="31" t="n"/>
      <c r="B520" s="36" t="n"/>
      <c r="C520" s="38" t="n"/>
      <c r="D520" s="32" t="n"/>
      <c r="E520" s="43">
        <f>IF(OR(A520="",B520=""),"",SUMPRODUCT(MAX(($B$6:$B$2005=B520)*($A$6:$A$2005&lt;A520)*$A$6:$A$2005)))</f>
        <v/>
      </c>
      <c r="F520" s="41">
        <f>IF(OR(E520="",E520=0),"",IFERROR(AVERAGEIFS($C$6:$C$2005,$B$6:$B$2005,B520,$A$6:$A$2005,E520),""))</f>
        <v/>
      </c>
      <c r="G520" s="34">
        <f>IF(F520="","",A520-E520)</f>
        <v/>
      </c>
      <c r="H520" s="42">
        <f>IF(OR(F520="",C520=""),"",IFERROR((C520-F520)/G520,""))</f>
        <v/>
      </c>
      <c r="I520" s="39">
        <f>IF(B520="","",IFERROR(INDEX('Animais'!$M$6:$M$1005,MATCH(B520,'Animais'!$A$6:$A$1005,0)),"Brinco não cadastrado"))</f>
        <v/>
      </c>
    </row>
    <row r="521">
      <c r="A521" s="31" t="n"/>
      <c r="B521" s="36" t="n"/>
      <c r="C521" s="38" t="n"/>
      <c r="D521" s="32" t="n"/>
      <c r="E521" s="43">
        <f>IF(OR(A521="",B521=""),"",SUMPRODUCT(MAX(($B$6:$B$2005=B521)*($A$6:$A$2005&lt;A521)*$A$6:$A$2005)))</f>
        <v/>
      </c>
      <c r="F521" s="41">
        <f>IF(OR(E521="",E521=0),"",IFERROR(AVERAGEIFS($C$6:$C$2005,$B$6:$B$2005,B521,$A$6:$A$2005,E521),""))</f>
        <v/>
      </c>
      <c r="G521" s="34">
        <f>IF(F521="","",A521-E521)</f>
        <v/>
      </c>
      <c r="H521" s="42">
        <f>IF(OR(F521="",C521=""),"",IFERROR((C521-F521)/G521,""))</f>
        <v/>
      </c>
      <c r="I521" s="39">
        <f>IF(B521="","",IFERROR(INDEX('Animais'!$M$6:$M$1005,MATCH(B521,'Animais'!$A$6:$A$1005,0)),"Brinco não cadastrado"))</f>
        <v/>
      </c>
    </row>
    <row r="522">
      <c r="A522" s="31" t="n"/>
      <c r="B522" s="36" t="n"/>
      <c r="C522" s="38" t="n"/>
      <c r="D522" s="32" t="n"/>
      <c r="E522" s="43">
        <f>IF(OR(A522="",B522=""),"",SUMPRODUCT(MAX(($B$6:$B$2005=B522)*($A$6:$A$2005&lt;A522)*$A$6:$A$2005)))</f>
        <v/>
      </c>
      <c r="F522" s="41">
        <f>IF(OR(E522="",E522=0),"",IFERROR(AVERAGEIFS($C$6:$C$2005,$B$6:$B$2005,B522,$A$6:$A$2005,E522),""))</f>
        <v/>
      </c>
      <c r="G522" s="34">
        <f>IF(F522="","",A522-E522)</f>
        <v/>
      </c>
      <c r="H522" s="42">
        <f>IF(OR(F522="",C522=""),"",IFERROR((C522-F522)/G522,""))</f>
        <v/>
      </c>
      <c r="I522" s="39">
        <f>IF(B522="","",IFERROR(INDEX('Animais'!$M$6:$M$1005,MATCH(B522,'Animais'!$A$6:$A$1005,0)),"Brinco não cadastrado"))</f>
        <v/>
      </c>
    </row>
    <row r="523">
      <c r="A523" s="31" t="n"/>
      <c r="B523" s="36" t="n"/>
      <c r="C523" s="38" t="n"/>
      <c r="D523" s="32" t="n"/>
      <c r="E523" s="43">
        <f>IF(OR(A523="",B523=""),"",SUMPRODUCT(MAX(($B$6:$B$2005=B523)*($A$6:$A$2005&lt;A523)*$A$6:$A$2005)))</f>
        <v/>
      </c>
      <c r="F523" s="41">
        <f>IF(OR(E523="",E523=0),"",IFERROR(AVERAGEIFS($C$6:$C$2005,$B$6:$B$2005,B523,$A$6:$A$2005,E523),""))</f>
        <v/>
      </c>
      <c r="G523" s="34">
        <f>IF(F523="","",A523-E523)</f>
        <v/>
      </c>
      <c r="H523" s="42">
        <f>IF(OR(F523="",C523=""),"",IFERROR((C523-F523)/G523,""))</f>
        <v/>
      </c>
      <c r="I523" s="39">
        <f>IF(B523="","",IFERROR(INDEX('Animais'!$M$6:$M$1005,MATCH(B523,'Animais'!$A$6:$A$1005,0)),"Brinco não cadastrado"))</f>
        <v/>
      </c>
    </row>
    <row r="524">
      <c r="A524" s="31" t="n"/>
      <c r="B524" s="36" t="n"/>
      <c r="C524" s="38" t="n"/>
      <c r="D524" s="32" t="n"/>
      <c r="E524" s="43">
        <f>IF(OR(A524="",B524=""),"",SUMPRODUCT(MAX(($B$6:$B$2005=B524)*($A$6:$A$2005&lt;A524)*$A$6:$A$2005)))</f>
        <v/>
      </c>
      <c r="F524" s="41">
        <f>IF(OR(E524="",E524=0),"",IFERROR(AVERAGEIFS($C$6:$C$2005,$B$6:$B$2005,B524,$A$6:$A$2005,E524),""))</f>
        <v/>
      </c>
      <c r="G524" s="34">
        <f>IF(F524="","",A524-E524)</f>
        <v/>
      </c>
      <c r="H524" s="42">
        <f>IF(OR(F524="",C524=""),"",IFERROR((C524-F524)/G524,""))</f>
        <v/>
      </c>
      <c r="I524" s="39">
        <f>IF(B524="","",IFERROR(INDEX('Animais'!$M$6:$M$1005,MATCH(B524,'Animais'!$A$6:$A$1005,0)),"Brinco não cadastrado"))</f>
        <v/>
      </c>
    </row>
    <row r="525">
      <c r="A525" s="31" t="n"/>
      <c r="B525" s="36" t="n"/>
      <c r="C525" s="38" t="n"/>
      <c r="D525" s="32" t="n"/>
      <c r="E525" s="43">
        <f>IF(OR(A525="",B525=""),"",SUMPRODUCT(MAX(($B$6:$B$2005=B525)*($A$6:$A$2005&lt;A525)*$A$6:$A$2005)))</f>
        <v/>
      </c>
      <c r="F525" s="41">
        <f>IF(OR(E525="",E525=0),"",IFERROR(AVERAGEIFS($C$6:$C$2005,$B$6:$B$2005,B525,$A$6:$A$2005,E525),""))</f>
        <v/>
      </c>
      <c r="G525" s="34">
        <f>IF(F525="","",A525-E525)</f>
        <v/>
      </c>
      <c r="H525" s="42">
        <f>IF(OR(F525="",C525=""),"",IFERROR((C525-F525)/G525,""))</f>
        <v/>
      </c>
      <c r="I525" s="39">
        <f>IF(B525="","",IFERROR(INDEX('Animais'!$M$6:$M$1005,MATCH(B525,'Animais'!$A$6:$A$1005,0)),"Brinco não cadastrado"))</f>
        <v/>
      </c>
    </row>
    <row r="526">
      <c r="A526" s="31" t="n"/>
      <c r="B526" s="36" t="n"/>
      <c r="C526" s="38" t="n"/>
      <c r="D526" s="32" t="n"/>
      <c r="E526" s="43">
        <f>IF(OR(A526="",B526=""),"",SUMPRODUCT(MAX(($B$6:$B$2005=B526)*($A$6:$A$2005&lt;A526)*$A$6:$A$2005)))</f>
        <v/>
      </c>
      <c r="F526" s="41">
        <f>IF(OR(E526="",E526=0),"",IFERROR(AVERAGEIFS($C$6:$C$2005,$B$6:$B$2005,B526,$A$6:$A$2005,E526),""))</f>
        <v/>
      </c>
      <c r="G526" s="34">
        <f>IF(F526="","",A526-E526)</f>
        <v/>
      </c>
      <c r="H526" s="42">
        <f>IF(OR(F526="",C526=""),"",IFERROR((C526-F526)/G526,""))</f>
        <v/>
      </c>
      <c r="I526" s="39">
        <f>IF(B526="","",IFERROR(INDEX('Animais'!$M$6:$M$1005,MATCH(B526,'Animais'!$A$6:$A$1005,0)),"Brinco não cadastrado"))</f>
        <v/>
      </c>
    </row>
    <row r="527">
      <c r="A527" s="31" t="n"/>
      <c r="B527" s="36" t="n"/>
      <c r="C527" s="38" t="n"/>
      <c r="D527" s="32" t="n"/>
      <c r="E527" s="43">
        <f>IF(OR(A527="",B527=""),"",SUMPRODUCT(MAX(($B$6:$B$2005=B527)*($A$6:$A$2005&lt;A527)*$A$6:$A$2005)))</f>
        <v/>
      </c>
      <c r="F527" s="41">
        <f>IF(OR(E527="",E527=0),"",IFERROR(AVERAGEIFS($C$6:$C$2005,$B$6:$B$2005,B527,$A$6:$A$2005,E527),""))</f>
        <v/>
      </c>
      <c r="G527" s="34">
        <f>IF(F527="","",A527-E527)</f>
        <v/>
      </c>
      <c r="H527" s="42">
        <f>IF(OR(F527="",C527=""),"",IFERROR((C527-F527)/G527,""))</f>
        <v/>
      </c>
      <c r="I527" s="39">
        <f>IF(B527="","",IFERROR(INDEX('Animais'!$M$6:$M$1005,MATCH(B527,'Animais'!$A$6:$A$1005,0)),"Brinco não cadastrado"))</f>
        <v/>
      </c>
    </row>
    <row r="528">
      <c r="A528" s="31" t="n"/>
      <c r="B528" s="36" t="n"/>
      <c r="C528" s="38" t="n"/>
      <c r="D528" s="32" t="n"/>
      <c r="E528" s="43">
        <f>IF(OR(A528="",B528=""),"",SUMPRODUCT(MAX(($B$6:$B$2005=B528)*($A$6:$A$2005&lt;A528)*$A$6:$A$2005)))</f>
        <v/>
      </c>
      <c r="F528" s="41">
        <f>IF(OR(E528="",E528=0),"",IFERROR(AVERAGEIFS($C$6:$C$2005,$B$6:$B$2005,B528,$A$6:$A$2005,E528),""))</f>
        <v/>
      </c>
      <c r="G528" s="34">
        <f>IF(F528="","",A528-E528)</f>
        <v/>
      </c>
      <c r="H528" s="42">
        <f>IF(OR(F528="",C528=""),"",IFERROR((C528-F528)/G528,""))</f>
        <v/>
      </c>
      <c r="I528" s="39">
        <f>IF(B528="","",IFERROR(INDEX('Animais'!$M$6:$M$1005,MATCH(B528,'Animais'!$A$6:$A$1005,0)),"Brinco não cadastrado"))</f>
        <v/>
      </c>
    </row>
    <row r="529">
      <c r="A529" s="31" t="n"/>
      <c r="B529" s="36" t="n"/>
      <c r="C529" s="38" t="n"/>
      <c r="D529" s="32" t="n"/>
      <c r="E529" s="43">
        <f>IF(OR(A529="",B529=""),"",SUMPRODUCT(MAX(($B$6:$B$2005=B529)*($A$6:$A$2005&lt;A529)*$A$6:$A$2005)))</f>
        <v/>
      </c>
      <c r="F529" s="41">
        <f>IF(OR(E529="",E529=0),"",IFERROR(AVERAGEIFS($C$6:$C$2005,$B$6:$B$2005,B529,$A$6:$A$2005,E529),""))</f>
        <v/>
      </c>
      <c r="G529" s="34">
        <f>IF(F529="","",A529-E529)</f>
        <v/>
      </c>
      <c r="H529" s="42">
        <f>IF(OR(F529="",C529=""),"",IFERROR((C529-F529)/G529,""))</f>
        <v/>
      </c>
      <c r="I529" s="39">
        <f>IF(B529="","",IFERROR(INDEX('Animais'!$M$6:$M$1005,MATCH(B529,'Animais'!$A$6:$A$1005,0)),"Brinco não cadastrado"))</f>
        <v/>
      </c>
    </row>
    <row r="530">
      <c r="A530" s="31" t="n"/>
      <c r="B530" s="36" t="n"/>
      <c r="C530" s="38" t="n"/>
      <c r="D530" s="32" t="n"/>
      <c r="E530" s="43">
        <f>IF(OR(A530="",B530=""),"",SUMPRODUCT(MAX(($B$6:$B$2005=B530)*($A$6:$A$2005&lt;A530)*$A$6:$A$2005)))</f>
        <v/>
      </c>
      <c r="F530" s="41">
        <f>IF(OR(E530="",E530=0),"",IFERROR(AVERAGEIFS($C$6:$C$2005,$B$6:$B$2005,B530,$A$6:$A$2005,E530),""))</f>
        <v/>
      </c>
      <c r="G530" s="34">
        <f>IF(F530="","",A530-E530)</f>
        <v/>
      </c>
      <c r="H530" s="42">
        <f>IF(OR(F530="",C530=""),"",IFERROR((C530-F530)/G530,""))</f>
        <v/>
      </c>
      <c r="I530" s="39">
        <f>IF(B530="","",IFERROR(INDEX('Animais'!$M$6:$M$1005,MATCH(B530,'Animais'!$A$6:$A$1005,0)),"Brinco não cadastrado"))</f>
        <v/>
      </c>
    </row>
    <row r="531">
      <c r="A531" s="31" t="n"/>
      <c r="B531" s="36" t="n"/>
      <c r="C531" s="38" t="n"/>
      <c r="D531" s="32" t="n"/>
      <c r="E531" s="43">
        <f>IF(OR(A531="",B531=""),"",SUMPRODUCT(MAX(($B$6:$B$2005=B531)*($A$6:$A$2005&lt;A531)*$A$6:$A$2005)))</f>
        <v/>
      </c>
      <c r="F531" s="41">
        <f>IF(OR(E531="",E531=0),"",IFERROR(AVERAGEIFS($C$6:$C$2005,$B$6:$B$2005,B531,$A$6:$A$2005,E531),""))</f>
        <v/>
      </c>
      <c r="G531" s="34">
        <f>IF(F531="","",A531-E531)</f>
        <v/>
      </c>
      <c r="H531" s="42">
        <f>IF(OR(F531="",C531=""),"",IFERROR((C531-F531)/G531,""))</f>
        <v/>
      </c>
      <c r="I531" s="39">
        <f>IF(B531="","",IFERROR(INDEX('Animais'!$M$6:$M$1005,MATCH(B531,'Animais'!$A$6:$A$1005,0)),"Brinco não cadastrado"))</f>
        <v/>
      </c>
    </row>
    <row r="532">
      <c r="A532" s="31" t="n"/>
      <c r="B532" s="36" t="n"/>
      <c r="C532" s="38" t="n"/>
      <c r="D532" s="32" t="n"/>
      <c r="E532" s="43">
        <f>IF(OR(A532="",B532=""),"",SUMPRODUCT(MAX(($B$6:$B$2005=B532)*($A$6:$A$2005&lt;A532)*$A$6:$A$2005)))</f>
        <v/>
      </c>
      <c r="F532" s="41">
        <f>IF(OR(E532="",E532=0),"",IFERROR(AVERAGEIFS($C$6:$C$2005,$B$6:$B$2005,B532,$A$6:$A$2005,E532),""))</f>
        <v/>
      </c>
      <c r="G532" s="34">
        <f>IF(F532="","",A532-E532)</f>
        <v/>
      </c>
      <c r="H532" s="42">
        <f>IF(OR(F532="",C532=""),"",IFERROR((C532-F532)/G532,""))</f>
        <v/>
      </c>
      <c r="I532" s="39">
        <f>IF(B532="","",IFERROR(INDEX('Animais'!$M$6:$M$1005,MATCH(B532,'Animais'!$A$6:$A$1005,0)),"Brinco não cadastrado"))</f>
        <v/>
      </c>
    </row>
    <row r="533">
      <c r="A533" s="31" t="n"/>
      <c r="B533" s="36" t="n"/>
      <c r="C533" s="38" t="n"/>
      <c r="D533" s="32" t="n"/>
      <c r="E533" s="43">
        <f>IF(OR(A533="",B533=""),"",SUMPRODUCT(MAX(($B$6:$B$2005=B533)*($A$6:$A$2005&lt;A533)*$A$6:$A$2005)))</f>
        <v/>
      </c>
      <c r="F533" s="41">
        <f>IF(OR(E533="",E533=0),"",IFERROR(AVERAGEIFS($C$6:$C$2005,$B$6:$B$2005,B533,$A$6:$A$2005,E533),""))</f>
        <v/>
      </c>
      <c r="G533" s="34">
        <f>IF(F533="","",A533-E533)</f>
        <v/>
      </c>
      <c r="H533" s="42">
        <f>IF(OR(F533="",C533=""),"",IFERROR((C533-F533)/G533,""))</f>
        <v/>
      </c>
      <c r="I533" s="39">
        <f>IF(B533="","",IFERROR(INDEX('Animais'!$M$6:$M$1005,MATCH(B533,'Animais'!$A$6:$A$1005,0)),"Brinco não cadastrado"))</f>
        <v/>
      </c>
    </row>
    <row r="534">
      <c r="A534" s="31" t="n"/>
      <c r="B534" s="36" t="n"/>
      <c r="C534" s="38" t="n"/>
      <c r="D534" s="32" t="n"/>
      <c r="E534" s="43">
        <f>IF(OR(A534="",B534=""),"",SUMPRODUCT(MAX(($B$6:$B$2005=B534)*($A$6:$A$2005&lt;A534)*$A$6:$A$2005)))</f>
        <v/>
      </c>
      <c r="F534" s="41">
        <f>IF(OR(E534="",E534=0),"",IFERROR(AVERAGEIFS($C$6:$C$2005,$B$6:$B$2005,B534,$A$6:$A$2005,E534),""))</f>
        <v/>
      </c>
      <c r="G534" s="34">
        <f>IF(F534="","",A534-E534)</f>
        <v/>
      </c>
      <c r="H534" s="42">
        <f>IF(OR(F534="",C534=""),"",IFERROR((C534-F534)/G534,""))</f>
        <v/>
      </c>
      <c r="I534" s="39">
        <f>IF(B534="","",IFERROR(INDEX('Animais'!$M$6:$M$1005,MATCH(B534,'Animais'!$A$6:$A$1005,0)),"Brinco não cadastrado"))</f>
        <v/>
      </c>
    </row>
    <row r="535">
      <c r="A535" s="31" t="n"/>
      <c r="B535" s="36" t="n"/>
      <c r="C535" s="38" t="n"/>
      <c r="D535" s="32" t="n"/>
      <c r="E535" s="43">
        <f>IF(OR(A535="",B535=""),"",SUMPRODUCT(MAX(($B$6:$B$2005=B535)*($A$6:$A$2005&lt;A535)*$A$6:$A$2005)))</f>
        <v/>
      </c>
      <c r="F535" s="41">
        <f>IF(OR(E535="",E535=0),"",IFERROR(AVERAGEIFS($C$6:$C$2005,$B$6:$B$2005,B535,$A$6:$A$2005,E535),""))</f>
        <v/>
      </c>
      <c r="G535" s="34">
        <f>IF(F535="","",A535-E535)</f>
        <v/>
      </c>
      <c r="H535" s="42">
        <f>IF(OR(F535="",C535=""),"",IFERROR((C535-F535)/G535,""))</f>
        <v/>
      </c>
      <c r="I535" s="39">
        <f>IF(B535="","",IFERROR(INDEX('Animais'!$M$6:$M$1005,MATCH(B535,'Animais'!$A$6:$A$1005,0)),"Brinco não cadastrado"))</f>
        <v/>
      </c>
    </row>
    <row r="536">
      <c r="A536" s="31" t="n"/>
      <c r="B536" s="36" t="n"/>
      <c r="C536" s="38" t="n"/>
      <c r="D536" s="32" t="n"/>
      <c r="E536" s="43">
        <f>IF(OR(A536="",B536=""),"",SUMPRODUCT(MAX(($B$6:$B$2005=B536)*($A$6:$A$2005&lt;A536)*$A$6:$A$2005)))</f>
        <v/>
      </c>
      <c r="F536" s="41">
        <f>IF(OR(E536="",E536=0),"",IFERROR(AVERAGEIFS($C$6:$C$2005,$B$6:$B$2005,B536,$A$6:$A$2005,E536),""))</f>
        <v/>
      </c>
      <c r="G536" s="34">
        <f>IF(F536="","",A536-E536)</f>
        <v/>
      </c>
      <c r="H536" s="42">
        <f>IF(OR(F536="",C536=""),"",IFERROR((C536-F536)/G536,""))</f>
        <v/>
      </c>
      <c r="I536" s="39">
        <f>IF(B536="","",IFERROR(INDEX('Animais'!$M$6:$M$1005,MATCH(B536,'Animais'!$A$6:$A$1005,0)),"Brinco não cadastrado"))</f>
        <v/>
      </c>
    </row>
    <row r="537">
      <c r="A537" s="31" t="n"/>
      <c r="B537" s="36" t="n"/>
      <c r="C537" s="38" t="n"/>
      <c r="D537" s="32" t="n"/>
      <c r="E537" s="43">
        <f>IF(OR(A537="",B537=""),"",SUMPRODUCT(MAX(($B$6:$B$2005=B537)*($A$6:$A$2005&lt;A537)*$A$6:$A$2005)))</f>
        <v/>
      </c>
      <c r="F537" s="41">
        <f>IF(OR(E537="",E537=0),"",IFERROR(AVERAGEIFS($C$6:$C$2005,$B$6:$B$2005,B537,$A$6:$A$2005,E537),""))</f>
        <v/>
      </c>
      <c r="G537" s="34">
        <f>IF(F537="","",A537-E537)</f>
        <v/>
      </c>
      <c r="H537" s="42">
        <f>IF(OR(F537="",C537=""),"",IFERROR((C537-F537)/G537,""))</f>
        <v/>
      </c>
      <c r="I537" s="39">
        <f>IF(B537="","",IFERROR(INDEX('Animais'!$M$6:$M$1005,MATCH(B537,'Animais'!$A$6:$A$1005,0)),"Brinco não cadastrado"))</f>
        <v/>
      </c>
    </row>
    <row r="538">
      <c r="A538" s="31" t="n"/>
      <c r="B538" s="36" t="n"/>
      <c r="C538" s="38" t="n"/>
      <c r="D538" s="32" t="n"/>
      <c r="E538" s="43">
        <f>IF(OR(A538="",B538=""),"",SUMPRODUCT(MAX(($B$6:$B$2005=B538)*($A$6:$A$2005&lt;A538)*$A$6:$A$2005)))</f>
        <v/>
      </c>
      <c r="F538" s="41">
        <f>IF(OR(E538="",E538=0),"",IFERROR(AVERAGEIFS($C$6:$C$2005,$B$6:$B$2005,B538,$A$6:$A$2005,E538),""))</f>
        <v/>
      </c>
      <c r="G538" s="34">
        <f>IF(F538="","",A538-E538)</f>
        <v/>
      </c>
      <c r="H538" s="42">
        <f>IF(OR(F538="",C538=""),"",IFERROR((C538-F538)/G538,""))</f>
        <v/>
      </c>
      <c r="I538" s="39">
        <f>IF(B538="","",IFERROR(INDEX('Animais'!$M$6:$M$1005,MATCH(B538,'Animais'!$A$6:$A$1005,0)),"Brinco não cadastrado"))</f>
        <v/>
      </c>
    </row>
    <row r="539">
      <c r="A539" s="31" t="n"/>
      <c r="B539" s="36" t="n"/>
      <c r="C539" s="38" t="n"/>
      <c r="D539" s="32" t="n"/>
      <c r="E539" s="43">
        <f>IF(OR(A539="",B539=""),"",SUMPRODUCT(MAX(($B$6:$B$2005=B539)*($A$6:$A$2005&lt;A539)*$A$6:$A$2005)))</f>
        <v/>
      </c>
      <c r="F539" s="41">
        <f>IF(OR(E539="",E539=0),"",IFERROR(AVERAGEIFS($C$6:$C$2005,$B$6:$B$2005,B539,$A$6:$A$2005,E539),""))</f>
        <v/>
      </c>
      <c r="G539" s="34">
        <f>IF(F539="","",A539-E539)</f>
        <v/>
      </c>
      <c r="H539" s="42">
        <f>IF(OR(F539="",C539=""),"",IFERROR((C539-F539)/G539,""))</f>
        <v/>
      </c>
      <c r="I539" s="39">
        <f>IF(B539="","",IFERROR(INDEX('Animais'!$M$6:$M$1005,MATCH(B539,'Animais'!$A$6:$A$1005,0)),"Brinco não cadastrado"))</f>
        <v/>
      </c>
    </row>
    <row r="540">
      <c r="A540" s="31" t="n"/>
      <c r="B540" s="36" t="n"/>
      <c r="C540" s="38" t="n"/>
      <c r="D540" s="32" t="n"/>
      <c r="E540" s="43">
        <f>IF(OR(A540="",B540=""),"",SUMPRODUCT(MAX(($B$6:$B$2005=B540)*($A$6:$A$2005&lt;A540)*$A$6:$A$2005)))</f>
        <v/>
      </c>
      <c r="F540" s="41">
        <f>IF(OR(E540="",E540=0),"",IFERROR(AVERAGEIFS($C$6:$C$2005,$B$6:$B$2005,B540,$A$6:$A$2005,E540),""))</f>
        <v/>
      </c>
      <c r="G540" s="34">
        <f>IF(F540="","",A540-E540)</f>
        <v/>
      </c>
      <c r="H540" s="42">
        <f>IF(OR(F540="",C540=""),"",IFERROR((C540-F540)/G540,""))</f>
        <v/>
      </c>
      <c r="I540" s="39">
        <f>IF(B540="","",IFERROR(INDEX('Animais'!$M$6:$M$1005,MATCH(B540,'Animais'!$A$6:$A$1005,0)),"Brinco não cadastrado"))</f>
        <v/>
      </c>
    </row>
    <row r="541">
      <c r="A541" s="31" t="n"/>
      <c r="B541" s="36" t="n"/>
      <c r="C541" s="38" t="n"/>
      <c r="D541" s="32" t="n"/>
      <c r="E541" s="43">
        <f>IF(OR(A541="",B541=""),"",SUMPRODUCT(MAX(($B$6:$B$2005=B541)*($A$6:$A$2005&lt;A541)*$A$6:$A$2005)))</f>
        <v/>
      </c>
      <c r="F541" s="41">
        <f>IF(OR(E541="",E541=0),"",IFERROR(AVERAGEIFS($C$6:$C$2005,$B$6:$B$2005,B541,$A$6:$A$2005,E541),""))</f>
        <v/>
      </c>
      <c r="G541" s="34">
        <f>IF(F541="","",A541-E541)</f>
        <v/>
      </c>
      <c r="H541" s="42">
        <f>IF(OR(F541="",C541=""),"",IFERROR((C541-F541)/G541,""))</f>
        <v/>
      </c>
      <c r="I541" s="39">
        <f>IF(B541="","",IFERROR(INDEX('Animais'!$M$6:$M$1005,MATCH(B541,'Animais'!$A$6:$A$1005,0)),"Brinco não cadastrado"))</f>
        <v/>
      </c>
    </row>
    <row r="542">
      <c r="A542" s="31" t="n"/>
      <c r="B542" s="36" t="n"/>
      <c r="C542" s="38" t="n"/>
      <c r="D542" s="32" t="n"/>
      <c r="E542" s="43">
        <f>IF(OR(A542="",B542=""),"",SUMPRODUCT(MAX(($B$6:$B$2005=B542)*($A$6:$A$2005&lt;A542)*$A$6:$A$2005)))</f>
        <v/>
      </c>
      <c r="F542" s="41">
        <f>IF(OR(E542="",E542=0),"",IFERROR(AVERAGEIFS($C$6:$C$2005,$B$6:$B$2005,B542,$A$6:$A$2005,E542),""))</f>
        <v/>
      </c>
      <c r="G542" s="34">
        <f>IF(F542="","",A542-E542)</f>
        <v/>
      </c>
      <c r="H542" s="42">
        <f>IF(OR(F542="",C542=""),"",IFERROR((C542-F542)/G542,""))</f>
        <v/>
      </c>
      <c r="I542" s="39">
        <f>IF(B542="","",IFERROR(INDEX('Animais'!$M$6:$M$1005,MATCH(B542,'Animais'!$A$6:$A$1005,0)),"Brinco não cadastrado"))</f>
        <v/>
      </c>
    </row>
    <row r="543">
      <c r="A543" s="31" t="n"/>
      <c r="B543" s="36" t="n"/>
      <c r="C543" s="38" t="n"/>
      <c r="D543" s="32" t="n"/>
      <c r="E543" s="43">
        <f>IF(OR(A543="",B543=""),"",SUMPRODUCT(MAX(($B$6:$B$2005=B543)*($A$6:$A$2005&lt;A543)*$A$6:$A$2005)))</f>
        <v/>
      </c>
      <c r="F543" s="41">
        <f>IF(OR(E543="",E543=0),"",IFERROR(AVERAGEIFS($C$6:$C$2005,$B$6:$B$2005,B543,$A$6:$A$2005,E543),""))</f>
        <v/>
      </c>
      <c r="G543" s="34">
        <f>IF(F543="","",A543-E543)</f>
        <v/>
      </c>
      <c r="H543" s="42">
        <f>IF(OR(F543="",C543=""),"",IFERROR((C543-F543)/G543,""))</f>
        <v/>
      </c>
      <c r="I543" s="39">
        <f>IF(B543="","",IFERROR(INDEX('Animais'!$M$6:$M$1005,MATCH(B543,'Animais'!$A$6:$A$1005,0)),"Brinco não cadastrado"))</f>
        <v/>
      </c>
    </row>
    <row r="544">
      <c r="A544" s="31" t="n"/>
      <c r="B544" s="36" t="n"/>
      <c r="C544" s="38" t="n"/>
      <c r="D544" s="32" t="n"/>
      <c r="E544" s="43">
        <f>IF(OR(A544="",B544=""),"",SUMPRODUCT(MAX(($B$6:$B$2005=B544)*($A$6:$A$2005&lt;A544)*$A$6:$A$2005)))</f>
        <v/>
      </c>
      <c r="F544" s="41">
        <f>IF(OR(E544="",E544=0),"",IFERROR(AVERAGEIFS($C$6:$C$2005,$B$6:$B$2005,B544,$A$6:$A$2005,E544),""))</f>
        <v/>
      </c>
      <c r="G544" s="34">
        <f>IF(F544="","",A544-E544)</f>
        <v/>
      </c>
      <c r="H544" s="42">
        <f>IF(OR(F544="",C544=""),"",IFERROR((C544-F544)/G544,""))</f>
        <v/>
      </c>
      <c r="I544" s="39">
        <f>IF(B544="","",IFERROR(INDEX('Animais'!$M$6:$M$1005,MATCH(B544,'Animais'!$A$6:$A$1005,0)),"Brinco não cadastrado"))</f>
        <v/>
      </c>
    </row>
    <row r="545">
      <c r="A545" s="31" t="n"/>
      <c r="B545" s="36" t="n"/>
      <c r="C545" s="38" t="n"/>
      <c r="D545" s="32" t="n"/>
      <c r="E545" s="43">
        <f>IF(OR(A545="",B545=""),"",SUMPRODUCT(MAX(($B$6:$B$2005=B545)*($A$6:$A$2005&lt;A545)*$A$6:$A$2005)))</f>
        <v/>
      </c>
      <c r="F545" s="41">
        <f>IF(OR(E545="",E545=0),"",IFERROR(AVERAGEIFS($C$6:$C$2005,$B$6:$B$2005,B545,$A$6:$A$2005,E545),""))</f>
        <v/>
      </c>
      <c r="G545" s="34">
        <f>IF(F545="","",A545-E545)</f>
        <v/>
      </c>
      <c r="H545" s="42">
        <f>IF(OR(F545="",C545=""),"",IFERROR((C545-F545)/G545,""))</f>
        <v/>
      </c>
      <c r="I545" s="39">
        <f>IF(B545="","",IFERROR(INDEX('Animais'!$M$6:$M$1005,MATCH(B545,'Animais'!$A$6:$A$1005,0)),"Brinco não cadastrado"))</f>
        <v/>
      </c>
    </row>
    <row r="546">
      <c r="A546" s="31" t="n"/>
      <c r="B546" s="36" t="n"/>
      <c r="C546" s="38" t="n"/>
      <c r="D546" s="32" t="n"/>
      <c r="E546" s="43">
        <f>IF(OR(A546="",B546=""),"",SUMPRODUCT(MAX(($B$6:$B$2005=B546)*($A$6:$A$2005&lt;A546)*$A$6:$A$2005)))</f>
        <v/>
      </c>
      <c r="F546" s="41">
        <f>IF(OR(E546="",E546=0),"",IFERROR(AVERAGEIFS($C$6:$C$2005,$B$6:$B$2005,B546,$A$6:$A$2005,E546),""))</f>
        <v/>
      </c>
      <c r="G546" s="34">
        <f>IF(F546="","",A546-E546)</f>
        <v/>
      </c>
      <c r="H546" s="42">
        <f>IF(OR(F546="",C546=""),"",IFERROR((C546-F546)/G546,""))</f>
        <v/>
      </c>
      <c r="I546" s="39">
        <f>IF(B546="","",IFERROR(INDEX('Animais'!$M$6:$M$1005,MATCH(B546,'Animais'!$A$6:$A$1005,0)),"Brinco não cadastrado"))</f>
        <v/>
      </c>
    </row>
    <row r="547">
      <c r="A547" s="31" t="n"/>
      <c r="B547" s="36" t="n"/>
      <c r="C547" s="38" t="n"/>
      <c r="D547" s="32" t="n"/>
      <c r="E547" s="43">
        <f>IF(OR(A547="",B547=""),"",SUMPRODUCT(MAX(($B$6:$B$2005=B547)*($A$6:$A$2005&lt;A547)*$A$6:$A$2005)))</f>
        <v/>
      </c>
      <c r="F547" s="41">
        <f>IF(OR(E547="",E547=0),"",IFERROR(AVERAGEIFS($C$6:$C$2005,$B$6:$B$2005,B547,$A$6:$A$2005,E547),""))</f>
        <v/>
      </c>
      <c r="G547" s="34">
        <f>IF(F547="","",A547-E547)</f>
        <v/>
      </c>
      <c r="H547" s="42">
        <f>IF(OR(F547="",C547=""),"",IFERROR((C547-F547)/G547,""))</f>
        <v/>
      </c>
      <c r="I547" s="39">
        <f>IF(B547="","",IFERROR(INDEX('Animais'!$M$6:$M$1005,MATCH(B547,'Animais'!$A$6:$A$1005,0)),"Brinco não cadastrado"))</f>
        <v/>
      </c>
    </row>
    <row r="548">
      <c r="A548" s="31" t="n"/>
      <c r="B548" s="36" t="n"/>
      <c r="C548" s="38" t="n"/>
      <c r="D548" s="32" t="n"/>
      <c r="E548" s="43">
        <f>IF(OR(A548="",B548=""),"",SUMPRODUCT(MAX(($B$6:$B$2005=B548)*($A$6:$A$2005&lt;A548)*$A$6:$A$2005)))</f>
        <v/>
      </c>
      <c r="F548" s="41">
        <f>IF(OR(E548="",E548=0),"",IFERROR(AVERAGEIFS($C$6:$C$2005,$B$6:$B$2005,B548,$A$6:$A$2005,E548),""))</f>
        <v/>
      </c>
      <c r="G548" s="34">
        <f>IF(F548="","",A548-E548)</f>
        <v/>
      </c>
      <c r="H548" s="42">
        <f>IF(OR(F548="",C548=""),"",IFERROR((C548-F548)/G548,""))</f>
        <v/>
      </c>
      <c r="I548" s="39">
        <f>IF(B548="","",IFERROR(INDEX('Animais'!$M$6:$M$1005,MATCH(B548,'Animais'!$A$6:$A$1005,0)),"Brinco não cadastrado"))</f>
        <v/>
      </c>
    </row>
    <row r="549">
      <c r="A549" s="31" t="n"/>
      <c r="B549" s="36" t="n"/>
      <c r="C549" s="38" t="n"/>
      <c r="D549" s="32" t="n"/>
      <c r="E549" s="43">
        <f>IF(OR(A549="",B549=""),"",SUMPRODUCT(MAX(($B$6:$B$2005=B549)*($A$6:$A$2005&lt;A549)*$A$6:$A$2005)))</f>
        <v/>
      </c>
      <c r="F549" s="41">
        <f>IF(OR(E549="",E549=0),"",IFERROR(AVERAGEIFS($C$6:$C$2005,$B$6:$B$2005,B549,$A$6:$A$2005,E549),""))</f>
        <v/>
      </c>
      <c r="G549" s="34">
        <f>IF(F549="","",A549-E549)</f>
        <v/>
      </c>
      <c r="H549" s="42">
        <f>IF(OR(F549="",C549=""),"",IFERROR((C549-F549)/G549,""))</f>
        <v/>
      </c>
      <c r="I549" s="39">
        <f>IF(B549="","",IFERROR(INDEX('Animais'!$M$6:$M$1005,MATCH(B549,'Animais'!$A$6:$A$1005,0)),"Brinco não cadastrado"))</f>
        <v/>
      </c>
    </row>
    <row r="550">
      <c r="A550" s="31" t="n"/>
      <c r="B550" s="36" t="n"/>
      <c r="C550" s="38" t="n"/>
      <c r="D550" s="32" t="n"/>
      <c r="E550" s="43">
        <f>IF(OR(A550="",B550=""),"",SUMPRODUCT(MAX(($B$6:$B$2005=B550)*($A$6:$A$2005&lt;A550)*$A$6:$A$2005)))</f>
        <v/>
      </c>
      <c r="F550" s="41">
        <f>IF(OR(E550="",E550=0),"",IFERROR(AVERAGEIFS($C$6:$C$2005,$B$6:$B$2005,B550,$A$6:$A$2005,E550),""))</f>
        <v/>
      </c>
      <c r="G550" s="34">
        <f>IF(F550="","",A550-E550)</f>
        <v/>
      </c>
      <c r="H550" s="42">
        <f>IF(OR(F550="",C550=""),"",IFERROR((C550-F550)/G550,""))</f>
        <v/>
      </c>
      <c r="I550" s="39">
        <f>IF(B550="","",IFERROR(INDEX('Animais'!$M$6:$M$1005,MATCH(B550,'Animais'!$A$6:$A$1005,0)),"Brinco não cadastrado"))</f>
        <v/>
      </c>
    </row>
    <row r="551">
      <c r="A551" s="31" t="n"/>
      <c r="B551" s="36" t="n"/>
      <c r="C551" s="38" t="n"/>
      <c r="D551" s="32" t="n"/>
      <c r="E551" s="43">
        <f>IF(OR(A551="",B551=""),"",SUMPRODUCT(MAX(($B$6:$B$2005=B551)*($A$6:$A$2005&lt;A551)*$A$6:$A$2005)))</f>
        <v/>
      </c>
      <c r="F551" s="41">
        <f>IF(OR(E551="",E551=0),"",IFERROR(AVERAGEIFS($C$6:$C$2005,$B$6:$B$2005,B551,$A$6:$A$2005,E551),""))</f>
        <v/>
      </c>
      <c r="G551" s="34">
        <f>IF(F551="","",A551-E551)</f>
        <v/>
      </c>
      <c r="H551" s="42">
        <f>IF(OR(F551="",C551=""),"",IFERROR((C551-F551)/G551,""))</f>
        <v/>
      </c>
      <c r="I551" s="39">
        <f>IF(B551="","",IFERROR(INDEX('Animais'!$M$6:$M$1005,MATCH(B551,'Animais'!$A$6:$A$1005,0)),"Brinco não cadastrado"))</f>
        <v/>
      </c>
    </row>
    <row r="552">
      <c r="A552" s="31" t="n"/>
      <c r="B552" s="36" t="n"/>
      <c r="C552" s="38" t="n"/>
      <c r="D552" s="32" t="n"/>
      <c r="E552" s="43">
        <f>IF(OR(A552="",B552=""),"",SUMPRODUCT(MAX(($B$6:$B$2005=B552)*($A$6:$A$2005&lt;A552)*$A$6:$A$2005)))</f>
        <v/>
      </c>
      <c r="F552" s="41">
        <f>IF(OR(E552="",E552=0),"",IFERROR(AVERAGEIFS($C$6:$C$2005,$B$6:$B$2005,B552,$A$6:$A$2005,E552),""))</f>
        <v/>
      </c>
      <c r="G552" s="34">
        <f>IF(F552="","",A552-E552)</f>
        <v/>
      </c>
      <c r="H552" s="42">
        <f>IF(OR(F552="",C552=""),"",IFERROR((C552-F552)/G552,""))</f>
        <v/>
      </c>
      <c r="I552" s="39">
        <f>IF(B552="","",IFERROR(INDEX('Animais'!$M$6:$M$1005,MATCH(B552,'Animais'!$A$6:$A$1005,0)),"Brinco não cadastrado"))</f>
        <v/>
      </c>
    </row>
    <row r="553">
      <c r="A553" s="31" t="n"/>
      <c r="B553" s="36" t="n"/>
      <c r="C553" s="38" t="n"/>
      <c r="D553" s="32" t="n"/>
      <c r="E553" s="43">
        <f>IF(OR(A553="",B553=""),"",SUMPRODUCT(MAX(($B$6:$B$2005=B553)*($A$6:$A$2005&lt;A553)*$A$6:$A$2005)))</f>
        <v/>
      </c>
      <c r="F553" s="41">
        <f>IF(OR(E553="",E553=0),"",IFERROR(AVERAGEIFS($C$6:$C$2005,$B$6:$B$2005,B553,$A$6:$A$2005,E553),""))</f>
        <v/>
      </c>
      <c r="G553" s="34">
        <f>IF(F553="","",A553-E553)</f>
        <v/>
      </c>
      <c r="H553" s="42">
        <f>IF(OR(F553="",C553=""),"",IFERROR((C553-F553)/G553,""))</f>
        <v/>
      </c>
      <c r="I553" s="39">
        <f>IF(B553="","",IFERROR(INDEX('Animais'!$M$6:$M$1005,MATCH(B553,'Animais'!$A$6:$A$1005,0)),"Brinco não cadastrado"))</f>
        <v/>
      </c>
    </row>
    <row r="554">
      <c r="A554" s="31" t="n"/>
      <c r="B554" s="36" t="n"/>
      <c r="C554" s="38" t="n"/>
      <c r="D554" s="32" t="n"/>
      <c r="E554" s="43">
        <f>IF(OR(A554="",B554=""),"",SUMPRODUCT(MAX(($B$6:$B$2005=B554)*($A$6:$A$2005&lt;A554)*$A$6:$A$2005)))</f>
        <v/>
      </c>
      <c r="F554" s="41">
        <f>IF(OR(E554="",E554=0),"",IFERROR(AVERAGEIFS($C$6:$C$2005,$B$6:$B$2005,B554,$A$6:$A$2005,E554),""))</f>
        <v/>
      </c>
      <c r="G554" s="34">
        <f>IF(F554="","",A554-E554)</f>
        <v/>
      </c>
      <c r="H554" s="42">
        <f>IF(OR(F554="",C554=""),"",IFERROR((C554-F554)/G554,""))</f>
        <v/>
      </c>
      <c r="I554" s="39">
        <f>IF(B554="","",IFERROR(INDEX('Animais'!$M$6:$M$1005,MATCH(B554,'Animais'!$A$6:$A$1005,0)),"Brinco não cadastrado"))</f>
        <v/>
      </c>
    </row>
    <row r="555">
      <c r="A555" s="31" t="n"/>
      <c r="B555" s="36" t="n"/>
      <c r="C555" s="38" t="n"/>
      <c r="D555" s="32" t="n"/>
      <c r="E555" s="43">
        <f>IF(OR(A555="",B555=""),"",SUMPRODUCT(MAX(($B$6:$B$2005=B555)*($A$6:$A$2005&lt;A555)*$A$6:$A$2005)))</f>
        <v/>
      </c>
      <c r="F555" s="41">
        <f>IF(OR(E555="",E555=0),"",IFERROR(AVERAGEIFS($C$6:$C$2005,$B$6:$B$2005,B555,$A$6:$A$2005,E555),""))</f>
        <v/>
      </c>
      <c r="G555" s="34">
        <f>IF(F555="","",A555-E555)</f>
        <v/>
      </c>
      <c r="H555" s="42">
        <f>IF(OR(F555="",C555=""),"",IFERROR((C555-F555)/G555,""))</f>
        <v/>
      </c>
      <c r="I555" s="39">
        <f>IF(B555="","",IFERROR(INDEX('Animais'!$M$6:$M$1005,MATCH(B555,'Animais'!$A$6:$A$1005,0)),"Brinco não cadastrado"))</f>
        <v/>
      </c>
    </row>
    <row r="556">
      <c r="A556" s="31" t="n"/>
      <c r="B556" s="36" t="n"/>
      <c r="C556" s="38" t="n"/>
      <c r="D556" s="32" t="n"/>
      <c r="E556" s="43">
        <f>IF(OR(A556="",B556=""),"",SUMPRODUCT(MAX(($B$6:$B$2005=B556)*($A$6:$A$2005&lt;A556)*$A$6:$A$2005)))</f>
        <v/>
      </c>
      <c r="F556" s="41">
        <f>IF(OR(E556="",E556=0),"",IFERROR(AVERAGEIFS($C$6:$C$2005,$B$6:$B$2005,B556,$A$6:$A$2005,E556),""))</f>
        <v/>
      </c>
      <c r="G556" s="34">
        <f>IF(F556="","",A556-E556)</f>
        <v/>
      </c>
      <c r="H556" s="42">
        <f>IF(OR(F556="",C556=""),"",IFERROR((C556-F556)/G556,""))</f>
        <v/>
      </c>
      <c r="I556" s="39">
        <f>IF(B556="","",IFERROR(INDEX('Animais'!$M$6:$M$1005,MATCH(B556,'Animais'!$A$6:$A$1005,0)),"Brinco não cadastrado"))</f>
        <v/>
      </c>
    </row>
    <row r="557">
      <c r="A557" s="31" t="n"/>
      <c r="B557" s="36" t="n"/>
      <c r="C557" s="38" t="n"/>
      <c r="D557" s="32" t="n"/>
      <c r="E557" s="43">
        <f>IF(OR(A557="",B557=""),"",SUMPRODUCT(MAX(($B$6:$B$2005=B557)*($A$6:$A$2005&lt;A557)*$A$6:$A$2005)))</f>
        <v/>
      </c>
      <c r="F557" s="41">
        <f>IF(OR(E557="",E557=0),"",IFERROR(AVERAGEIFS($C$6:$C$2005,$B$6:$B$2005,B557,$A$6:$A$2005,E557),""))</f>
        <v/>
      </c>
      <c r="G557" s="34">
        <f>IF(F557="","",A557-E557)</f>
        <v/>
      </c>
      <c r="H557" s="42">
        <f>IF(OR(F557="",C557=""),"",IFERROR((C557-F557)/G557,""))</f>
        <v/>
      </c>
      <c r="I557" s="39">
        <f>IF(B557="","",IFERROR(INDEX('Animais'!$M$6:$M$1005,MATCH(B557,'Animais'!$A$6:$A$1005,0)),"Brinco não cadastrado"))</f>
        <v/>
      </c>
    </row>
    <row r="558">
      <c r="A558" s="31" t="n"/>
      <c r="B558" s="36" t="n"/>
      <c r="C558" s="38" t="n"/>
      <c r="D558" s="32" t="n"/>
      <c r="E558" s="43">
        <f>IF(OR(A558="",B558=""),"",SUMPRODUCT(MAX(($B$6:$B$2005=B558)*($A$6:$A$2005&lt;A558)*$A$6:$A$2005)))</f>
        <v/>
      </c>
      <c r="F558" s="41">
        <f>IF(OR(E558="",E558=0),"",IFERROR(AVERAGEIFS($C$6:$C$2005,$B$6:$B$2005,B558,$A$6:$A$2005,E558),""))</f>
        <v/>
      </c>
      <c r="G558" s="34">
        <f>IF(F558="","",A558-E558)</f>
        <v/>
      </c>
      <c r="H558" s="42">
        <f>IF(OR(F558="",C558=""),"",IFERROR((C558-F558)/G558,""))</f>
        <v/>
      </c>
      <c r="I558" s="39">
        <f>IF(B558="","",IFERROR(INDEX('Animais'!$M$6:$M$1005,MATCH(B558,'Animais'!$A$6:$A$1005,0)),"Brinco não cadastrado"))</f>
        <v/>
      </c>
    </row>
    <row r="559">
      <c r="A559" s="31" t="n"/>
      <c r="B559" s="36" t="n"/>
      <c r="C559" s="38" t="n"/>
      <c r="D559" s="32" t="n"/>
      <c r="E559" s="43">
        <f>IF(OR(A559="",B559=""),"",SUMPRODUCT(MAX(($B$6:$B$2005=B559)*($A$6:$A$2005&lt;A559)*$A$6:$A$2005)))</f>
        <v/>
      </c>
      <c r="F559" s="41">
        <f>IF(OR(E559="",E559=0),"",IFERROR(AVERAGEIFS($C$6:$C$2005,$B$6:$B$2005,B559,$A$6:$A$2005,E559),""))</f>
        <v/>
      </c>
      <c r="G559" s="34">
        <f>IF(F559="","",A559-E559)</f>
        <v/>
      </c>
      <c r="H559" s="42">
        <f>IF(OR(F559="",C559=""),"",IFERROR((C559-F559)/G559,""))</f>
        <v/>
      </c>
      <c r="I559" s="39">
        <f>IF(B559="","",IFERROR(INDEX('Animais'!$M$6:$M$1005,MATCH(B559,'Animais'!$A$6:$A$1005,0)),"Brinco não cadastrado"))</f>
        <v/>
      </c>
    </row>
    <row r="560">
      <c r="A560" s="31" t="n"/>
      <c r="B560" s="36" t="n"/>
      <c r="C560" s="38" t="n"/>
      <c r="D560" s="32" t="n"/>
      <c r="E560" s="43">
        <f>IF(OR(A560="",B560=""),"",SUMPRODUCT(MAX(($B$6:$B$2005=B560)*($A$6:$A$2005&lt;A560)*$A$6:$A$2005)))</f>
        <v/>
      </c>
      <c r="F560" s="41">
        <f>IF(OR(E560="",E560=0),"",IFERROR(AVERAGEIFS($C$6:$C$2005,$B$6:$B$2005,B560,$A$6:$A$2005,E560),""))</f>
        <v/>
      </c>
      <c r="G560" s="34">
        <f>IF(F560="","",A560-E560)</f>
        <v/>
      </c>
      <c r="H560" s="42">
        <f>IF(OR(F560="",C560=""),"",IFERROR((C560-F560)/G560,""))</f>
        <v/>
      </c>
      <c r="I560" s="39">
        <f>IF(B560="","",IFERROR(INDEX('Animais'!$M$6:$M$1005,MATCH(B560,'Animais'!$A$6:$A$1005,0)),"Brinco não cadastrado"))</f>
        <v/>
      </c>
    </row>
    <row r="561">
      <c r="A561" s="31" t="n"/>
      <c r="B561" s="36" t="n"/>
      <c r="C561" s="38" t="n"/>
      <c r="D561" s="32" t="n"/>
      <c r="E561" s="43">
        <f>IF(OR(A561="",B561=""),"",SUMPRODUCT(MAX(($B$6:$B$2005=B561)*($A$6:$A$2005&lt;A561)*$A$6:$A$2005)))</f>
        <v/>
      </c>
      <c r="F561" s="41">
        <f>IF(OR(E561="",E561=0),"",IFERROR(AVERAGEIFS($C$6:$C$2005,$B$6:$B$2005,B561,$A$6:$A$2005,E561),""))</f>
        <v/>
      </c>
      <c r="G561" s="34">
        <f>IF(F561="","",A561-E561)</f>
        <v/>
      </c>
      <c r="H561" s="42">
        <f>IF(OR(F561="",C561=""),"",IFERROR((C561-F561)/G561,""))</f>
        <v/>
      </c>
      <c r="I561" s="39">
        <f>IF(B561="","",IFERROR(INDEX('Animais'!$M$6:$M$1005,MATCH(B561,'Animais'!$A$6:$A$1005,0)),"Brinco não cadastrado"))</f>
        <v/>
      </c>
    </row>
    <row r="562">
      <c r="A562" s="31" t="n"/>
      <c r="B562" s="36" t="n"/>
      <c r="C562" s="38" t="n"/>
      <c r="D562" s="32" t="n"/>
      <c r="E562" s="43">
        <f>IF(OR(A562="",B562=""),"",SUMPRODUCT(MAX(($B$6:$B$2005=B562)*($A$6:$A$2005&lt;A562)*$A$6:$A$2005)))</f>
        <v/>
      </c>
      <c r="F562" s="41">
        <f>IF(OR(E562="",E562=0),"",IFERROR(AVERAGEIFS($C$6:$C$2005,$B$6:$B$2005,B562,$A$6:$A$2005,E562),""))</f>
        <v/>
      </c>
      <c r="G562" s="34">
        <f>IF(F562="","",A562-E562)</f>
        <v/>
      </c>
      <c r="H562" s="42">
        <f>IF(OR(F562="",C562=""),"",IFERROR((C562-F562)/G562,""))</f>
        <v/>
      </c>
      <c r="I562" s="39">
        <f>IF(B562="","",IFERROR(INDEX('Animais'!$M$6:$M$1005,MATCH(B562,'Animais'!$A$6:$A$1005,0)),"Brinco não cadastrado"))</f>
        <v/>
      </c>
    </row>
    <row r="563">
      <c r="A563" s="31" t="n"/>
      <c r="B563" s="36" t="n"/>
      <c r="C563" s="38" t="n"/>
      <c r="D563" s="32" t="n"/>
      <c r="E563" s="43">
        <f>IF(OR(A563="",B563=""),"",SUMPRODUCT(MAX(($B$6:$B$2005=B563)*($A$6:$A$2005&lt;A563)*$A$6:$A$2005)))</f>
        <v/>
      </c>
      <c r="F563" s="41">
        <f>IF(OR(E563="",E563=0),"",IFERROR(AVERAGEIFS($C$6:$C$2005,$B$6:$B$2005,B563,$A$6:$A$2005,E563),""))</f>
        <v/>
      </c>
      <c r="G563" s="34">
        <f>IF(F563="","",A563-E563)</f>
        <v/>
      </c>
      <c r="H563" s="42">
        <f>IF(OR(F563="",C563=""),"",IFERROR((C563-F563)/G563,""))</f>
        <v/>
      </c>
      <c r="I563" s="39">
        <f>IF(B563="","",IFERROR(INDEX('Animais'!$M$6:$M$1005,MATCH(B563,'Animais'!$A$6:$A$1005,0)),"Brinco não cadastrado"))</f>
        <v/>
      </c>
    </row>
    <row r="564">
      <c r="A564" s="31" t="n"/>
      <c r="B564" s="36" t="n"/>
      <c r="C564" s="38" t="n"/>
      <c r="D564" s="32" t="n"/>
      <c r="E564" s="43">
        <f>IF(OR(A564="",B564=""),"",SUMPRODUCT(MAX(($B$6:$B$2005=B564)*($A$6:$A$2005&lt;A564)*$A$6:$A$2005)))</f>
        <v/>
      </c>
      <c r="F564" s="41">
        <f>IF(OR(E564="",E564=0),"",IFERROR(AVERAGEIFS($C$6:$C$2005,$B$6:$B$2005,B564,$A$6:$A$2005,E564),""))</f>
        <v/>
      </c>
      <c r="G564" s="34">
        <f>IF(F564="","",A564-E564)</f>
        <v/>
      </c>
      <c r="H564" s="42">
        <f>IF(OR(F564="",C564=""),"",IFERROR((C564-F564)/G564,""))</f>
        <v/>
      </c>
      <c r="I564" s="39">
        <f>IF(B564="","",IFERROR(INDEX('Animais'!$M$6:$M$1005,MATCH(B564,'Animais'!$A$6:$A$1005,0)),"Brinco não cadastrado"))</f>
        <v/>
      </c>
    </row>
    <row r="565">
      <c r="A565" s="31" t="n"/>
      <c r="B565" s="36" t="n"/>
      <c r="C565" s="38" t="n"/>
      <c r="D565" s="32" t="n"/>
      <c r="E565" s="43">
        <f>IF(OR(A565="",B565=""),"",SUMPRODUCT(MAX(($B$6:$B$2005=B565)*($A$6:$A$2005&lt;A565)*$A$6:$A$2005)))</f>
        <v/>
      </c>
      <c r="F565" s="41">
        <f>IF(OR(E565="",E565=0),"",IFERROR(AVERAGEIFS($C$6:$C$2005,$B$6:$B$2005,B565,$A$6:$A$2005,E565),""))</f>
        <v/>
      </c>
      <c r="G565" s="34">
        <f>IF(F565="","",A565-E565)</f>
        <v/>
      </c>
      <c r="H565" s="42">
        <f>IF(OR(F565="",C565=""),"",IFERROR((C565-F565)/G565,""))</f>
        <v/>
      </c>
      <c r="I565" s="39">
        <f>IF(B565="","",IFERROR(INDEX('Animais'!$M$6:$M$1005,MATCH(B565,'Animais'!$A$6:$A$1005,0)),"Brinco não cadastrado"))</f>
        <v/>
      </c>
    </row>
    <row r="566">
      <c r="A566" s="31" t="n"/>
      <c r="B566" s="36" t="n"/>
      <c r="C566" s="38" t="n"/>
      <c r="D566" s="32" t="n"/>
      <c r="E566" s="43">
        <f>IF(OR(A566="",B566=""),"",SUMPRODUCT(MAX(($B$6:$B$2005=B566)*($A$6:$A$2005&lt;A566)*$A$6:$A$2005)))</f>
        <v/>
      </c>
      <c r="F566" s="41">
        <f>IF(OR(E566="",E566=0),"",IFERROR(AVERAGEIFS($C$6:$C$2005,$B$6:$B$2005,B566,$A$6:$A$2005,E566),""))</f>
        <v/>
      </c>
      <c r="G566" s="34">
        <f>IF(F566="","",A566-E566)</f>
        <v/>
      </c>
      <c r="H566" s="42">
        <f>IF(OR(F566="",C566=""),"",IFERROR((C566-F566)/G566,""))</f>
        <v/>
      </c>
      <c r="I566" s="39">
        <f>IF(B566="","",IFERROR(INDEX('Animais'!$M$6:$M$1005,MATCH(B566,'Animais'!$A$6:$A$1005,0)),"Brinco não cadastrado"))</f>
        <v/>
      </c>
    </row>
    <row r="567">
      <c r="A567" s="31" t="n"/>
      <c r="B567" s="36" t="n"/>
      <c r="C567" s="38" t="n"/>
      <c r="D567" s="32" t="n"/>
      <c r="E567" s="43">
        <f>IF(OR(A567="",B567=""),"",SUMPRODUCT(MAX(($B$6:$B$2005=B567)*($A$6:$A$2005&lt;A567)*$A$6:$A$2005)))</f>
        <v/>
      </c>
      <c r="F567" s="41">
        <f>IF(OR(E567="",E567=0),"",IFERROR(AVERAGEIFS($C$6:$C$2005,$B$6:$B$2005,B567,$A$6:$A$2005,E567),""))</f>
        <v/>
      </c>
      <c r="G567" s="34">
        <f>IF(F567="","",A567-E567)</f>
        <v/>
      </c>
      <c r="H567" s="42">
        <f>IF(OR(F567="",C567=""),"",IFERROR((C567-F567)/G567,""))</f>
        <v/>
      </c>
      <c r="I567" s="39">
        <f>IF(B567="","",IFERROR(INDEX('Animais'!$M$6:$M$1005,MATCH(B567,'Animais'!$A$6:$A$1005,0)),"Brinco não cadastrado"))</f>
        <v/>
      </c>
    </row>
    <row r="568">
      <c r="A568" s="31" t="n"/>
      <c r="B568" s="36" t="n"/>
      <c r="C568" s="38" t="n"/>
      <c r="D568" s="32" t="n"/>
      <c r="E568" s="43">
        <f>IF(OR(A568="",B568=""),"",SUMPRODUCT(MAX(($B$6:$B$2005=B568)*($A$6:$A$2005&lt;A568)*$A$6:$A$2005)))</f>
        <v/>
      </c>
      <c r="F568" s="41">
        <f>IF(OR(E568="",E568=0),"",IFERROR(AVERAGEIFS($C$6:$C$2005,$B$6:$B$2005,B568,$A$6:$A$2005,E568),""))</f>
        <v/>
      </c>
      <c r="G568" s="34">
        <f>IF(F568="","",A568-E568)</f>
        <v/>
      </c>
      <c r="H568" s="42">
        <f>IF(OR(F568="",C568=""),"",IFERROR((C568-F568)/G568,""))</f>
        <v/>
      </c>
      <c r="I568" s="39">
        <f>IF(B568="","",IFERROR(INDEX('Animais'!$M$6:$M$1005,MATCH(B568,'Animais'!$A$6:$A$1005,0)),"Brinco não cadastrado"))</f>
        <v/>
      </c>
    </row>
    <row r="569">
      <c r="A569" s="31" t="n"/>
      <c r="B569" s="36" t="n"/>
      <c r="C569" s="38" t="n"/>
      <c r="D569" s="32" t="n"/>
      <c r="E569" s="43">
        <f>IF(OR(A569="",B569=""),"",SUMPRODUCT(MAX(($B$6:$B$2005=B569)*($A$6:$A$2005&lt;A569)*$A$6:$A$2005)))</f>
        <v/>
      </c>
      <c r="F569" s="41">
        <f>IF(OR(E569="",E569=0),"",IFERROR(AVERAGEIFS($C$6:$C$2005,$B$6:$B$2005,B569,$A$6:$A$2005,E569),""))</f>
        <v/>
      </c>
      <c r="G569" s="34">
        <f>IF(F569="","",A569-E569)</f>
        <v/>
      </c>
      <c r="H569" s="42">
        <f>IF(OR(F569="",C569=""),"",IFERROR((C569-F569)/G569,""))</f>
        <v/>
      </c>
      <c r="I569" s="39">
        <f>IF(B569="","",IFERROR(INDEX('Animais'!$M$6:$M$1005,MATCH(B569,'Animais'!$A$6:$A$1005,0)),"Brinco não cadastrado"))</f>
        <v/>
      </c>
    </row>
    <row r="570">
      <c r="A570" s="31" t="n"/>
      <c r="B570" s="36" t="n"/>
      <c r="C570" s="38" t="n"/>
      <c r="D570" s="32" t="n"/>
      <c r="E570" s="43">
        <f>IF(OR(A570="",B570=""),"",SUMPRODUCT(MAX(($B$6:$B$2005=B570)*($A$6:$A$2005&lt;A570)*$A$6:$A$2005)))</f>
        <v/>
      </c>
      <c r="F570" s="41">
        <f>IF(OR(E570="",E570=0),"",IFERROR(AVERAGEIFS($C$6:$C$2005,$B$6:$B$2005,B570,$A$6:$A$2005,E570),""))</f>
        <v/>
      </c>
      <c r="G570" s="34">
        <f>IF(F570="","",A570-E570)</f>
        <v/>
      </c>
      <c r="H570" s="42">
        <f>IF(OR(F570="",C570=""),"",IFERROR((C570-F570)/G570,""))</f>
        <v/>
      </c>
      <c r="I570" s="39">
        <f>IF(B570="","",IFERROR(INDEX('Animais'!$M$6:$M$1005,MATCH(B570,'Animais'!$A$6:$A$1005,0)),"Brinco não cadastrado"))</f>
        <v/>
      </c>
    </row>
    <row r="571">
      <c r="A571" s="31" t="n"/>
      <c r="B571" s="36" t="n"/>
      <c r="C571" s="38" t="n"/>
      <c r="D571" s="32" t="n"/>
      <c r="E571" s="43">
        <f>IF(OR(A571="",B571=""),"",SUMPRODUCT(MAX(($B$6:$B$2005=B571)*($A$6:$A$2005&lt;A571)*$A$6:$A$2005)))</f>
        <v/>
      </c>
      <c r="F571" s="41">
        <f>IF(OR(E571="",E571=0),"",IFERROR(AVERAGEIFS($C$6:$C$2005,$B$6:$B$2005,B571,$A$6:$A$2005,E571),""))</f>
        <v/>
      </c>
      <c r="G571" s="34">
        <f>IF(F571="","",A571-E571)</f>
        <v/>
      </c>
      <c r="H571" s="42">
        <f>IF(OR(F571="",C571=""),"",IFERROR((C571-F571)/G571,""))</f>
        <v/>
      </c>
      <c r="I571" s="39">
        <f>IF(B571="","",IFERROR(INDEX('Animais'!$M$6:$M$1005,MATCH(B571,'Animais'!$A$6:$A$1005,0)),"Brinco não cadastrado"))</f>
        <v/>
      </c>
    </row>
    <row r="572">
      <c r="A572" s="31" t="n"/>
      <c r="B572" s="36" t="n"/>
      <c r="C572" s="38" t="n"/>
      <c r="D572" s="32" t="n"/>
      <c r="E572" s="43">
        <f>IF(OR(A572="",B572=""),"",SUMPRODUCT(MAX(($B$6:$B$2005=B572)*($A$6:$A$2005&lt;A572)*$A$6:$A$2005)))</f>
        <v/>
      </c>
      <c r="F572" s="41">
        <f>IF(OR(E572="",E572=0),"",IFERROR(AVERAGEIFS($C$6:$C$2005,$B$6:$B$2005,B572,$A$6:$A$2005,E572),""))</f>
        <v/>
      </c>
      <c r="G572" s="34">
        <f>IF(F572="","",A572-E572)</f>
        <v/>
      </c>
      <c r="H572" s="42">
        <f>IF(OR(F572="",C572=""),"",IFERROR((C572-F572)/G572,""))</f>
        <v/>
      </c>
      <c r="I572" s="39">
        <f>IF(B572="","",IFERROR(INDEX('Animais'!$M$6:$M$1005,MATCH(B572,'Animais'!$A$6:$A$1005,0)),"Brinco não cadastrado"))</f>
        <v/>
      </c>
    </row>
    <row r="573">
      <c r="A573" s="31" t="n"/>
      <c r="B573" s="36" t="n"/>
      <c r="C573" s="38" t="n"/>
      <c r="D573" s="32" t="n"/>
      <c r="E573" s="43">
        <f>IF(OR(A573="",B573=""),"",SUMPRODUCT(MAX(($B$6:$B$2005=B573)*($A$6:$A$2005&lt;A573)*$A$6:$A$2005)))</f>
        <v/>
      </c>
      <c r="F573" s="41">
        <f>IF(OR(E573="",E573=0),"",IFERROR(AVERAGEIFS($C$6:$C$2005,$B$6:$B$2005,B573,$A$6:$A$2005,E573),""))</f>
        <v/>
      </c>
      <c r="G573" s="34">
        <f>IF(F573="","",A573-E573)</f>
        <v/>
      </c>
      <c r="H573" s="42">
        <f>IF(OR(F573="",C573=""),"",IFERROR((C573-F573)/G573,""))</f>
        <v/>
      </c>
      <c r="I573" s="39">
        <f>IF(B573="","",IFERROR(INDEX('Animais'!$M$6:$M$1005,MATCH(B573,'Animais'!$A$6:$A$1005,0)),"Brinco não cadastrado"))</f>
        <v/>
      </c>
    </row>
    <row r="574">
      <c r="A574" s="31" t="n"/>
      <c r="B574" s="36" t="n"/>
      <c r="C574" s="38" t="n"/>
      <c r="D574" s="32" t="n"/>
      <c r="E574" s="43">
        <f>IF(OR(A574="",B574=""),"",SUMPRODUCT(MAX(($B$6:$B$2005=B574)*($A$6:$A$2005&lt;A574)*$A$6:$A$2005)))</f>
        <v/>
      </c>
      <c r="F574" s="41">
        <f>IF(OR(E574="",E574=0),"",IFERROR(AVERAGEIFS($C$6:$C$2005,$B$6:$B$2005,B574,$A$6:$A$2005,E574),""))</f>
        <v/>
      </c>
      <c r="G574" s="34">
        <f>IF(F574="","",A574-E574)</f>
        <v/>
      </c>
      <c r="H574" s="42">
        <f>IF(OR(F574="",C574=""),"",IFERROR((C574-F574)/G574,""))</f>
        <v/>
      </c>
      <c r="I574" s="39">
        <f>IF(B574="","",IFERROR(INDEX('Animais'!$M$6:$M$1005,MATCH(B574,'Animais'!$A$6:$A$1005,0)),"Brinco não cadastrado"))</f>
        <v/>
      </c>
    </row>
    <row r="575">
      <c r="A575" s="31" t="n"/>
      <c r="B575" s="36" t="n"/>
      <c r="C575" s="38" t="n"/>
      <c r="D575" s="32" t="n"/>
      <c r="E575" s="43">
        <f>IF(OR(A575="",B575=""),"",SUMPRODUCT(MAX(($B$6:$B$2005=B575)*($A$6:$A$2005&lt;A575)*$A$6:$A$2005)))</f>
        <v/>
      </c>
      <c r="F575" s="41">
        <f>IF(OR(E575="",E575=0),"",IFERROR(AVERAGEIFS($C$6:$C$2005,$B$6:$B$2005,B575,$A$6:$A$2005,E575),""))</f>
        <v/>
      </c>
      <c r="G575" s="34">
        <f>IF(F575="","",A575-E575)</f>
        <v/>
      </c>
      <c r="H575" s="42">
        <f>IF(OR(F575="",C575=""),"",IFERROR((C575-F575)/G575,""))</f>
        <v/>
      </c>
      <c r="I575" s="39">
        <f>IF(B575="","",IFERROR(INDEX('Animais'!$M$6:$M$1005,MATCH(B575,'Animais'!$A$6:$A$1005,0)),"Brinco não cadastrado"))</f>
        <v/>
      </c>
    </row>
    <row r="576">
      <c r="A576" s="31" t="n"/>
      <c r="B576" s="36" t="n"/>
      <c r="C576" s="38" t="n"/>
      <c r="D576" s="32" t="n"/>
      <c r="E576" s="43">
        <f>IF(OR(A576="",B576=""),"",SUMPRODUCT(MAX(($B$6:$B$2005=B576)*($A$6:$A$2005&lt;A576)*$A$6:$A$2005)))</f>
        <v/>
      </c>
      <c r="F576" s="41">
        <f>IF(OR(E576="",E576=0),"",IFERROR(AVERAGEIFS($C$6:$C$2005,$B$6:$B$2005,B576,$A$6:$A$2005,E576),""))</f>
        <v/>
      </c>
      <c r="G576" s="34">
        <f>IF(F576="","",A576-E576)</f>
        <v/>
      </c>
      <c r="H576" s="42">
        <f>IF(OR(F576="",C576=""),"",IFERROR((C576-F576)/G576,""))</f>
        <v/>
      </c>
      <c r="I576" s="39">
        <f>IF(B576="","",IFERROR(INDEX('Animais'!$M$6:$M$1005,MATCH(B576,'Animais'!$A$6:$A$1005,0)),"Brinco não cadastrado"))</f>
        <v/>
      </c>
    </row>
    <row r="577">
      <c r="A577" s="31" t="n"/>
      <c r="B577" s="36" t="n"/>
      <c r="C577" s="38" t="n"/>
      <c r="D577" s="32" t="n"/>
      <c r="E577" s="43">
        <f>IF(OR(A577="",B577=""),"",SUMPRODUCT(MAX(($B$6:$B$2005=B577)*($A$6:$A$2005&lt;A577)*$A$6:$A$2005)))</f>
        <v/>
      </c>
      <c r="F577" s="41">
        <f>IF(OR(E577="",E577=0),"",IFERROR(AVERAGEIFS($C$6:$C$2005,$B$6:$B$2005,B577,$A$6:$A$2005,E577),""))</f>
        <v/>
      </c>
      <c r="G577" s="34">
        <f>IF(F577="","",A577-E577)</f>
        <v/>
      </c>
      <c r="H577" s="42">
        <f>IF(OR(F577="",C577=""),"",IFERROR((C577-F577)/G577,""))</f>
        <v/>
      </c>
      <c r="I577" s="39">
        <f>IF(B577="","",IFERROR(INDEX('Animais'!$M$6:$M$1005,MATCH(B577,'Animais'!$A$6:$A$1005,0)),"Brinco não cadastrado"))</f>
        <v/>
      </c>
    </row>
    <row r="578">
      <c r="A578" s="31" t="n"/>
      <c r="B578" s="36" t="n"/>
      <c r="C578" s="38" t="n"/>
      <c r="D578" s="32" t="n"/>
      <c r="E578" s="43">
        <f>IF(OR(A578="",B578=""),"",SUMPRODUCT(MAX(($B$6:$B$2005=B578)*($A$6:$A$2005&lt;A578)*$A$6:$A$2005)))</f>
        <v/>
      </c>
      <c r="F578" s="41">
        <f>IF(OR(E578="",E578=0),"",IFERROR(AVERAGEIFS($C$6:$C$2005,$B$6:$B$2005,B578,$A$6:$A$2005,E578),""))</f>
        <v/>
      </c>
      <c r="G578" s="34">
        <f>IF(F578="","",A578-E578)</f>
        <v/>
      </c>
      <c r="H578" s="42">
        <f>IF(OR(F578="",C578=""),"",IFERROR((C578-F578)/G578,""))</f>
        <v/>
      </c>
      <c r="I578" s="39">
        <f>IF(B578="","",IFERROR(INDEX('Animais'!$M$6:$M$1005,MATCH(B578,'Animais'!$A$6:$A$1005,0)),"Brinco não cadastrado"))</f>
        <v/>
      </c>
    </row>
    <row r="579">
      <c r="A579" s="31" t="n"/>
      <c r="B579" s="36" t="n"/>
      <c r="C579" s="38" t="n"/>
      <c r="D579" s="32" t="n"/>
      <c r="E579" s="43">
        <f>IF(OR(A579="",B579=""),"",SUMPRODUCT(MAX(($B$6:$B$2005=B579)*($A$6:$A$2005&lt;A579)*$A$6:$A$2005)))</f>
        <v/>
      </c>
      <c r="F579" s="41">
        <f>IF(OR(E579="",E579=0),"",IFERROR(AVERAGEIFS($C$6:$C$2005,$B$6:$B$2005,B579,$A$6:$A$2005,E579),""))</f>
        <v/>
      </c>
      <c r="G579" s="34">
        <f>IF(F579="","",A579-E579)</f>
        <v/>
      </c>
      <c r="H579" s="42">
        <f>IF(OR(F579="",C579=""),"",IFERROR((C579-F579)/G579,""))</f>
        <v/>
      </c>
      <c r="I579" s="39">
        <f>IF(B579="","",IFERROR(INDEX('Animais'!$M$6:$M$1005,MATCH(B579,'Animais'!$A$6:$A$1005,0)),"Brinco não cadastrado"))</f>
        <v/>
      </c>
    </row>
    <row r="580">
      <c r="A580" s="31" t="n"/>
      <c r="B580" s="36" t="n"/>
      <c r="C580" s="38" t="n"/>
      <c r="D580" s="32" t="n"/>
      <c r="E580" s="43">
        <f>IF(OR(A580="",B580=""),"",SUMPRODUCT(MAX(($B$6:$B$2005=B580)*($A$6:$A$2005&lt;A580)*$A$6:$A$2005)))</f>
        <v/>
      </c>
      <c r="F580" s="41">
        <f>IF(OR(E580="",E580=0),"",IFERROR(AVERAGEIFS($C$6:$C$2005,$B$6:$B$2005,B580,$A$6:$A$2005,E580),""))</f>
        <v/>
      </c>
      <c r="G580" s="34">
        <f>IF(F580="","",A580-E580)</f>
        <v/>
      </c>
      <c r="H580" s="42">
        <f>IF(OR(F580="",C580=""),"",IFERROR((C580-F580)/G580,""))</f>
        <v/>
      </c>
      <c r="I580" s="39">
        <f>IF(B580="","",IFERROR(INDEX('Animais'!$M$6:$M$1005,MATCH(B580,'Animais'!$A$6:$A$1005,0)),"Brinco não cadastrado"))</f>
        <v/>
      </c>
    </row>
    <row r="581">
      <c r="A581" s="31" t="n"/>
      <c r="B581" s="36" t="n"/>
      <c r="C581" s="38" t="n"/>
      <c r="D581" s="32" t="n"/>
      <c r="E581" s="43">
        <f>IF(OR(A581="",B581=""),"",SUMPRODUCT(MAX(($B$6:$B$2005=B581)*($A$6:$A$2005&lt;A581)*$A$6:$A$2005)))</f>
        <v/>
      </c>
      <c r="F581" s="41">
        <f>IF(OR(E581="",E581=0),"",IFERROR(AVERAGEIFS($C$6:$C$2005,$B$6:$B$2005,B581,$A$6:$A$2005,E581),""))</f>
        <v/>
      </c>
      <c r="G581" s="34">
        <f>IF(F581="","",A581-E581)</f>
        <v/>
      </c>
      <c r="H581" s="42">
        <f>IF(OR(F581="",C581=""),"",IFERROR((C581-F581)/G581,""))</f>
        <v/>
      </c>
      <c r="I581" s="39">
        <f>IF(B581="","",IFERROR(INDEX('Animais'!$M$6:$M$1005,MATCH(B581,'Animais'!$A$6:$A$1005,0)),"Brinco não cadastrado"))</f>
        <v/>
      </c>
    </row>
    <row r="582">
      <c r="A582" s="31" t="n"/>
      <c r="B582" s="36" t="n"/>
      <c r="C582" s="38" t="n"/>
      <c r="D582" s="32" t="n"/>
      <c r="E582" s="43">
        <f>IF(OR(A582="",B582=""),"",SUMPRODUCT(MAX(($B$6:$B$2005=B582)*($A$6:$A$2005&lt;A582)*$A$6:$A$2005)))</f>
        <v/>
      </c>
      <c r="F582" s="41">
        <f>IF(OR(E582="",E582=0),"",IFERROR(AVERAGEIFS($C$6:$C$2005,$B$6:$B$2005,B582,$A$6:$A$2005,E582),""))</f>
        <v/>
      </c>
      <c r="G582" s="34">
        <f>IF(F582="","",A582-E582)</f>
        <v/>
      </c>
      <c r="H582" s="42">
        <f>IF(OR(F582="",C582=""),"",IFERROR((C582-F582)/G582,""))</f>
        <v/>
      </c>
      <c r="I582" s="39">
        <f>IF(B582="","",IFERROR(INDEX('Animais'!$M$6:$M$1005,MATCH(B582,'Animais'!$A$6:$A$1005,0)),"Brinco não cadastrado"))</f>
        <v/>
      </c>
    </row>
    <row r="583">
      <c r="A583" s="31" t="n"/>
      <c r="B583" s="36" t="n"/>
      <c r="C583" s="38" t="n"/>
      <c r="D583" s="32" t="n"/>
      <c r="E583" s="43">
        <f>IF(OR(A583="",B583=""),"",SUMPRODUCT(MAX(($B$6:$B$2005=B583)*($A$6:$A$2005&lt;A583)*$A$6:$A$2005)))</f>
        <v/>
      </c>
      <c r="F583" s="41">
        <f>IF(OR(E583="",E583=0),"",IFERROR(AVERAGEIFS($C$6:$C$2005,$B$6:$B$2005,B583,$A$6:$A$2005,E583),""))</f>
        <v/>
      </c>
      <c r="G583" s="34">
        <f>IF(F583="","",A583-E583)</f>
        <v/>
      </c>
      <c r="H583" s="42">
        <f>IF(OR(F583="",C583=""),"",IFERROR((C583-F583)/G583,""))</f>
        <v/>
      </c>
      <c r="I583" s="39">
        <f>IF(B583="","",IFERROR(INDEX('Animais'!$M$6:$M$1005,MATCH(B583,'Animais'!$A$6:$A$1005,0)),"Brinco não cadastrado"))</f>
        <v/>
      </c>
    </row>
    <row r="584">
      <c r="A584" s="31" t="n"/>
      <c r="B584" s="36" t="n"/>
      <c r="C584" s="38" t="n"/>
      <c r="D584" s="32" t="n"/>
      <c r="E584" s="43">
        <f>IF(OR(A584="",B584=""),"",SUMPRODUCT(MAX(($B$6:$B$2005=B584)*($A$6:$A$2005&lt;A584)*$A$6:$A$2005)))</f>
        <v/>
      </c>
      <c r="F584" s="41">
        <f>IF(OR(E584="",E584=0),"",IFERROR(AVERAGEIFS($C$6:$C$2005,$B$6:$B$2005,B584,$A$6:$A$2005,E584),""))</f>
        <v/>
      </c>
      <c r="G584" s="34">
        <f>IF(F584="","",A584-E584)</f>
        <v/>
      </c>
      <c r="H584" s="42">
        <f>IF(OR(F584="",C584=""),"",IFERROR((C584-F584)/G584,""))</f>
        <v/>
      </c>
      <c r="I584" s="39">
        <f>IF(B584="","",IFERROR(INDEX('Animais'!$M$6:$M$1005,MATCH(B584,'Animais'!$A$6:$A$1005,0)),"Brinco não cadastrado"))</f>
        <v/>
      </c>
    </row>
    <row r="585">
      <c r="A585" s="31" t="n"/>
      <c r="B585" s="36" t="n"/>
      <c r="C585" s="38" t="n"/>
      <c r="D585" s="32" t="n"/>
      <c r="E585" s="43">
        <f>IF(OR(A585="",B585=""),"",SUMPRODUCT(MAX(($B$6:$B$2005=B585)*($A$6:$A$2005&lt;A585)*$A$6:$A$2005)))</f>
        <v/>
      </c>
      <c r="F585" s="41">
        <f>IF(OR(E585="",E585=0),"",IFERROR(AVERAGEIFS($C$6:$C$2005,$B$6:$B$2005,B585,$A$6:$A$2005,E585),""))</f>
        <v/>
      </c>
      <c r="G585" s="34">
        <f>IF(F585="","",A585-E585)</f>
        <v/>
      </c>
      <c r="H585" s="42">
        <f>IF(OR(F585="",C585=""),"",IFERROR((C585-F585)/G585,""))</f>
        <v/>
      </c>
      <c r="I585" s="39">
        <f>IF(B585="","",IFERROR(INDEX('Animais'!$M$6:$M$1005,MATCH(B585,'Animais'!$A$6:$A$1005,0)),"Brinco não cadastrado"))</f>
        <v/>
      </c>
    </row>
    <row r="586">
      <c r="A586" s="31" t="n"/>
      <c r="B586" s="36" t="n"/>
      <c r="C586" s="38" t="n"/>
      <c r="D586" s="32" t="n"/>
      <c r="E586" s="43">
        <f>IF(OR(A586="",B586=""),"",SUMPRODUCT(MAX(($B$6:$B$2005=B586)*($A$6:$A$2005&lt;A586)*$A$6:$A$2005)))</f>
        <v/>
      </c>
      <c r="F586" s="41">
        <f>IF(OR(E586="",E586=0),"",IFERROR(AVERAGEIFS($C$6:$C$2005,$B$6:$B$2005,B586,$A$6:$A$2005,E586),""))</f>
        <v/>
      </c>
      <c r="G586" s="34">
        <f>IF(F586="","",A586-E586)</f>
        <v/>
      </c>
      <c r="H586" s="42">
        <f>IF(OR(F586="",C586=""),"",IFERROR((C586-F586)/G586,""))</f>
        <v/>
      </c>
      <c r="I586" s="39">
        <f>IF(B586="","",IFERROR(INDEX('Animais'!$M$6:$M$1005,MATCH(B586,'Animais'!$A$6:$A$1005,0)),"Brinco não cadastrado"))</f>
        <v/>
      </c>
    </row>
    <row r="587">
      <c r="A587" s="31" t="n"/>
      <c r="B587" s="36" t="n"/>
      <c r="C587" s="38" t="n"/>
      <c r="D587" s="32" t="n"/>
      <c r="E587" s="43">
        <f>IF(OR(A587="",B587=""),"",SUMPRODUCT(MAX(($B$6:$B$2005=B587)*($A$6:$A$2005&lt;A587)*$A$6:$A$2005)))</f>
        <v/>
      </c>
      <c r="F587" s="41">
        <f>IF(OR(E587="",E587=0),"",IFERROR(AVERAGEIFS($C$6:$C$2005,$B$6:$B$2005,B587,$A$6:$A$2005,E587),""))</f>
        <v/>
      </c>
      <c r="G587" s="34">
        <f>IF(F587="","",A587-E587)</f>
        <v/>
      </c>
      <c r="H587" s="42">
        <f>IF(OR(F587="",C587=""),"",IFERROR((C587-F587)/G587,""))</f>
        <v/>
      </c>
      <c r="I587" s="39">
        <f>IF(B587="","",IFERROR(INDEX('Animais'!$M$6:$M$1005,MATCH(B587,'Animais'!$A$6:$A$1005,0)),"Brinco não cadastrado"))</f>
        <v/>
      </c>
    </row>
    <row r="588">
      <c r="A588" s="31" t="n"/>
      <c r="B588" s="36" t="n"/>
      <c r="C588" s="38" t="n"/>
      <c r="D588" s="32" t="n"/>
      <c r="E588" s="43">
        <f>IF(OR(A588="",B588=""),"",SUMPRODUCT(MAX(($B$6:$B$2005=B588)*($A$6:$A$2005&lt;A588)*$A$6:$A$2005)))</f>
        <v/>
      </c>
      <c r="F588" s="41">
        <f>IF(OR(E588="",E588=0),"",IFERROR(AVERAGEIFS($C$6:$C$2005,$B$6:$B$2005,B588,$A$6:$A$2005,E588),""))</f>
        <v/>
      </c>
      <c r="G588" s="34">
        <f>IF(F588="","",A588-E588)</f>
        <v/>
      </c>
      <c r="H588" s="42">
        <f>IF(OR(F588="",C588=""),"",IFERROR((C588-F588)/G588,""))</f>
        <v/>
      </c>
      <c r="I588" s="39">
        <f>IF(B588="","",IFERROR(INDEX('Animais'!$M$6:$M$1005,MATCH(B588,'Animais'!$A$6:$A$1005,0)),"Brinco não cadastrado"))</f>
        <v/>
      </c>
    </row>
    <row r="589">
      <c r="A589" s="31" t="n"/>
      <c r="B589" s="36" t="n"/>
      <c r="C589" s="38" t="n"/>
      <c r="D589" s="32" t="n"/>
      <c r="E589" s="43">
        <f>IF(OR(A589="",B589=""),"",SUMPRODUCT(MAX(($B$6:$B$2005=B589)*($A$6:$A$2005&lt;A589)*$A$6:$A$2005)))</f>
        <v/>
      </c>
      <c r="F589" s="41">
        <f>IF(OR(E589="",E589=0),"",IFERROR(AVERAGEIFS($C$6:$C$2005,$B$6:$B$2005,B589,$A$6:$A$2005,E589),""))</f>
        <v/>
      </c>
      <c r="G589" s="34">
        <f>IF(F589="","",A589-E589)</f>
        <v/>
      </c>
      <c r="H589" s="42">
        <f>IF(OR(F589="",C589=""),"",IFERROR((C589-F589)/G589,""))</f>
        <v/>
      </c>
      <c r="I589" s="39">
        <f>IF(B589="","",IFERROR(INDEX('Animais'!$M$6:$M$1005,MATCH(B589,'Animais'!$A$6:$A$1005,0)),"Brinco não cadastrado"))</f>
        <v/>
      </c>
    </row>
    <row r="590">
      <c r="A590" s="31" t="n"/>
      <c r="B590" s="36" t="n"/>
      <c r="C590" s="38" t="n"/>
      <c r="D590" s="32" t="n"/>
      <c r="E590" s="43">
        <f>IF(OR(A590="",B590=""),"",SUMPRODUCT(MAX(($B$6:$B$2005=B590)*($A$6:$A$2005&lt;A590)*$A$6:$A$2005)))</f>
        <v/>
      </c>
      <c r="F590" s="41">
        <f>IF(OR(E590="",E590=0),"",IFERROR(AVERAGEIFS($C$6:$C$2005,$B$6:$B$2005,B590,$A$6:$A$2005,E590),""))</f>
        <v/>
      </c>
      <c r="G590" s="34">
        <f>IF(F590="","",A590-E590)</f>
        <v/>
      </c>
      <c r="H590" s="42">
        <f>IF(OR(F590="",C590=""),"",IFERROR((C590-F590)/G590,""))</f>
        <v/>
      </c>
      <c r="I590" s="39">
        <f>IF(B590="","",IFERROR(INDEX('Animais'!$M$6:$M$1005,MATCH(B590,'Animais'!$A$6:$A$1005,0)),"Brinco não cadastrado"))</f>
        <v/>
      </c>
    </row>
    <row r="591">
      <c r="A591" s="31" t="n"/>
      <c r="B591" s="36" t="n"/>
      <c r="C591" s="38" t="n"/>
      <c r="D591" s="32" t="n"/>
      <c r="E591" s="43">
        <f>IF(OR(A591="",B591=""),"",SUMPRODUCT(MAX(($B$6:$B$2005=B591)*($A$6:$A$2005&lt;A591)*$A$6:$A$2005)))</f>
        <v/>
      </c>
      <c r="F591" s="41">
        <f>IF(OR(E591="",E591=0),"",IFERROR(AVERAGEIFS($C$6:$C$2005,$B$6:$B$2005,B591,$A$6:$A$2005,E591),""))</f>
        <v/>
      </c>
      <c r="G591" s="34">
        <f>IF(F591="","",A591-E591)</f>
        <v/>
      </c>
      <c r="H591" s="42">
        <f>IF(OR(F591="",C591=""),"",IFERROR((C591-F591)/G591,""))</f>
        <v/>
      </c>
      <c r="I591" s="39">
        <f>IF(B591="","",IFERROR(INDEX('Animais'!$M$6:$M$1005,MATCH(B591,'Animais'!$A$6:$A$1005,0)),"Brinco não cadastrado"))</f>
        <v/>
      </c>
    </row>
    <row r="592">
      <c r="A592" s="31" t="n"/>
      <c r="B592" s="36" t="n"/>
      <c r="C592" s="38" t="n"/>
      <c r="D592" s="32" t="n"/>
      <c r="E592" s="43">
        <f>IF(OR(A592="",B592=""),"",SUMPRODUCT(MAX(($B$6:$B$2005=B592)*($A$6:$A$2005&lt;A592)*$A$6:$A$2005)))</f>
        <v/>
      </c>
      <c r="F592" s="41">
        <f>IF(OR(E592="",E592=0),"",IFERROR(AVERAGEIFS($C$6:$C$2005,$B$6:$B$2005,B592,$A$6:$A$2005,E592),""))</f>
        <v/>
      </c>
      <c r="G592" s="34">
        <f>IF(F592="","",A592-E592)</f>
        <v/>
      </c>
      <c r="H592" s="42">
        <f>IF(OR(F592="",C592=""),"",IFERROR((C592-F592)/G592,""))</f>
        <v/>
      </c>
      <c r="I592" s="39">
        <f>IF(B592="","",IFERROR(INDEX('Animais'!$M$6:$M$1005,MATCH(B592,'Animais'!$A$6:$A$1005,0)),"Brinco não cadastrado"))</f>
        <v/>
      </c>
    </row>
    <row r="593">
      <c r="A593" s="31" t="n"/>
      <c r="B593" s="36" t="n"/>
      <c r="C593" s="38" t="n"/>
      <c r="D593" s="32" t="n"/>
      <c r="E593" s="43">
        <f>IF(OR(A593="",B593=""),"",SUMPRODUCT(MAX(($B$6:$B$2005=B593)*($A$6:$A$2005&lt;A593)*$A$6:$A$2005)))</f>
        <v/>
      </c>
      <c r="F593" s="41">
        <f>IF(OR(E593="",E593=0),"",IFERROR(AVERAGEIFS($C$6:$C$2005,$B$6:$B$2005,B593,$A$6:$A$2005,E593),""))</f>
        <v/>
      </c>
      <c r="G593" s="34">
        <f>IF(F593="","",A593-E593)</f>
        <v/>
      </c>
      <c r="H593" s="42">
        <f>IF(OR(F593="",C593=""),"",IFERROR((C593-F593)/G593,""))</f>
        <v/>
      </c>
      <c r="I593" s="39">
        <f>IF(B593="","",IFERROR(INDEX('Animais'!$M$6:$M$1005,MATCH(B593,'Animais'!$A$6:$A$1005,0)),"Brinco não cadastrado"))</f>
        <v/>
      </c>
    </row>
    <row r="594">
      <c r="A594" s="31" t="n"/>
      <c r="B594" s="36" t="n"/>
      <c r="C594" s="38" t="n"/>
      <c r="D594" s="32" t="n"/>
      <c r="E594" s="43">
        <f>IF(OR(A594="",B594=""),"",SUMPRODUCT(MAX(($B$6:$B$2005=B594)*($A$6:$A$2005&lt;A594)*$A$6:$A$2005)))</f>
        <v/>
      </c>
      <c r="F594" s="41">
        <f>IF(OR(E594="",E594=0),"",IFERROR(AVERAGEIFS($C$6:$C$2005,$B$6:$B$2005,B594,$A$6:$A$2005,E594),""))</f>
        <v/>
      </c>
      <c r="G594" s="34">
        <f>IF(F594="","",A594-E594)</f>
        <v/>
      </c>
      <c r="H594" s="42">
        <f>IF(OR(F594="",C594=""),"",IFERROR((C594-F594)/G594,""))</f>
        <v/>
      </c>
      <c r="I594" s="39">
        <f>IF(B594="","",IFERROR(INDEX('Animais'!$M$6:$M$1005,MATCH(B594,'Animais'!$A$6:$A$1005,0)),"Brinco não cadastrado"))</f>
        <v/>
      </c>
    </row>
    <row r="595">
      <c r="A595" s="31" t="n"/>
      <c r="B595" s="36" t="n"/>
      <c r="C595" s="38" t="n"/>
      <c r="D595" s="32" t="n"/>
      <c r="E595" s="43">
        <f>IF(OR(A595="",B595=""),"",SUMPRODUCT(MAX(($B$6:$B$2005=B595)*($A$6:$A$2005&lt;A595)*$A$6:$A$2005)))</f>
        <v/>
      </c>
      <c r="F595" s="41">
        <f>IF(OR(E595="",E595=0),"",IFERROR(AVERAGEIFS($C$6:$C$2005,$B$6:$B$2005,B595,$A$6:$A$2005,E595),""))</f>
        <v/>
      </c>
      <c r="G595" s="34">
        <f>IF(F595="","",A595-E595)</f>
        <v/>
      </c>
      <c r="H595" s="42">
        <f>IF(OR(F595="",C595=""),"",IFERROR((C595-F595)/G595,""))</f>
        <v/>
      </c>
      <c r="I595" s="39">
        <f>IF(B595="","",IFERROR(INDEX('Animais'!$M$6:$M$1005,MATCH(B595,'Animais'!$A$6:$A$1005,0)),"Brinco não cadastrado"))</f>
        <v/>
      </c>
    </row>
    <row r="596">
      <c r="A596" s="31" t="n"/>
      <c r="B596" s="36" t="n"/>
      <c r="C596" s="38" t="n"/>
      <c r="D596" s="32" t="n"/>
      <c r="E596" s="43">
        <f>IF(OR(A596="",B596=""),"",SUMPRODUCT(MAX(($B$6:$B$2005=B596)*($A$6:$A$2005&lt;A596)*$A$6:$A$2005)))</f>
        <v/>
      </c>
      <c r="F596" s="41">
        <f>IF(OR(E596="",E596=0),"",IFERROR(AVERAGEIFS($C$6:$C$2005,$B$6:$B$2005,B596,$A$6:$A$2005,E596),""))</f>
        <v/>
      </c>
      <c r="G596" s="34">
        <f>IF(F596="","",A596-E596)</f>
        <v/>
      </c>
      <c r="H596" s="42">
        <f>IF(OR(F596="",C596=""),"",IFERROR((C596-F596)/G596,""))</f>
        <v/>
      </c>
      <c r="I596" s="39">
        <f>IF(B596="","",IFERROR(INDEX('Animais'!$M$6:$M$1005,MATCH(B596,'Animais'!$A$6:$A$1005,0)),"Brinco não cadastrado"))</f>
        <v/>
      </c>
    </row>
    <row r="597">
      <c r="A597" s="31" t="n"/>
      <c r="B597" s="36" t="n"/>
      <c r="C597" s="38" t="n"/>
      <c r="D597" s="32" t="n"/>
      <c r="E597" s="43">
        <f>IF(OR(A597="",B597=""),"",SUMPRODUCT(MAX(($B$6:$B$2005=B597)*($A$6:$A$2005&lt;A597)*$A$6:$A$2005)))</f>
        <v/>
      </c>
      <c r="F597" s="41">
        <f>IF(OR(E597="",E597=0),"",IFERROR(AVERAGEIFS($C$6:$C$2005,$B$6:$B$2005,B597,$A$6:$A$2005,E597),""))</f>
        <v/>
      </c>
      <c r="G597" s="34">
        <f>IF(F597="","",A597-E597)</f>
        <v/>
      </c>
      <c r="H597" s="42">
        <f>IF(OR(F597="",C597=""),"",IFERROR((C597-F597)/G597,""))</f>
        <v/>
      </c>
      <c r="I597" s="39">
        <f>IF(B597="","",IFERROR(INDEX('Animais'!$M$6:$M$1005,MATCH(B597,'Animais'!$A$6:$A$1005,0)),"Brinco não cadastrado"))</f>
        <v/>
      </c>
    </row>
    <row r="598">
      <c r="A598" s="31" t="n"/>
      <c r="B598" s="36" t="n"/>
      <c r="C598" s="38" t="n"/>
      <c r="D598" s="32" t="n"/>
      <c r="E598" s="43">
        <f>IF(OR(A598="",B598=""),"",SUMPRODUCT(MAX(($B$6:$B$2005=B598)*($A$6:$A$2005&lt;A598)*$A$6:$A$2005)))</f>
        <v/>
      </c>
      <c r="F598" s="41">
        <f>IF(OR(E598="",E598=0),"",IFERROR(AVERAGEIFS($C$6:$C$2005,$B$6:$B$2005,B598,$A$6:$A$2005,E598),""))</f>
        <v/>
      </c>
      <c r="G598" s="34">
        <f>IF(F598="","",A598-E598)</f>
        <v/>
      </c>
      <c r="H598" s="42">
        <f>IF(OR(F598="",C598=""),"",IFERROR((C598-F598)/G598,""))</f>
        <v/>
      </c>
      <c r="I598" s="39">
        <f>IF(B598="","",IFERROR(INDEX('Animais'!$M$6:$M$1005,MATCH(B598,'Animais'!$A$6:$A$1005,0)),"Brinco não cadastrado"))</f>
        <v/>
      </c>
    </row>
    <row r="599">
      <c r="A599" s="31" t="n"/>
      <c r="B599" s="36" t="n"/>
      <c r="C599" s="38" t="n"/>
      <c r="D599" s="32" t="n"/>
      <c r="E599" s="43">
        <f>IF(OR(A599="",B599=""),"",SUMPRODUCT(MAX(($B$6:$B$2005=B599)*($A$6:$A$2005&lt;A599)*$A$6:$A$2005)))</f>
        <v/>
      </c>
      <c r="F599" s="41">
        <f>IF(OR(E599="",E599=0),"",IFERROR(AVERAGEIFS($C$6:$C$2005,$B$6:$B$2005,B599,$A$6:$A$2005,E599),""))</f>
        <v/>
      </c>
      <c r="G599" s="34">
        <f>IF(F599="","",A599-E599)</f>
        <v/>
      </c>
      <c r="H599" s="42">
        <f>IF(OR(F599="",C599=""),"",IFERROR((C599-F599)/G599,""))</f>
        <v/>
      </c>
      <c r="I599" s="39">
        <f>IF(B599="","",IFERROR(INDEX('Animais'!$M$6:$M$1005,MATCH(B599,'Animais'!$A$6:$A$1005,0)),"Brinco não cadastrado"))</f>
        <v/>
      </c>
    </row>
    <row r="600">
      <c r="A600" s="31" t="n"/>
      <c r="B600" s="36" t="n"/>
      <c r="C600" s="38" t="n"/>
      <c r="D600" s="32" t="n"/>
      <c r="E600" s="43">
        <f>IF(OR(A600="",B600=""),"",SUMPRODUCT(MAX(($B$6:$B$2005=B600)*($A$6:$A$2005&lt;A600)*$A$6:$A$2005)))</f>
        <v/>
      </c>
      <c r="F600" s="41">
        <f>IF(OR(E600="",E600=0),"",IFERROR(AVERAGEIFS($C$6:$C$2005,$B$6:$B$2005,B600,$A$6:$A$2005,E600),""))</f>
        <v/>
      </c>
      <c r="G600" s="34">
        <f>IF(F600="","",A600-E600)</f>
        <v/>
      </c>
      <c r="H600" s="42">
        <f>IF(OR(F600="",C600=""),"",IFERROR((C600-F600)/G600,""))</f>
        <v/>
      </c>
      <c r="I600" s="39">
        <f>IF(B600="","",IFERROR(INDEX('Animais'!$M$6:$M$1005,MATCH(B600,'Animais'!$A$6:$A$1005,0)),"Brinco não cadastrado"))</f>
        <v/>
      </c>
    </row>
    <row r="601">
      <c r="A601" s="31" t="n"/>
      <c r="B601" s="36" t="n"/>
      <c r="C601" s="38" t="n"/>
      <c r="D601" s="32" t="n"/>
      <c r="E601" s="43">
        <f>IF(OR(A601="",B601=""),"",SUMPRODUCT(MAX(($B$6:$B$2005=B601)*($A$6:$A$2005&lt;A601)*$A$6:$A$2005)))</f>
        <v/>
      </c>
      <c r="F601" s="41">
        <f>IF(OR(E601="",E601=0),"",IFERROR(AVERAGEIFS($C$6:$C$2005,$B$6:$B$2005,B601,$A$6:$A$2005,E601),""))</f>
        <v/>
      </c>
      <c r="G601" s="34">
        <f>IF(F601="","",A601-E601)</f>
        <v/>
      </c>
      <c r="H601" s="42">
        <f>IF(OR(F601="",C601=""),"",IFERROR((C601-F601)/G601,""))</f>
        <v/>
      </c>
      <c r="I601" s="39">
        <f>IF(B601="","",IFERROR(INDEX('Animais'!$M$6:$M$1005,MATCH(B601,'Animais'!$A$6:$A$1005,0)),"Brinco não cadastrado"))</f>
        <v/>
      </c>
    </row>
    <row r="602">
      <c r="A602" s="31" t="n"/>
      <c r="B602" s="36" t="n"/>
      <c r="C602" s="38" t="n"/>
      <c r="D602" s="32" t="n"/>
      <c r="E602" s="43">
        <f>IF(OR(A602="",B602=""),"",SUMPRODUCT(MAX(($B$6:$B$2005=B602)*($A$6:$A$2005&lt;A602)*$A$6:$A$2005)))</f>
        <v/>
      </c>
      <c r="F602" s="41">
        <f>IF(OR(E602="",E602=0),"",IFERROR(AVERAGEIFS($C$6:$C$2005,$B$6:$B$2005,B602,$A$6:$A$2005,E602),""))</f>
        <v/>
      </c>
      <c r="G602" s="34">
        <f>IF(F602="","",A602-E602)</f>
        <v/>
      </c>
      <c r="H602" s="42">
        <f>IF(OR(F602="",C602=""),"",IFERROR((C602-F602)/G602,""))</f>
        <v/>
      </c>
      <c r="I602" s="39">
        <f>IF(B602="","",IFERROR(INDEX('Animais'!$M$6:$M$1005,MATCH(B602,'Animais'!$A$6:$A$1005,0)),"Brinco não cadastrado"))</f>
        <v/>
      </c>
    </row>
    <row r="603">
      <c r="A603" s="31" t="n"/>
      <c r="B603" s="36" t="n"/>
      <c r="C603" s="38" t="n"/>
      <c r="D603" s="32" t="n"/>
      <c r="E603" s="43">
        <f>IF(OR(A603="",B603=""),"",SUMPRODUCT(MAX(($B$6:$B$2005=B603)*($A$6:$A$2005&lt;A603)*$A$6:$A$2005)))</f>
        <v/>
      </c>
      <c r="F603" s="41">
        <f>IF(OR(E603="",E603=0),"",IFERROR(AVERAGEIFS($C$6:$C$2005,$B$6:$B$2005,B603,$A$6:$A$2005,E603),""))</f>
        <v/>
      </c>
      <c r="G603" s="34">
        <f>IF(F603="","",A603-E603)</f>
        <v/>
      </c>
      <c r="H603" s="42">
        <f>IF(OR(F603="",C603=""),"",IFERROR((C603-F603)/G603,""))</f>
        <v/>
      </c>
      <c r="I603" s="39">
        <f>IF(B603="","",IFERROR(INDEX('Animais'!$M$6:$M$1005,MATCH(B603,'Animais'!$A$6:$A$1005,0)),"Brinco não cadastrado"))</f>
        <v/>
      </c>
    </row>
    <row r="604">
      <c r="A604" s="31" t="n"/>
      <c r="B604" s="36" t="n"/>
      <c r="C604" s="38" t="n"/>
      <c r="D604" s="32" t="n"/>
      <c r="E604" s="43">
        <f>IF(OR(A604="",B604=""),"",SUMPRODUCT(MAX(($B$6:$B$2005=B604)*($A$6:$A$2005&lt;A604)*$A$6:$A$2005)))</f>
        <v/>
      </c>
      <c r="F604" s="41">
        <f>IF(OR(E604="",E604=0),"",IFERROR(AVERAGEIFS($C$6:$C$2005,$B$6:$B$2005,B604,$A$6:$A$2005,E604),""))</f>
        <v/>
      </c>
      <c r="G604" s="34">
        <f>IF(F604="","",A604-E604)</f>
        <v/>
      </c>
      <c r="H604" s="42">
        <f>IF(OR(F604="",C604=""),"",IFERROR((C604-F604)/G604,""))</f>
        <v/>
      </c>
      <c r="I604" s="39">
        <f>IF(B604="","",IFERROR(INDEX('Animais'!$M$6:$M$1005,MATCH(B604,'Animais'!$A$6:$A$1005,0)),"Brinco não cadastrado"))</f>
        <v/>
      </c>
    </row>
    <row r="605">
      <c r="A605" s="31" t="n"/>
      <c r="B605" s="36" t="n"/>
      <c r="C605" s="38" t="n"/>
      <c r="D605" s="32" t="n"/>
      <c r="E605" s="43">
        <f>IF(OR(A605="",B605=""),"",SUMPRODUCT(MAX(($B$6:$B$2005=B605)*($A$6:$A$2005&lt;A605)*$A$6:$A$2005)))</f>
        <v/>
      </c>
      <c r="F605" s="41">
        <f>IF(OR(E605="",E605=0),"",IFERROR(AVERAGEIFS($C$6:$C$2005,$B$6:$B$2005,B605,$A$6:$A$2005,E605),""))</f>
        <v/>
      </c>
      <c r="G605" s="34">
        <f>IF(F605="","",A605-E605)</f>
        <v/>
      </c>
      <c r="H605" s="42">
        <f>IF(OR(F605="",C605=""),"",IFERROR((C605-F605)/G605,""))</f>
        <v/>
      </c>
      <c r="I605" s="39">
        <f>IF(B605="","",IFERROR(INDEX('Animais'!$M$6:$M$1005,MATCH(B605,'Animais'!$A$6:$A$1005,0)),"Brinco não cadastrado"))</f>
        <v/>
      </c>
    </row>
    <row r="606">
      <c r="A606" s="31" t="n"/>
      <c r="B606" s="36" t="n"/>
      <c r="C606" s="38" t="n"/>
      <c r="D606" s="32" t="n"/>
      <c r="E606" s="43">
        <f>IF(OR(A606="",B606=""),"",SUMPRODUCT(MAX(($B$6:$B$2005=B606)*($A$6:$A$2005&lt;A606)*$A$6:$A$2005)))</f>
        <v/>
      </c>
      <c r="F606" s="41">
        <f>IF(OR(E606="",E606=0),"",IFERROR(AVERAGEIFS($C$6:$C$2005,$B$6:$B$2005,B606,$A$6:$A$2005,E606),""))</f>
        <v/>
      </c>
      <c r="G606" s="34">
        <f>IF(F606="","",A606-E606)</f>
        <v/>
      </c>
      <c r="H606" s="42">
        <f>IF(OR(F606="",C606=""),"",IFERROR((C606-F606)/G606,""))</f>
        <v/>
      </c>
      <c r="I606" s="39">
        <f>IF(B606="","",IFERROR(INDEX('Animais'!$M$6:$M$1005,MATCH(B606,'Animais'!$A$6:$A$1005,0)),"Brinco não cadastrado"))</f>
        <v/>
      </c>
    </row>
    <row r="607">
      <c r="A607" s="31" t="n"/>
      <c r="B607" s="36" t="n"/>
      <c r="C607" s="38" t="n"/>
      <c r="D607" s="32" t="n"/>
      <c r="E607" s="43">
        <f>IF(OR(A607="",B607=""),"",SUMPRODUCT(MAX(($B$6:$B$2005=B607)*($A$6:$A$2005&lt;A607)*$A$6:$A$2005)))</f>
        <v/>
      </c>
      <c r="F607" s="41">
        <f>IF(OR(E607="",E607=0),"",IFERROR(AVERAGEIFS($C$6:$C$2005,$B$6:$B$2005,B607,$A$6:$A$2005,E607),""))</f>
        <v/>
      </c>
      <c r="G607" s="34">
        <f>IF(F607="","",A607-E607)</f>
        <v/>
      </c>
      <c r="H607" s="42">
        <f>IF(OR(F607="",C607=""),"",IFERROR((C607-F607)/G607,""))</f>
        <v/>
      </c>
      <c r="I607" s="39">
        <f>IF(B607="","",IFERROR(INDEX('Animais'!$M$6:$M$1005,MATCH(B607,'Animais'!$A$6:$A$1005,0)),"Brinco não cadastrado"))</f>
        <v/>
      </c>
    </row>
    <row r="608">
      <c r="A608" s="31" t="n"/>
      <c r="B608" s="36" t="n"/>
      <c r="C608" s="38" t="n"/>
      <c r="D608" s="32" t="n"/>
      <c r="E608" s="43">
        <f>IF(OR(A608="",B608=""),"",SUMPRODUCT(MAX(($B$6:$B$2005=B608)*($A$6:$A$2005&lt;A608)*$A$6:$A$2005)))</f>
        <v/>
      </c>
      <c r="F608" s="41">
        <f>IF(OR(E608="",E608=0),"",IFERROR(AVERAGEIFS($C$6:$C$2005,$B$6:$B$2005,B608,$A$6:$A$2005,E608),""))</f>
        <v/>
      </c>
      <c r="G608" s="34">
        <f>IF(F608="","",A608-E608)</f>
        <v/>
      </c>
      <c r="H608" s="42">
        <f>IF(OR(F608="",C608=""),"",IFERROR((C608-F608)/G608,""))</f>
        <v/>
      </c>
      <c r="I608" s="39">
        <f>IF(B608="","",IFERROR(INDEX('Animais'!$M$6:$M$1005,MATCH(B608,'Animais'!$A$6:$A$1005,0)),"Brinco não cadastrado"))</f>
        <v/>
      </c>
    </row>
    <row r="609">
      <c r="A609" s="31" t="n"/>
      <c r="B609" s="36" t="n"/>
      <c r="C609" s="38" t="n"/>
      <c r="D609" s="32" t="n"/>
      <c r="E609" s="43">
        <f>IF(OR(A609="",B609=""),"",SUMPRODUCT(MAX(($B$6:$B$2005=B609)*($A$6:$A$2005&lt;A609)*$A$6:$A$2005)))</f>
        <v/>
      </c>
      <c r="F609" s="41">
        <f>IF(OR(E609="",E609=0),"",IFERROR(AVERAGEIFS($C$6:$C$2005,$B$6:$B$2005,B609,$A$6:$A$2005,E609),""))</f>
        <v/>
      </c>
      <c r="G609" s="34">
        <f>IF(F609="","",A609-E609)</f>
        <v/>
      </c>
      <c r="H609" s="42">
        <f>IF(OR(F609="",C609=""),"",IFERROR((C609-F609)/G609,""))</f>
        <v/>
      </c>
      <c r="I609" s="39">
        <f>IF(B609="","",IFERROR(INDEX('Animais'!$M$6:$M$1005,MATCH(B609,'Animais'!$A$6:$A$1005,0)),"Brinco não cadastrado"))</f>
        <v/>
      </c>
    </row>
    <row r="610">
      <c r="A610" s="31" t="n"/>
      <c r="B610" s="36" t="n"/>
      <c r="C610" s="38" t="n"/>
      <c r="D610" s="32" t="n"/>
      <c r="E610" s="43">
        <f>IF(OR(A610="",B610=""),"",SUMPRODUCT(MAX(($B$6:$B$2005=B610)*($A$6:$A$2005&lt;A610)*$A$6:$A$2005)))</f>
        <v/>
      </c>
      <c r="F610" s="41">
        <f>IF(OR(E610="",E610=0),"",IFERROR(AVERAGEIFS($C$6:$C$2005,$B$6:$B$2005,B610,$A$6:$A$2005,E610),""))</f>
        <v/>
      </c>
      <c r="G610" s="34">
        <f>IF(F610="","",A610-E610)</f>
        <v/>
      </c>
      <c r="H610" s="42">
        <f>IF(OR(F610="",C610=""),"",IFERROR((C610-F610)/G610,""))</f>
        <v/>
      </c>
      <c r="I610" s="39">
        <f>IF(B610="","",IFERROR(INDEX('Animais'!$M$6:$M$1005,MATCH(B610,'Animais'!$A$6:$A$1005,0)),"Brinco não cadastrado"))</f>
        <v/>
      </c>
    </row>
    <row r="611">
      <c r="A611" s="31" t="n"/>
      <c r="B611" s="36" t="n"/>
      <c r="C611" s="38" t="n"/>
      <c r="D611" s="32" t="n"/>
      <c r="E611" s="43">
        <f>IF(OR(A611="",B611=""),"",SUMPRODUCT(MAX(($B$6:$B$2005=B611)*($A$6:$A$2005&lt;A611)*$A$6:$A$2005)))</f>
        <v/>
      </c>
      <c r="F611" s="41">
        <f>IF(OR(E611="",E611=0),"",IFERROR(AVERAGEIFS($C$6:$C$2005,$B$6:$B$2005,B611,$A$6:$A$2005,E611),""))</f>
        <v/>
      </c>
      <c r="G611" s="34">
        <f>IF(F611="","",A611-E611)</f>
        <v/>
      </c>
      <c r="H611" s="42">
        <f>IF(OR(F611="",C611=""),"",IFERROR((C611-F611)/G611,""))</f>
        <v/>
      </c>
      <c r="I611" s="39">
        <f>IF(B611="","",IFERROR(INDEX('Animais'!$M$6:$M$1005,MATCH(B611,'Animais'!$A$6:$A$1005,0)),"Brinco não cadastrado"))</f>
        <v/>
      </c>
    </row>
    <row r="612">
      <c r="A612" s="31" t="n"/>
      <c r="B612" s="36" t="n"/>
      <c r="C612" s="38" t="n"/>
      <c r="D612" s="32" t="n"/>
      <c r="E612" s="43">
        <f>IF(OR(A612="",B612=""),"",SUMPRODUCT(MAX(($B$6:$B$2005=B612)*($A$6:$A$2005&lt;A612)*$A$6:$A$2005)))</f>
        <v/>
      </c>
      <c r="F612" s="41">
        <f>IF(OR(E612="",E612=0),"",IFERROR(AVERAGEIFS($C$6:$C$2005,$B$6:$B$2005,B612,$A$6:$A$2005,E612),""))</f>
        <v/>
      </c>
      <c r="G612" s="34">
        <f>IF(F612="","",A612-E612)</f>
        <v/>
      </c>
      <c r="H612" s="42">
        <f>IF(OR(F612="",C612=""),"",IFERROR((C612-F612)/G612,""))</f>
        <v/>
      </c>
      <c r="I612" s="39">
        <f>IF(B612="","",IFERROR(INDEX('Animais'!$M$6:$M$1005,MATCH(B612,'Animais'!$A$6:$A$1005,0)),"Brinco não cadastrado"))</f>
        <v/>
      </c>
    </row>
    <row r="613">
      <c r="A613" s="31" t="n"/>
      <c r="B613" s="36" t="n"/>
      <c r="C613" s="38" t="n"/>
      <c r="D613" s="32" t="n"/>
      <c r="E613" s="43">
        <f>IF(OR(A613="",B613=""),"",SUMPRODUCT(MAX(($B$6:$B$2005=B613)*($A$6:$A$2005&lt;A613)*$A$6:$A$2005)))</f>
        <v/>
      </c>
      <c r="F613" s="41">
        <f>IF(OR(E613="",E613=0),"",IFERROR(AVERAGEIFS($C$6:$C$2005,$B$6:$B$2005,B613,$A$6:$A$2005,E613),""))</f>
        <v/>
      </c>
      <c r="G613" s="34">
        <f>IF(F613="","",A613-E613)</f>
        <v/>
      </c>
      <c r="H613" s="42">
        <f>IF(OR(F613="",C613=""),"",IFERROR((C613-F613)/G613,""))</f>
        <v/>
      </c>
      <c r="I613" s="39">
        <f>IF(B613="","",IFERROR(INDEX('Animais'!$M$6:$M$1005,MATCH(B613,'Animais'!$A$6:$A$1005,0)),"Brinco não cadastrado"))</f>
        <v/>
      </c>
    </row>
    <row r="614">
      <c r="A614" s="31" t="n"/>
      <c r="B614" s="36" t="n"/>
      <c r="C614" s="38" t="n"/>
      <c r="D614" s="32" t="n"/>
      <c r="E614" s="43">
        <f>IF(OR(A614="",B614=""),"",SUMPRODUCT(MAX(($B$6:$B$2005=B614)*($A$6:$A$2005&lt;A614)*$A$6:$A$2005)))</f>
        <v/>
      </c>
      <c r="F614" s="41">
        <f>IF(OR(E614="",E614=0),"",IFERROR(AVERAGEIFS($C$6:$C$2005,$B$6:$B$2005,B614,$A$6:$A$2005,E614),""))</f>
        <v/>
      </c>
      <c r="G614" s="34">
        <f>IF(F614="","",A614-E614)</f>
        <v/>
      </c>
      <c r="H614" s="42">
        <f>IF(OR(F614="",C614=""),"",IFERROR((C614-F614)/G614,""))</f>
        <v/>
      </c>
      <c r="I614" s="39">
        <f>IF(B614="","",IFERROR(INDEX('Animais'!$M$6:$M$1005,MATCH(B614,'Animais'!$A$6:$A$1005,0)),"Brinco não cadastrado"))</f>
        <v/>
      </c>
    </row>
    <row r="615">
      <c r="A615" s="31" t="n"/>
      <c r="B615" s="36" t="n"/>
      <c r="C615" s="38" t="n"/>
      <c r="D615" s="32" t="n"/>
      <c r="E615" s="43">
        <f>IF(OR(A615="",B615=""),"",SUMPRODUCT(MAX(($B$6:$B$2005=B615)*($A$6:$A$2005&lt;A615)*$A$6:$A$2005)))</f>
        <v/>
      </c>
      <c r="F615" s="41">
        <f>IF(OR(E615="",E615=0),"",IFERROR(AVERAGEIFS($C$6:$C$2005,$B$6:$B$2005,B615,$A$6:$A$2005,E615),""))</f>
        <v/>
      </c>
      <c r="G615" s="34">
        <f>IF(F615="","",A615-E615)</f>
        <v/>
      </c>
      <c r="H615" s="42">
        <f>IF(OR(F615="",C615=""),"",IFERROR((C615-F615)/G615,""))</f>
        <v/>
      </c>
      <c r="I615" s="39">
        <f>IF(B615="","",IFERROR(INDEX('Animais'!$M$6:$M$1005,MATCH(B615,'Animais'!$A$6:$A$1005,0)),"Brinco não cadastrado"))</f>
        <v/>
      </c>
    </row>
    <row r="616">
      <c r="A616" s="31" t="n"/>
      <c r="B616" s="36" t="n"/>
      <c r="C616" s="38" t="n"/>
      <c r="D616" s="32" t="n"/>
      <c r="E616" s="43">
        <f>IF(OR(A616="",B616=""),"",SUMPRODUCT(MAX(($B$6:$B$2005=B616)*($A$6:$A$2005&lt;A616)*$A$6:$A$2005)))</f>
        <v/>
      </c>
      <c r="F616" s="41">
        <f>IF(OR(E616="",E616=0),"",IFERROR(AVERAGEIFS($C$6:$C$2005,$B$6:$B$2005,B616,$A$6:$A$2005,E616),""))</f>
        <v/>
      </c>
      <c r="G616" s="34">
        <f>IF(F616="","",A616-E616)</f>
        <v/>
      </c>
      <c r="H616" s="42">
        <f>IF(OR(F616="",C616=""),"",IFERROR((C616-F616)/G616,""))</f>
        <v/>
      </c>
      <c r="I616" s="39">
        <f>IF(B616="","",IFERROR(INDEX('Animais'!$M$6:$M$1005,MATCH(B616,'Animais'!$A$6:$A$1005,0)),"Brinco não cadastrado"))</f>
        <v/>
      </c>
    </row>
    <row r="617">
      <c r="A617" s="31" t="n"/>
      <c r="B617" s="36" t="n"/>
      <c r="C617" s="38" t="n"/>
      <c r="D617" s="32" t="n"/>
      <c r="E617" s="43">
        <f>IF(OR(A617="",B617=""),"",SUMPRODUCT(MAX(($B$6:$B$2005=B617)*($A$6:$A$2005&lt;A617)*$A$6:$A$2005)))</f>
        <v/>
      </c>
      <c r="F617" s="41">
        <f>IF(OR(E617="",E617=0),"",IFERROR(AVERAGEIFS($C$6:$C$2005,$B$6:$B$2005,B617,$A$6:$A$2005,E617),""))</f>
        <v/>
      </c>
      <c r="G617" s="34">
        <f>IF(F617="","",A617-E617)</f>
        <v/>
      </c>
      <c r="H617" s="42">
        <f>IF(OR(F617="",C617=""),"",IFERROR((C617-F617)/G617,""))</f>
        <v/>
      </c>
      <c r="I617" s="39">
        <f>IF(B617="","",IFERROR(INDEX('Animais'!$M$6:$M$1005,MATCH(B617,'Animais'!$A$6:$A$1005,0)),"Brinco não cadastrado"))</f>
        <v/>
      </c>
    </row>
    <row r="618">
      <c r="A618" s="31" t="n"/>
      <c r="B618" s="36" t="n"/>
      <c r="C618" s="38" t="n"/>
      <c r="D618" s="32" t="n"/>
      <c r="E618" s="43">
        <f>IF(OR(A618="",B618=""),"",SUMPRODUCT(MAX(($B$6:$B$2005=B618)*($A$6:$A$2005&lt;A618)*$A$6:$A$2005)))</f>
        <v/>
      </c>
      <c r="F618" s="41">
        <f>IF(OR(E618="",E618=0),"",IFERROR(AVERAGEIFS($C$6:$C$2005,$B$6:$B$2005,B618,$A$6:$A$2005,E618),""))</f>
        <v/>
      </c>
      <c r="G618" s="34">
        <f>IF(F618="","",A618-E618)</f>
        <v/>
      </c>
      <c r="H618" s="42">
        <f>IF(OR(F618="",C618=""),"",IFERROR((C618-F618)/G618,""))</f>
        <v/>
      </c>
      <c r="I618" s="39">
        <f>IF(B618="","",IFERROR(INDEX('Animais'!$M$6:$M$1005,MATCH(B618,'Animais'!$A$6:$A$1005,0)),"Brinco não cadastrado"))</f>
        <v/>
      </c>
    </row>
    <row r="619">
      <c r="A619" s="31" t="n"/>
      <c r="B619" s="36" t="n"/>
      <c r="C619" s="38" t="n"/>
      <c r="D619" s="32" t="n"/>
      <c r="E619" s="43">
        <f>IF(OR(A619="",B619=""),"",SUMPRODUCT(MAX(($B$6:$B$2005=B619)*($A$6:$A$2005&lt;A619)*$A$6:$A$2005)))</f>
        <v/>
      </c>
      <c r="F619" s="41">
        <f>IF(OR(E619="",E619=0),"",IFERROR(AVERAGEIFS($C$6:$C$2005,$B$6:$B$2005,B619,$A$6:$A$2005,E619),""))</f>
        <v/>
      </c>
      <c r="G619" s="34">
        <f>IF(F619="","",A619-E619)</f>
        <v/>
      </c>
      <c r="H619" s="42">
        <f>IF(OR(F619="",C619=""),"",IFERROR((C619-F619)/G619,""))</f>
        <v/>
      </c>
      <c r="I619" s="39">
        <f>IF(B619="","",IFERROR(INDEX('Animais'!$M$6:$M$1005,MATCH(B619,'Animais'!$A$6:$A$1005,0)),"Brinco não cadastrado"))</f>
        <v/>
      </c>
    </row>
    <row r="620">
      <c r="A620" s="31" t="n"/>
      <c r="B620" s="36" t="n"/>
      <c r="C620" s="38" t="n"/>
      <c r="D620" s="32" t="n"/>
      <c r="E620" s="43">
        <f>IF(OR(A620="",B620=""),"",SUMPRODUCT(MAX(($B$6:$B$2005=B620)*($A$6:$A$2005&lt;A620)*$A$6:$A$2005)))</f>
        <v/>
      </c>
      <c r="F620" s="41">
        <f>IF(OR(E620="",E620=0),"",IFERROR(AVERAGEIFS($C$6:$C$2005,$B$6:$B$2005,B620,$A$6:$A$2005,E620),""))</f>
        <v/>
      </c>
      <c r="G620" s="34">
        <f>IF(F620="","",A620-E620)</f>
        <v/>
      </c>
      <c r="H620" s="42">
        <f>IF(OR(F620="",C620=""),"",IFERROR((C620-F620)/G620,""))</f>
        <v/>
      </c>
      <c r="I620" s="39">
        <f>IF(B620="","",IFERROR(INDEX('Animais'!$M$6:$M$1005,MATCH(B620,'Animais'!$A$6:$A$1005,0)),"Brinco não cadastrado"))</f>
        <v/>
      </c>
    </row>
    <row r="621">
      <c r="A621" s="31" t="n"/>
      <c r="B621" s="36" t="n"/>
      <c r="C621" s="38" t="n"/>
      <c r="D621" s="32" t="n"/>
      <c r="E621" s="43">
        <f>IF(OR(A621="",B621=""),"",SUMPRODUCT(MAX(($B$6:$B$2005=B621)*($A$6:$A$2005&lt;A621)*$A$6:$A$2005)))</f>
        <v/>
      </c>
      <c r="F621" s="41">
        <f>IF(OR(E621="",E621=0),"",IFERROR(AVERAGEIFS($C$6:$C$2005,$B$6:$B$2005,B621,$A$6:$A$2005,E621),""))</f>
        <v/>
      </c>
      <c r="G621" s="34">
        <f>IF(F621="","",A621-E621)</f>
        <v/>
      </c>
      <c r="H621" s="42">
        <f>IF(OR(F621="",C621=""),"",IFERROR((C621-F621)/G621,""))</f>
        <v/>
      </c>
      <c r="I621" s="39">
        <f>IF(B621="","",IFERROR(INDEX('Animais'!$M$6:$M$1005,MATCH(B621,'Animais'!$A$6:$A$1005,0)),"Brinco não cadastrado"))</f>
        <v/>
      </c>
    </row>
    <row r="622">
      <c r="A622" s="31" t="n"/>
      <c r="B622" s="36" t="n"/>
      <c r="C622" s="38" t="n"/>
      <c r="D622" s="32" t="n"/>
      <c r="E622" s="43">
        <f>IF(OR(A622="",B622=""),"",SUMPRODUCT(MAX(($B$6:$B$2005=B622)*($A$6:$A$2005&lt;A622)*$A$6:$A$2005)))</f>
        <v/>
      </c>
      <c r="F622" s="41">
        <f>IF(OR(E622="",E622=0),"",IFERROR(AVERAGEIFS($C$6:$C$2005,$B$6:$B$2005,B622,$A$6:$A$2005,E622),""))</f>
        <v/>
      </c>
      <c r="G622" s="34">
        <f>IF(F622="","",A622-E622)</f>
        <v/>
      </c>
      <c r="H622" s="42">
        <f>IF(OR(F622="",C622=""),"",IFERROR((C622-F622)/G622,""))</f>
        <v/>
      </c>
      <c r="I622" s="39">
        <f>IF(B622="","",IFERROR(INDEX('Animais'!$M$6:$M$1005,MATCH(B622,'Animais'!$A$6:$A$1005,0)),"Brinco não cadastrado"))</f>
        <v/>
      </c>
    </row>
    <row r="623">
      <c r="A623" s="31" t="n"/>
      <c r="B623" s="36" t="n"/>
      <c r="C623" s="38" t="n"/>
      <c r="D623" s="32" t="n"/>
      <c r="E623" s="43">
        <f>IF(OR(A623="",B623=""),"",SUMPRODUCT(MAX(($B$6:$B$2005=B623)*($A$6:$A$2005&lt;A623)*$A$6:$A$2005)))</f>
        <v/>
      </c>
      <c r="F623" s="41">
        <f>IF(OR(E623="",E623=0),"",IFERROR(AVERAGEIFS($C$6:$C$2005,$B$6:$B$2005,B623,$A$6:$A$2005,E623),""))</f>
        <v/>
      </c>
      <c r="G623" s="34">
        <f>IF(F623="","",A623-E623)</f>
        <v/>
      </c>
      <c r="H623" s="42">
        <f>IF(OR(F623="",C623=""),"",IFERROR((C623-F623)/G623,""))</f>
        <v/>
      </c>
      <c r="I623" s="39">
        <f>IF(B623="","",IFERROR(INDEX('Animais'!$M$6:$M$1005,MATCH(B623,'Animais'!$A$6:$A$1005,0)),"Brinco não cadastrado"))</f>
        <v/>
      </c>
    </row>
    <row r="624">
      <c r="A624" s="31" t="n"/>
      <c r="B624" s="36" t="n"/>
      <c r="C624" s="38" t="n"/>
      <c r="D624" s="32" t="n"/>
      <c r="E624" s="43">
        <f>IF(OR(A624="",B624=""),"",SUMPRODUCT(MAX(($B$6:$B$2005=B624)*($A$6:$A$2005&lt;A624)*$A$6:$A$2005)))</f>
        <v/>
      </c>
      <c r="F624" s="41">
        <f>IF(OR(E624="",E624=0),"",IFERROR(AVERAGEIFS($C$6:$C$2005,$B$6:$B$2005,B624,$A$6:$A$2005,E624),""))</f>
        <v/>
      </c>
      <c r="G624" s="34">
        <f>IF(F624="","",A624-E624)</f>
        <v/>
      </c>
      <c r="H624" s="42">
        <f>IF(OR(F624="",C624=""),"",IFERROR((C624-F624)/G624,""))</f>
        <v/>
      </c>
      <c r="I624" s="39">
        <f>IF(B624="","",IFERROR(INDEX('Animais'!$M$6:$M$1005,MATCH(B624,'Animais'!$A$6:$A$1005,0)),"Brinco não cadastrado"))</f>
        <v/>
      </c>
    </row>
    <row r="625">
      <c r="A625" s="31" t="n"/>
      <c r="B625" s="36" t="n"/>
      <c r="C625" s="38" t="n"/>
      <c r="D625" s="32" t="n"/>
      <c r="E625" s="43">
        <f>IF(OR(A625="",B625=""),"",SUMPRODUCT(MAX(($B$6:$B$2005=B625)*($A$6:$A$2005&lt;A625)*$A$6:$A$2005)))</f>
        <v/>
      </c>
      <c r="F625" s="41">
        <f>IF(OR(E625="",E625=0),"",IFERROR(AVERAGEIFS($C$6:$C$2005,$B$6:$B$2005,B625,$A$6:$A$2005,E625),""))</f>
        <v/>
      </c>
      <c r="G625" s="34">
        <f>IF(F625="","",A625-E625)</f>
        <v/>
      </c>
      <c r="H625" s="42">
        <f>IF(OR(F625="",C625=""),"",IFERROR((C625-F625)/G625,""))</f>
        <v/>
      </c>
      <c r="I625" s="39">
        <f>IF(B625="","",IFERROR(INDEX('Animais'!$M$6:$M$1005,MATCH(B625,'Animais'!$A$6:$A$1005,0)),"Brinco não cadastrado"))</f>
        <v/>
      </c>
    </row>
    <row r="626">
      <c r="A626" s="31" t="n"/>
      <c r="B626" s="36" t="n"/>
      <c r="C626" s="38" t="n"/>
      <c r="D626" s="32" t="n"/>
      <c r="E626" s="43">
        <f>IF(OR(A626="",B626=""),"",SUMPRODUCT(MAX(($B$6:$B$2005=B626)*($A$6:$A$2005&lt;A626)*$A$6:$A$2005)))</f>
        <v/>
      </c>
      <c r="F626" s="41">
        <f>IF(OR(E626="",E626=0),"",IFERROR(AVERAGEIFS($C$6:$C$2005,$B$6:$B$2005,B626,$A$6:$A$2005,E626),""))</f>
        <v/>
      </c>
      <c r="G626" s="34">
        <f>IF(F626="","",A626-E626)</f>
        <v/>
      </c>
      <c r="H626" s="42">
        <f>IF(OR(F626="",C626=""),"",IFERROR((C626-F626)/G626,""))</f>
        <v/>
      </c>
      <c r="I626" s="39">
        <f>IF(B626="","",IFERROR(INDEX('Animais'!$M$6:$M$1005,MATCH(B626,'Animais'!$A$6:$A$1005,0)),"Brinco não cadastrado"))</f>
        <v/>
      </c>
    </row>
    <row r="627">
      <c r="A627" s="31" t="n"/>
      <c r="B627" s="36" t="n"/>
      <c r="C627" s="38" t="n"/>
      <c r="D627" s="32" t="n"/>
      <c r="E627" s="43">
        <f>IF(OR(A627="",B627=""),"",SUMPRODUCT(MAX(($B$6:$B$2005=B627)*($A$6:$A$2005&lt;A627)*$A$6:$A$2005)))</f>
        <v/>
      </c>
      <c r="F627" s="41">
        <f>IF(OR(E627="",E627=0),"",IFERROR(AVERAGEIFS($C$6:$C$2005,$B$6:$B$2005,B627,$A$6:$A$2005,E627),""))</f>
        <v/>
      </c>
      <c r="G627" s="34">
        <f>IF(F627="","",A627-E627)</f>
        <v/>
      </c>
      <c r="H627" s="42">
        <f>IF(OR(F627="",C627=""),"",IFERROR((C627-F627)/G627,""))</f>
        <v/>
      </c>
      <c r="I627" s="39">
        <f>IF(B627="","",IFERROR(INDEX('Animais'!$M$6:$M$1005,MATCH(B627,'Animais'!$A$6:$A$1005,0)),"Brinco não cadastrado"))</f>
        <v/>
      </c>
    </row>
    <row r="628">
      <c r="A628" s="31" t="n"/>
      <c r="B628" s="36" t="n"/>
      <c r="C628" s="38" t="n"/>
      <c r="D628" s="32" t="n"/>
      <c r="E628" s="43">
        <f>IF(OR(A628="",B628=""),"",SUMPRODUCT(MAX(($B$6:$B$2005=B628)*($A$6:$A$2005&lt;A628)*$A$6:$A$2005)))</f>
        <v/>
      </c>
      <c r="F628" s="41">
        <f>IF(OR(E628="",E628=0),"",IFERROR(AVERAGEIFS($C$6:$C$2005,$B$6:$B$2005,B628,$A$6:$A$2005,E628),""))</f>
        <v/>
      </c>
      <c r="G628" s="34">
        <f>IF(F628="","",A628-E628)</f>
        <v/>
      </c>
      <c r="H628" s="42">
        <f>IF(OR(F628="",C628=""),"",IFERROR((C628-F628)/G628,""))</f>
        <v/>
      </c>
      <c r="I628" s="39">
        <f>IF(B628="","",IFERROR(INDEX('Animais'!$M$6:$M$1005,MATCH(B628,'Animais'!$A$6:$A$1005,0)),"Brinco não cadastrado"))</f>
        <v/>
      </c>
    </row>
    <row r="629">
      <c r="A629" s="31" t="n"/>
      <c r="B629" s="36" t="n"/>
      <c r="C629" s="38" t="n"/>
      <c r="D629" s="32" t="n"/>
      <c r="E629" s="43">
        <f>IF(OR(A629="",B629=""),"",SUMPRODUCT(MAX(($B$6:$B$2005=B629)*($A$6:$A$2005&lt;A629)*$A$6:$A$2005)))</f>
        <v/>
      </c>
      <c r="F629" s="41">
        <f>IF(OR(E629="",E629=0),"",IFERROR(AVERAGEIFS($C$6:$C$2005,$B$6:$B$2005,B629,$A$6:$A$2005,E629),""))</f>
        <v/>
      </c>
      <c r="G629" s="34">
        <f>IF(F629="","",A629-E629)</f>
        <v/>
      </c>
      <c r="H629" s="42">
        <f>IF(OR(F629="",C629=""),"",IFERROR((C629-F629)/G629,""))</f>
        <v/>
      </c>
      <c r="I629" s="39">
        <f>IF(B629="","",IFERROR(INDEX('Animais'!$M$6:$M$1005,MATCH(B629,'Animais'!$A$6:$A$1005,0)),"Brinco não cadastrado"))</f>
        <v/>
      </c>
    </row>
    <row r="630">
      <c r="A630" s="31" t="n"/>
      <c r="B630" s="36" t="n"/>
      <c r="C630" s="38" t="n"/>
      <c r="D630" s="32" t="n"/>
      <c r="E630" s="43">
        <f>IF(OR(A630="",B630=""),"",SUMPRODUCT(MAX(($B$6:$B$2005=B630)*($A$6:$A$2005&lt;A630)*$A$6:$A$2005)))</f>
        <v/>
      </c>
      <c r="F630" s="41">
        <f>IF(OR(E630="",E630=0),"",IFERROR(AVERAGEIFS($C$6:$C$2005,$B$6:$B$2005,B630,$A$6:$A$2005,E630),""))</f>
        <v/>
      </c>
      <c r="G630" s="34">
        <f>IF(F630="","",A630-E630)</f>
        <v/>
      </c>
      <c r="H630" s="42">
        <f>IF(OR(F630="",C630=""),"",IFERROR((C630-F630)/G630,""))</f>
        <v/>
      </c>
      <c r="I630" s="39">
        <f>IF(B630="","",IFERROR(INDEX('Animais'!$M$6:$M$1005,MATCH(B630,'Animais'!$A$6:$A$1005,0)),"Brinco não cadastrado"))</f>
        <v/>
      </c>
    </row>
    <row r="631">
      <c r="A631" s="31" t="n"/>
      <c r="B631" s="36" t="n"/>
      <c r="C631" s="38" t="n"/>
      <c r="D631" s="32" t="n"/>
      <c r="E631" s="43">
        <f>IF(OR(A631="",B631=""),"",SUMPRODUCT(MAX(($B$6:$B$2005=B631)*($A$6:$A$2005&lt;A631)*$A$6:$A$2005)))</f>
        <v/>
      </c>
      <c r="F631" s="41">
        <f>IF(OR(E631="",E631=0),"",IFERROR(AVERAGEIFS($C$6:$C$2005,$B$6:$B$2005,B631,$A$6:$A$2005,E631),""))</f>
        <v/>
      </c>
      <c r="G631" s="34">
        <f>IF(F631="","",A631-E631)</f>
        <v/>
      </c>
      <c r="H631" s="42">
        <f>IF(OR(F631="",C631=""),"",IFERROR((C631-F631)/G631,""))</f>
        <v/>
      </c>
      <c r="I631" s="39">
        <f>IF(B631="","",IFERROR(INDEX('Animais'!$M$6:$M$1005,MATCH(B631,'Animais'!$A$6:$A$1005,0)),"Brinco não cadastrado"))</f>
        <v/>
      </c>
    </row>
    <row r="632">
      <c r="A632" s="31" t="n"/>
      <c r="B632" s="36" t="n"/>
      <c r="C632" s="38" t="n"/>
      <c r="D632" s="32" t="n"/>
      <c r="E632" s="43">
        <f>IF(OR(A632="",B632=""),"",SUMPRODUCT(MAX(($B$6:$B$2005=B632)*($A$6:$A$2005&lt;A632)*$A$6:$A$2005)))</f>
        <v/>
      </c>
      <c r="F632" s="41">
        <f>IF(OR(E632="",E632=0),"",IFERROR(AVERAGEIFS($C$6:$C$2005,$B$6:$B$2005,B632,$A$6:$A$2005,E632),""))</f>
        <v/>
      </c>
      <c r="G632" s="34">
        <f>IF(F632="","",A632-E632)</f>
        <v/>
      </c>
      <c r="H632" s="42">
        <f>IF(OR(F632="",C632=""),"",IFERROR((C632-F632)/G632,""))</f>
        <v/>
      </c>
      <c r="I632" s="39">
        <f>IF(B632="","",IFERROR(INDEX('Animais'!$M$6:$M$1005,MATCH(B632,'Animais'!$A$6:$A$1005,0)),"Brinco não cadastrado"))</f>
        <v/>
      </c>
    </row>
    <row r="633">
      <c r="A633" s="31" t="n"/>
      <c r="B633" s="36" t="n"/>
      <c r="C633" s="38" t="n"/>
      <c r="D633" s="32" t="n"/>
      <c r="E633" s="43">
        <f>IF(OR(A633="",B633=""),"",SUMPRODUCT(MAX(($B$6:$B$2005=B633)*($A$6:$A$2005&lt;A633)*$A$6:$A$2005)))</f>
        <v/>
      </c>
      <c r="F633" s="41">
        <f>IF(OR(E633="",E633=0),"",IFERROR(AVERAGEIFS($C$6:$C$2005,$B$6:$B$2005,B633,$A$6:$A$2005,E633),""))</f>
        <v/>
      </c>
      <c r="G633" s="34">
        <f>IF(F633="","",A633-E633)</f>
        <v/>
      </c>
      <c r="H633" s="42">
        <f>IF(OR(F633="",C633=""),"",IFERROR((C633-F633)/G633,""))</f>
        <v/>
      </c>
      <c r="I633" s="39">
        <f>IF(B633="","",IFERROR(INDEX('Animais'!$M$6:$M$1005,MATCH(B633,'Animais'!$A$6:$A$1005,0)),"Brinco não cadastrado"))</f>
        <v/>
      </c>
    </row>
    <row r="634">
      <c r="A634" s="31" t="n"/>
      <c r="B634" s="36" t="n"/>
      <c r="C634" s="38" t="n"/>
      <c r="D634" s="32" t="n"/>
      <c r="E634" s="43">
        <f>IF(OR(A634="",B634=""),"",SUMPRODUCT(MAX(($B$6:$B$2005=B634)*($A$6:$A$2005&lt;A634)*$A$6:$A$2005)))</f>
        <v/>
      </c>
      <c r="F634" s="41">
        <f>IF(OR(E634="",E634=0),"",IFERROR(AVERAGEIFS($C$6:$C$2005,$B$6:$B$2005,B634,$A$6:$A$2005,E634),""))</f>
        <v/>
      </c>
      <c r="G634" s="34">
        <f>IF(F634="","",A634-E634)</f>
        <v/>
      </c>
      <c r="H634" s="42">
        <f>IF(OR(F634="",C634=""),"",IFERROR((C634-F634)/G634,""))</f>
        <v/>
      </c>
      <c r="I634" s="39">
        <f>IF(B634="","",IFERROR(INDEX('Animais'!$M$6:$M$1005,MATCH(B634,'Animais'!$A$6:$A$1005,0)),"Brinco não cadastrado"))</f>
        <v/>
      </c>
    </row>
    <row r="635">
      <c r="A635" s="31" t="n"/>
      <c r="B635" s="36" t="n"/>
      <c r="C635" s="38" t="n"/>
      <c r="D635" s="32" t="n"/>
      <c r="E635" s="43">
        <f>IF(OR(A635="",B635=""),"",SUMPRODUCT(MAX(($B$6:$B$2005=B635)*($A$6:$A$2005&lt;A635)*$A$6:$A$2005)))</f>
        <v/>
      </c>
      <c r="F635" s="41">
        <f>IF(OR(E635="",E635=0),"",IFERROR(AVERAGEIFS($C$6:$C$2005,$B$6:$B$2005,B635,$A$6:$A$2005,E635),""))</f>
        <v/>
      </c>
      <c r="G635" s="34">
        <f>IF(F635="","",A635-E635)</f>
        <v/>
      </c>
      <c r="H635" s="42">
        <f>IF(OR(F635="",C635=""),"",IFERROR((C635-F635)/G635,""))</f>
        <v/>
      </c>
      <c r="I635" s="39">
        <f>IF(B635="","",IFERROR(INDEX('Animais'!$M$6:$M$1005,MATCH(B635,'Animais'!$A$6:$A$1005,0)),"Brinco não cadastrado"))</f>
        <v/>
      </c>
    </row>
    <row r="636">
      <c r="A636" s="31" t="n"/>
      <c r="B636" s="36" t="n"/>
      <c r="C636" s="38" t="n"/>
      <c r="D636" s="32" t="n"/>
      <c r="E636" s="43">
        <f>IF(OR(A636="",B636=""),"",SUMPRODUCT(MAX(($B$6:$B$2005=B636)*($A$6:$A$2005&lt;A636)*$A$6:$A$2005)))</f>
        <v/>
      </c>
      <c r="F636" s="41">
        <f>IF(OR(E636="",E636=0),"",IFERROR(AVERAGEIFS($C$6:$C$2005,$B$6:$B$2005,B636,$A$6:$A$2005,E636),""))</f>
        <v/>
      </c>
      <c r="G636" s="34">
        <f>IF(F636="","",A636-E636)</f>
        <v/>
      </c>
      <c r="H636" s="42">
        <f>IF(OR(F636="",C636=""),"",IFERROR((C636-F636)/G636,""))</f>
        <v/>
      </c>
      <c r="I636" s="39">
        <f>IF(B636="","",IFERROR(INDEX('Animais'!$M$6:$M$1005,MATCH(B636,'Animais'!$A$6:$A$1005,0)),"Brinco não cadastrado"))</f>
        <v/>
      </c>
    </row>
    <row r="637">
      <c r="A637" s="31" t="n"/>
      <c r="B637" s="36" t="n"/>
      <c r="C637" s="38" t="n"/>
      <c r="D637" s="32" t="n"/>
      <c r="E637" s="43">
        <f>IF(OR(A637="",B637=""),"",SUMPRODUCT(MAX(($B$6:$B$2005=B637)*($A$6:$A$2005&lt;A637)*$A$6:$A$2005)))</f>
        <v/>
      </c>
      <c r="F637" s="41">
        <f>IF(OR(E637="",E637=0),"",IFERROR(AVERAGEIFS($C$6:$C$2005,$B$6:$B$2005,B637,$A$6:$A$2005,E637),""))</f>
        <v/>
      </c>
      <c r="G637" s="34">
        <f>IF(F637="","",A637-E637)</f>
        <v/>
      </c>
      <c r="H637" s="42">
        <f>IF(OR(F637="",C637=""),"",IFERROR((C637-F637)/G637,""))</f>
        <v/>
      </c>
      <c r="I637" s="39">
        <f>IF(B637="","",IFERROR(INDEX('Animais'!$M$6:$M$1005,MATCH(B637,'Animais'!$A$6:$A$1005,0)),"Brinco não cadastrado"))</f>
        <v/>
      </c>
    </row>
    <row r="638">
      <c r="A638" s="31" t="n"/>
      <c r="B638" s="36" t="n"/>
      <c r="C638" s="38" t="n"/>
      <c r="D638" s="32" t="n"/>
      <c r="E638" s="43">
        <f>IF(OR(A638="",B638=""),"",SUMPRODUCT(MAX(($B$6:$B$2005=B638)*($A$6:$A$2005&lt;A638)*$A$6:$A$2005)))</f>
        <v/>
      </c>
      <c r="F638" s="41">
        <f>IF(OR(E638="",E638=0),"",IFERROR(AVERAGEIFS($C$6:$C$2005,$B$6:$B$2005,B638,$A$6:$A$2005,E638),""))</f>
        <v/>
      </c>
      <c r="G638" s="34">
        <f>IF(F638="","",A638-E638)</f>
        <v/>
      </c>
      <c r="H638" s="42">
        <f>IF(OR(F638="",C638=""),"",IFERROR((C638-F638)/G638,""))</f>
        <v/>
      </c>
      <c r="I638" s="39">
        <f>IF(B638="","",IFERROR(INDEX('Animais'!$M$6:$M$1005,MATCH(B638,'Animais'!$A$6:$A$1005,0)),"Brinco não cadastrado"))</f>
        <v/>
      </c>
    </row>
    <row r="639">
      <c r="A639" s="31" t="n"/>
      <c r="B639" s="36" t="n"/>
      <c r="C639" s="38" t="n"/>
      <c r="D639" s="32" t="n"/>
      <c r="E639" s="43">
        <f>IF(OR(A639="",B639=""),"",SUMPRODUCT(MAX(($B$6:$B$2005=B639)*($A$6:$A$2005&lt;A639)*$A$6:$A$2005)))</f>
        <v/>
      </c>
      <c r="F639" s="41">
        <f>IF(OR(E639="",E639=0),"",IFERROR(AVERAGEIFS($C$6:$C$2005,$B$6:$B$2005,B639,$A$6:$A$2005,E639),""))</f>
        <v/>
      </c>
      <c r="G639" s="34">
        <f>IF(F639="","",A639-E639)</f>
        <v/>
      </c>
      <c r="H639" s="42">
        <f>IF(OR(F639="",C639=""),"",IFERROR((C639-F639)/G639,""))</f>
        <v/>
      </c>
      <c r="I639" s="39">
        <f>IF(B639="","",IFERROR(INDEX('Animais'!$M$6:$M$1005,MATCH(B639,'Animais'!$A$6:$A$1005,0)),"Brinco não cadastrado"))</f>
        <v/>
      </c>
    </row>
    <row r="640">
      <c r="A640" s="31" t="n"/>
      <c r="B640" s="36" t="n"/>
      <c r="C640" s="38" t="n"/>
      <c r="D640" s="32" t="n"/>
      <c r="E640" s="43">
        <f>IF(OR(A640="",B640=""),"",SUMPRODUCT(MAX(($B$6:$B$2005=B640)*($A$6:$A$2005&lt;A640)*$A$6:$A$2005)))</f>
        <v/>
      </c>
      <c r="F640" s="41">
        <f>IF(OR(E640="",E640=0),"",IFERROR(AVERAGEIFS($C$6:$C$2005,$B$6:$B$2005,B640,$A$6:$A$2005,E640),""))</f>
        <v/>
      </c>
      <c r="G640" s="34">
        <f>IF(F640="","",A640-E640)</f>
        <v/>
      </c>
      <c r="H640" s="42">
        <f>IF(OR(F640="",C640=""),"",IFERROR((C640-F640)/G640,""))</f>
        <v/>
      </c>
      <c r="I640" s="39">
        <f>IF(B640="","",IFERROR(INDEX('Animais'!$M$6:$M$1005,MATCH(B640,'Animais'!$A$6:$A$1005,0)),"Brinco não cadastrado"))</f>
        <v/>
      </c>
    </row>
    <row r="641">
      <c r="A641" s="31" t="n"/>
      <c r="B641" s="36" t="n"/>
      <c r="C641" s="38" t="n"/>
      <c r="D641" s="32" t="n"/>
      <c r="E641" s="43">
        <f>IF(OR(A641="",B641=""),"",SUMPRODUCT(MAX(($B$6:$B$2005=B641)*($A$6:$A$2005&lt;A641)*$A$6:$A$2005)))</f>
        <v/>
      </c>
      <c r="F641" s="41">
        <f>IF(OR(E641="",E641=0),"",IFERROR(AVERAGEIFS($C$6:$C$2005,$B$6:$B$2005,B641,$A$6:$A$2005,E641),""))</f>
        <v/>
      </c>
      <c r="G641" s="34">
        <f>IF(F641="","",A641-E641)</f>
        <v/>
      </c>
      <c r="H641" s="42">
        <f>IF(OR(F641="",C641=""),"",IFERROR((C641-F641)/G641,""))</f>
        <v/>
      </c>
      <c r="I641" s="39">
        <f>IF(B641="","",IFERROR(INDEX('Animais'!$M$6:$M$1005,MATCH(B641,'Animais'!$A$6:$A$1005,0)),"Brinco não cadastrado"))</f>
        <v/>
      </c>
    </row>
    <row r="642">
      <c r="A642" s="31" t="n"/>
      <c r="B642" s="36" t="n"/>
      <c r="C642" s="38" t="n"/>
      <c r="D642" s="32" t="n"/>
      <c r="E642" s="43">
        <f>IF(OR(A642="",B642=""),"",SUMPRODUCT(MAX(($B$6:$B$2005=B642)*($A$6:$A$2005&lt;A642)*$A$6:$A$2005)))</f>
        <v/>
      </c>
      <c r="F642" s="41">
        <f>IF(OR(E642="",E642=0),"",IFERROR(AVERAGEIFS($C$6:$C$2005,$B$6:$B$2005,B642,$A$6:$A$2005,E642),""))</f>
        <v/>
      </c>
      <c r="G642" s="34">
        <f>IF(F642="","",A642-E642)</f>
        <v/>
      </c>
      <c r="H642" s="42">
        <f>IF(OR(F642="",C642=""),"",IFERROR((C642-F642)/G642,""))</f>
        <v/>
      </c>
      <c r="I642" s="39">
        <f>IF(B642="","",IFERROR(INDEX('Animais'!$M$6:$M$1005,MATCH(B642,'Animais'!$A$6:$A$1005,0)),"Brinco não cadastrado"))</f>
        <v/>
      </c>
    </row>
    <row r="643">
      <c r="A643" s="31" t="n"/>
      <c r="B643" s="36" t="n"/>
      <c r="C643" s="38" t="n"/>
      <c r="D643" s="32" t="n"/>
      <c r="E643" s="43">
        <f>IF(OR(A643="",B643=""),"",SUMPRODUCT(MAX(($B$6:$B$2005=B643)*($A$6:$A$2005&lt;A643)*$A$6:$A$2005)))</f>
        <v/>
      </c>
      <c r="F643" s="41">
        <f>IF(OR(E643="",E643=0),"",IFERROR(AVERAGEIFS($C$6:$C$2005,$B$6:$B$2005,B643,$A$6:$A$2005,E643),""))</f>
        <v/>
      </c>
      <c r="G643" s="34">
        <f>IF(F643="","",A643-E643)</f>
        <v/>
      </c>
      <c r="H643" s="42">
        <f>IF(OR(F643="",C643=""),"",IFERROR((C643-F643)/G643,""))</f>
        <v/>
      </c>
      <c r="I643" s="39">
        <f>IF(B643="","",IFERROR(INDEX('Animais'!$M$6:$M$1005,MATCH(B643,'Animais'!$A$6:$A$1005,0)),"Brinco não cadastrado"))</f>
        <v/>
      </c>
    </row>
    <row r="644">
      <c r="A644" s="31" t="n"/>
      <c r="B644" s="36" t="n"/>
      <c r="C644" s="38" t="n"/>
      <c r="D644" s="32" t="n"/>
      <c r="E644" s="43">
        <f>IF(OR(A644="",B644=""),"",SUMPRODUCT(MAX(($B$6:$B$2005=B644)*($A$6:$A$2005&lt;A644)*$A$6:$A$2005)))</f>
        <v/>
      </c>
      <c r="F644" s="41">
        <f>IF(OR(E644="",E644=0),"",IFERROR(AVERAGEIFS($C$6:$C$2005,$B$6:$B$2005,B644,$A$6:$A$2005,E644),""))</f>
        <v/>
      </c>
      <c r="G644" s="34">
        <f>IF(F644="","",A644-E644)</f>
        <v/>
      </c>
      <c r="H644" s="42">
        <f>IF(OR(F644="",C644=""),"",IFERROR((C644-F644)/G644,""))</f>
        <v/>
      </c>
      <c r="I644" s="39">
        <f>IF(B644="","",IFERROR(INDEX('Animais'!$M$6:$M$1005,MATCH(B644,'Animais'!$A$6:$A$1005,0)),"Brinco não cadastrado"))</f>
        <v/>
      </c>
    </row>
    <row r="645">
      <c r="A645" s="31" t="n"/>
      <c r="B645" s="36" t="n"/>
      <c r="C645" s="38" t="n"/>
      <c r="D645" s="32" t="n"/>
      <c r="E645" s="43">
        <f>IF(OR(A645="",B645=""),"",SUMPRODUCT(MAX(($B$6:$B$2005=B645)*($A$6:$A$2005&lt;A645)*$A$6:$A$2005)))</f>
        <v/>
      </c>
      <c r="F645" s="41">
        <f>IF(OR(E645="",E645=0),"",IFERROR(AVERAGEIFS($C$6:$C$2005,$B$6:$B$2005,B645,$A$6:$A$2005,E645),""))</f>
        <v/>
      </c>
      <c r="G645" s="34">
        <f>IF(F645="","",A645-E645)</f>
        <v/>
      </c>
      <c r="H645" s="42">
        <f>IF(OR(F645="",C645=""),"",IFERROR((C645-F645)/G645,""))</f>
        <v/>
      </c>
      <c r="I645" s="39">
        <f>IF(B645="","",IFERROR(INDEX('Animais'!$M$6:$M$1005,MATCH(B645,'Animais'!$A$6:$A$1005,0)),"Brinco não cadastrado"))</f>
        <v/>
      </c>
    </row>
    <row r="646">
      <c r="A646" s="31" t="n"/>
      <c r="B646" s="36" t="n"/>
      <c r="C646" s="38" t="n"/>
      <c r="D646" s="32" t="n"/>
      <c r="E646" s="43">
        <f>IF(OR(A646="",B646=""),"",SUMPRODUCT(MAX(($B$6:$B$2005=B646)*($A$6:$A$2005&lt;A646)*$A$6:$A$2005)))</f>
        <v/>
      </c>
      <c r="F646" s="41">
        <f>IF(OR(E646="",E646=0),"",IFERROR(AVERAGEIFS($C$6:$C$2005,$B$6:$B$2005,B646,$A$6:$A$2005,E646),""))</f>
        <v/>
      </c>
      <c r="G646" s="34">
        <f>IF(F646="","",A646-E646)</f>
        <v/>
      </c>
      <c r="H646" s="42">
        <f>IF(OR(F646="",C646=""),"",IFERROR((C646-F646)/G646,""))</f>
        <v/>
      </c>
      <c r="I646" s="39">
        <f>IF(B646="","",IFERROR(INDEX('Animais'!$M$6:$M$1005,MATCH(B646,'Animais'!$A$6:$A$1005,0)),"Brinco não cadastrado"))</f>
        <v/>
      </c>
    </row>
    <row r="647">
      <c r="A647" s="31" t="n"/>
      <c r="B647" s="36" t="n"/>
      <c r="C647" s="38" t="n"/>
      <c r="D647" s="32" t="n"/>
      <c r="E647" s="43">
        <f>IF(OR(A647="",B647=""),"",SUMPRODUCT(MAX(($B$6:$B$2005=B647)*($A$6:$A$2005&lt;A647)*$A$6:$A$2005)))</f>
        <v/>
      </c>
      <c r="F647" s="41">
        <f>IF(OR(E647="",E647=0),"",IFERROR(AVERAGEIFS($C$6:$C$2005,$B$6:$B$2005,B647,$A$6:$A$2005,E647),""))</f>
        <v/>
      </c>
      <c r="G647" s="34">
        <f>IF(F647="","",A647-E647)</f>
        <v/>
      </c>
      <c r="H647" s="42">
        <f>IF(OR(F647="",C647=""),"",IFERROR((C647-F647)/G647,""))</f>
        <v/>
      </c>
      <c r="I647" s="39">
        <f>IF(B647="","",IFERROR(INDEX('Animais'!$M$6:$M$1005,MATCH(B647,'Animais'!$A$6:$A$1005,0)),"Brinco não cadastrado"))</f>
        <v/>
      </c>
    </row>
    <row r="648">
      <c r="A648" s="31" t="n"/>
      <c r="B648" s="36" t="n"/>
      <c r="C648" s="38" t="n"/>
      <c r="D648" s="32" t="n"/>
      <c r="E648" s="43">
        <f>IF(OR(A648="",B648=""),"",SUMPRODUCT(MAX(($B$6:$B$2005=B648)*($A$6:$A$2005&lt;A648)*$A$6:$A$2005)))</f>
        <v/>
      </c>
      <c r="F648" s="41">
        <f>IF(OR(E648="",E648=0),"",IFERROR(AVERAGEIFS($C$6:$C$2005,$B$6:$B$2005,B648,$A$6:$A$2005,E648),""))</f>
        <v/>
      </c>
      <c r="G648" s="34">
        <f>IF(F648="","",A648-E648)</f>
        <v/>
      </c>
      <c r="H648" s="42">
        <f>IF(OR(F648="",C648=""),"",IFERROR((C648-F648)/G648,""))</f>
        <v/>
      </c>
      <c r="I648" s="39">
        <f>IF(B648="","",IFERROR(INDEX('Animais'!$M$6:$M$1005,MATCH(B648,'Animais'!$A$6:$A$1005,0)),"Brinco não cadastrado"))</f>
        <v/>
      </c>
    </row>
    <row r="649">
      <c r="A649" s="31" t="n"/>
      <c r="B649" s="36" t="n"/>
      <c r="C649" s="38" t="n"/>
      <c r="D649" s="32" t="n"/>
      <c r="E649" s="43">
        <f>IF(OR(A649="",B649=""),"",SUMPRODUCT(MAX(($B$6:$B$2005=B649)*($A$6:$A$2005&lt;A649)*$A$6:$A$2005)))</f>
        <v/>
      </c>
      <c r="F649" s="41">
        <f>IF(OR(E649="",E649=0),"",IFERROR(AVERAGEIFS($C$6:$C$2005,$B$6:$B$2005,B649,$A$6:$A$2005,E649),""))</f>
        <v/>
      </c>
      <c r="G649" s="34">
        <f>IF(F649="","",A649-E649)</f>
        <v/>
      </c>
      <c r="H649" s="42">
        <f>IF(OR(F649="",C649=""),"",IFERROR((C649-F649)/G649,""))</f>
        <v/>
      </c>
      <c r="I649" s="39">
        <f>IF(B649="","",IFERROR(INDEX('Animais'!$M$6:$M$1005,MATCH(B649,'Animais'!$A$6:$A$1005,0)),"Brinco não cadastrado"))</f>
        <v/>
      </c>
    </row>
    <row r="650">
      <c r="A650" s="31" t="n"/>
      <c r="B650" s="36" t="n"/>
      <c r="C650" s="38" t="n"/>
      <c r="D650" s="32" t="n"/>
      <c r="E650" s="43">
        <f>IF(OR(A650="",B650=""),"",SUMPRODUCT(MAX(($B$6:$B$2005=B650)*($A$6:$A$2005&lt;A650)*$A$6:$A$2005)))</f>
        <v/>
      </c>
      <c r="F650" s="41">
        <f>IF(OR(E650="",E650=0),"",IFERROR(AVERAGEIFS($C$6:$C$2005,$B$6:$B$2005,B650,$A$6:$A$2005,E650),""))</f>
        <v/>
      </c>
      <c r="G650" s="34">
        <f>IF(F650="","",A650-E650)</f>
        <v/>
      </c>
      <c r="H650" s="42">
        <f>IF(OR(F650="",C650=""),"",IFERROR((C650-F650)/G650,""))</f>
        <v/>
      </c>
      <c r="I650" s="39">
        <f>IF(B650="","",IFERROR(INDEX('Animais'!$M$6:$M$1005,MATCH(B650,'Animais'!$A$6:$A$1005,0)),"Brinco não cadastrado"))</f>
        <v/>
      </c>
    </row>
    <row r="651">
      <c r="A651" s="31" t="n"/>
      <c r="B651" s="36" t="n"/>
      <c r="C651" s="38" t="n"/>
      <c r="D651" s="32" t="n"/>
      <c r="E651" s="43">
        <f>IF(OR(A651="",B651=""),"",SUMPRODUCT(MAX(($B$6:$B$2005=B651)*($A$6:$A$2005&lt;A651)*$A$6:$A$2005)))</f>
        <v/>
      </c>
      <c r="F651" s="41">
        <f>IF(OR(E651="",E651=0),"",IFERROR(AVERAGEIFS($C$6:$C$2005,$B$6:$B$2005,B651,$A$6:$A$2005,E651),""))</f>
        <v/>
      </c>
      <c r="G651" s="34">
        <f>IF(F651="","",A651-E651)</f>
        <v/>
      </c>
      <c r="H651" s="42">
        <f>IF(OR(F651="",C651=""),"",IFERROR((C651-F651)/G651,""))</f>
        <v/>
      </c>
      <c r="I651" s="39">
        <f>IF(B651="","",IFERROR(INDEX('Animais'!$M$6:$M$1005,MATCH(B651,'Animais'!$A$6:$A$1005,0)),"Brinco não cadastrado"))</f>
        <v/>
      </c>
    </row>
    <row r="652">
      <c r="A652" s="31" t="n"/>
      <c r="B652" s="36" t="n"/>
      <c r="C652" s="38" t="n"/>
      <c r="D652" s="32" t="n"/>
      <c r="E652" s="43">
        <f>IF(OR(A652="",B652=""),"",SUMPRODUCT(MAX(($B$6:$B$2005=B652)*($A$6:$A$2005&lt;A652)*$A$6:$A$2005)))</f>
        <v/>
      </c>
      <c r="F652" s="41">
        <f>IF(OR(E652="",E652=0),"",IFERROR(AVERAGEIFS($C$6:$C$2005,$B$6:$B$2005,B652,$A$6:$A$2005,E652),""))</f>
        <v/>
      </c>
      <c r="G652" s="34">
        <f>IF(F652="","",A652-E652)</f>
        <v/>
      </c>
      <c r="H652" s="42">
        <f>IF(OR(F652="",C652=""),"",IFERROR((C652-F652)/G652,""))</f>
        <v/>
      </c>
      <c r="I652" s="39">
        <f>IF(B652="","",IFERROR(INDEX('Animais'!$M$6:$M$1005,MATCH(B652,'Animais'!$A$6:$A$1005,0)),"Brinco não cadastrado"))</f>
        <v/>
      </c>
    </row>
    <row r="653">
      <c r="A653" s="31" t="n"/>
      <c r="B653" s="36" t="n"/>
      <c r="C653" s="38" t="n"/>
      <c r="D653" s="32" t="n"/>
      <c r="E653" s="43">
        <f>IF(OR(A653="",B653=""),"",SUMPRODUCT(MAX(($B$6:$B$2005=B653)*($A$6:$A$2005&lt;A653)*$A$6:$A$2005)))</f>
        <v/>
      </c>
      <c r="F653" s="41">
        <f>IF(OR(E653="",E653=0),"",IFERROR(AVERAGEIFS($C$6:$C$2005,$B$6:$B$2005,B653,$A$6:$A$2005,E653),""))</f>
        <v/>
      </c>
      <c r="G653" s="34">
        <f>IF(F653="","",A653-E653)</f>
        <v/>
      </c>
      <c r="H653" s="42">
        <f>IF(OR(F653="",C653=""),"",IFERROR((C653-F653)/G653,""))</f>
        <v/>
      </c>
      <c r="I653" s="39">
        <f>IF(B653="","",IFERROR(INDEX('Animais'!$M$6:$M$1005,MATCH(B653,'Animais'!$A$6:$A$1005,0)),"Brinco não cadastrado"))</f>
        <v/>
      </c>
    </row>
    <row r="654">
      <c r="A654" s="31" t="n"/>
      <c r="B654" s="36" t="n"/>
      <c r="C654" s="38" t="n"/>
      <c r="D654" s="32" t="n"/>
      <c r="E654" s="43">
        <f>IF(OR(A654="",B654=""),"",SUMPRODUCT(MAX(($B$6:$B$2005=B654)*($A$6:$A$2005&lt;A654)*$A$6:$A$2005)))</f>
        <v/>
      </c>
      <c r="F654" s="41">
        <f>IF(OR(E654="",E654=0),"",IFERROR(AVERAGEIFS($C$6:$C$2005,$B$6:$B$2005,B654,$A$6:$A$2005,E654),""))</f>
        <v/>
      </c>
      <c r="G654" s="34">
        <f>IF(F654="","",A654-E654)</f>
        <v/>
      </c>
      <c r="H654" s="42">
        <f>IF(OR(F654="",C654=""),"",IFERROR((C654-F654)/G654,""))</f>
        <v/>
      </c>
      <c r="I654" s="39">
        <f>IF(B654="","",IFERROR(INDEX('Animais'!$M$6:$M$1005,MATCH(B654,'Animais'!$A$6:$A$1005,0)),"Brinco não cadastrado"))</f>
        <v/>
      </c>
    </row>
    <row r="655">
      <c r="A655" s="31" t="n"/>
      <c r="B655" s="36" t="n"/>
      <c r="C655" s="38" t="n"/>
      <c r="D655" s="32" t="n"/>
      <c r="E655" s="43">
        <f>IF(OR(A655="",B655=""),"",SUMPRODUCT(MAX(($B$6:$B$2005=B655)*($A$6:$A$2005&lt;A655)*$A$6:$A$2005)))</f>
        <v/>
      </c>
      <c r="F655" s="41">
        <f>IF(OR(E655="",E655=0),"",IFERROR(AVERAGEIFS($C$6:$C$2005,$B$6:$B$2005,B655,$A$6:$A$2005,E655),""))</f>
        <v/>
      </c>
      <c r="G655" s="34">
        <f>IF(F655="","",A655-E655)</f>
        <v/>
      </c>
      <c r="H655" s="42">
        <f>IF(OR(F655="",C655=""),"",IFERROR((C655-F655)/G655,""))</f>
        <v/>
      </c>
      <c r="I655" s="39">
        <f>IF(B655="","",IFERROR(INDEX('Animais'!$M$6:$M$1005,MATCH(B655,'Animais'!$A$6:$A$1005,0)),"Brinco não cadastrado"))</f>
        <v/>
      </c>
    </row>
    <row r="656">
      <c r="A656" s="31" t="n"/>
      <c r="B656" s="36" t="n"/>
      <c r="C656" s="38" t="n"/>
      <c r="D656" s="32" t="n"/>
      <c r="E656" s="43">
        <f>IF(OR(A656="",B656=""),"",SUMPRODUCT(MAX(($B$6:$B$2005=B656)*($A$6:$A$2005&lt;A656)*$A$6:$A$2005)))</f>
        <v/>
      </c>
      <c r="F656" s="41">
        <f>IF(OR(E656="",E656=0),"",IFERROR(AVERAGEIFS($C$6:$C$2005,$B$6:$B$2005,B656,$A$6:$A$2005,E656),""))</f>
        <v/>
      </c>
      <c r="G656" s="34">
        <f>IF(F656="","",A656-E656)</f>
        <v/>
      </c>
      <c r="H656" s="42">
        <f>IF(OR(F656="",C656=""),"",IFERROR((C656-F656)/G656,""))</f>
        <v/>
      </c>
      <c r="I656" s="39">
        <f>IF(B656="","",IFERROR(INDEX('Animais'!$M$6:$M$1005,MATCH(B656,'Animais'!$A$6:$A$1005,0)),"Brinco não cadastrado"))</f>
        <v/>
      </c>
    </row>
    <row r="657">
      <c r="A657" s="31" t="n"/>
      <c r="B657" s="36" t="n"/>
      <c r="C657" s="38" t="n"/>
      <c r="D657" s="32" t="n"/>
      <c r="E657" s="43">
        <f>IF(OR(A657="",B657=""),"",SUMPRODUCT(MAX(($B$6:$B$2005=B657)*($A$6:$A$2005&lt;A657)*$A$6:$A$2005)))</f>
        <v/>
      </c>
      <c r="F657" s="41">
        <f>IF(OR(E657="",E657=0),"",IFERROR(AVERAGEIFS($C$6:$C$2005,$B$6:$B$2005,B657,$A$6:$A$2005,E657),""))</f>
        <v/>
      </c>
      <c r="G657" s="34">
        <f>IF(F657="","",A657-E657)</f>
        <v/>
      </c>
      <c r="H657" s="42">
        <f>IF(OR(F657="",C657=""),"",IFERROR((C657-F657)/G657,""))</f>
        <v/>
      </c>
      <c r="I657" s="39">
        <f>IF(B657="","",IFERROR(INDEX('Animais'!$M$6:$M$1005,MATCH(B657,'Animais'!$A$6:$A$1005,0)),"Brinco não cadastrado"))</f>
        <v/>
      </c>
    </row>
    <row r="658">
      <c r="A658" s="31" t="n"/>
      <c r="B658" s="36" t="n"/>
      <c r="C658" s="38" t="n"/>
      <c r="D658" s="32" t="n"/>
      <c r="E658" s="43">
        <f>IF(OR(A658="",B658=""),"",SUMPRODUCT(MAX(($B$6:$B$2005=B658)*($A$6:$A$2005&lt;A658)*$A$6:$A$2005)))</f>
        <v/>
      </c>
      <c r="F658" s="41">
        <f>IF(OR(E658="",E658=0),"",IFERROR(AVERAGEIFS($C$6:$C$2005,$B$6:$B$2005,B658,$A$6:$A$2005,E658),""))</f>
        <v/>
      </c>
      <c r="G658" s="34">
        <f>IF(F658="","",A658-E658)</f>
        <v/>
      </c>
      <c r="H658" s="42">
        <f>IF(OR(F658="",C658=""),"",IFERROR((C658-F658)/G658,""))</f>
        <v/>
      </c>
      <c r="I658" s="39">
        <f>IF(B658="","",IFERROR(INDEX('Animais'!$M$6:$M$1005,MATCH(B658,'Animais'!$A$6:$A$1005,0)),"Brinco não cadastrado"))</f>
        <v/>
      </c>
    </row>
    <row r="659">
      <c r="A659" s="31" t="n"/>
      <c r="B659" s="36" t="n"/>
      <c r="C659" s="38" t="n"/>
      <c r="D659" s="32" t="n"/>
      <c r="E659" s="43">
        <f>IF(OR(A659="",B659=""),"",SUMPRODUCT(MAX(($B$6:$B$2005=B659)*($A$6:$A$2005&lt;A659)*$A$6:$A$2005)))</f>
        <v/>
      </c>
      <c r="F659" s="41">
        <f>IF(OR(E659="",E659=0),"",IFERROR(AVERAGEIFS($C$6:$C$2005,$B$6:$B$2005,B659,$A$6:$A$2005,E659),""))</f>
        <v/>
      </c>
      <c r="G659" s="34">
        <f>IF(F659="","",A659-E659)</f>
        <v/>
      </c>
      <c r="H659" s="42">
        <f>IF(OR(F659="",C659=""),"",IFERROR((C659-F659)/G659,""))</f>
        <v/>
      </c>
      <c r="I659" s="39">
        <f>IF(B659="","",IFERROR(INDEX('Animais'!$M$6:$M$1005,MATCH(B659,'Animais'!$A$6:$A$1005,0)),"Brinco não cadastrado"))</f>
        <v/>
      </c>
    </row>
    <row r="660">
      <c r="A660" s="31" t="n"/>
      <c r="B660" s="36" t="n"/>
      <c r="C660" s="38" t="n"/>
      <c r="D660" s="32" t="n"/>
      <c r="E660" s="43">
        <f>IF(OR(A660="",B660=""),"",SUMPRODUCT(MAX(($B$6:$B$2005=B660)*($A$6:$A$2005&lt;A660)*$A$6:$A$2005)))</f>
        <v/>
      </c>
      <c r="F660" s="41">
        <f>IF(OR(E660="",E660=0),"",IFERROR(AVERAGEIFS($C$6:$C$2005,$B$6:$B$2005,B660,$A$6:$A$2005,E660),""))</f>
        <v/>
      </c>
      <c r="G660" s="34">
        <f>IF(F660="","",A660-E660)</f>
        <v/>
      </c>
      <c r="H660" s="42">
        <f>IF(OR(F660="",C660=""),"",IFERROR((C660-F660)/G660,""))</f>
        <v/>
      </c>
      <c r="I660" s="39">
        <f>IF(B660="","",IFERROR(INDEX('Animais'!$M$6:$M$1005,MATCH(B660,'Animais'!$A$6:$A$1005,0)),"Brinco não cadastrado"))</f>
        <v/>
      </c>
    </row>
    <row r="661">
      <c r="A661" s="31" t="n"/>
      <c r="B661" s="36" t="n"/>
      <c r="C661" s="38" t="n"/>
      <c r="D661" s="32" t="n"/>
      <c r="E661" s="43">
        <f>IF(OR(A661="",B661=""),"",SUMPRODUCT(MAX(($B$6:$B$2005=B661)*($A$6:$A$2005&lt;A661)*$A$6:$A$2005)))</f>
        <v/>
      </c>
      <c r="F661" s="41">
        <f>IF(OR(E661="",E661=0),"",IFERROR(AVERAGEIFS($C$6:$C$2005,$B$6:$B$2005,B661,$A$6:$A$2005,E661),""))</f>
        <v/>
      </c>
      <c r="G661" s="34">
        <f>IF(F661="","",A661-E661)</f>
        <v/>
      </c>
      <c r="H661" s="42">
        <f>IF(OR(F661="",C661=""),"",IFERROR((C661-F661)/G661,""))</f>
        <v/>
      </c>
      <c r="I661" s="39">
        <f>IF(B661="","",IFERROR(INDEX('Animais'!$M$6:$M$1005,MATCH(B661,'Animais'!$A$6:$A$1005,0)),"Brinco não cadastrado"))</f>
        <v/>
      </c>
    </row>
    <row r="662">
      <c r="A662" s="31" t="n"/>
      <c r="B662" s="36" t="n"/>
      <c r="C662" s="38" t="n"/>
      <c r="D662" s="32" t="n"/>
      <c r="E662" s="43">
        <f>IF(OR(A662="",B662=""),"",SUMPRODUCT(MAX(($B$6:$B$2005=B662)*($A$6:$A$2005&lt;A662)*$A$6:$A$2005)))</f>
        <v/>
      </c>
      <c r="F662" s="41">
        <f>IF(OR(E662="",E662=0),"",IFERROR(AVERAGEIFS($C$6:$C$2005,$B$6:$B$2005,B662,$A$6:$A$2005,E662),""))</f>
        <v/>
      </c>
      <c r="G662" s="34">
        <f>IF(F662="","",A662-E662)</f>
        <v/>
      </c>
      <c r="H662" s="42">
        <f>IF(OR(F662="",C662=""),"",IFERROR((C662-F662)/G662,""))</f>
        <v/>
      </c>
      <c r="I662" s="39">
        <f>IF(B662="","",IFERROR(INDEX('Animais'!$M$6:$M$1005,MATCH(B662,'Animais'!$A$6:$A$1005,0)),"Brinco não cadastrado"))</f>
        <v/>
      </c>
    </row>
    <row r="663">
      <c r="A663" s="31" t="n"/>
      <c r="B663" s="36" t="n"/>
      <c r="C663" s="38" t="n"/>
      <c r="D663" s="32" t="n"/>
      <c r="E663" s="43">
        <f>IF(OR(A663="",B663=""),"",SUMPRODUCT(MAX(($B$6:$B$2005=B663)*($A$6:$A$2005&lt;A663)*$A$6:$A$2005)))</f>
        <v/>
      </c>
      <c r="F663" s="41">
        <f>IF(OR(E663="",E663=0),"",IFERROR(AVERAGEIFS($C$6:$C$2005,$B$6:$B$2005,B663,$A$6:$A$2005,E663),""))</f>
        <v/>
      </c>
      <c r="G663" s="34">
        <f>IF(F663="","",A663-E663)</f>
        <v/>
      </c>
      <c r="H663" s="42">
        <f>IF(OR(F663="",C663=""),"",IFERROR((C663-F663)/G663,""))</f>
        <v/>
      </c>
      <c r="I663" s="39">
        <f>IF(B663="","",IFERROR(INDEX('Animais'!$M$6:$M$1005,MATCH(B663,'Animais'!$A$6:$A$1005,0)),"Brinco não cadastrado"))</f>
        <v/>
      </c>
    </row>
    <row r="664">
      <c r="A664" s="31" t="n"/>
      <c r="B664" s="36" t="n"/>
      <c r="C664" s="38" t="n"/>
      <c r="D664" s="32" t="n"/>
      <c r="E664" s="43">
        <f>IF(OR(A664="",B664=""),"",SUMPRODUCT(MAX(($B$6:$B$2005=B664)*($A$6:$A$2005&lt;A664)*$A$6:$A$2005)))</f>
        <v/>
      </c>
      <c r="F664" s="41">
        <f>IF(OR(E664="",E664=0),"",IFERROR(AVERAGEIFS($C$6:$C$2005,$B$6:$B$2005,B664,$A$6:$A$2005,E664),""))</f>
        <v/>
      </c>
      <c r="G664" s="34">
        <f>IF(F664="","",A664-E664)</f>
        <v/>
      </c>
      <c r="H664" s="42">
        <f>IF(OR(F664="",C664=""),"",IFERROR((C664-F664)/G664,""))</f>
        <v/>
      </c>
      <c r="I664" s="39">
        <f>IF(B664="","",IFERROR(INDEX('Animais'!$M$6:$M$1005,MATCH(B664,'Animais'!$A$6:$A$1005,0)),"Brinco não cadastrado"))</f>
        <v/>
      </c>
    </row>
    <row r="665">
      <c r="A665" s="31" t="n"/>
      <c r="B665" s="36" t="n"/>
      <c r="C665" s="38" t="n"/>
      <c r="D665" s="32" t="n"/>
      <c r="E665" s="43">
        <f>IF(OR(A665="",B665=""),"",SUMPRODUCT(MAX(($B$6:$B$2005=B665)*($A$6:$A$2005&lt;A665)*$A$6:$A$2005)))</f>
        <v/>
      </c>
      <c r="F665" s="41">
        <f>IF(OR(E665="",E665=0),"",IFERROR(AVERAGEIFS($C$6:$C$2005,$B$6:$B$2005,B665,$A$6:$A$2005,E665),""))</f>
        <v/>
      </c>
      <c r="G665" s="34">
        <f>IF(F665="","",A665-E665)</f>
        <v/>
      </c>
      <c r="H665" s="42">
        <f>IF(OR(F665="",C665=""),"",IFERROR((C665-F665)/G665,""))</f>
        <v/>
      </c>
      <c r="I665" s="39">
        <f>IF(B665="","",IFERROR(INDEX('Animais'!$M$6:$M$1005,MATCH(B665,'Animais'!$A$6:$A$1005,0)),"Brinco não cadastrado"))</f>
        <v/>
      </c>
    </row>
    <row r="666">
      <c r="A666" s="31" t="n"/>
      <c r="B666" s="36" t="n"/>
      <c r="C666" s="38" t="n"/>
      <c r="D666" s="32" t="n"/>
      <c r="E666" s="43">
        <f>IF(OR(A666="",B666=""),"",SUMPRODUCT(MAX(($B$6:$B$2005=B666)*($A$6:$A$2005&lt;A666)*$A$6:$A$2005)))</f>
        <v/>
      </c>
      <c r="F666" s="41">
        <f>IF(OR(E666="",E666=0),"",IFERROR(AVERAGEIFS($C$6:$C$2005,$B$6:$B$2005,B666,$A$6:$A$2005,E666),""))</f>
        <v/>
      </c>
      <c r="G666" s="34">
        <f>IF(F666="","",A666-E666)</f>
        <v/>
      </c>
      <c r="H666" s="42">
        <f>IF(OR(F666="",C666=""),"",IFERROR((C666-F666)/G666,""))</f>
        <v/>
      </c>
      <c r="I666" s="39">
        <f>IF(B666="","",IFERROR(INDEX('Animais'!$M$6:$M$1005,MATCH(B666,'Animais'!$A$6:$A$1005,0)),"Brinco não cadastrado"))</f>
        <v/>
      </c>
    </row>
    <row r="667">
      <c r="A667" s="31" t="n"/>
      <c r="B667" s="36" t="n"/>
      <c r="C667" s="38" t="n"/>
      <c r="D667" s="32" t="n"/>
      <c r="E667" s="43">
        <f>IF(OR(A667="",B667=""),"",SUMPRODUCT(MAX(($B$6:$B$2005=B667)*($A$6:$A$2005&lt;A667)*$A$6:$A$2005)))</f>
        <v/>
      </c>
      <c r="F667" s="41">
        <f>IF(OR(E667="",E667=0),"",IFERROR(AVERAGEIFS($C$6:$C$2005,$B$6:$B$2005,B667,$A$6:$A$2005,E667),""))</f>
        <v/>
      </c>
      <c r="G667" s="34">
        <f>IF(F667="","",A667-E667)</f>
        <v/>
      </c>
      <c r="H667" s="42">
        <f>IF(OR(F667="",C667=""),"",IFERROR((C667-F667)/G667,""))</f>
        <v/>
      </c>
      <c r="I667" s="39">
        <f>IF(B667="","",IFERROR(INDEX('Animais'!$M$6:$M$1005,MATCH(B667,'Animais'!$A$6:$A$1005,0)),"Brinco não cadastrado"))</f>
        <v/>
      </c>
    </row>
    <row r="668">
      <c r="A668" s="31" t="n"/>
      <c r="B668" s="36" t="n"/>
      <c r="C668" s="38" t="n"/>
      <c r="D668" s="32" t="n"/>
      <c r="E668" s="43">
        <f>IF(OR(A668="",B668=""),"",SUMPRODUCT(MAX(($B$6:$B$2005=B668)*($A$6:$A$2005&lt;A668)*$A$6:$A$2005)))</f>
        <v/>
      </c>
      <c r="F668" s="41">
        <f>IF(OR(E668="",E668=0),"",IFERROR(AVERAGEIFS($C$6:$C$2005,$B$6:$B$2005,B668,$A$6:$A$2005,E668),""))</f>
        <v/>
      </c>
      <c r="G668" s="34">
        <f>IF(F668="","",A668-E668)</f>
        <v/>
      </c>
      <c r="H668" s="42">
        <f>IF(OR(F668="",C668=""),"",IFERROR((C668-F668)/G668,""))</f>
        <v/>
      </c>
      <c r="I668" s="39">
        <f>IF(B668="","",IFERROR(INDEX('Animais'!$M$6:$M$1005,MATCH(B668,'Animais'!$A$6:$A$1005,0)),"Brinco não cadastrado"))</f>
        <v/>
      </c>
    </row>
    <row r="669">
      <c r="A669" s="31" t="n"/>
      <c r="B669" s="36" t="n"/>
      <c r="C669" s="38" t="n"/>
      <c r="D669" s="32" t="n"/>
      <c r="E669" s="43">
        <f>IF(OR(A669="",B669=""),"",SUMPRODUCT(MAX(($B$6:$B$2005=B669)*($A$6:$A$2005&lt;A669)*$A$6:$A$2005)))</f>
        <v/>
      </c>
      <c r="F669" s="41">
        <f>IF(OR(E669="",E669=0),"",IFERROR(AVERAGEIFS($C$6:$C$2005,$B$6:$B$2005,B669,$A$6:$A$2005,E669),""))</f>
        <v/>
      </c>
      <c r="G669" s="34">
        <f>IF(F669="","",A669-E669)</f>
        <v/>
      </c>
      <c r="H669" s="42">
        <f>IF(OR(F669="",C669=""),"",IFERROR((C669-F669)/G669,""))</f>
        <v/>
      </c>
      <c r="I669" s="39">
        <f>IF(B669="","",IFERROR(INDEX('Animais'!$M$6:$M$1005,MATCH(B669,'Animais'!$A$6:$A$1005,0)),"Brinco não cadastrado"))</f>
        <v/>
      </c>
    </row>
    <row r="670">
      <c r="A670" s="31" t="n"/>
      <c r="B670" s="36" t="n"/>
      <c r="C670" s="38" t="n"/>
      <c r="D670" s="32" t="n"/>
      <c r="E670" s="43">
        <f>IF(OR(A670="",B670=""),"",SUMPRODUCT(MAX(($B$6:$B$2005=B670)*($A$6:$A$2005&lt;A670)*$A$6:$A$2005)))</f>
        <v/>
      </c>
      <c r="F670" s="41">
        <f>IF(OR(E670="",E670=0),"",IFERROR(AVERAGEIFS($C$6:$C$2005,$B$6:$B$2005,B670,$A$6:$A$2005,E670),""))</f>
        <v/>
      </c>
      <c r="G670" s="34">
        <f>IF(F670="","",A670-E670)</f>
        <v/>
      </c>
      <c r="H670" s="42">
        <f>IF(OR(F670="",C670=""),"",IFERROR((C670-F670)/G670,""))</f>
        <v/>
      </c>
      <c r="I670" s="39">
        <f>IF(B670="","",IFERROR(INDEX('Animais'!$M$6:$M$1005,MATCH(B670,'Animais'!$A$6:$A$1005,0)),"Brinco não cadastrado"))</f>
        <v/>
      </c>
    </row>
    <row r="671">
      <c r="A671" s="31" t="n"/>
      <c r="B671" s="36" t="n"/>
      <c r="C671" s="38" t="n"/>
      <c r="D671" s="32" t="n"/>
      <c r="E671" s="43">
        <f>IF(OR(A671="",B671=""),"",SUMPRODUCT(MAX(($B$6:$B$2005=B671)*($A$6:$A$2005&lt;A671)*$A$6:$A$2005)))</f>
        <v/>
      </c>
      <c r="F671" s="41">
        <f>IF(OR(E671="",E671=0),"",IFERROR(AVERAGEIFS($C$6:$C$2005,$B$6:$B$2005,B671,$A$6:$A$2005,E671),""))</f>
        <v/>
      </c>
      <c r="G671" s="34">
        <f>IF(F671="","",A671-E671)</f>
        <v/>
      </c>
      <c r="H671" s="42">
        <f>IF(OR(F671="",C671=""),"",IFERROR((C671-F671)/G671,""))</f>
        <v/>
      </c>
      <c r="I671" s="39">
        <f>IF(B671="","",IFERROR(INDEX('Animais'!$M$6:$M$1005,MATCH(B671,'Animais'!$A$6:$A$1005,0)),"Brinco não cadastrado"))</f>
        <v/>
      </c>
    </row>
    <row r="672">
      <c r="A672" s="31" t="n"/>
      <c r="B672" s="36" t="n"/>
      <c r="C672" s="38" t="n"/>
      <c r="D672" s="32" t="n"/>
      <c r="E672" s="43">
        <f>IF(OR(A672="",B672=""),"",SUMPRODUCT(MAX(($B$6:$B$2005=B672)*($A$6:$A$2005&lt;A672)*$A$6:$A$2005)))</f>
        <v/>
      </c>
      <c r="F672" s="41">
        <f>IF(OR(E672="",E672=0),"",IFERROR(AVERAGEIFS($C$6:$C$2005,$B$6:$B$2005,B672,$A$6:$A$2005,E672),""))</f>
        <v/>
      </c>
      <c r="G672" s="34">
        <f>IF(F672="","",A672-E672)</f>
        <v/>
      </c>
      <c r="H672" s="42">
        <f>IF(OR(F672="",C672=""),"",IFERROR((C672-F672)/G672,""))</f>
        <v/>
      </c>
      <c r="I672" s="39">
        <f>IF(B672="","",IFERROR(INDEX('Animais'!$M$6:$M$1005,MATCH(B672,'Animais'!$A$6:$A$1005,0)),"Brinco não cadastrado"))</f>
        <v/>
      </c>
    </row>
    <row r="673">
      <c r="A673" s="31" t="n"/>
      <c r="B673" s="36" t="n"/>
      <c r="C673" s="38" t="n"/>
      <c r="D673" s="32" t="n"/>
      <c r="E673" s="43">
        <f>IF(OR(A673="",B673=""),"",SUMPRODUCT(MAX(($B$6:$B$2005=B673)*($A$6:$A$2005&lt;A673)*$A$6:$A$2005)))</f>
        <v/>
      </c>
      <c r="F673" s="41">
        <f>IF(OR(E673="",E673=0),"",IFERROR(AVERAGEIFS($C$6:$C$2005,$B$6:$B$2005,B673,$A$6:$A$2005,E673),""))</f>
        <v/>
      </c>
      <c r="G673" s="34">
        <f>IF(F673="","",A673-E673)</f>
        <v/>
      </c>
      <c r="H673" s="42">
        <f>IF(OR(F673="",C673=""),"",IFERROR((C673-F673)/G673,""))</f>
        <v/>
      </c>
      <c r="I673" s="39">
        <f>IF(B673="","",IFERROR(INDEX('Animais'!$M$6:$M$1005,MATCH(B673,'Animais'!$A$6:$A$1005,0)),"Brinco não cadastrado"))</f>
        <v/>
      </c>
    </row>
    <row r="674">
      <c r="A674" s="31" t="n"/>
      <c r="B674" s="36" t="n"/>
      <c r="C674" s="38" t="n"/>
      <c r="D674" s="32" t="n"/>
      <c r="E674" s="43">
        <f>IF(OR(A674="",B674=""),"",SUMPRODUCT(MAX(($B$6:$B$2005=B674)*($A$6:$A$2005&lt;A674)*$A$6:$A$2005)))</f>
        <v/>
      </c>
      <c r="F674" s="41">
        <f>IF(OR(E674="",E674=0),"",IFERROR(AVERAGEIFS($C$6:$C$2005,$B$6:$B$2005,B674,$A$6:$A$2005,E674),""))</f>
        <v/>
      </c>
      <c r="G674" s="34">
        <f>IF(F674="","",A674-E674)</f>
        <v/>
      </c>
      <c r="H674" s="42">
        <f>IF(OR(F674="",C674=""),"",IFERROR((C674-F674)/G674,""))</f>
        <v/>
      </c>
      <c r="I674" s="39">
        <f>IF(B674="","",IFERROR(INDEX('Animais'!$M$6:$M$1005,MATCH(B674,'Animais'!$A$6:$A$1005,0)),"Brinco não cadastrado"))</f>
        <v/>
      </c>
    </row>
    <row r="675">
      <c r="A675" s="31" t="n"/>
      <c r="B675" s="36" t="n"/>
      <c r="C675" s="38" t="n"/>
      <c r="D675" s="32" t="n"/>
      <c r="E675" s="43">
        <f>IF(OR(A675="",B675=""),"",SUMPRODUCT(MAX(($B$6:$B$2005=B675)*($A$6:$A$2005&lt;A675)*$A$6:$A$2005)))</f>
        <v/>
      </c>
      <c r="F675" s="41">
        <f>IF(OR(E675="",E675=0),"",IFERROR(AVERAGEIFS($C$6:$C$2005,$B$6:$B$2005,B675,$A$6:$A$2005,E675),""))</f>
        <v/>
      </c>
      <c r="G675" s="34">
        <f>IF(F675="","",A675-E675)</f>
        <v/>
      </c>
      <c r="H675" s="42">
        <f>IF(OR(F675="",C675=""),"",IFERROR((C675-F675)/G675,""))</f>
        <v/>
      </c>
      <c r="I675" s="39">
        <f>IF(B675="","",IFERROR(INDEX('Animais'!$M$6:$M$1005,MATCH(B675,'Animais'!$A$6:$A$1005,0)),"Brinco não cadastrado"))</f>
        <v/>
      </c>
    </row>
    <row r="676">
      <c r="A676" s="31" t="n"/>
      <c r="B676" s="36" t="n"/>
      <c r="C676" s="38" t="n"/>
      <c r="D676" s="32" t="n"/>
      <c r="E676" s="43">
        <f>IF(OR(A676="",B676=""),"",SUMPRODUCT(MAX(($B$6:$B$2005=B676)*($A$6:$A$2005&lt;A676)*$A$6:$A$2005)))</f>
        <v/>
      </c>
      <c r="F676" s="41">
        <f>IF(OR(E676="",E676=0),"",IFERROR(AVERAGEIFS($C$6:$C$2005,$B$6:$B$2005,B676,$A$6:$A$2005,E676),""))</f>
        <v/>
      </c>
      <c r="G676" s="34">
        <f>IF(F676="","",A676-E676)</f>
        <v/>
      </c>
      <c r="H676" s="42">
        <f>IF(OR(F676="",C676=""),"",IFERROR((C676-F676)/G676,""))</f>
        <v/>
      </c>
      <c r="I676" s="39">
        <f>IF(B676="","",IFERROR(INDEX('Animais'!$M$6:$M$1005,MATCH(B676,'Animais'!$A$6:$A$1005,0)),"Brinco não cadastrado"))</f>
        <v/>
      </c>
    </row>
    <row r="677">
      <c r="A677" s="31" t="n"/>
      <c r="B677" s="36" t="n"/>
      <c r="C677" s="38" t="n"/>
      <c r="D677" s="32" t="n"/>
      <c r="E677" s="43">
        <f>IF(OR(A677="",B677=""),"",SUMPRODUCT(MAX(($B$6:$B$2005=B677)*($A$6:$A$2005&lt;A677)*$A$6:$A$2005)))</f>
        <v/>
      </c>
      <c r="F677" s="41">
        <f>IF(OR(E677="",E677=0),"",IFERROR(AVERAGEIFS($C$6:$C$2005,$B$6:$B$2005,B677,$A$6:$A$2005,E677),""))</f>
        <v/>
      </c>
      <c r="G677" s="34">
        <f>IF(F677="","",A677-E677)</f>
        <v/>
      </c>
      <c r="H677" s="42">
        <f>IF(OR(F677="",C677=""),"",IFERROR((C677-F677)/G677,""))</f>
        <v/>
      </c>
      <c r="I677" s="39">
        <f>IF(B677="","",IFERROR(INDEX('Animais'!$M$6:$M$1005,MATCH(B677,'Animais'!$A$6:$A$1005,0)),"Brinco não cadastrado"))</f>
        <v/>
      </c>
    </row>
    <row r="678">
      <c r="A678" s="31" t="n"/>
      <c r="B678" s="36" t="n"/>
      <c r="C678" s="38" t="n"/>
      <c r="D678" s="32" t="n"/>
      <c r="E678" s="43">
        <f>IF(OR(A678="",B678=""),"",SUMPRODUCT(MAX(($B$6:$B$2005=B678)*($A$6:$A$2005&lt;A678)*$A$6:$A$2005)))</f>
        <v/>
      </c>
      <c r="F678" s="41">
        <f>IF(OR(E678="",E678=0),"",IFERROR(AVERAGEIFS($C$6:$C$2005,$B$6:$B$2005,B678,$A$6:$A$2005,E678),""))</f>
        <v/>
      </c>
      <c r="G678" s="34">
        <f>IF(F678="","",A678-E678)</f>
        <v/>
      </c>
      <c r="H678" s="42">
        <f>IF(OR(F678="",C678=""),"",IFERROR((C678-F678)/G678,""))</f>
        <v/>
      </c>
      <c r="I678" s="39">
        <f>IF(B678="","",IFERROR(INDEX('Animais'!$M$6:$M$1005,MATCH(B678,'Animais'!$A$6:$A$1005,0)),"Brinco não cadastrado"))</f>
        <v/>
      </c>
    </row>
    <row r="679">
      <c r="A679" s="31" t="n"/>
      <c r="B679" s="36" t="n"/>
      <c r="C679" s="38" t="n"/>
      <c r="D679" s="32" t="n"/>
      <c r="E679" s="43">
        <f>IF(OR(A679="",B679=""),"",SUMPRODUCT(MAX(($B$6:$B$2005=B679)*($A$6:$A$2005&lt;A679)*$A$6:$A$2005)))</f>
        <v/>
      </c>
      <c r="F679" s="41">
        <f>IF(OR(E679="",E679=0),"",IFERROR(AVERAGEIFS($C$6:$C$2005,$B$6:$B$2005,B679,$A$6:$A$2005,E679),""))</f>
        <v/>
      </c>
      <c r="G679" s="34">
        <f>IF(F679="","",A679-E679)</f>
        <v/>
      </c>
      <c r="H679" s="42">
        <f>IF(OR(F679="",C679=""),"",IFERROR((C679-F679)/G679,""))</f>
        <v/>
      </c>
      <c r="I679" s="39">
        <f>IF(B679="","",IFERROR(INDEX('Animais'!$M$6:$M$1005,MATCH(B679,'Animais'!$A$6:$A$1005,0)),"Brinco não cadastrado"))</f>
        <v/>
      </c>
    </row>
    <row r="680">
      <c r="A680" s="31" t="n"/>
      <c r="B680" s="36" t="n"/>
      <c r="C680" s="38" t="n"/>
      <c r="D680" s="32" t="n"/>
      <c r="E680" s="43">
        <f>IF(OR(A680="",B680=""),"",SUMPRODUCT(MAX(($B$6:$B$2005=B680)*($A$6:$A$2005&lt;A680)*$A$6:$A$2005)))</f>
        <v/>
      </c>
      <c r="F680" s="41">
        <f>IF(OR(E680="",E680=0),"",IFERROR(AVERAGEIFS($C$6:$C$2005,$B$6:$B$2005,B680,$A$6:$A$2005,E680),""))</f>
        <v/>
      </c>
      <c r="G680" s="34">
        <f>IF(F680="","",A680-E680)</f>
        <v/>
      </c>
      <c r="H680" s="42">
        <f>IF(OR(F680="",C680=""),"",IFERROR((C680-F680)/G680,""))</f>
        <v/>
      </c>
      <c r="I680" s="39">
        <f>IF(B680="","",IFERROR(INDEX('Animais'!$M$6:$M$1005,MATCH(B680,'Animais'!$A$6:$A$1005,0)),"Brinco não cadastrado"))</f>
        <v/>
      </c>
    </row>
    <row r="681">
      <c r="A681" s="31" t="n"/>
      <c r="B681" s="36" t="n"/>
      <c r="C681" s="38" t="n"/>
      <c r="D681" s="32" t="n"/>
      <c r="E681" s="43">
        <f>IF(OR(A681="",B681=""),"",SUMPRODUCT(MAX(($B$6:$B$2005=B681)*($A$6:$A$2005&lt;A681)*$A$6:$A$2005)))</f>
        <v/>
      </c>
      <c r="F681" s="41">
        <f>IF(OR(E681="",E681=0),"",IFERROR(AVERAGEIFS($C$6:$C$2005,$B$6:$B$2005,B681,$A$6:$A$2005,E681),""))</f>
        <v/>
      </c>
      <c r="G681" s="34">
        <f>IF(F681="","",A681-E681)</f>
        <v/>
      </c>
      <c r="H681" s="42">
        <f>IF(OR(F681="",C681=""),"",IFERROR((C681-F681)/G681,""))</f>
        <v/>
      </c>
      <c r="I681" s="39">
        <f>IF(B681="","",IFERROR(INDEX('Animais'!$M$6:$M$1005,MATCH(B681,'Animais'!$A$6:$A$1005,0)),"Brinco não cadastrado"))</f>
        <v/>
      </c>
    </row>
    <row r="682">
      <c r="A682" s="31" t="n"/>
      <c r="B682" s="36" t="n"/>
      <c r="C682" s="38" t="n"/>
      <c r="D682" s="32" t="n"/>
      <c r="E682" s="43">
        <f>IF(OR(A682="",B682=""),"",SUMPRODUCT(MAX(($B$6:$B$2005=B682)*($A$6:$A$2005&lt;A682)*$A$6:$A$2005)))</f>
        <v/>
      </c>
      <c r="F682" s="41">
        <f>IF(OR(E682="",E682=0),"",IFERROR(AVERAGEIFS($C$6:$C$2005,$B$6:$B$2005,B682,$A$6:$A$2005,E682),""))</f>
        <v/>
      </c>
      <c r="G682" s="34">
        <f>IF(F682="","",A682-E682)</f>
        <v/>
      </c>
      <c r="H682" s="42">
        <f>IF(OR(F682="",C682=""),"",IFERROR((C682-F682)/G682,""))</f>
        <v/>
      </c>
      <c r="I682" s="39">
        <f>IF(B682="","",IFERROR(INDEX('Animais'!$M$6:$M$1005,MATCH(B682,'Animais'!$A$6:$A$1005,0)),"Brinco não cadastrado"))</f>
        <v/>
      </c>
    </row>
    <row r="683">
      <c r="A683" s="31" t="n"/>
      <c r="B683" s="36" t="n"/>
      <c r="C683" s="38" t="n"/>
      <c r="D683" s="32" t="n"/>
      <c r="E683" s="43">
        <f>IF(OR(A683="",B683=""),"",SUMPRODUCT(MAX(($B$6:$B$2005=B683)*($A$6:$A$2005&lt;A683)*$A$6:$A$2005)))</f>
        <v/>
      </c>
      <c r="F683" s="41">
        <f>IF(OR(E683="",E683=0),"",IFERROR(AVERAGEIFS($C$6:$C$2005,$B$6:$B$2005,B683,$A$6:$A$2005,E683),""))</f>
        <v/>
      </c>
      <c r="G683" s="34">
        <f>IF(F683="","",A683-E683)</f>
        <v/>
      </c>
      <c r="H683" s="42">
        <f>IF(OR(F683="",C683=""),"",IFERROR((C683-F683)/G683,""))</f>
        <v/>
      </c>
      <c r="I683" s="39">
        <f>IF(B683="","",IFERROR(INDEX('Animais'!$M$6:$M$1005,MATCH(B683,'Animais'!$A$6:$A$1005,0)),"Brinco não cadastrado"))</f>
        <v/>
      </c>
    </row>
    <row r="684">
      <c r="A684" s="31" t="n"/>
      <c r="B684" s="36" t="n"/>
      <c r="C684" s="38" t="n"/>
      <c r="D684" s="32" t="n"/>
      <c r="E684" s="43">
        <f>IF(OR(A684="",B684=""),"",SUMPRODUCT(MAX(($B$6:$B$2005=B684)*($A$6:$A$2005&lt;A684)*$A$6:$A$2005)))</f>
        <v/>
      </c>
      <c r="F684" s="41">
        <f>IF(OR(E684="",E684=0),"",IFERROR(AVERAGEIFS($C$6:$C$2005,$B$6:$B$2005,B684,$A$6:$A$2005,E684),""))</f>
        <v/>
      </c>
      <c r="G684" s="34">
        <f>IF(F684="","",A684-E684)</f>
        <v/>
      </c>
      <c r="H684" s="42">
        <f>IF(OR(F684="",C684=""),"",IFERROR((C684-F684)/G684,""))</f>
        <v/>
      </c>
      <c r="I684" s="39">
        <f>IF(B684="","",IFERROR(INDEX('Animais'!$M$6:$M$1005,MATCH(B684,'Animais'!$A$6:$A$1005,0)),"Brinco não cadastrado"))</f>
        <v/>
      </c>
    </row>
    <row r="685">
      <c r="A685" s="31" t="n"/>
      <c r="B685" s="36" t="n"/>
      <c r="C685" s="38" t="n"/>
      <c r="D685" s="32" t="n"/>
      <c r="E685" s="43">
        <f>IF(OR(A685="",B685=""),"",SUMPRODUCT(MAX(($B$6:$B$2005=B685)*($A$6:$A$2005&lt;A685)*$A$6:$A$2005)))</f>
        <v/>
      </c>
      <c r="F685" s="41">
        <f>IF(OR(E685="",E685=0),"",IFERROR(AVERAGEIFS($C$6:$C$2005,$B$6:$B$2005,B685,$A$6:$A$2005,E685),""))</f>
        <v/>
      </c>
      <c r="G685" s="34">
        <f>IF(F685="","",A685-E685)</f>
        <v/>
      </c>
      <c r="H685" s="42">
        <f>IF(OR(F685="",C685=""),"",IFERROR((C685-F685)/G685,""))</f>
        <v/>
      </c>
      <c r="I685" s="39">
        <f>IF(B685="","",IFERROR(INDEX('Animais'!$M$6:$M$1005,MATCH(B685,'Animais'!$A$6:$A$1005,0)),"Brinco não cadastrado"))</f>
        <v/>
      </c>
    </row>
    <row r="686">
      <c r="A686" s="31" t="n"/>
      <c r="B686" s="36" t="n"/>
      <c r="C686" s="38" t="n"/>
      <c r="D686" s="32" t="n"/>
      <c r="E686" s="43">
        <f>IF(OR(A686="",B686=""),"",SUMPRODUCT(MAX(($B$6:$B$2005=B686)*($A$6:$A$2005&lt;A686)*$A$6:$A$2005)))</f>
        <v/>
      </c>
      <c r="F686" s="41">
        <f>IF(OR(E686="",E686=0),"",IFERROR(AVERAGEIFS($C$6:$C$2005,$B$6:$B$2005,B686,$A$6:$A$2005,E686),""))</f>
        <v/>
      </c>
      <c r="G686" s="34">
        <f>IF(F686="","",A686-E686)</f>
        <v/>
      </c>
      <c r="H686" s="42">
        <f>IF(OR(F686="",C686=""),"",IFERROR((C686-F686)/G686,""))</f>
        <v/>
      </c>
      <c r="I686" s="39">
        <f>IF(B686="","",IFERROR(INDEX('Animais'!$M$6:$M$1005,MATCH(B686,'Animais'!$A$6:$A$1005,0)),"Brinco não cadastrado"))</f>
        <v/>
      </c>
    </row>
    <row r="687">
      <c r="A687" s="31" t="n"/>
      <c r="B687" s="36" t="n"/>
      <c r="C687" s="38" t="n"/>
      <c r="D687" s="32" t="n"/>
      <c r="E687" s="43">
        <f>IF(OR(A687="",B687=""),"",SUMPRODUCT(MAX(($B$6:$B$2005=B687)*($A$6:$A$2005&lt;A687)*$A$6:$A$2005)))</f>
        <v/>
      </c>
      <c r="F687" s="41">
        <f>IF(OR(E687="",E687=0),"",IFERROR(AVERAGEIFS($C$6:$C$2005,$B$6:$B$2005,B687,$A$6:$A$2005,E687),""))</f>
        <v/>
      </c>
      <c r="G687" s="34">
        <f>IF(F687="","",A687-E687)</f>
        <v/>
      </c>
      <c r="H687" s="42">
        <f>IF(OR(F687="",C687=""),"",IFERROR((C687-F687)/G687,""))</f>
        <v/>
      </c>
      <c r="I687" s="39">
        <f>IF(B687="","",IFERROR(INDEX('Animais'!$M$6:$M$1005,MATCH(B687,'Animais'!$A$6:$A$1005,0)),"Brinco não cadastrado"))</f>
        <v/>
      </c>
    </row>
    <row r="688">
      <c r="A688" s="31" t="n"/>
      <c r="B688" s="36" t="n"/>
      <c r="C688" s="38" t="n"/>
      <c r="D688" s="32" t="n"/>
      <c r="E688" s="43">
        <f>IF(OR(A688="",B688=""),"",SUMPRODUCT(MAX(($B$6:$B$2005=B688)*($A$6:$A$2005&lt;A688)*$A$6:$A$2005)))</f>
        <v/>
      </c>
      <c r="F688" s="41">
        <f>IF(OR(E688="",E688=0),"",IFERROR(AVERAGEIFS($C$6:$C$2005,$B$6:$B$2005,B688,$A$6:$A$2005,E688),""))</f>
        <v/>
      </c>
      <c r="G688" s="34">
        <f>IF(F688="","",A688-E688)</f>
        <v/>
      </c>
      <c r="H688" s="42">
        <f>IF(OR(F688="",C688=""),"",IFERROR((C688-F688)/G688,""))</f>
        <v/>
      </c>
      <c r="I688" s="39">
        <f>IF(B688="","",IFERROR(INDEX('Animais'!$M$6:$M$1005,MATCH(B688,'Animais'!$A$6:$A$1005,0)),"Brinco não cadastrado"))</f>
        <v/>
      </c>
    </row>
    <row r="689">
      <c r="A689" s="31" t="n"/>
      <c r="B689" s="36" t="n"/>
      <c r="C689" s="38" t="n"/>
      <c r="D689" s="32" t="n"/>
      <c r="E689" s="43">
        <f>IF(OR(A689="",B689=""),"",SUMPRODUCT(MAX(($B$6:$B$2005=B689)*($A$6:$A$2005&lt;A689)*$A$6:$A$2005)))</f>
        <v/>
      </c>
      <c r="F689" s="41">
        <f>IF(OR(E689="",E689=0),"",IFERROR(AVERAGEIFS($C$6:$C$2005,$B$6:$B$2005,B689,$A$6:$A$2005,E689),""))</f>
        <v/>
      </c>
      <c r="G689" s="34">
        <f>IF(F689="","",A689-E689)</f>
        <v/>
      </c>
      <c r="H689" s="42">
        <f>IF(OR(F689="",C689=""),"",IFERROR((C689-F689)/G689,""))</f>
        <v/>
      </c>
      <c r="I689" s="39">
        <f>IF(B689="","",IFERROR(INDEX('Animais'!$M$6:$M$1005,MATCH(B689,'Animais'!$A$6:$A$1005,0)),"Brinco não cadastrado"))</f>
        <v/>
      </c>
    </row>
    <row r="690">
      <c r="A690" s="31" t="n"/>
      <c r="B690" s="36" t="n"/>
      <c r="C690" s="38" t="n"/>
      <c r="D690" s="32" t="n"/>
      <c r="E690" s="43">
        <f>IF(OR(A690="",B690=""),"",SUMPRODUCT(MAX(($B$6:$B$2005=B690)*($A$6:$A$2005&lt;A690)*$A$6:$A$2005)))</f>
        <v/>
      </c>
      <c r="F690" s="41">
        <f>IF(OR(E690="",E690=0),"",IFERROR(AVERAGEIFS($C$6:$C$2005,$B$6:$B$2005,B690,$A$6:$A$2005,E690),""))</f>
        <v/>
      </c>
      <c r="G690" s="34">
        <f>IF(F690="","",A690-E690)</f>
        <v/>
      </c>
      <c r="H690" s="42">
        <f>IF(OR(F690="",C690=""),"",IFERROR((C690-F690)/G690,""))</f>
        <v/>
      </c>
      <c r="I690" s="39">
        <f>IF(B690="","",IFERROR(INDEX('Animais'!$M$6:$M$1005,MATCH(B690,'Animais'!$A$6:$A$1005,0)),"Brinco não cadastrado"))</f>
        <v/>
      </c>
    </row>
    <row r="691">
      <c r="A691" s="31" t="n"/>
      <c r="B691" s="36" t="n"/>
      <c r="C691" s="38" t="n"/>
      <c r="D691" s="32" t="n"/>
      <c r="E691" s="43">
        <f>IF(OR(A691="",B691=""),"",SUMPRODUCT(MAX(($B$6:$B$2005=B691)*($A$6:$A$2005&lt;A691)*$A$6:$A$2005)))</f>
        <v/>
      </c>
      <c r="F691" s="41">
        <f>IF(OR(E691="",E691=0),"",IFERROR(AVERAGEIFS($C$6:$C$2005,$B$6:$B$2005,B691,$A$6:$A$2005,E691),""))</f>
        <v/>
      </c>
      <c r="G691" s="34">
        <f>IF(F691="","",A691-E691)</f>
        <v/>
      </c>
      <c r="H691" s="42">
        <f>IF(OR(F691="",C691=""),"",IFERROR((C691-F691)/G691,""))</f>
        <v/>
      </c>
      <c r="I691" s="39">
        <f>IF(B691="","",IFERROR(INDEX('Animais'!$M$6:$M$1005,MATCH(B691,'Animais'!$A$6:$A$1005,0)),"Brinco não cadastrado"))</f>
        <v/>
      </c>
    </row>
    <row r="692">
      <c r="A692" s="31" t="n"/>
      <c r="B692" s="36" t="n"/>
      <c r="C692" s="38" t="n"/>
      <c r="D692" s="32" t="n"/>
      <c r="E692" s="43">
        <f>IF(OR(A692="",B692=""),"",SUMPRODUCT(MAX(($B$6:$B$2005=B692)*($A$6:$A$2005&lt;A692)*$A$6:$A$2005)))</f>
        <v/>
      </c>
      <c r="F692" s="41">
        <f>IF(OR(E692="",E692=0),"",IFERROR(AVERAGEIFS($C$6:$C$2005,$B$6:$B$2005,B692,$A$6:$A$2005,E692),""))</f>
        <v/>
      </c>
      <c r="G692" s="34">
        <f>IF(F692="","",A692-E692)</f>
        <v/>
      </c>
      <c r="H692" s="42">
        <f>IF(OR(F692="",C692=""),"",IFERROR((C692-F692)/G692,""))</f>
        <v/>
      </c>
      <c r="I692" s="39">
        <f>IF(B692="","",IFERROR(INDEX('Animais'!$M$6:$M$1005,MATCH(B692,'Animais'!$A$6:$A$1005,0)),"Brinco não cadastrado"))</f>
        <v/>
      </c>
    </row>
    <row r="693">
      <c r="A693" s="31" t="n"/>
      <c r="B693" s="36" t="n"/>
      <c r="C693" s="38" t="n"/>
      <c r="D693" s="32" t="n"/>
      <c r="E693" s="43">
        <f>IF(OR(A693="",B693=""),"",SUMPRODUCT(MAX(($B$6:$B$2005=B693)*($A$6:$A$2005&lt;A693)*$A$6:$A$2005)))</f>
        <v/>
      </c>
      <c r="F693" s="41">
        <f>IF(OR(E693="",E693=0),"",IFERROR(AVERAGEIFS($C$6:$C$2005,$B$6:$B$2005,B693,$A$6:$A$2005,E693),""))</f>
        <v/>
      </c>
      <c r="G693" s="34">
        <f>IF(F693="","",A693-E693)</f>
        <v/>
      </c>
      <c r="H693" s="42">
        <f>IF(OR(F693="",C693=""),"",IFERROR((C693-F693)/G693,""))</f>
        <v/>
      </c>
      <c r="I693" s="39">
        <f>IF(B693="","",IFERROR(INDEX('Animais'!$M$6:$M$1005,MATCH(B693,'Animais'!$A$6:$A$1005,0)),"Brinco não cadastrado"))</f>
        <v/>
      </c>
    </row>
    <row r="694">
      <c r="A694" s="31" t="n"/>
      <c r="B694" s="36" t="n"/>
      <c r="C694" s="38" t="n"/>
      <c r="D694" s="32" t="n"/>
      <c r="E694" s="43">
        <f>IF(OR(A694="",B694=""),"",SUMPRODUCT(MAX(($B$6:$B$2005=B694)*($A$6:$A$2005&lt;A694)*$A$6:$A$2005)))</f>
        <v/>
      </c>
      <c r="F694" s="41">
        <f>IF(OR(E694="",E694=0),"",IFERROR(AVERAGEIFS($C$6:$C$2005,$B$6:$B$2005,B694,$A$6:$A$2005,E694),""))</f>
        <v/>
      </c>
      <c r="G694" s="34">
        <f>IF(F694="","",A694-E694)</f>
        <v/>
      </c>
      <c r="H694" s="42">
        <f>IF(OR(F694="",C694=""),"",IFERROR((C694-F694)/G694,""))</f>
        <v/>
      </c>
      <c r="I694" s="39">
        <f>IF(B694="","",IFERROR(INDEX('Animais'!$M$6:$M$1005,MATCH(B694,'Animais'!$A$6:$A$1005,0)),"Brinco não cadastrado"))</f>
        <v/>
      </c>
    </row>
    <row r="695">
      <c r="A695" s="31" t="n"/>
      <c r="B695" s="36" t="n"/>
      <c r="C695" s="38" t="n"/>
      <c r="D695" s="32" t="n"/>
      <c r="E695" s="43">
        <f>IF(OR(A695="",B695=""),"",SUMPRODUCT(MAX(($B$6:$B$2005=B695)*($A$6:$A$2005&lt;A695)*$A$6:$A$2005)))</f>
        <v/>
      </c>
      <c r="F695" s="41">
        <f>IF(OR(E695="",E695=0),"",IFERROR(AVERAGEIFS($C$6:$C$2005,$B$6:$B$2005,B695,$A$6:$A$2005,E695),""))</f>
        <v/>
      </c>
      <c r="G695" s="34">
        <f>IF(F695="","",A695-E695)</f>
        <v/>
      </c>
      <c r="H695" s="42">
        <f>IF(OR(F695="",C695=""),"",IFERROR((C695-F695)/G695,""))</f>
        <v/>
      </c>
      <c r="I695" s="39">
        <f>IF(B695="","",IFERROR(INDEX('Animais'!$M$6:$M$1005,MATCH(B695,'Animais'!$A$6:$A$1005,0)),"Brinco não cadastrado"))</f>
        <v/>
      </c>
    </row>
    <row r="696">
      <c r="A696" s="31" t="n"/>
      <c r="B696" s="36" t="n"/>
      <c r="C696" s="38" t="n"/>
      <c r="D696" s="32" t="n"/>
      <c r="E696" s="43">
        <f>IF(OR(A696="",B696=""),"",SUMPRODUCT(MAX(($B$6:$B$2005=B696)*($A$6:$A$2005&lt;A696)*$A$6:$A$2005)))</f>
        <v/>
      </c>
      <c r="F696" s="41">
        <f>IF(OR(E696="",E696=0),"",IFERROR(AVERAGEIFS($C$6:$C$2005,$B$6:$B$2005,B696,$A$6:$A$2005,E696),""))</f>
        <v/>
      </c>
      <c r="G696" s="34">
        <f>IF(F696="","",A696-E696)</f>
        <v/>
      </c>
      <c r="H696" s="42">
        <f>IF(OR(F696="",C696=""),"",IFERROR((C696-F696)/G696,""))</f>
        <v/>
      </c>
      <c r="I696" s="39">
        <f>IF(B696="","",IFERROR(INDEX('Animais'!$M$6:$M$1005,MATCH(B696,'Animais'!$A$6:$A$1005,0)),"Brinco não cadastrado"))</f>
        <v/>
      </c>
    </row>
    <row r="697">
      <c r="A697" s="31" t="n"/>
      <c r="B697" s="36" t="n"/>
      <c r="C697" s="38" t="n"/>
      <c r="D697" s="32" t="n"/>
      <c r="E697" s="43">
        <f>IF(OR(A697="",B697=""),"",SUMPRODUCT(MAX(($B$6:$B$2005=B697)*($A$6:$A$2005&lt;A697)*$A$6:$A$2005)))</f>
        <v/>
      </c>
      <c r="F697" s="41">
        <f>IF(OR(E697="",E697=0),"",IFERROR(AVERAGEIFS($C$6:$C$2005,$B$6:$B$2005,B697,$A$6:$A$2005,E697),""))</f>
        <v/>
      </c>
      <c r="G697" s="34">
        <f>IF(F697="","",A697-E697)</f>
        <v/>
      </c>
      <c r="H697" s="42">
        <f>IF(OR(F697="",C697=""),"",IFERROR((C697-F697)/G697,""))</f>
        <v/>
      </c>
      <c r="I697" s="39">
        <f>IF(B697="","",IFERROR(INDEX('Animais'!$M$6:$M$1005,MATCH(B697,'Animais'!$A$6:$A$1005,0)),"Brinco não cadastrado"))</f>
        <v/>
      </c>
    </row>
    <row r="698">
      <c r="A698" s="31" t="n"/>
      <c r="B698" s="36" t="n"/>
      <c r="C698" s="38" t="n"/>
      <c r="D698" s="32" t="n"/>
      <c r="E698" s="43">
        <f>IF(OR(A698="",B698=""),"",SUMPRODUCT(MAX(($B$6:$B$2005=B698)*($A$6:$A$2005&lt;A698)*$A$6:$A$2005)))</f>
        <v/>
      </c>
      <c r="F698" s="41">
        <f>IF(OR(E698="",E698=0),"",IFERROR(AVERAGEIFS($C$6:$C$2005,$B$6:$B$2005,B698,$A$6:$A$2005,E698),""))</f>
        <v/>
      </c>
      <c r="G698" s="34">
        <f>IF(F698="","",A698-E698)</f>
        <v/>
      </c>
      <c r="H698" s="42">
        <f>IF(OR(F698="",C698=""),"",IFERROR((C698-F698)/G698,""))</f>
        <v/>
      </c>
      <c r="I698" s="39">
        <f>IF(B698="","",IFERROR(INDEX('Animais'!$M$6:$M$1005,MATCH(B698,'Animais'!$A$6:$A$1005,0)),"Brinco não cadastrado"))</f>
        <v/>
      </c>
    </row>
    <row r="699">
      <c r="A699" s="31" t="n"/>
      <c r="B699" s="36" t="n"/>
      <c r="C699" s="38" t="n"/>
      <c r="D699" s="32" t="n"/>
      <c r="E699" s="43">
        <f>IF(OR(A699="",B699=""),"",SUMPRODUCT(MAX(($B$6:$B$2005=B699)*($A$6:$A$2005&lt;A699)*$A$6:$A$2005)))</f>
        <v/>
      </c>
      <c r="F699" s="41">
        <f>IF(OR(E699="",E699=0),"",IFERROR(AVERAGEIFS($C$6:$C$2005,$B$6:$B$2005,B699,$A$6:$A$2005,E699),""))</f>
        <v/>
      </c>
      <c r="G699" s="34">
        <f>IF(F699="","",A699-E699)</f>
        <v/>
      </c>
      <c r="H699" s="42">
        <f>IF(OR(F699="",C699=""),"",IFERROR((C699-F699)/G699,""))</f>
        <v/>
      </c>
      <c r="I699" s="39">
        <f>IF(B699="","",IFERROR(INDEX('Animais'!$M$6:$M$1005,MATCH(B699,'Animais'!$A$6:$A$1005,0)),"Brinco não cadastrado"))</f>
        <v/>
      </c>
    </row>
    <row r="700">
      <c r="A700" s="31" t="n"/>
      <c r="B700" s="36" t="n"/>
      <c r="C700" s="38" t="n"/>
      <c r="D700" s="32" t="n"/>
      <c r="E700" s="43">
        <f>IF(OR(A700="",B700=""),"",SUMPRODUCT(MAX(($B$6:$B$2005=B700)*($A$6:$A$2005&lt;A700)*$A$6:$A$2005)))</f>
        <v/>
      </c>
      <c r="F700" s="41">
        <f>IF(OR(E700="",E700=0),"",IFERROR(AVERAGEIFS($C$6:$C$2005,$B$6:$B$2005,B700,$A$6:$A$2005,E700),""))</f>
        <v/>
      </c>
      <c r="G700" s="34">
        <f>IF(F700="","",A700-E700)</f>
        <v/>
      </c>
      <c r="H700" s="42">
        <f>IF(OR(F700="",C700=""),"",IFERROR((C700-F700)/G700,""))</f>
        <v/>
      </c>
      <c r="I700" s="39">
        <f>IF(B700="","",IFERROR(INDEX('Animais'!$M$6:$M$1005,MATCH(B700,'Animais'!$A$6:$A$1005,0)),"Brinco não cadastrado"))</f>
        <v/>
      </c>
    </row>
    <row r="701">
      <c r="A701" s="31" t="n"/>
      <c r="B701" s="36" t="n"/>
      <c r="C701" s="38" t="n"/>
      <c r="D701" s="32" t="n"/>
      <c r="E701" s="43">
        <f>IF(OR(A701="",B701=""),"",SUMPRODUCT(MAX(($B$6:$B$2005=B701)*($A$6:$A$2005&lt;A701)*$A$6:$A$2005)))</f>
        <v/>
      </c>
      <c r="F701" s="41">
        <f>IF(OR(E701="",E701=0),"",IFERROR(AVERAGEIFS($C$6:$C$2005,$B$6:$B$2005,B701,$A$6:$A$2005,E701),""))</f>
        <v/>
      </c>
      <c r="G701" s="34">
        <f>IF(F701="","",A701-E701)</f>
        <v/>
      </c>
      <c r="H701" s="42">
        <f>IF(OR(F701="",C701=""),"",IFERROR((C701-F701)/G701,""))</f>
        <v/>
      </c>
      <c r="I701" s="39">
        <f>IF(B701="","",IFERROR(INDEX('Animais'!$M$6:$M$1005,MATCH(B701,'Animais'!$A$6:$A$1005,0)),"Brinco não cadastrado"))</f>
        <v/>
      </c>
    </row>
    <row r="702">
      <c r="A702" s="31" t="n"/>
      <c r="B702" s="36" t="n"/>
      <c r="C702" s="38" t="n"/>
      <c r="D702" s="32" t="n"/>
      <c r="E702" s="43">
        <f>IF(OR(A702="",B702=""),"",SUMPRODUCT(MAX(($B$6:$B$2005=B702)*($A$6:$A$2005&lt;A702)*$A$6:$A$2005)))</f>
        <v/>
      </c>
      <c r="F702" s="41">
        <f>IF(OR(E702="",E702=0),"",IFERROR(AVERAGEIFS($C$6:$C$2005,$B$6:$B$2005,B702,$A$6:$A$2005,E702),""))</f>
        <v/>
      </c>
      <c r="G702" s="34">
        <f>IF(F702="","",A702-E702)</f>
        <v/>
      </c>
      <c r="H702" s="42">
        <f>IF(OR(F702="",C702=""),"",IFERROR((C702-F702)/G702,""))</f>
        <v/>
      </c>
      <c r="I702" s="39">
        <f>IF(B702="","",IFERROR(INDEX('Animais'!$M$6:$M$1005,MATCH(B702,'Animais'!$A$6:$A$1005,0)),"Brinco não cadastrado"))</f>
        <v/>
      </c>
    </row>
    <row r="703">
      <c r="A703" s="31" t="n"/>
      <c r="B703" s="36" t="n"/>
      <c r="C703" s="38" t="n"/>
      <c r="D703" s="32" t="n"/>
      <c r="E703" s="43">
        <f>IF(OR(A703="",B703=""),"",SUMPRODUCT(MAX(($B$6:$B$2005=B703)*($A$6:$A$2005&lt;A703)*$A$6:$A$2005)))</f>
        <v/>
      </c>
      <c r="F703" s="41">
        <f>IF(OR(E703="",E703=0),"",IFERROR(AVERAGEIFS($C$6:$C$2005,$B$6:$B$2005,B703,$A$6:$A$2005,E703),""))</f>
        <v/>
      </c>
      <c r="G703" s="34">
        <f>IF(F703="","",A703-E703)</f>
        <v/>
      </c>
      <c r="H703" s="42">
        <f>IF(OR(F703="",C703=""),"",IFERROR((C703-F703)/G703,""))</f>
        <v/>
      </c>
      <c r="I703" s="39">
        <f>IF(B703="","",IFERROR(INDEX('Animais'!$M$6:$M$1005,MATCH(B703,'Animais'!$A$6:$A$1005,0)),"Brinco não cadastrado"))</f>
        <v/>
      </c>
    </row>
    <row r="704">
      <c r="A704" s="31" t="n"/>
      <c r="B704" s="36" t="n"/>
      <c r="C704" s="38" t="n"/>
      <c r="D704" s="32" t="n"/>
      <c r="E704" s="43">
        <f>IF(OR(A704="",B704=""),"",SUMPRODUCT(MAX(($B$6:$B$2005=B704)*($A$6:$A$2005&lt;A704)*$A$6:$A$2005)))</f>
        <v/>
      </c>
      <c r="F704" s="41">
        <f>IF(OR(E704="",E704=0),"",IFERROR(AVERAGEIFS($C$6:$C$2005,$B$6:$B$2005,B704,$A$6:$A$2005,E704),""))</f>
        <v/>
      </c>
      <c r="G704" s="34">
        <f>IF(F704="","",A704-E704)</f>
        <v/>
      </c>
      <c r="H704" s="42">
        <f>IF(OR(F704="",C704=""),"",IFERROR((C704-F704)/G704,""))</f>
        <v/>
      </c>
      <c r="I704" s="39">
        <f>IF(B704="","",IFERROR(INDEX('Animais'!$M$6:$M$1005,MATCH(B704,'Animais'!$A$6:$A$1005,0)),"Brinco não cadastrado"))</f>
        <v/>
      </c>
    </row>
    <row r="705">
      <c r="A705" s="31" t="n"/>
      <c r="B705" s="36" t="n"/>
      <c r="C705" s="38" t="n"/>
      <c r="D705" s="32" t="n"/>
      <c r="E705" s="43">
        <f>IF(OR(A705="",B705=""),"",SUMPRODUCT(MAX(($B$6:$B$2005=B705)*($A$6:$A$2005&lt;A705)*$A$6:$A$2005)))</f>
        <v/>
      </c>
      <c r="F705" s="41">
        <f>IF(OR(E705="",E705=0),"",IFERROR(AVERAGEIFS($C$6:$C$2005,$B$6:$B$2005,B705,$A$6:$A$2005,E705),""))</f>
        <v/>
      </c>
      <c r="G705" s="34">
        <f>IF(F705="","",A705-E705)</f>
        <v/>
      </c>
      <c r="H705" s="42">
        <f>IF(OR(F705="",C705=""),"",IFERROR((C705-F705)/G705,""))</f>
        <v/>
      </c>
      <c r="I705" s="39">
        <f>IF(B705="","",IFERROR(INDEX('Animais'!$M$6:$M$1005,MATCH(B705,'Animais'!$A$6:$A$1005,0)),"Brinco não cadastrado"))</f>
        <v/>
      </c>
    </row>
    <row r="706">
      <c r="A706" s="31" t="n"/>
      <c r="B706" s="36" t="n"/>
      <c r="C706" s="38" t="n"/>
      <c r="D706" s="32" t="n"/>
      <c r="E706" s="43">
        <f>IF(OR(A706="",B706=""),"",SUMPRODUCT(MAX(($B$6:$B$2005=B706)*($A$6:$A$2005&lt;A706)*$A$6:$A$2005)))</f>
        <v/>
      </c>
      <c r="F706" s="41">
        <f>IF(OR(E706="",E706=0),"",IFERROR(AVERAGEIFS($C$6:$C$2005,$B$6:$B$2005,B706,$A$6:$A$2005,E706),""))</f>
        <v/>
      </c>
      <c r="G706" s="34">
        <f>IF(F706="","",A706-E706)</f>
        <v/>
      </c>
      <c r="H706" s="42">
        <f>IF(OR(F706="",C706=""),"",IFERROR((C706-F706)/G706,""))</f>
        <v/>
      </c>
      <c r="I706" s="39">
        <f>IF(B706="","",IFERROR(INDEX('Animais'!$M$6:$M$1005,MATCH(B706,'Animais'!$A$6:$A$1005,0)),"Brinco não cadastrado"))</f>
        <v/>
      </c>
    </row>
    <row r="707">
      <c r="A707" s="31" t="n"/>
      <c r="B707" s="36" t="n"/>
      <c r="C707" s="38" t="n"/>
      <c r="D707" s="32" t="n"/>
      <c r="E707" s="43">
        <f>IF(OR(A707="",B707=""),"",SUMPRODUCT(MAX(($B$6:$B$2005=B707)*($A$6:$A$2005&lt;A707)*$A$6:$A$2005)))</f>
        <v/>
      </c>
      <c r="F707" s="41">
        <f>IF(OR(E707="",E707=0),"",IFERROR(AVERAGEIFS($C$6:$C$2005,$B$6:$B$2005,B707,$A$6:$A$2005,E707),""))</f>
        <v/>
      </c>
      <c r="G707" s="34">
        <f>IF(F707="","",A707-E707)</f>
        <v/>
      </c>
      <c r="H707" s="42">
        <f>IF(OR(F707="",C707=""),"",IFERROR((C707-F707)/G707,""))</f>
        <v/>
      </c>
      <c r="I707" s="39">
        <f>IF(B707="","",IFERROR(INDEX('Animais'!$M$6:$M$1005,MATCH(B707,'Animais'!$A$6:$A$1005,0)),"Brinco não cadastrado"))</f>
        <v/>
      </c>
    </row>
    <row r="708">
      <c r="A708" s="31" t="n"/>
      <c r="B708" s="36" t="n"/>
      <c r="C708" s="38" t="n"/>
      <c r="D708" s="32" t="n"/>
      <c r="E708" s="43">
        <f>IF(OR(A708="",B708=""),"",SUMPRODUCT(MAX(($B$6:$B$2005=B708)*($A$6:$A$2005&lt;A708)*$A$6:$A$2005)))</f>
        <v/>
      </c>
      <c r="F708" s="41">
        <f>IF(OR(E708="",E708=0),"",IFERROR(AVERAGEIFS($C$6:$C$2005,$B$6:$B$2005,B708,$A$6:$A$2005,E708),""))</f>
        <v/>
      </c>
      <c r="G708" s="34">
        <f>IF(F708="","",A708-E708)</f>
        <v/>
      </c>
      <c r="H708" s="42">
        <f>IF(OR(F708="",C708=""),"",IFERROR((C708-F708)/G708,""))</f>
        <v/>
      </c>
      <c r="I708" s="39">
        <f>IF(B708="","",IFERROR(INDEX('Animais'!$M$6:$M$1005,MATCH(B708,'Animais'!$A$6:$A$1005,0)),"Brinco não cadastrado"))</f>
        <v/>
      </c>
    </row>
    <row r="709">
      <c r="A709" s="31" t="n"/>
      <c r="B709" s="36" t="n"/>
      <c r="C709" s="38" t="n"/>
      <c r="D709" s="32" t="n"/>
      <c r="E709" s="43">
        <f>IF(OR(A709="",B709=""),"",SUMPRODUCT(MAX(($B$6:$B$2005=B709)*($A$6:$A$2005&lt;A709)*$A$6:$A$2005)))</f>
        <v/>
      </c>
      <c r="F709" s="41">
        <f>IF(OR(E709="",E709=0),"",IFERROR(AVERAGEIFS($C$6:$C$2005,$B$6:$B$2005,B709,$A$6:$A$2005,E709),""))</f>
        <v/>
      </c>
      <c r="G709" s="34">
        <f>IF(F709="","",A709-E709)</f>
        <v/>
      </c>
      <c r="H709" s="42">
        <f>IF(OR(F709="",C709=""),"",IFERROR((C709-F709)/G709,""))</f>
        <v/>
      </c>
      <c r="I709" s="39">
        <f>IF(B709="","",IFERROR(INDEX('Animais'!$M$6:$M$1005,MATCH(B709,'Animais'!$A$6:$A$1005,0)),"Brinco não cadastrado"))</f>
        <v/>
      </c>
    </row>
    <row r="710">
      <c r="A710" s="31" t="n"/>
      <c r="B710" s="36" t="n"/>
      <c r="C710" s="38" t="n"/>
      <c r="D710" s="32" t="n"/>
      <c r="E710" s="43">
        <f>IF(OR(A710="",B710=""),"",SUMPRODUCT(MAX(($B$6:$B$2005=B710)*($A$6:$A$2005&lt;A710)*$A$6:$A$2005)))</f>
        <v/>
      </c>
      <c r="F710" s="41">
        <f>IF(OR(E710="",E710=0),"",IFERROR(AVERAGEIFS($C$6:$C$2005,$B$6:$B$2005,B710,$A$6:$A$2005,E710),""))</f>
        <v/>
      </c>
      <c r="G710" s="34">
        <f>IF(F710="","",A710-E710)</f>
        <v/>
      </c>
      <c r="H710" s="42">
        <f>IF(OR(F710="",C710=""),"",IFERROR((C710-F710)/G710,""))</f>
        <v/>
      </c>
      <c r="I710" s="39">
        <f>IF(B710="","",IFERROR(INDEX('Animais'!$M$6:$M$1005,MATCH(B710,'Animais'!$A$6:$A$1005,0)),"Brinco não cadastrado"))</f>
        <v/>
      </c>
    </row>
    <row r="711">
      <c r="A711" s="31" t="n"/>
      <c r="B711" s="36" t="n"/>
      <c r="C711" s="38" t="n"/>
      <c r="D711" s="32" t="n"/>
      <c r="E711" s="43">
        <f>IF(OR(A711="",B711=""),"",SUMPRODUCT(MAX(($B$6:$B$2005=B711)*($A$6:$A$2005&lt;A711)*$A$6:$A$2005)))</f>
        <v/>
      </c>
      <c r="F711" s="41">
        <f>IF(OR(E711="",E711=0),"",IFERROR(AVERAGEIFS($C$6:$C$2005,$B$6:$B$2005,B711,$A$6:$A$2005,E711),""))</f>
        <v/>
      </c>
      <c r="G711" s="34">
        <f>IF(F711="","",A711-E711)</f>
        <v/>
      </c>
      <c r="H711" s="42">
        <f>IF(OR(F711="",C711=""),"",IFERROR((C711-F711)/G711,""))</f>
        <v/>
      </c>
      <c r="I711" s="39">
        <f>IF(B711="","",IFERROR(INDEX('Animais'!$M$6:$M$1005,MATCH(B711,'Animais'!$A$6:$A$1005,0)),"Brinco não cadastrado"))</f>
        <v/>
      </c>
    </row>
    <row r="712">
      <c r="A712" s="31" t="n"/>
      <c r="B712" s="36" t="n"/>
      <c r="C712" s="38" t="n"/>
      <c r="D712" s="32" t="n"/>
      <c r="E712" s="43">
        <f>IF(OR(A712="",B712=""),"",SUMPRODUCT(MAX(($B$6:$B$2005=B712)*($A$6:$A$2005&lt;A712)*$A$6:$A$2005)))</f>
        <v/>
      </c>
      <c r="F712" s="41">
        <f>IF(OR(E712="",E712=0),"",IFERROR(AVERAGEIFS($C$6:$C$2005,$B$6:$B$2005,B712,$A$6:$A$2005,E712),""))</f>
        <v/>
      </c>
      <c r="G712" s="34">
        <f>IF(F712="","",A712-E712)</f>
        <v/>
      </c>
      <c r="H712" s="42">
        <f>IF(OR(F712="",C712=""),"",IFERROR((C712-F712)/G712,""))</f>
        <v/>
      </c>
      <c r="I712" s="39">
        <f>IF(B712="","",IFERROR(INDEX('Animais'!$M$6:$M$1005,MATCH(B712,'Animais'!$A$6:$A$1005,0)),"Brinco não cadastrado"))</f>
        <v/>
      </c>
    </row>
    <row r="713">
      <c r="A713" s="31" t="n"/>
      <c r="B713" s="36" t="n"/>
      <c r="C713" s="38" t="n"/>
      <c r="D713" s="32" t="n"/>
      <c r="E713" s="43">
        <f>IF(OR(A713="",B713=""),"",SUMPRODUCT(MAX(($B$6:$B$2005=B713)*($A$6:$A$2005&lt;A713)*$A$6:$A$2005)))</f>
        <v/>
      </c>
      <c r="F713" s="41">
        <f>IF(OR(E713="",E713=0),"",IFERROR(AVERAGEIFS($C$6:$C$2005,$B$6:$B$2005,B713,$A$6:$A$2005,E713),""))</f>
        <v/>
      </c>
      <c r="G713" s="34">
        <f>IF(F713="","",A713-E713)</f>
        <v/>
      </c>
      <c r="H713" s="42">
        <f>IF(OR(F713="",C713=""),"",IFERROR((C713-F713)/G713,""))</f>
        <v/>
      </c>
      <c r="I713" s="39">
        <f>IF(B713="","",IFERROR(INDEX('Animais'!$M$6:$M$1005,MATCH(B713,'Animais'!$A$6:$A$1005,0)),"Brinco não cadastrado"))</f>
        <v/>
      </c>
    </row>
    <row r="714">
      <c r="A714" s="31" t="n"/>
      <c r="B714" s="36" t="n"/>
      <c r="C714" s="38" t="n"/>
      <c r="D714" s="32" t="n"/>
      <c r="E714" s="43">
        <f>IF(OR(A714="",B714=""),"",SUMPRODUCT(MAX(($B$6:$B$2005=B714)*($A$6:$A$2005&lt;A714)*$A$6:$A$2005)))</f>
        <v/>
      </c>
      <c r="F714" s="41">
        <f>IF(OR(E714="",E714=0),"",IFERROR(AVERAGEIFS($C$6:$C$2005,$B$6:$B$2005,B714,$A$6:$A$2005,E714),""))</f>
        <v/>
      </c>
      <c r="G714" s="34">
        <f>IF(F714="","",A714-E714)</f>
        <v/>
      </c>
      <c r="H714" s="42">
        <f>IF(OR(F714="",C714=""),"",IFERROR((C714-F714)/G714,""))</f>
        <v/>
      </c>
      <c r="I714" s="39">
        <f>IF(B714="","",IFERROR(INDEX('Animais'!$M$6:$M$1005,MATCH(B714,'Animais'!$A$6:$A$1005,0)),"Brinco não cadastrado"))</f>
        <v/>
      </c>
    </row>
    <row r="715">
      <c r="A715" s="31" t="n"/>
      <c r="B715" s="36" t="n"/>
      <c r="C715" s="38" t="n"/>
      <c r="D715" s="32" t="n"/>
      <c r="E715" s="43">
        <f>IF(OR(A715="",B715=""),"",SUMPRODUCT(MAX(($B$6:$B$2005=B715)*($A$6:$A$2005&lt;A715)*$A$6:$A$2005)))</f>
        <v/>
      </c>
      <c r="F715" s="41">
        <f>IF(OR(E715="",E715=0),"",IFERROR(AVERAGEIFS($C$6:$C$2005,$B$6:$B$2005,B715,$A$6:$A$2005,E715),""))</f>
        <v/>
      </c>
      <c r="G715" s="34">
        <f>IF(F715="","",A715-E715)</f>
        <v/>
      </c>
      <c r="H715" s="42">
        <f>IF(OR(F715="",C715=""),"",IFERROR((C715-F715)/G715,""))</f>
        <v/>
      </c>
      <c r="I715" s="39">
        <f>IF(B715="","",IFERROR(INDEX('Animais'!$M$6:$M$1005,MATCH(B715,'Animais'!$A$6:$A$1005,0)),"Brinco não cadastrado"))</f>
        <v/>
      </c>
    </row>
    <row r="716">
      <c r="A716" s="31" t="n"/>
      <c r="B716" s="36" t="n"/>
      <c r="C716" s="38" t="n"/>
      <c r="D716" s="32" t="n"/>
      <c r="E716" s="43">
        <f>IF(OR(A716="",B716=""),"",SUMPRODUCT(MAX(($B$6:$B$2005=B716)*($A$6:$A$2005&lt;A716)*$A$6:$A$2005)))</f>
        <v/>
      </c>
      <c r="F716" s="41">
        <f>IF(OR(E716="",E716=0),"",IFERROR(AVERAGEIFS($C$6:$C$2005,$B$6:$B$2005,B716,$A$6:$A$2005,E716),""))</f>
        <v/>
      </c>
      <c r="G716" s="34">
        <f>IF(F716="","",A716-E716)</f>
        <v/>
      </c>
      <c r="H716" s="42">
        <f>IF(OR(F716="",C716=""),"",IFERROR((C716-F716)/G716,""))</f>
        <v/>
      </c>
      <c r="I716" s="39">
        <f>IF(B716="","",IFERROR(INDEX('Animais'!$M$6:$M$1005,MATCH(B716,'Animais'!$A$6:$A$1005,0)),"Brinco não cadastrado"))</f>
        <v/>
      </c>
    </row>
    <row r="717">
      <c r="A717" s="31" t="n"/>
      <c r="B717" s="36" t="n"/>
      <c r="C717" s="38" t="n"/>
      <c r="D717" s="32" t="n"/>
      <c r="E717" s="43">
        <f>IF(OR(A717="",B717=""),"",SUMPRODUCT(MAX(($B$6:$B$2005=B717)*($A$6:$A$2005&lt;A717)*$A$6:$A$2005)))</f>
        <v/>
      </c>
      <c r="F717" s="41">
        <f>IF(OR(E717="",E717=0),"",IFERROR(AVERAGEIFS($C$6:$C$2005,$B$6:$B$2005,B717,$A$6:$A$2005,E717),""))</f>
        <v/>
      </c>
      <c r="G717" s="34">
        <f>IF(F717="","",A717-E717)</f>
        <v/>
      </c>
      <c r="H717" s="42">
        <f>IF(OR(F717="",C717=""),"",IFERROR((C717-F717)/G717,""))</f>
        <v/>
      </c>
      <c r="I717" s="39">
        <f>IF(B717="","",IFERROR(INDEX('Animais'!$M$6:$M$1005,MATCH(B717,'Animais'!$A$6:$A$1005,0)),"Brinco não cadastrado"))</f>
        <v/>
      </c>
    </row>
    <row r="718">
      <c r="A718" s="31" t="n"/>
      <c r="B718" s="36" t="n"/>
      <c r="C718" s="38" t="n"/>
      <c r="D718" s="32" t="n"/>
      <c r="E718" s="43">
        <f>IF(OR(A718="",B718=""),"",SUMPRODUCT(MAX(($B$6:$B$2005=B718)*($A$6:$A$2005&lt;A718)*$A$6:$A$2005)))</f>
        <v/>
      </c>
      <c r="F718" s="41">
        <f>IF(OR(E718="",E718=0),"",IFERROR(AVERAGEIFS($C$6:$C$2005,$B$6:$B$2005,B718,$A$6:$A$2005,E718),""))</f>
        <v/>
      </c>
      <c r="G718" s="34">
        <f>IF(F718="","",A718-E718)</f>
        <v/>
      </c>
      <c r="H718" s="42">
        <f>IF(OR(F718="",C718=""),"",IFERROR((C718-F718)/G718,""))</f>
        <v/>
      </c>
      <c r="I718" s="39">
        <f>IF(B718="","",IFERROR(INDEX('Animais'!$M$6:$M$1005,MATCH(B718,'Animais'!$A$6:$A$1005,0)),"Brinco não cadastrado"))</f>
        <v/>
      </c>
    </row>
    <row r="719">
      <c r="A719" s="31" t="n"/>
      <c r="B719" s="36" t="n"/>
      <c r="C719" s="38" t="n"/>
      <c r="D719" s="32" t="n"/>
      <c r="E719" s="43">
        <f>IF(OR(A719="",B719=""),"",SUMPRODUCT(MAX(($B$6:$B$2005=B719)*($A$6:$A$2005&lt;A719)*$A$6:$A$2005)))</f>
        <v/>
      </c>
      <c r="F719" s="41">
        <f>IF(OR(E719="",E719=0),"",IFERROR(AVERAGEIFS($C$6:$C$2005,$B$6:$B$2005,B719,$A$6:$A$2005,E719),""))</f>
        <v/>
      </c>
      <c r="G719" s="34">
        <f>IF(F719="","",A719-E719)</f>
        <v/>
      </c>
      <c r="H719" s="42">
        <f>IF(OR(F719="",C719=""),"",IFERROR((C719-F719)/G719,""))</f>
        <v/>
      </c>
      <c r="I719" s="39">
        <f>IF(B719="","",IFERROR(INDEX('Animais'!$M$6:$M$1005,MATCH(B719,'Animais'!$A$6:$A$1005,0)),"Brinco não cadastrado"))</f>
        <v/>
      </c>
    </row>
    <row r="720">
      <c r="A720" s="31" t="n"/>
      <c r="B720" s="36" t="n"/>
      <c r="C720" s="38" t="n"/>
      <c r="D720" s="32" t="n"/>
      <c r="E720" s="43">
        <f>IF(OR(A720="",B720=""),"",SUMPRODUCT(MAX(($B$6:$B$2005=B720)*($A$6:$A$2005&lt;A720)*$A$6:$A$2005)))</f>
        <v/>
      </c>
      <c r="F720" s="41">
        <f>IF(OR(E720="",E720=0),"",IFERROR(AVERAGEIFS($C$6:$C$2005,$B$6:$B$2005,B720,$A$6:$A$2005,E720),""))</f>
        <v/>
      </c>
      <c r="G720" s="34">
        <f>IF(F720="","",A720-E720)</f>
        <v/>
      </c>
      <c r="H720" s="42">
        <f>IF(OR(F720="",C720=""),"",IFERROR((C720-F720)/G720,""))</f>
        <v/>
      </c>
      <c r="I720" s="39">
        <f>IF(B720="","",IFERROR(INDEX('Animais'!$M$6:$M$1005,MATCH(B720,'Animais'!$A$6:$A$1005,0)),"Brinco não cadastrado"))</f>
        <v/>
      </c>
    </row>
    <row r="721">
      <c r="A721" s="31" t="n"/>
      <c r="B721" s="36" t="n"/>
      <c r="C721" s="38" t="n"/>
      <c r="D721" s="32" t="n"/>
      <c r="E721" s="43">
        <f>IF(OR(A721="",B721=""),"",SUMPRODUCT(MAX(($B$6:$B$2005=B721)*($A$6:$A$2005&lt;A721)*$A$6:$A$2005)))</f>
        <v/>
      </c>
      <c r="F721" s="41">
        <f>IF(OR(E721="",E721=0),"",IFERROR(AVERAGEIFS($C$6:$C$2005,$B$6:$B$2005,B721,$A$6:$A$2005,E721),""))</f>
        <v/>
      </c>
      <c r="G721" s="34">
        <f>IF(F721="","",A721-E721)</f>
        <v/>
      </c>
      <c r="H721" s="42">
        <f>IF(OR(F721="",C721=""),"",IFERROR((C721-F721)/G721,""))</f>
        <v/>
      </c>
      <c r="I721" s="39">
        <f>IF(B721="","",IFERROR(INDEX('Animais'!$M$6:$M$1005,MATCH(B721,'Animais'!$A$6:$A$1005,0)),"Brinco não cadastrado"))</f>
        <v/>
      </c>
    </row>
    <row r="722">
      <c r="A722" s="31" t="n"/>
      <c r="B722" s="36" t="n"/>
      <c r="C722" s="38" t="n"/>
      <c r="D722" s="32" t="n"/>
      <c r="E722" s="43">
        <f>IF(OR(A722="",B722=""),"",SUMPRODUCT(MAX(($B$6:$B$2005=B722)*($A$6:$A$2005&lt;A722)*$A$6:$A$2005)))</f>
        <v/>
      </c>
      <c r="F722" s="41">
        <f>IF(OR(E722="",E722=0),"",IFERROR(AVERAGEIFS($C$6:$C$2005,$B$6:$B$2005,B722,$A$6:$A$2005,E722),""))</f>
        <v/>
      </c>
      <c r="G722" s="34">
        <f>IF(F722="","",A722-E722)</f>
        <v/>
      </c>
      <c r="H722" s="42">
        <f>IF(OR(F722="",C722=""),"",IFERROR((C722-F722)/G722,""))</f>
        <v/>
      </c>
      <c r="I722" s="39">
        <f>IF(B722="","",IFERROR(INDEX('Animais'!$M$6:$M$1005,MATCH(B722,'Animais'!$A$6:$A$1005,0)),"Brinco não cadastrado"))</f>
        <v/>
      </c>
    </row>
    <row r="723">
      <c r="A723" s="31" t="n"/>
      <c r="B723" s="36" t="n"/>
      <c r="C723" s="38" t="n"/>
      <c r="D723" s="32" t="n"/>
      <c r="E723" s="43">
        <f>IF(OR(A723="",B723=""),"",SUMPRODUCT(MAX(($B$6:$B$2005=B723)*($A$6:$A$2005&lt;A723)*$A$6:$A$2005)))</f>
        <v/>
      </c>
      <c r="F723" s="41">
        <f>IF(OR(E723="",E723=0),"",IFERROR(AVERAGEIFS($C$6:$C$2005,$B$6:$B$2005,B723,$A$6:$A$2005,E723),""))</f>
        <v/>
      </c>
      <c r="G723" s="34">
        <f>IF(F723="","",A723-E723)</f>
        <v/>
      </c>
      <c r="H723" s="42">
        <f>IF(OR(F723="",C723=""),"",IFERROR((C723-F723)/G723,""))</f>
        <v/>
      </c>
      <c r="I723" s="39">
        <f>IF(B723="","",IFERROR(INDEX('Animais'!$M$6:$M$1005,MATCH(B723,'Animais'!$A$6:$A$1005,0)),"Brinco não cadastrado"))</f>
        <v/>
      </c>
    </row>
    <row r="724">
      <c r="A724" s="31" t="n"/>
      <c r="B724" s="36" t="n"/>
      <c r="C724" s="38" t="n"/>
      <c r="D724" s="32" t="n"/>
      <c r="E724" s="43">
        <f>IF(OR(A724="",B724=""),"",SUMPRODUCT(MAX(($B$6:$B$2005=B724)*($A$6:$A$2005&lt;A724)*$A$6:$A$2005)))</f>
        <v/>
      </c>
      <c r="F724" s="41">
        <f>IF(OR(E724="",E724=0),"",IFERROR(AVERAGEIFS($C$6:$C$2005,$B$6:$B$2005,B724,$A$6:$A$2005,E724),""))</f>
        <v/>
      </c>
      <c r="G724" s="34">
        <f>IF(F724="","",A724-E724)</f>
        <v/>
      </c>
      <c r="H724" s="42">
        <f>IF(OR(F724="",C724=""),"",IFERROR((C724-F724)/G724,""))</f>
        <v/>
      </c>
      <c r="I724" s="39">
        <f>IF(B724="","",IFERROR(INDEX('Animais'!$M$6:$M$1005,MATCH(B724,'Animais'!$A$6:$A$1005,0)),"Brinco não cadastrado"))</f>
        <v/>
      </c>
    </row>
    <row r="725">
      <c r="A725" s="31" t="n"/>
      <c r="B725" s="36" t="n"/>
      <c r="C725" s="38" t="n"/>
      <c r="D725" s="32" t="n"/>
      <c r="E725" s="43">
        <f>IF(OR(A725="",B725=""),"",SUMPRODUCT(MAX(($B$6:$B$2005=B725)*($A$6:$A$2005&lt;A725)*$A$6:$A$2005)))</f>
        <v/>
      </c>
      <c r="F725" s="41">
        <f>IF(OR(E725="",E725=0),"",IFERROR(AVERAGEIFS($C$6:$C$2005,$B$6:$B$2005,B725,$A$6:$A$2005,E725),""))</f>
        <v/>
      </c>
      <c r="G725" s="34">
        <f>IF(F725="","",A725-E725)</f>
        <v/>
      </c>
      <c r="H725" s="42">
        <f>IF(OR(F725="",C725=""),"",IFERROR((C725-F725)/G725,""))</f>
        <v/>
      </c>
      <c r="I725" s="39">
        <f>IF(B725="","",IFERROR(INDEX('Animais'!$M$6:$M$1005,MATCH(B725,'Animais'!$A$6:$A$1005,0)),"Brinco não cadastrado"))</f>
        <v/>
      </c>
    </row>
    <row r="726">
      <c r="A726" s="31" t="n"/>
      <c r="B726" s="36" t="n"/>
      <c r="C726" s="38" t="n"/>
      <c r="D726" s="32" t="n"/>
      <c r="E726" s="43">
        <f>IF(OR(A726="",B726=""),"",SUMPRODUCT(MAX(($B$6:$B$2005=B726)*($A$6:$A$2005&lt;A726)*$A$6:$A$2005)))</f>
        <v/>
      </c>
      <c r="F726" s="41">
        <f>IF(OR(E726="",E726=0),"",IFERROR(AVERAGEIFS($C$6:$C$2005,$B$6:$B$2005,B726,$A$6:$A$2005,E726),""))</f>
        <v/>
      </c>
      <c r="G726" s="34">
        <f>IF(F726="","",A726-E726)</f>
        <v/>
      </c>
      <c r="H726" s="42">
        <f>IF(OR(F726="",C726=""),"",IFERROR((C726-F726)/G726,""))</f>
        <v/>
      </c>
      <c r="I726" s="39">
        <f>IF(B726="","",IFERROR(INDEX('Animais'!$M$6:$M$1005,MATCH(B726,'Animais'!$A$6:$A$1005,0)),"Brinco não cadastrado"))</f>
        <v/>
      </c>
    </row>
    <row r="727">
      <c r="A727" s="31" t="n"/>
      <c r="B727" s="36" t="n"/>
      <c r="C727" s="38" t="n"/>
      <c r="D727" s="32" t="n"/>
      <c r="E727" s="43">
        <f>IF(OR(A727="",B727=""),"",SUMPRODUCT(MAX(($B$6:$B$2005=B727)*($A$6:$A$2005&lt;A727)*$A$6:$A$2005)))</f>
        <v/>
      </c>
      <c r="F727" s="41">
        <f>IF(OR(E727="",E727=0),"",IFERROR(AVERAGEIFS($C$6:$C$2005,$B$6:$B$2005,B727,$A$6:$A$2005,E727),""))</f>
        <v/>
      </c>
      <c r="G727" s="34">
        <f>IF(F727="","",A727-E727)</f>
        <v/>
      </c>
      <c r="H727" s="42">
        <f>IF(OR(F727="",C727=""),"",IFERROR((C727-F727)/G727,""))</f>
        <v/>
      </c>
      <c r="I727" s="39">
        <f>IF(B727="","",IFERROR(INDEX('Animais'!$M$6:$M$1005,MATCH(B727,'Animais'!$A$6:$A$1005,0)),"Brinco não cadastrado"))</f>
        <v/>
      </c>
    </row>
    <row r="728">
      <c r="A728" s="31" t="n"/>
      <c r="B728" s="36" t="n"/>
      <c r="C728" s="38" t="n"/>
      <c r="D728" s="32" t="n"/>
      <c r="E728" s="43">
        <f>IF(OR(A728="",B728=""),"",SUMPRODUCT(MAX(($B$6:$B$2005=B728)*($A$6:$A$2005&lt;A728)*$A$6:$A$2005)))</f>
        <v/>
      </c>
      <c r="F728" s="41">
        <f>IF(OR(E728="",E728=0),"",IFERROR(AVERAGEIFS($C$6:$C$2005,$B$6:$B$2005,B728,$A$6:$A$2005,E728),""))</f>
        <v/>
      </c>
      <c r="G728" s="34">
        <f>IF(F728="","",A728-E728)</f>
        <v/>
      </c>
      <c r="H728" s="42">
        <f>IF(OR(F728="",C728=""),"",IFERROR((C728-F728)/G728,""))</f>
        <v/>
      </c>
      <c r="I728" s="39">
        <f>IF(B728="","",IFERROR(INDEX('Animais'!$M$6:$M$1005,MATCH(B728,'Animais'!$A$6:$A$1005,0)),"Brinco não cadastrado"))</f>
        <v/>
      </c>
    </row>
    <row r="729">
      <c r="A729" s="31" t="n"/>
      <c r="B729" s="36" t="n"/>
      <c r="C729" s="38" t="n"/>
      <c r="D729" s="32" t="n"/>
      <c r="E729" s="43">
        <f>IF(OR(A729="",B729=""),"",SUMPRODUCT(MAX(($B$6:$B$2005=B729)*($A$6:$A$2005&lt;A729)*$A$6:$A$2005)))</f>
        <v/>
      </c>
      <c r="F729" s="41">
        <f>IF(OR(E729="",E729=0),"",IFERROR(AVERAGEIFS($C$6:$C$2005,$B$6:$B$2005,B729,$A$6:$A$2005,E729),""))</f>
        <v/>
      </c>
      <c r="G729" s="34">
        <f>IF(F729="","",A729-E729)</f>
        <v/>
      </c>
      <c r="H729" s="42">
        <f>IF(OR(F729="",C729=""),"",IFERROR((C729-F729)/G729,""))</f>
        <v/>
      </c>
      <c r="I729" s="39">
        <f>IF(B729="","",IFERROR(INDEX('Animais'!$M$6:$M$1005,MATCH(B729,'Animais'!$A$6:$A$1005,0)),"Brinco não cadastrado"))</f>
        <v/>
      </c>
    </row>
    <row r="730">
      <c r="A730" s="31" t="n"/>
      <c r="B730" s="36" t="n"/>
      <c r="C730" s="38" t="n"/>
      <c r="D730" s="32" t="n"/>
      <c r="E730" s="43">
        <f>IF(OR(A730="",B730=""),"",SUMPRODUCT(MAX(($B$6:$B$2005=B730)*($A$6:$A$2005&lt;A730)*$A$6:$A$2005)))</f>
        <v/>
      </c>
      <c r="F730" s="41">
        <f>IF(OR(E730="",E730=0),"",IFERROR(AVERAGEIFS($C$6:$C$2005,$B$6:$B$2005,B730,$A$6:$A$2005,E730),""))</f>
        <v/>
      </c>
      <c r="G730" s="34">
        <f>IF(F730="","",A730-E730)</f>
        <v/>
      </c>
      <c r="H730" s="42">
        <f>IF(OR(F730="",C730=""),"",IFERROR((C730-F730)/G730,""))</f>
        <v/>
      </c>
      <c r="I730" s="39">
        <f>IF(B730="","",IFERROR(INDEX('Animais'!$M$6:$M$1005,MATCH(B730,'Animais'!$A$6:$A$1005,0)),"Brinco não cadastrado"))</f>
        <v/>
      </c>
    </row>
    <row r="731">
      <c r="A731" s="31" t="n"/>
      <c r="B731" s="36" t="n"/>
      <c r="C731" s="38" t="n"/>
      <c r="D731" s="32" t="n"/>
      <c r="E731" s="43">
        <f>IF(OR(A731="",B731=""),"",SUMPRODUCT(MAX(($B$6:$B$2005=B731)*($A$6:$A$2005&lt;A731)*$A$6:$A$2005)))</f>
        <v/>
      </c>
      <c r="F731" s="41">
        <f>IF(OR(E731="",E731=0),"",IFERROR(AVERAGEIFS($C$6:$C$2005,$B$6:$B$2005,B731,$A$6:$A$2005,E731),""))</f>
        <v/>
      </c>
      <c r="G731" s="34">
        <f>IF(F731="","",A731-E731)</f>
        <v/>
      </c>
      <c r="H731" s="42">
        <f>IF(OR(F731="",C731=""),"",IFERROR((C731-F731)/G731,""))</f>
        <v/>
      </c>
      <c r="I731" s="39">
        <f>IF(B731="","",IFERROR(INDEX('Animais'!$M$6:$M$1005,MATCH(B731,'Animais'!$A$6:$A$1005,0)),"Brinco não cadastrado"))</f>
        <v/>
      </c>
    </row>
    <row r="732">
      <c r="A732" s="31" t="n"/>
      <c r="B732" s="36" t="n"/>
      <c r="C732" s="38" t="n"/>
      <c r="D732" s="32" t="n"/>
      <c r="E732" s="43">
        <f>IF(OR(A732="",B732=""),"",SUMPRODUCT(MAX(($B$6:$B$2005=B732)*($A$6:$A$2005&lt;A732)*$A$6:$A$2005)))</f>
        <v/>
      </c>
      <c r="F732" s="41">
        <f>IF(OR(E732="",E732=0),"",IFERROR(AVERAGEIFS($C$6:$C$2005,$B$6:$B$2005,B732,$A$6:$A$2005,E732),""))</f>
        <v/>
      </c>
      <c r="G732" s="34">
        <f>IF(F732="","",A732-E732)</f>
        <v/>
      </c>
      <c r="H732" s="42">
        <f>IF(OR(F732="",C732=""),"",IFERROR((C732-F732)/G732,""))</f>
        <v/>
      </c>
      <c r="I732" s="39">
        <f>IF(B732="","",IFERROR(INDEX('Animais'!$M$6:$M$1005,MATCH(B732,'Animais'!$A$6:$A$1005,0)),"Brinco não cadastrado"))</f>
        <v/>
      </c>
    </row>
    <row r="733">
      <c r="A733" s="31" t="n"/>
      <c r="B733" s="36" t="n"/>
      <c r="C733" s="38" t="n"/>
      <c r="D733" s="32" t="n"/>
      <c r="E733" s="43">
        <f>IF(OR(A733="",B733=""),"",SUMPRODUCT(MAX(($B$6:$B$2005=B733)*($A$6:$A$2005&lt;A733)*$A$6:$A$2005)))</f>
        <v/>
      </c>
      <c r="F733" s="41">
        <f>IF(OR(E733="",E733=0),"",IFERROR(AVERAGEIFS($C$6:$C$2005,$B$6:$B$2005,B733,$A$6:$A$2005,E733),""))</f>
        <v/>
      </c>
      <c r="G733" s="34">
        <f>IF(F733="","",A733-E733)</f>
        <v/>
      </c>
      <c r="H733" s="42">
        <f>IF(OR(F733="",C733=""),"",IFERROR((C733-F733)/G733,""))</f>
        <v/>
      </c>
      <c r="I733" s="39">
        <f>IF(B733="","",IFERROR(INDEX('Animais'!$M$6:$M$1005,MATCH(B733,'Animais'!$A$6:$A$1005,0)),"Brinco não cadastrado"))</f>
        <v/>
      </c>
    </row>
    <row r="734">
      <c r="A734" s="31" t="n"/>
      <c r="B734" s="36" t="n"/>
      <c r="C734" s="38" t="n"/>
      <c r="D734" s="32" t="n"/>
      <c r="E734" s="43">
        <f>IF(OR(A734="",B734=""),"",SUMPRODUCT(MAX(($B$6:$B$2005=B734)*($A$6:$A$2005&lt;A734)*$A$6:$A$2005)))</f>
        <v/>
      </c>
      <c r="F734" s="41">
        <f>IF(OR(E734="",E734=0),"",IFERROR(AVERAGEIFS($C$6:$C$2005,$B$6:$B$2005,B734,$A$6:$A$2005,E734),""))</f>
        <v/>
      </c>
      <c r="G734" s="34">
        <f>IF(F734="","",A734-E734)</f>
        <v/>
      </c>
      <c r="H734" s="42">
        <f>IF(OR(F734="",C734=""),"",IFERROR((C734-F734)/G734,""))</f>
        <v/>
      </c>
      <c r="I734" s="39">
        <f>IF(B734="","",IFERROR(INDEX('Animais'!$M$6:$M$1005,MATCH(B734,'Animais'!$A$6:$A$1005,0)),"Brinco não cadastrado"))</f>
        <v/>
      </c>
    </row>
    <row r="735">
      <c r="A735" s="31" t="n"/>
      <c r="B735" s="36" t="n"/>
      <c r="C735" s="38" t="n"/>
      <c r="D735" s="32" t="n"/>
      <c r="E735" s="43">
        <f>IF(OR(A735="",B735=""),"",SUMPRODUCT(MAX(($B$6:$B$2005=B735)*($A$6:$A$2005&lt;A735)*$A$6:$A$2005)))</f>
        <v/>
      </c>
      <c r="F735" s="41">
        <f>IF(OR(E735="",E735=0),"",IFERROR(AVERAGEIFS($C$6:$C$2005,$B$6:$B$2005,B735,$A$6:$A$2005,E735),""))</f>
        <v/>
      </c>
      <c r="G735" s="34">
        <f>IF(F735="","",A735-E735)</f>
        <v/>
      </c>
      <c r="H735" s="42">
        <f>IF(OR(F735="",C735=""),"",IFERROR((C735-F735)/G735,""))</f>
        <v/>
      </c>
      <c r="I735" s="39">
        <f>IF(B735="","",IFERROR(INDEX('Animais'!$M$6:$M$1005,MATCH(B735,'Animais'!$A$6:$A$1005,0)),"Brinco não cadastrado"))</f>
        <v/>
      </c>
    </row>
    <row r="736">
      <c r="A736" s="31" t="n"/>
      <c r="B736" s="36" t="n"/>
      <c r="C736" s="38" t="n"/>
      <c r="D736" s="32" t="n"/>
      <c r="E736" s="43">
        <f>IF(OR(A736="",B736=""),"",SUMPRODUCT(MAX(($B$6:$B$2005=B736)*($A$6:$A$2005&lt;A736)*$A$6:$A$2005)))</f>
        <v/>
      </c>
      <c r="F736" s="41">
        <f>IF(OR(E736="",E736=0),"",IFERROR(AVERAGEIFS($C$6:$C$2005,$B$6:$B$2005,B736,$A$6:$A$2005,E736),""))</f>
        <v/>
      </c>
      <c r="G736" s="34">
        <f>IF(F736="","",A736-E736)</f>
        <v/>
      </c>
      <c r="H736" s="42">
        <f>IF(OR(F736="",C736=""),"",IFERROR((C736-F736)/G736,""))</f>
        <v/>
      </c>
      <c r="I736" s="39">
        <f>IF(B736="","",IFERROR(INDEX('Animais'!$M$6:$M$1005,MATCH(B736,'Animais'!$A$6:$A$1005,0)),"Brinco não cadastrado"))</f>
        <v/>
      </c>
    </row>
    <row r="737">
      <c r="A737" s="31" t="n"/>
      <c r="B737" s="36" t="n"/>
      <c r="C737" s="38" t="n"/>
      <c r="D737" s="32" t="n"/>
      <c r="E737" s="43">
        <f>IF(OR(A737="",B737=""),"",SUMPRODUCT(MAX(($B$6:$B$2005=B737)*($A$6:$A$2005&lt;A737)*$A$6:$A$2005)))</f>
        <v/>
      </c>
      <c r="F737" s="41">
        <f>IF(OR(E737="",E737=0),"",IFERROR(AVERAGEIFS($C$6:$C$2005,$B$6:$B$2005,B737,$A$6:$A$2005,E737),""))</f>
        <v/>
      </c>
      <c r="G737" s="34">
        <f>IF(F737="","",A737-E737)</f>
        <v/>
      </c>
      <c r="H737" s="42">
        <f>IF(OR(F737="",C737=""),"",IFERROR((C737-F737)/G737,""))</f>
        <v/>
      </c>
      <c r="I737" s="39">
        <f>IF(B737="","",IFERROR(INDEX('Animais'!$M$6:$M$1005,MATCH(B737,'Animais'!$A$6:$A$1005,0)),"Brinco não cadastrado"))</f>
        <v/>
      </c>
    </row>
    <row r="738">
      <c r="A738" s="31" t="n"/>
      <c r="B738" s="36" t="n"/>
      <c r="C738" s="38" t="n"/>
      <c r="D738" s="32" t="n"/>
      <c r="E738" s="43">
        <f>IF(OR(A738="",B738=""),"",SUMPRODUCT(MAX(($B$6:$B$2005=B738)*($A$6:$A$2005&lt;A738)*$A$6:$A$2005)))</f>
        <v/>
      </c>
      <c r="F738" s="41">
        <f>IF(OR(E738="",E738=0),"",IFERROR(AVERAGEIFS($C$6:$C$2005,$B$6:$B$2005,B738,$A$6:$A$2005,E738),""))</f>
        <v/>
      </c>
      <c r="G738" s="34">
        <f>IF(F738="","",A738-E738)</f>
        <v/>
      </c>
      <c r="H738" s="42">
        <f>IF(OR(F738="",C738=""),"",IFERROR((C738-F738)/G738,""))</f>
        <v/>
      </c>
      <c r="I738" s="39">
        <f>IF(B738="","",IFERROR(INDEX('Animais'!$M$6:$M$1005,MATCH(B738,'Animais'!$A$6:$A$1005,0)),"Brinco não cadastrado"))</f>
        <v/>
      </c>
    </row>
    <row r="739">
      <c r="A739" s="31" t="n"/>
      <c r="B739" s="36" t="n"/>
      <c r="C739" s="38" t="n"/>
      <c r="D739" s="32" t="n"/>
      <c r="E739" s="43">
        <f>IF(OR(A739="",B739=""),"",SUMPRODUCT(MAX(($B$6:$B$2005=B739)*($A$6:$A$2005&lt;A739)*$A$6:$A$2005)))</f>
        <v/>
      </c>
      <c r="F739" s="41">
        <f>IF(OR(E739="",E739=0),"",IFERROR(AVERAGEIFS($C$6:$C$2005,$B$6:$B$2005,B739,$A$6:$A$2005,E739),""))</f>
        <v/>
      </c>
      <c r="G739" s="34">
        <f>IF(F739="","",A739-E739)</f>
        <v/>
      </c>
      <c r="H739" s="42">
        <f>IF(OR(F739="",C739=""),"",IFERROR((C739-F739)/G739,""))</f>
        <v/>
      </c>
      <c r="I739" s="39">
        <f>IF(B739="","",IFERROR(INDEX('Animais'!$M$6:$M$1005,MATCH(B739,'Animais'!$A$6:$A$1005,0)),"Brinco não cadastrado"))</f>
        <v/>
      </c>
    </row>
    <row r="740">
      <c r="A740" s="31" t="n"/>
      <c r="B740" s="36" t="n"/>
      <c r="C740" s="38" t="n"/>
      <c r="D740" s="32" t="n"/>
      <c r="E740" s="43">
        <f>IF(OR(A740="",B740=""),"",SUMPRODUCT(MAX(($B$6:$B$2005=B740)*($A$6:$A$2005&lt;A740)*$A$6:$A$2005)))</f>
        <v/>
      </c>
      <c r="F740" s="41">
        <f>IF(OR(E740="",E740=0),"",IFERROR(AVERAGEIFS($C$6:$C$2005,$B$6:$B$2005,B740,$A$6:$A$2005,E740),""))</f>
        <v/>
      </c>
      <c r="G740" s="34">
        <f>IF(F740="","",A740-E740)</f>
        <v/>
      </c>
      <c r="H740" s="42">
        <f>IF(OR(F740="",C740=""),"",IFERROR((C740-F740)/G740,""))</f>
        <v/>
      </c>
      <c r="I740" s="39">
        <f>IF(B740="","",IFERROR(INDEX('Animais'!$M$6:$M$1005,MATCH(B740,'Animais'!$A$6:$A$1005,0)),"Brinco não cadastrado"))</f>
        <v/>
      </c>
    </row>
    <row r="741">
      <c r="A741" s="31" t="n"/>
      <c r="B741" s="36" t="n"/>
      <c r="C741" s="38" t="n"/>
      <c r="D741" s="32" t="n"/>
      <c r="E741" s="43">
        <f>IF(OR(A741="",B741=""),"",SUMPRODUCT(MAX(($B$6:$B$2005=B741)*($A$6:$A$2005&lt;A741)*$A$6:$A$2005)))</f>
        <v/>
      </c>
      <c r="F741" s="41">
        <f>IF(OR(E741="",E741=0),"",IFERROR(AVERAGEIFS($C$6:$C$2005,$B$6:$B$2005,B741,$A$6:$A$2005,E741),""))</f>
        <v/>
      </c>
      <c r="G741" s="34">
        <f>IF(F741="","",A741-E741)</f>
        <v/>
      </c>
      <c r="H741" s="42">
        <f>IF(OR(F741="",C741=""),"",IFERROR((C741-F741)/G741,""))</f>
        <v/>
      </c>
      <c r="I741" s="39">
        <f>IF(B741="","",IFERROR(INDEX('Animais'!$M$6:$M$1005,MATCH(B741,'Animais'!$A$6:$A$1005,0)),"Brinco não cadastrado"))</f>
        <v/>
      </c>
    </row>
    <row r="742">
      <c r="A742" s="31" t="n"/>
      <c r="B742" s="36" t="n"/>
      <c r="C742" s="38" t="n"/>
      <c r="D742" s="32" t="n"/>
      <c r="E742" s="43">
        <f>IF(OR(A742="",B742=""),"",SUMPRODUCT(MAX(($B$6:$B$2005=B742)*($A$6:$A$2005&lt;A742)*$A$6:$A$2005)))</f>
        <v/>
      </c>
      <c r="F742" s="41">
        <f>IF(OR(E742="",E742=0),"",IFERROR(AVERAGEIFS($C$6:$C$2005,$B$6:$B$2005,B742,$A$6:$A$2005,E742),""))</f>
        <v/>
      </c>
      <c r="G742" s="34">
        <f>IF(F742="","",A742-E742)</f>
        <v/>
      </c>
      <c r="H742" s="42">
        <f>IF(OR(F742="",C742=""),"",IFERROR((C742-F742)/G742,""))</f>
        <v/>
      </c>
      <c r="I742" s="39">
        <f>IF(B742="","",IFERROR(INDEX('Animais'!$M$6:$M$1005,MATCH(B742,'Animais'!$A$6:$A$1005,0)),"Brinco não cadastrado"))</f>
        <v/>
      </c>
    </row>
    <row r="743">
      <c r="A743" s="31" t="n"/>
      <c r="B743" s="36" t="n"/>
      <c r="C743" s="38" t="n"/>
      <c r="D743" s="32" t="n"/>
      <c r="E743" s="43">
        <f>IF(OR(A743="",B743=""),"",SUMPRODUCT(MAX(($B$6:$B$2005=B743)*($A$6:$A$2005&lt;A743)*$A$6:$A$2005)))</f>
        <v/>
      </c>
      <c r="F743" s="41">
        <f>IF(OR(E743="",E743=0),"",IFERROR(AVERAGEIFS($C$6:$C$2005,$B$6:$B$2005,B743,$A$6:$A$2005,E743),""))</f>
        <v/>
      </c>
      <c r="G743" s="34">
        <f>IF(F743="","",A743-E743)</f>
        <v/>
      </c>
      <c r="H743" s="42">
        <f>IF(OR(F743="",C743=""),"",IFERROR((C743-F743)/G743,""))</f>
        <v/>
      </c>
      <c r="I743" s="39">
        <f>IF(B743="","",IFERROR(INDEX('Animais'!$M$6:$M$1005,MATCH(B743,'Animais'!$A$6:$A$1005,0)),"Brinco não cadastrado"))</f>
        <v/>
      </c>
    </row>
    <row r="744">
      <c r="A744" s="31" t="n"/>
      <c r="B744" s="36" t="n"/>
      <c r="C744" s="38" t="n"/>
      <c r="D744" s="32" t="n"/>
      <c r="E744" s="43">
        <f>IF(OR(A744="",B744=""),"",SUMPRODUCT(MAX(($B$6:$B$2005=B744)*($A$6:$A$2005&lt;A744)*$A$6:$A$2005)))</f>
        <v/>
      </c>
      <c r="F744" s="41">
        <f>IF(OR(E744="",E744=0),"",IFERROR(AVERAGEIFS($C$6:$C$2005,$B$6:$B$2005,B744,$A$6:$A$2005,E744),""))</f>
        <v/>
      </c>
      <c r="G744" s="34">
        <f>IF(F744="","",A744-E744)</f>
        <v/>
      </c>
      <c r="H744" s="42">
        <f>IF(OR(F744="",C744=""),"",IFERROR((C744-F744)/G744,""))</f>
        <v/>
      </c>
      <c r="I744" s="39">
        <f>IF(B744="","",IFERROR(INDEX('Animais'!$M$6:$M$1005,MATCH(B744,'Animais'!$A$6:$A$1005,0)),"Brinco não cadastrado"))</f>
        <v/>
      </c>
    </row>
    <row r="745">
      <c r="A745" s="31" t="n"/>
      <c r="B745" s="36" t="n"/>
      <c r="C745" s="38" t="n"/>
      <c r="D745" s="32" t="n"/>
      <c r="E745" s="43">
        <f>IF(OR(A745="",B745=""),"",SUMPRODUCT(MAX(($B$6:$B$2005=B745)*($A$6:$A$2005&lt;A745)*$A$6:$A$2005)))</f>
        <v/>
      </c>
      <c r="F745" s="41">
        <f>IF(OR(E745="",E745=0),"",IFERROR(AVERAGEIFS($C$6:$C$2005,$B$6:$B$2005,B745,$A$6:$A$2005,E745),""))</f>
        <v/>
      </c>
      <c r="G745" s="34">
        <f>IF(F745="","",A745-E745)</f>
        <v/>
      </c>
      <c r="H745" s="42">
        <f>IF(OR(F745="",C745=""),"",IFERROR((C745-F745)/G745,""))</f>
        <v/>
      </c>
      <c r="I745" s="39">
        <f>IF(B745="","",IFERROR(INDEX('Animais'!$M$6:$M$1005,MATCH(B745,'Animais'!$A$6:$A$1005,0)),"Brinco não cadastrado"))</f>
        <v/>
      </c>
    </row>
    <row r="746">
      <c r="A746" s="31" t="n"/>
      <c r="B746" s="36" t="n"/>
      <c r="C746" s="38" t="n"/>
      <c r="D746" s="32" t="n"/>
      <c r="E746" s="43">
        <f>IF(OR(A746="",B746=""),"",SUMPRODUCT(MAX(($B$6:$B$2005=B746)*($A$6:$A$2005&lt;A746)*$A$6:$A$2005)))</f>
        <v/>
      </c>
      <c r="F746" s="41">
        <f>IF(OR(E746="",E746=0),"",IFERROR(AVERAGEIFS($C$6:$C$2005,$B$6:$B$2005,B746,$A$6:$A$2005,E746),""))</f>
        <v/>
      </c>
      <c r="G746" s="34">
        <f>IF(F746="","",A746-E746)</f>
        <v/>
      </c>
      <c r="H746" s="42">
        <f>IF(OR(F746="",C746=""),"",IFERROR((C746-F746)/G746,""))</f>
        <v/>
      </c>
      <c r="I746" s="39">
        <f>IF(B746="","",IFERROR(INDEX('Animais'!$M$6:$M$1005,MATCH(B746,'Animais'!$A$6:$A$1005,0)),"Brinco não cadastrado"))</f>
        <v/>
      </c>
    </row>
    <row r="747">
      <c r="A747" s="31" t="n"/>
      <c r="B747" s="36" t="n"/>
      <c r="C747" s="38" t="n"/>
      <c r="D747" s="32" t="n"/>
      <c r="E747" s="43">
        <f>IF(OR(A747="",B747=""),"",SUMPRODUCT(MAX(($B$6:$B$2005=B747)*($A$6:$A$2005&lt;A747)*$A$6:$A$2005)))</f>
        <v/>
      </c>
      <c r="F747" s="41">
        <f>IF(OR(E747="",E747=0),"",IFERROR(AVERAGEIFS($C$6:$C$2005,$B$6:$B$2005,B747,$A$6:$A$2005,E747),""))</f>
        <v/>
      </c>
      <c r="G747" s="34">
        <f>IF(F747="","",A747-E747)</f>
        <v/>
      </c>
      <c r="H747" s="42">
        <f>IF(OR(F747="",C747=""),"",IFERROR((C747-F747)/G747,""))</f>
        <v/>
      </c>
      <c r="I747" s="39">
        <f>IF(B747="","",IFERROR(INDEX('Animais'!$M$6:$M$1005,MATCH(B747,'Animais'!$A$6:$A$1005,0)),"Brinco não cadastrado"))</f>
        <v/>
      </c>
    </row>
    <row r="748">
      <c r="A748" s="31" t="n"/>
      <c r="B748" s="36" t="n"/>
      <c r="C748" s="38" t="n"/>
      <c r="D748" s="32" t="n"/>
      <c r="E748" s="43">
        <f>IF(OR(A748="",B748=""),"",SUMPRODUCT(MAX(($B$6:$B$2005=B748)*($A$6:$A$2005&lt;A748)*$A$6:$A$2005)))</f>
        <v/>
      </c>
      <c r="F748" s="41">
        <f>IF(OR(E748="",E748=0),"",IFERROR(AVERAGEIFS($C$6:$C$2005,$B$6:$B$2005,B748,$A$6:$A$2005,E748),""))</f>
        <v/>
      </c>
      <c r="G748" s="34">
        <f>IF(F748="","",A748-E748)</f>
        <v/>
      </c>
      <c r="H748" s="42">
        <f>IF(OR(F748="",C748=""),"",IFERROR((C748-F748)/G748,""))</f>
        <v/>
      </c>
      <c r="I748" s="39">
        <f>IF(B748="","",IFERROR(INDEX('Animais'!$M$6:$M$1005,MATCH(B748,'Animais'!$A$6:$A$1005,0)),"Brinco não cadastrado"))</f>
        <v/>
      </c>
    </row>
    <row r="749">
      <c r="A749" s="31" t="n"/>
      <c r="B749" s="36" t="n"/>
      <c r="C749" s="38" t="n"/>
      <c r="D749" s="32" t="n"/>
      <c r="E749" s="43">
        <f>IF(OR(A749="",B749=""),"",SUMPRODUCT(MAX(($B$6:$B$2005=B749)*($A$6:$A$2005&lt;A749)*$A$6:$A$2005)))</f>
        <v/>
      </c>
      <c r="F749" s="41">
        <f>IF(OR(E749="",E749=0),"",IFERROR(AVERAGEIFS($C$6:$C$2005,$B$6:$B$2005,B749,$A$6:$A$2005,E749),""))</f>
        <v/>
      </c>
      <c r="G749" s="34">
        <f>IF(F749="","",A749-E749)</f>
        <v/>
      </c>
      <c r="H749" s="42">
        <f>IF(OR(F749="",C749=""),"",IFERROR((C749-F749)/G749,""))</f>
        <v/>
      </c>
      <c r="I749" s="39">
        <f>IF(B749="","",IFERROR(INDEX('Animais'!$M$6:$M$1005,MATCH(B749,'Animais'!$A$6:$A$1005,0)),"Brinco não cadastrado"))</f>
        <v/>
      </c>
    </row>
    <row r="750">
      <c r="A750" s="31" t="n"/>
      <c r="B750" s="36" t="n"/>
      <c r="C750" s="38" t="n"/>
      <c r="D750" s="32" t="n"/>
      <c r="E750" s="43">
        <f>IF(OR(A750="",B750=""),"",SUMPRODUCT(MAX(($B$6:$B$2005=B750)*($A$6:$A$2005&lt;A750)*$A$6:$A$2005)))</f>
        <v/>
      </c>
      <c r="F750" s="41">
        <f>IF(OR(E750="",E750=0),"",IFERROR(AVERAGEIFS($C$6:$C$2005,$B$6:$B$2005,B750,$A$6:$A$2005,E750),""))</f>
        <v/>
      </c>
      <c r="G750" s="34">
        <f>IF(F750="","",A750-E750)</f>
        <v/>
      </c>
      <c r="H750" s="42">
        <f>IF(OR(F750="",C750=""),"",IFERROR((C750-F750)/G750,""))</f>
        <v/>
      </c>
      <c r="I750" s="39">
        <f>IF(B750="","",IFERROR(INDEX('Animais'!$M$6:$M$1005,MATCH(B750,'Animais'!$A$6:$A$1005,0)),"Brinco não cadastrado"))</f>
        <v/>
      </c>
    </row>
    <row r="751">
      <c r="A751" s="31" t="n"/>
      <c r="B751" s="36" t="n"/>
      <c r="C751" s="38" t="n"/>
      <c r="D751" s="32" t="n"/>
      <c r="E751" s="43">
        <f>IF(OR(A751="",B751=""),"",SUMPRODUCT(MAX(($B$6:$B$2005=B751)*($A$6:$A$2005&lt;A751)*$A$6:$A$2005)))</f>
        <v/>
      </c>
      <c r="F751" s="41">
        <f>IF(OR(E751="",E751=0),"",IFERROR(AVERAGEIFS($C$6:$C$2005,$B$6:$B$2005,B751,$A$6:$A$2005,E751),""))</f>
        <v/>
      </c>
      <c r="G751" s="34">
        <f>IF(F751="","",A751-E751)</f>
        <v/>
      </c>
      <c r="H751" s="42">
        <f>IF(OR(F751="",C751=""),"",IFERROR((C751-F751)/G751,""))</f>
        <v/>
      </c>
      <c r="I751" s="39">
        <f>IF(B751="","",IFERROR(INDEX('Animais'!$M$6:$M$1005,MATCH(B751,'Animais'!$A$6:$A$1005,0)),"Brinco não cadastrado"))</f>
        <v/>
      </c>
    </row>
    <row r="752">
      <c r="A752" s="31" t="n"/>
      <c r="B752" s="36" t="n"/>
      <c r="C752" s="38" t="n"/>
      <c r="D752" s="32" t="n"/>
      <c r="E752" s="43">
        <f>IF(OR(A752="",B752=""),"",SUMPRODUCT(MAX(($B$6:$B$2005=B752)*($A$6:$A$2005&lt;A752)*$A$6:$A$2005)))</f>
        <v/>
      </c>
      <c r="F752" s="41">
        <f>IF(OR(E752="",E752=0),"",IFERROR(AVERAGEIFS($C$6:$C$2005,$B$6:$B$2005,B752,$A$6:$A$2005,E752),""))</f>
        <v/>
      </c>
      <c r="G752" s="34">
        <f>IF(F752="","",A752-E752)</f>
        <v/>
      </c>
      <c r="H752" s="42">
        <f>IF(OR(F752="",C752=""),"",IFERROR((C752-F752)/G752,""))</f>
        <v/>
      </c>
      <c r="I752" s="39">
        <f>IF(B752="","",IFERROR(INDEX('Animais'!$M$6:$M$1005,MATCH(B752,'Animais'!$A$6:$A$1005,0)),"Brinco não cadastrado"))</f>
        <v/>
      </c>
    </row>
    <row r="753">
      <c r="A753" s="31" t="n"/>
      <c r="B753" s="36" t="n"/>
      <c r="C753" s="38" t="n"/>
      <c r="D753" s="32" t="n"/>
      <c r="E753" s="43">
        <f>IF(OR(A753="",B753=""),"",SUMPRODUCT(MAX(($B$6:$B$2005=B753)*($A$6:$A$2005&lt;A753)*$A$6:$A$2005)))</f>
        <v/>
      </c>
      <c r="F753" s="41">
        <f>IF(OR(E753="",E753=0),"",IFERROR(AVERAGEIFS($C$6:$C$2005,$B$6:$B$2005,B753,$A$6:$A$2005,E753),""))</f>
        <v/>
      </c>
      <c r="G753" s="34">
        <f>IF(F753="","",A753-E753)</f>
        <v/>
      </c>
      <c r="H753" s="42">
        <f>IF(OR(F753="",C753=""),"",IFERROR((C753-F753)/G753,""))</f>
        <v/>
      </c>
      <c r="I753" s="39">
        <f>IF(B753="","",IFERROR(INDEX('Animais'!$M$6:$M$1005,MATCH(B753,'Animais'!$A$6:$A$1005,0)),"Brinco não cadastrado"))</f>
        <v/>
      </c>
    </row>
    <row r="754">
      <c r="A754" s="31" t="n"/>
      <c r="B754" s="36" t="n"/>
      <c r="C754" s="38" t="n"/>
      <c r="D754" s="32" t="n"/>
      <c r="E754" s="43">
        <f>IF(OR(A754="",B754=""),"",SUMPRODUCT(MAX(($B$6:$B$2005=B754)*($A$6:$A$2005&lt;A754)*$A$6:$A$2005)))</f>
        <v/>
      </c>
      <c r="F754" s="41">
        <f>IF(OR(E754="",E754=0),"",IFERROR(AVERAGEIFS($C$6:$C$2005,$B$6:$B$2005,B754,$A$6:$A$2005,E754),""))</f>
        <v/>
      </c>
      <c r="G754" s="34">
        <f>IF(F754="","",A754-E754)</f>
        <v/>
      </c>
      <c r="H754" s="42">
        <f>IF(OR(F754="",C754=""),"",IFERROR((C754-F754)/G754,""))</f>
        <v/>
      </c>
      <c r="I754" s="39">
        <f>IF(B754="","",IFERROR(INDEX('Animais'!$M$6:$M$1005,MATCH(B754,'Animais'!$A$6:$A$1005,0)),"Brinco não cadastrado"))</f>
        <v/>
      </c>
    </row>
    <row r="755">
      <c r="A755" s="31" t="n"/>
      <c r="B755" s="36" t="n"/>
      <c r="C755" s="38" t="n"/>
      <c r="D755" s="32" t="n"/>
      <c r="E755" s="43">
        <f>IF(OR(A755="",B755=""),"",SUMPRODUCT(MAX(($B$6:$B$2005=B755)*($A$6:$A$2005&lt;A755)*$A$6:$A$2005)))</f>
        <v/>
      </c>
      <c r="F755" s="41">
        <f>IF(OR(E755="",E755=0),"",IFERROR(AVERAGEIFS($C$6:$C$2005,$B$6:$B$2005,B755,$A$6:$A$2005,E755),""))</f>
        <v/>
      </c>
      <c r="G755" s="34">
        <f>IF(F755="","",A755-E755)</f>
        <v/>
      </c>
      <c r="H755" s="42">
        <f>IF(OR(F755="",C755=""),"",IFERROR((C755-F755)/G755,""))</f>
        <v/>
      </c>
      <c r="I755" s="39">
        <f>IF(B755="","",IFERROR(INDEX('Animais'!$M$6:$M$1005,MATCH(B755,'Animais'!$A$6:$A$1005,0)),"Brinco não cadastrado"))</f>
        <v/>
      </c>
    </row>
    <row r="756">
      <c r="A756" s="31" t="n"/>
      <c r="B756" s="36" t="n"/>
      <c r="C756" s="38" t="n"/>
      <c r="D756" s="32" t="n"/>
      <c r="E756" s="43">
        <f>IF(OR(A756="",B756=""),"",SUMPRODUCT(MAX(($B$6:$B$2005=B756)*($A$6:$A$2005&lt;A756)*$A$6:$A$2005)))</f>
        <v/>
      </c>
      <c r="F756" s="41">
        <f>IF(OR(E756="",E756=0),"",IFERROR(AVERAGEIFS($C$6:$C$2005,$B$6:$B$2005,B756,$A$6:$A$2005,E756),""))</f>
        <v/>
      </c>
      <c r="G756" s="34">
        <f>IF(F756="","",A756-E756)</f>
        <v/>
      </c>
      <c r="H756" s="42">
        <f>IF(OR(F756="",C756=""),"",IFERROR((C756-F756)/G756,""))</f>
        <v/>
      </c>
      <c r="I756" s="39">
        <f>IF(B756="","",IFERROR(INDEX('Animais'!$M$6:$M$1005,MATCH(B756,'Animais'!$A$6:$A$1005,0)),"Brinco não cadastrado"))</f>
        <v/>
      </c>
    </row>
    <row r="757">
      <c r="A757" s="31" t="n"/>
      <c r="B757" s="36" t="n"/>
      <c r="C757" s="38" t="n"/>
      <c r="D757" s="32" t="n"/>
      <c r="E757" s="43">
        <f>IF(OR(A757="",B757=""),"",SUMPRODUCT(MAX(($B$6:$B$2005=B757)*($A$6:$A$2005&lt;A757)*$A$6:$A$2005)))</f>
        <v/>
      </c>
      <c r="F757" s="41">
        <f>IF(OR(E757="",E757=0),"",IFERROR(AVERAGEIFS($C$6:$C$2005,$B$6:$B$2005,B757,$A$6:$A$2005,E757),""))</f>
        <v/>
      </c>
      <c r="G757" s="34">
        <f>IF(F757="","",A757-E757)</f>
        <v/>
      </c>
      <c r="H757" s="42">
        <f>IF(OR(F757="",C757=""),"",IFERROR((C757-F757)/G757,""))</f>
        <v/>
      </c>
      <c r="I757" s="39">
        <f>IF(B757="","",IFERROR(INDEX('Animais'!$M$6:$M$1005,MATCH(B757,'Animais'!$A$6:$A$1005,0)),"Brinco não cadastrado"))</f>
        <v/>
      </c>
    </row>
    <row r="758">
      <c r="A758" s="31" t="n"/>
      <c r="B758" s="36" t="n"/>
      <c r="C758" s="38" t="n"/>
      <c r="D758" s="32" t="n"/>
      <c r="E758" s="43">
        <f>IF(OR(A758="",B758=""),"",SUMPRODUCT(MAX(($B$6:$B$2005=B758)*($A$6:$A$2005&lt;A758)*$A$6:$A$2005)))</f>
        <v/>
      </c>
      <c r="F758" s="41">
        <f>IF(OR(E758="",E758=0),"",IFERROR(AVERAGEIFS($C$6:$C$2005,$B$6:$B$2005,B758,$A$6:$A$2005,E758),""))</f>
        <v/>
      </c>
      <c r="G758" s="34">
        <f>IF(F758="","",A758-E758)</f>
        <v/>
      </c>
      <c r="H758" s="42">
        <f>IF(OR(F758="",C758=""),"",IFERROR((C758-F758)/G758,""))</f>
        <v/>
      </c>
      <c r="I758" s="39">
        <f>IF(B758="","",IFERROR(INDEX('Animais'!$M$6:$M$1005,MATCH(B758,'Animais'!$A$6:$A$1005,0)),"Brinco não cadastrado"))</f>
        <v/>
      </c>
    </row>
    <row r="759">
      <c r="A759" s="31" t="n"/>
      <c r="B759" s="36" t="n"/>
      <c r="C759" s="38" t="n"/>
      <c r="D759" s="32" t="n"/>
      <c r="E759" s="43">
        <f>IF(OR(A759="",B759=""),"",SUMPRODUCT(MAX(($B$6:$B$2005=B759)*($A$6:$A$2005&lt;A759)*$A$6:$A$2005)))</f>
        <v/>
      </c>
      <c r="F759" s="41">
        <f>IF(OR(E759="",E759=0),"",IFERROR(AVERAGEIFS($C$6:$C$2005,$B$6:$B$2005,B759,$A$6:$A$2005,E759),""))</f>
        <v/>
      </c>
      <c r="G759" s="34">
        <f>IF(F759="","",A759-E759)</f>
        <v/>
      </c>
      <c r="H759" s="42">
        <f>IF(OR(F759="",C759=""),"",IFERROR((C759-F759)/G759,""))</f>
        <v/>
      </c>
      <c r="I759" s="39">
        <f>IF(B759="","",IFERROR(INDEX('Animais'!$M$6:$M$1005,MATCH(B759,'Animais'!$A$6:$A$1005,0)),"Brinco não cadastrado"))</f>
        <v/>
      </c>
    </row>
    <row r="760">
      <c r="A760" s="31" t="n"/>
      <c r="B760" s="36" t="n"/>
      <c r="C760" s="38" t="n"/>
      <c r="D760" s="32" t="n"/>
      <c r="E760" s="43">
        <f>IF(OR(A760="",B760=""),"",SUMPRODUCT(MAX(($B$6:$B$2005=B760)*($A$6:$A$2005&lt;A760)*$A$6:$A$2005)))</f>
        <v/>
      </c>
      <c r="F760" s="41">
        <f>IF(OR(E760="",E760=0),"",IFERROR(AVERAGEIFS($C$6:$C$2005,$B$6:$B$2005,B760,$A$6:$A$2005,E760),""))</f>
        <v/>
      </c>
      <c r="G760" s="34">
        <f>IF(F760="","",A760-E760)</f>
        <v/>
      </c>
      <c r="H760" s="42">
        <f>IF(OR(F760="",C760=""),"",IFERROR((C760-F760)/G760,""))</f>
        <v/>
      </c>
      <c r="I760" s="39">
        <f>IF(B760="","",IFERROR(INDEX('Animais'!$M$6:$M$1005,MATCH(B760,'Animais'!$A$6:$A$1005,0)),"Brinco não cadastrado"))</f>
        <v/>
      </c>
    </row>
    <row r="761">
      <c r="A761" s="31" t="n"/>
      <c r="B761" s="36" t="n"/>
      <c r="C761" s="38" t="n"/>
      <c r="D761" s="32" t="n"/>
      <c r="E761" s="43">
        <f>IF(OR(A761="",B761=""),"",SUMPRODUCT(MAX(($B$6:$B$2005=B761)*($A$6:$A$2005&lt;A761)*$A$6:$A$2005)))</f>
        <v/>
      </c>
      <c r="F761" s="41">
        <f>IF(OR(E761="",E761=0),"",IFERROR(AVERAGEIFS($C$6:$C$2005,$B$6:$B$2005,B761,$A$6:$A$2005,E761),""))</f>
        <v/>
      </c>
      <c r="G761" s="34">
        <f>IF(F761="","",A761-E761)</f>
        <v/>
      </c>
      <c r="H761" s="42">
        <f>IF(OR(F761="",C761=""),"",IFERROR((C761-F761)/G761,""))</f>
        <v/>
      </c>
      <c r="I761" s="39">
        <f>IF(B761="","",IFERROR(INDEX('Animais'!$M$6:$M$1005,MATCH(B761,'Animais'!$A$6:$A$1005,0)),"Brinco não cadastrado"))</f>
        <v/>
      </c>
    </row>
    <row r="762">
      <c r="A762" s="31" t="n"/>
      <c r="B762" s="36" t="n"/>
      <c r="C762" s="38" t="n"/>
      <c r="D762" s="32" t="n"/>
      <c r="E762" s="43">
        <f>IF(OR(A762="",B762=""),"",SUMPRODUCT(MAX(($B$6:$B$2005=B762)*($A$6:$A$2005&lt;A762)*$A$6:$A$2005)))</f>
        <v/>
      </c>
      <c r="F762" s="41">
        <f>IF(OR(E762="",E762=0),"",IFERROR(AVERAGEIFS($C$6:$C$2005,$B$6:$B$2005,B762,$A$6:$A$2005,E762),""))</f>
        <v/>
      </c>
      <c r="G762" s="34">
        <f>IF(F762="","",A762-E762)</f>
        <v/>
      </c>
      <c r="H762" s="42">
        <f>IF(OR(F762="",C762=""),"",IFERROR((C762-F762)/G762,""))</f>
        <v/>
      </c>
      <c r="I762" s="39">
        <f>IF(B762="","",IFERROR(INDEX('Animais'!$M$6:$M$1005,MATCH(B762,'Animais'!$A$6:$A$1005,0)),"Brinco não cadastrado"))</f>
        <v/>
      </c>
    </row>
    <row r="763">
      <c r="A763" s="31" t="n"/>
      <c r="B763" s="36" t="n"/>
      <c r="C763" s="38" t="n"/>
      <c r="D763" s="32" t="n"/>
      <c r="E763" s="43">
        <f>IF(OR(A763="",B763=""),"",SUMPRODUCT(MAX(($B$6:$B$2005=B763)*($A$6:$A$2005&lt;A763)*$A$6:$A$2005)))</f>
        <v/>
      </c>
      <c r="F763" s="41">
        <f>IF(OR(E763="",E763=0),"",IFERROR(AVERAGEIFS($C$6:$C$2005,$B$6:$B$2005,B763,$A$6:$A$2005,E763),""))</f>
        <v/>
      </c>
      <c r="G763" s="34">
        <f>IF(F763="","",A763-E763)</f>
        <v/>
      </c>
      <c r="H763" s="42">
        <f>IF(OR(F763="",C763=""),"",IFERROR((C763-F763)/G763,""))</f>
        <v/>
      </c>
      <c r="I763" s="39">
        <f>IF(B763="","",IFERROR(INDEX('Animais'!$M$6:$M$1005,MATCH(B763,'Animais'!$A$6:$A$1005,0)),"Brinco não cadastrado"))</f>
        <v/>
      </c>
    </row>
    <row r="764">
      <c r="A764" s="31" t="n"/>
      <c r="B764" s="36" t="n"/>
      <c r="C764" s="38" t="n"/>
      <c r="D764" s="32" t="n"/>
      <c r="E764" s="43">
        <f>IF(OR(A764="",B764=""),"",SUMPRODUCT(MAX(($B$6:$B$2005=B764)*($A$6:$A$2005&lt;A764)*$A$6:$A$2005)))</f>
        <v/>
      </c>
      <c r="F764" s="41">
        <f>IF(OR(E764="",E764=0),"",IFERROR(AVERAGEIFS($C$6:$C$2005,$B$6:$B$2005,B764,$A$6:$A$2005,E764),""))</f>
        <v/>
      </c>
      <c r="G764" s="34">
        <f>IF(F764="","",A764-E764)</f>
        <v/>
      </c>
      <c r="H764" s="42">
        <f>IF(OR(F764="",C764=""),"",IFERROR((C764-F764)/G764,""))</f>
        <v/>
      </c>
      <c r="I764" s="39">
        <f>IF(B764="","",IFERROR(INDEX('Animais'!$M$6:$M$1005,MATCH(B764,'Animais'!$A$6:$A$1005,0)),"Brinco não cadastrado"))</f>
        <v/>
      </c>
    </row>
    <row r="765">
      <c r="A765" s="31" t="n"/>
      <c r="B765" s="36" t="n"/>
      <c r="C765" s="38" t="n"/>
      <c r="D765" s="32" t="n"/>
      <c r="E765" s="43">
        <f>IF(OR(A765="",B765=""),"",SUMPRODUCT(MAX(($B$6:$B$2005=B765)*($A$6:$A$2005&lt;A765)*$A$6:$A$2005)))</f>
        <v/>
      </c>
      <c r="F765" s="41">
        <f>IF(OR(E765="",E765=0),"",IFERROR(AVERAGEIFS($C$6:$C$2005,$B$6:$B$2005,B765,$A$6:$A$2005,E765),""))</f>
        <v/>
      </c>
      <c r="G765" s="34">
        <f>IF(F765="","",A765-E765)</f>
        <v/>
      </c>
      <c r="H765" s="42">
        <f>IF(OR(F765="",C765=""),"",IFERROR((C765-F765)/G765,""))</f>
        <v/>
      </c>
      <c r="I765" s="39">
        <f>IF(B765="","",IFERROR(INDEX('Animais'!$M$6:$M$1005,MATCH(B765,'Animais'!$A$6:$A$1005,0)),"Brinco não cadastrado"))</f>
        <v/>
      </c>
    </row>
    <row r="766">
      <c r="A766" s="31" t="n"/>
      <c r="B766" s="36" t="n"/>
      <c r="C766" s="38" t="n"/>
      <c r="D766" s="32" t="n"/>
      <c r="E766" s="43">
        <f>IF(OR(A766="",B766=""),"",SUMPRODUCT(MAX(($B$6:$B$2005=B766)*($A$6:$A$2005&lt;A766)*$A$6:$A$2005)))</f>
        <v/>
      </c>
      <c r="F766" s="41">
        <f>IF(OR(E766="",E766=0),"",IFERROR(AVERAGEIFS($C$6:$C$2005,$B$6:$B$2005,B766,$A$6:$A$2005,E766),""))</f>
        <v/>
      </c>
      <c r="G766" s="34">
        <f>IF(F766="","",A766-E766)</f>
        <v/>
      </c>
      <c r="H766" s="42">
        <f>IF(OR(F766="",C766=""),"",IFERROR((C766-F766)/G766,""))</f>
        <v/>
      </c>
      <c r="I766" s="39">
        <f>IF(B766="","",IFERROR(INDEX('Animais'!$M$6:$M$1005,MATCH(B766,'Animais'!$A$6:$A$1005,0)),"Brinco não cadastrado"))</f>
        <v/>
      </c>
    </row>
    <row r="767">
      <c r="A767" s="31" t="n"/>
      <c r="B767" s="36" t="n"/>
      <c r="C767" s="38" t="n"/>
      <c r="D767" s="32" t="n"/>
      <c r="E767" s="43">
        <f>IF(OR(A767="",B767=""),"",SUMPRODUCT(MAX(($B$6:$B$2005=B767)*($A$6:$A$2005&lt;A767)*$A$6:$A$2005)))</f>
        <v/>
      </c>
      <c r="F767" s="41">
        <f>IF(OR(E767="",E767=0),"",IFERROR(AVERAGEIFS($C$6:$C$2005,$B$6:$B$2005,B767,$A$6:$A$2005,E767),""))</f>
        <v/>
      </c>
      <c r="G767" s="34">
        <f>IF(F767="","",A767-E767)</f>
        <v/>
      </c>
      <c r="H767" s="42">
        <f>IF(OR(F767="",C767=""),"",IFERROR((C767-F767)/G767,""))</f>
        <v/>
      </c>
      <c r="I767" s="39">
        <f>IF(B767="","",IFERROR(INDEX('Animais'!$M$6:$M$1005,MATCH(B767,'Animais'!$A$6:$A$1005,0)),"Brinco não cadastrado"))</f>
        <v/>
      </c>
    </row>
    <row r="768">
      <c r="A768" s="31" t="n"/>
      <c r="B768" s="36" t="n"/>
      <c r="C768" s="38" t="n"/>
      <c r="D768" s="32" t="n"/>
      <c r="E768" s="43">
        <f>IF(OR(A768="",B768=""),"",SUMPRODUCT(MAX(($B$6:$B$2005=B768)*($A$6:$A$2005&lt;A768)*$A$6:$A$2005)))</f>
        <v/>
      </c>
      <c r="F768" s="41">
        <f>IF(OR(E768="",E768=0),"",IFERROR(AVERAGEIFS($C$6:$C$2005,$B$6:$B$2005,B768,$A$6:$A$2005,E768),""))</f>
        <v/>
      </c>
      <c r="G768" s="34">
        <f>IF(F768="","",A768-E768)</f>
        <v/>
      </c>
      <c r="H768" s="42">
        <f>IF(OR(F768="",C768=""),"",IFERROR((C768-F768)/G768,""))</f>
        <v/>
      </c>
      <c r="I768" s="39">
        <f>IF(B768="","",IFERROR(INDEX('Animais'!$M$6:$M$1005,MATCH(B768,'Animais'!$A$6:$A$1005,0)),"Brinco não cadastrado"))</f>
        <v/>
      </c>
    </row>
    <row r="769">
      <c r="A769" s="31" t="n"/>
      <c r="B769" s="36" t="n"/>
      <c r="C769" s="38" t="n"/>
      <c r="D769" s="32" t="n"/>
      <c r="E769" s="43">
        <f>IF(OR(A769="",B769=""),"",SUMPRODUCT(MAX(($B$6:$B$2005=B769)*($A$6:$A$2005&lt;A769)*$A$6:$A$2005)))</f>
        <v/>
      </c>
      <c r="F769" s="41">
        <f>IF(OR(E769="",E769=0),"",IFERROR(AVERAGEIFS($C$6:$C$2005,$B$6:$B$2005,B769,$A$6:$A$2005,E769),""))</f>
        <v/>
      </c>
      <c r="G769" s="34">
        <f>IF(F769="","",A769-E769)</f>
        <v/>
      </c>
      <c r="H769" s="42">
        <f>IF(OR(F769="",C769=""),"",IFERROR((C769-F769)/G769,""))</f>
        <v/>
      </c>
      <c r="I769" s="39">
        <f>IF(B769="","",IFERROR(INDEX('Animais'!$M$6:$M$1005,MATCH(B769,'Animais'!$A$6:$A$1005,0)),"Brinco não cadastrado"))</f>
        <v/>
      </c>
    </row>
    <row r="770">
      <c r="A770" s="31" t="n"/>
      <c r="B770" s="36" t="n"/>
      <c r="C770" s="38" t="n"/>
      <c r="D770" s="32" t="n"/>
      <c r="E770" s="43">
        <f>IF(OR(A770="",B770=""),"",SUMPRODUCT(MAX(($B$6:$B$2005=B770)*($A$6:$A$2005&lt;A770)*$A$6:$A$2005)))</f>
        <v/>
      </c>
      <c r="F770" s="41">
        <f>IF(OR(E770="",E770=0),"",IFERROR(AVERAGEIFS($C$6:$C$2005,$B$6:$B$2005,B770,$A$6:$A$2005,E770),""))</f>
        <v/>
      </c>
      <c r="G770" s="34">
        <f>IF(F770="","",A770-E770)</f>
        <v/>
      </c>
      <c r="H770" s="42">
        <f>IF(OR(F770="",C770=""),"",IFERROR((C770-F770)/G770,""))</f>
        <v/>
      </c>
      <c r="I770" s="39">
        <f>IF(B770="","",IFERROR(INDEX('Animais'!$M$6:$M$1005,MATCH(B770,'Animais'!$A$6:$A$1005,0)),"Brinco não cadastrado"))</f>
        <v/>
      </c>
    </row>
    <row r="771">
      <c r="A771" s="31" t="n"/>
      <c r="B771" s="36" t="n"/>
      <c r="C771" s="38" t="n"/>
      <c r="D771" s="32" t="n"/>
      <c r="E771" s="43">
        <f>IF(OR(A771="",B771=""),"",SUMPRODUCT(MAX(($B$6:$B$2005=B771)*($A$6:$A$2005&lt;A771)*$A$6:$A$2005)))</f>
        <v/>
      </c>
      <c r="F771" s="41">
        <f>IF(OR(E771="",E771=0),"",IFERROR(AVERAGEIFS($C$6:$C$2005,$B$6:$B$2005,B771,$A$6:$A$2005,E771),""))</f>
        <v/>
      </c>
      <c r="G771" s="34">
        <f>IF(F771="","",A771-E771)</f>
        <v/>
      </c>
      <c r="H771" s="42">
        <f>IF(OR(F771="",C771=""),"",IFERROR((C771-F771)/G771,""))</f>
        <v/>
      </c>
      <c r="I771" s="39">
        <f>IF(B771="","",IFERROR(INDEX('Animais'!$M$6:$M$1005,MATCH(B771,'Animais'!$A$6:$A$1005,0)),"Brinco não cadastrado"))</f>
        <v/>
      </c>
    </row>
    <row r="772">
      <c r="A772" s="31" t="n"/>
      <c r="B772" s="36" t="n"/>
      <c r="C772" s="38" t="n"/>
      <c r="D772" s="32" t="n"/>
      <c r="E772" s="43">
        <f>IF(OR(A772="",B772=""),"",SUMPRODUCT(MAX(($B$6:$B$2005=B772)*($A$6:$A$2005&lt;A772)*$A$6:$A$2005)))</f>
        <v/>
      </c>
      <c r="F772" s="41">
        <f>IF(OR(E772="",E772=0),"",IFERROR(AVERAGEIFS($C$6:$C$2005,$B$6:$B$2005,B772,$A$6:$A$2005,E772),""))</f>
        <v/>
      </c>
      <c r="G772" s="34">
        <f>IF(F772="","",A772-E772)</f>
        <v/>
      </c>
      <c r="H772" s="42">
        <f>IF(OR(F772="",C772=""),"",IFERROR((C772-F772)/G772,""))</f>
        <v/>
      </c>
      <c r="I772" s="39">
        <f>IF(B772="","",IFERROR(INDEX('Animais'!$M$6:$M$1005,MATCH(B772,'Animais'!$A$6:$A$1005,0)),"Brinco não cadastrado"))</f>
        <v/>
      </c>
    </row>
    <row r="773">
      <c r="A773" s="31" t="n"/>
      <c r="B773" s="36" t="n"/>
      <c r="C773" s="38" t="n"/>
      <c r="D773" s="32" t="n"/>
      <c r="E773" s="43">
        <f>IF(OR(A773="",B773=""),"",SUMPRODUCT(MAX(($B$6:$B$2005=B773)*($A$6:$A$2005&lt;A773)*$A$6:$A$2005)))</f>
        <v/>
      </c>
      <c r="F773" s="41">
        <f>IF(OR(E773="",E773=0),"",IFERROR(AVERAGEIFS($C$6:$C$2005,$B$6:$B$2005,B773,$A$6:$A$2005,E773),""))</f>
        <v/>
      </c>
      <c r="G773" s="34">
        <f>IF(F773="","",A773-E773)</f>
        <v/>
      </c>
      <c r="H773" s="42">
        <f>IF(OR(F773="",C773=""),"",IFERROR((C773-F773)/G773,""))</f>
        <v/>
      </c>
      <c r="I773" s="39">
        <f>IF(B773="","",IFERROR(INDEX('Animais'!$M$6:$M$1005,MATCH(B773,'Animais'!$A$6:$A$1005,0)),"Brinco não cadastrado"))</f>
        <v/>
      </c>
    </row>
    <row r="774">
      <c r="A774" s="31" t="n"/>
      <c r="B774" s="36" t="n"/>
      <c r="C774" s="38" t="n"/>
      <c r="D774" s="32" t="n"/>
      <c r="E774" s="43">
        <f>IF(OR(A774="",B774=""),"",SUMPRODUCT(MAX(($B$6:$B$2005=B774)*($A$6:$A$2005&lt;A774)*$A$6:$A$2005)))</f>
        <v/>
      </c>
      <c r="F774" s="41">
        <f>IF(OR(E774="",E774=0),"",IFERROR(AVERAGEIFS($C$6:$C$2005,$B$6:$B$2005,B774,$A$6:$A$2005,E774),""))</f>
        <v/>
      </c>
      <c r="G774" s="34">
        <f>IF(F774="","",A774-E774)</f>
        <v/>
      </c>
      <c r="H774" s="42">
        <f>IF(OR(F774="",C774=""),"",IFERROR((C774-F774)/G774,""))</f>
        <v/>
      </c>
      <c r="I774" s="39">
        <f>IF(B774="","",IFERROR(INDEX('Animais'!$M$6:$M$1005,MATCH(B774,'Animais'!$A$6:$A$1005,0)),"Brinco não cadastrado"))</f>
        <v/>
      </c>
    </row>
    <row r="775">
      <c r="A775" s="31" t="n"/>
      <c r="B775" s="36" t="n"/>
      <c r="C775" s="38" t="n"/>
      <c r="D775" s="32" t="n"/>
      <c r="E775" s="43">
        <f>IF(OR(A775="",B775=""),"",SUMPRODUCT(MAX(($B$6:$B$2005=B775)*($A$6:$A$2005&lt;A775)*$A$6:$A$2005)))</f>
        <v/>
      </c>
      <c r="F775" s="41">
        <f>IF(OR(E775="",E775=0),"",IFERROR(AVERAGEIFS($C$6:$C$2005,$B$6:$B$2005,B775,$A$6:$A$2005,E775),""))</f>
        <v/>
      </c>
      <c r="G775" s="34">
        <f>IF(F775="","",A775-E775)</f>
        <v/>
      </c>
      <c r="H775" s="42">
        <f>IF(OR(F775="",C775=""),"",IFERROR((C775-F775)/G775,""))</f>
        <v/>
      </c>
      <c r="I775" s="39">
        <f>IF(B775="","",IFERROR(INDEX('Animais'!$M$6:$M$1005,MATCH(B775,'Animais'!$A$6:$A$1005,0)),"Brinco não cadastrado"))</f>
        <v/>
      </c>
    </row>
    <row r="776">
      <c r="A776" s="31" t="n"/>
      <c r="B776" s="36" t="n"/>
      <c r="C776" s="38" t="n"/>
      <c r="D776" s="32" t="n"/>
      <c r="E776" s="43">
        <f>IF(OR(A776="",B776=""),"",SUMPRODUCT(MAX(($B$6:$B$2005=B776)*($A$6:$A$2005&lt;A776)*$A$6:$A$2005)))</f>
        <v/>
      </c>
      <c r="F776" s="41">
        <f>IF(OR(E776="",E776=0),"",IFERROR(AVERAGEIFS($C$6:$C$2005,$B$6:$B$2005,B776,$A$6:$A$2005,E776),""))</f>
        <v/>
      </c>
      <c r="G776" s="34">
        <f>IF(F776="","",A776-E776)</f>
        <v/>
      </c>
      <c r="H776" s="42">
        <f>IF(OR(F776="",C776=""),"",IFERROR((C776-F776)/G776,""))</f>
        <v/>
      </c>
      <c r="I776" s="39">
        <f>IF(B776="","",IFERROR(INDEX('Animais'!$M$6:$M$1005,MATCH(B776,'Animais'!$A$6:$A$1005,0)),"Brinco não cadastrado"))</f>
        <v/>
      </c>
    </row>
    <row r="777">
      <c r="A777" s="31" t="n"/>
      <c r="B777" s="36" t="n"/>
      <c r="C777" s="38" t="n"/>
      <c r="D777" s="32" t="n"/>
      <c r="E777" s="43">
        <f>IF(OR(A777="",B777=""),"",SUMPRODUCT(MAX(($B$6:$B$2005=B777)*($A$6:$A$2005&lt;A777)*$A$6:$A$2005)))</f>
        <v/>
      </c>
      <c r="F777" s="41">
        <f>IF(OR(E777="",E777=0),"",IFERROR(AVERAGEIFS($C$6:$C$2005,$B$6:$B$2005,B777,$A$6:$A$2005,E777),""))</f>
        <v/>
      </c>
      <c r="G777" s="34">
        <f>IF(F777="","",A777-E777)</f>
        <v/>
      </c>
      <c r="H777" s="42">
        <f>IF(OR(F777="",C777=""),"",IFERROR((C777-F777)/G777,""))</f>
        <v/>
      </c>
      <c r="I777" s="39">
        <f>IF(B777="","",IFERROR(INDEX('Animais'!$M$6:$M$1005,MATCH(B777,'Animais'!$A$6:$A$1005,0)),"Brinco não cadastrado"))</f>
        <v/>
      </c>
    </row>
    <row r="778">
      <c r="A778" s="31" t="n"/>
      <c r="B778" s="36" t="n"/>
      <c r="C778" s="38" t="n"/>
      <c r="D778" s="32" t="n"/>
      <c r="E778" s="43">
        <f>IF(OR(A778="",B778=""),"",SUMPRODUCT(MAX(($B$6:$B$2005=B778)*($A$6:$A$2005&lt;A778)*$A$6:$A$2005)))</f>
        <v/>
      </c>
      <c r="F778" s="41">
        <f>IF(OR(E778="",E778=0),"",IFERROR(AVERAGEIFS($C$6:$C$2005,$B$6:$B$2005,B778,$A$6:$A$2005,E778),""))</f>
        <v/>
      </c>
      <c r="G778" s="34">
        <f>IF(F778="","",A778-E778)</f>
        <v/>
      </c>
      <c r="H778" s="42">
        <f>IF(OR(F778="",C778=""),"",IFERROR((C778-F778)/G778,""))</f>
        <v/>
      </c>
      <c r="I778" s="39">
        <f>IF(B778="","",IFERROR(INDEX('Animais'!$M$6:$M$1005,MATCH(B778,'Animais'!$A$6:$A$1005,0)),"Brinco não cadastrado"))</f>
        <v/>
      </c>
    </row>
    <row r="779">
      <c r="A779" s="31" t="n"/>
      <c r="B779" s="36" t="n"/>
      <c r="C779" s="38" t="n"/>
      <c r="D779" s="32" t="n"/>
      <c r="E779" s="43">
        <f>IF(OR(A779="",B779=""),"",SUMPRODUCT(MAX(($B$6:$B$2005=B779)*($A$6:$A$2005&lt;A779)*$A$6:$A$2005)))</f>
        <v/>
      </c>
      <c r="F779" s="41">
        <f>IF(OR(E779="",E779=0),"",IFERROR(AVERAGEIFS($C$6:$C$2005,$B$6:$B$2005,B779,$A$6:$A$2005,E779),""))</f>
        <v/>
      </c>
      <c r="G779" s="34">
        <f>IF(F779="","",A779-E779)</f>
        <v/>
      </c>
      <c r="H779" s="42">
        <f>IF(OR(F779="",C779=""),"",IFERROR((C779-F779)/G779,""))</f>
        <v/>
      </c>
      <c r="I779" s="39">
        <f>IF(B779="","",IFERROR(INDEX('Animais'!$M$6:$M$1005,MATCH(B779,'Animais'!$A$6:$A$1005,0)),"Brinco não cadastrado"))</f>
        <v/>
      </c>
    </row>
    <row r="780">
      <c r="A780" s="31" t="n"/>
      <c r="B780" s="36" t="n"/>
      <c r="C780" s="38" t="n"/>
      <c r="D780" s="32" t="n"/>
      <c r="E780" s="43">
        <f>IF(OR(A780="",B780=""),"",SUMPRODUCT(MAX(($B$6:$B$2005=B780)*($A$6:$A$2005&lt;A780)*$A$6:$A$2005)))</f>
        <v/>
      </c>
      <c r="F780" s="41">
        <f>IF(OR(E780="",E780=0),"",IFERROR(AVERAGEIFS($C$6:$C$2005,$B$6:$B$2005,B780,$A$6:$A$2005,E780),""))</f>
        <v/>
      </c>
      <c r="G780" s="34">
        <f>IF(F780="","",A780-E780)</f>
        <v/>
      </c>
      <c r="H780" s="42">
        <f>IF(OR(F780="",C780=""),"",IFERROR((C780-F780)/G780,""))</f>
        <v/>
      </c>
      <c r="I780" s="39">
        <f>IF(B780="","",IFERROR(INDEX('Animais'!$M$6:$M$1005,MATCH(B780,'Animais'!$A$6:$A$1005,0)),"Brinco não cadastrado"))</f>
        <v/>
      </c>
    </row>
    <row r="781">
      <c r="A781" s="31" t="n"/>
      <c r="B781" s="36" t="n"/>
      <c r="C781" s="38" t="n"/>
      <c r="D781" s="32" t="n"/>
      <c r="E781" s="43">
        <f>IF(OR(A781="",B781=""),"",SUMPRODUCT(MAX(($B$6:$B$2005=B781)*($A$6:$A$2005&lt;A781)*$A$6:$A$2005)))</f>
        <v/>
      </c>
      <c r="F781" s="41">
        <f>IF(OR(E781="",E781=0),"",IFERROR(AVERAGEIFS($C$6:$C$2005,$B$6:$B$2005,B781,$A$6:$A$2005,E781),""))</f>
        <v/>
      </c>
      <c r="G781" s="34">
        <f>IF(F781="","",A781-E781)</f>
        <v/>
      </c>
      <c r="H781" s="42">
        <f>IF(OR(F781="",C781=""),"",IFERROR((C781-F781)/G781,""))</f>
        <v/>
      </c>
      <c r="I781" s="39">
        <f>IF(B781="","",IFERROR(INDEX('Animais'!$M$6:$M$1005,MATCH(B781,'Animais'!$A$6:$A$1005,0)),"Brinco não cadastrado"))</f>
        <v/>
      </c>
    </row>
    <row r="782">
      <c r="A782" s="31" t="n"/>
      <c r="B782" s="36" t="n"/>
      <c r="C782" s="38" t="n"/>
      <c r="D782" s="32" t="n"/>
      <c r="E782" s="43">
        <f>IF(OR(A782="",B782=""),"",SUMPRODUCT(MAX(($B$6:$B$2005=B782)*($A$6:$A$2005&lt;A782)*$A$6:$A$2005)))</f>
        <v/>
      </c>
      <c r="F782" s="41">
        <f>IF(OR(E782="",E782=0),"",IFERROR(AVERAGEIFS($C$6:$C$2005,$B$6:$B$2005,B782,$A$6:$A$2005,E782),""))</f>
        <v/>
      </c>
      <c r="G782" s="34">
        <f>IF(F782="","",A782-E782)</f>
        <v/>
      </c>
      <c r="H782" s="42">
        <f>IF(OR(F782="",C782=""),"",IFERROR((C782-F782)/G782,""))</f>
        <v/>
      </c>
      <c r="I782" s="39">
        <f>IF(B782="","",IFERROR(INDEX('Animais'!$M$6:$M$1005,MATCH(B782,'Animais'!$A$6:$A$1005,0)),"Brinco não cadastrado"))</f>
        <v/>
      </c>
    </row>
    <row r="783">
      <c r="A783" s="31" t="n"/>
      <c r="B783" s="36" t="n"/>
      <c r="C783" s="38" t="n"/>
      <c r="D783" s="32" t="n"/>
      <c r="E783" s="43">
        <f>IF(OR(A783="",B783=""),"",SUMPRODUCT(MAX(($B$6:$B$2005=B783)*($A$6:$A$2005&lt;A783)*$A$6:$A$2005)))</f>
        <v/>
      </c>
      <c r="F783" s="41">
        <f>IF(OR(E783="",E783=0),"",IFERROR(AVERAGEIFS($C$6:$C$2005,$B$6:$B$2005,B783,$A$6:$A$2005,E783),""))</f>
        <v/>
      </c>
      <c r="G783" s="34">
        <f>IF(F783="","",A783-E783)</f>
        <v/>
      </c>
      <c r="H783" s="42">
        <f>IF(OR(F783="",C783=""),"",IFERROR((C783-F783)/G783,""))</f>
        <v/>
      </c>
      <c r="I783" s="39">
        <f>IF(B783="","",IFERROR(INDEX('Animais'!$M$6:$M$1005,MATCH(B783,'Animais'!$A$6:$A$1005,0)),"Brinco não cadastrado"))</f>
        <v/>
      </c>
    </row>
    <row r="784">
      <c r="A784" s="31" t="n"/>
      <c r="B784" s="36" t="n"/>
      <c r="C784" s="38" t="n"/>
      <c r="D784" s="32" t="n"/>
      <c r="E784" s="43">
        <f>IF(OR(A784="",B784=""),"",SUMPRODUCT(MAX(($B$6:$B$2005=B784)*($A$6:$A$2005&lt;A784)*$A$6:$A$2005)))</f>
        <v/>
      </c>
      <c r="F784" s="41">
        <f>IF(OR(E784="",E784=0),"",IFERROR(AVERAGEIFS($C$6:$C$2005,$B$6:$B$2005,B784,$A$6:$A$2005,E784),""))</f>
        <v/>
      </c>
      <c r="G784" s="34">
        <f>IF(F784="","",A784-E784)</f>
        <v/>
      </c>
      <c r="H784" s="42">
        <f>IF(OR(F784="",C784=""),"",IFERROR((C784-F784)/G784,""))</f>
        <v/>
      </c>
      <c r="I784" s="39">
        <f>IF(B784="","",IFERROR(INDEX('Animais'!$M$6:$M$1005,MATCH(B784,'Animais'!$A$6:$A$1005,0)),"Brinco não cadastrado"))</f>
        <v/>
      </c>
    </row>
    <row r="785">
      <c r="A785" s="31" t="n"/>
      <c r="B785" s="36" t="n"/>
      <c r="C785" s="38" t="n"/>
      <c r="D785" s="32" t="n"/>
      <c r="E785" s="43">
        <f>IF(OR(A785="",B785=""),"",SUMPRODUCT(MAX(($B$6:$B$2005=B785)*($A$6:$A$2005&lt;A785)*$A$6:$A$2005)))</f>
        <v/>
      </c>
      <c r="F785" s="41">
        <f>IF(OR(E785="",E785=0),"",IFERROR(AVERAGEIFS($C$6:$C$2005,$B$6:$B$2005,B785,$A$6:$A$2005,E785),""))</f>
        <v/>
      </c>
      <c r="G785" s="34">
        <f>IF(F785="","",A785-E785)</f>
        <v/>
      </c>
      <c r="H785" s="42">
        <f>IF(OR(F785="",C785=""),"",IFERROR((C785-F785)/G785,""))</f>
        <v/>
      </c>
      <c r="I785" s="39">
        <f>IF(B785="","",IFERROR(INDEX('Animais'!$M$6:$M$1005,MATCH(B785,'Animais'!$A$6:$A$1005,0)),"Brinco não cadastrado"))</f>
        <v/>
      </c>
    </row>
    <row r="786">
      <c r="A786" s="31" t="n"/>
      <c r="B786" s="36" t="n"/>
      <c r="C786" s="38" t="n"/>
      <c r="D786" s="32" t="n"/>
      <c r="E786" s="43">
        <f>IF(OR(A786="",B786=""),"",SUMPRODUCT(MAX(($B$6:$B$2005=B786)*($A$6:$A$2005&lt;A786)*$A$6:$A$2005)))</f>
        <v/>
      </c>
      <c r="F786" s="41">
        <f>IF(OR(E786="",E786=0),"",IFERROR(AVERAGEIFS($C$6:$C$2005,$B$6:$B$2005,B786,$A$6:$A$2005,E786),""))</f>
        <v/>
      </c>
      <c r="G786" s="34">
        <f>IF(F786="","",A786-E786)</f>
        <v/>
      </c>
      <c r="H786" s="42">
        <f>IF(OR(F786="",C786=""),"",IFERROR((C786-F786)/G786,""))</f>
        <v/>
      </c>
      <c r="I786" s="39">
        <f>IF(B786="","",IFERROR(INDEX('Animais'!$M$6:$M$1005,MATCH(B786,'Animais'!$A$6:$A$1005,0)),"Brinco não cadastrado"))</f>
        <v/>
      </c>
    </row>
    <row r="787">
      <c r="A787" s="31" t="n"/>
      <c r="B787" s="36" t="n"/>
      <c r="C787" s="38" t="n"/>
      <c r="D787" s="32" t="n"/>
      <c r="E787" s="43">
        <f>IF(OR(A787="",B787=""),"",SUMPRODUCT(MAX(($B$6:$B$2005=B787)*($A$6:$A$2005&lt;A787)*$A$6:$A$2005)))</f>
        <v/>
      </c>
      <c r="F787" s="41">
        <f>IF(OR(E787="",E787=0),"",IFERROR(AVERAGEIFS($C$6:$C$2005,$B$6:$B$2005,B787,$A$6:$A$2005,E787),""))</f>
        <v/>
      </c>
      <c r="G787" s="34">
        <f>IF(F787="","",A787-E787)</f>
        <v/>
      </c>
      <c r="H787" s="42">
        <f>IF(OR(F787="",C787=""),"",IFERROR((C787-F787)/G787,""))</f>
        <v/>
      </c>
      <c r="I787" s="39">
        <f>IF(B787="","",IFERROR(INDEX('Animais'!$M$6:$M$1005,MATCH(B787,'Animais'!$A$6:$A$1005,0)),"Brinco não cadastrado"))</f>
        <v/>
      </c>
    </row>
    <row r="788">
      <c r="A788" s="31" t="n"/>
      <c r="B788" s="36" t="n"/>
      <c r="C788" s="38" t="n"/>
      <c r="D788" s="32" t="n"/>
      <c r="E788" s="43">
        <f>IF(OR(A788="",B788=""),"",SUMPRODUCT(MAX(($B$6:$B$2005=B788)*($A$6:$A$2005&lt;A788)*$A$6:$A$2005)))</f>
        <v/>
      </c>
      <c r="F788" s="41">
        <f>IF(OR(E788="",E788=0),"",IFERROR(AVERAGEIFS($C$6:$C$2005,$B$6:$B$2005,B788,$A$6:$A$2005,E788),""))</f>
        <v/>
      </c>
      <c r="G788" s="34">
        <f>IF(F788="","",A788-E788)</f>
        <v/>
      </c>
      <c r="H788" s="42">
        <f>IF(OR(F788="",C788=""),"",IFERROR((C788-F788)/G788,""))</f>
        <v/>
      </c>
      <c r="I788" s="39">
        <f>IF(B788="","",IFERROR(INDEX('Animais'!$M$6:$M$1005,MATCH(B788,'Animais'!$A$6:$A$1005,0)),"Brinco não cadastrado"))</f>
        <v/>
      </c>
    </row>
    <row r="789">
      <c r="A789" s="31" t="n"/>
      <c r="B789" s="36" t="n"/>
      <c r="C789" s="38" t="n"/>
      <c r="D789" s="32" t="n"/>
      <c r="E789" s="43">
        <f>IF(OR(A789="",B789=""),"",SUMPRODUCT(MAX(($B$6:$B$2005=B789)*($A$6:$A$2005&lt;A789)*$A$6:$A$2005)))</f>
        <v/>
      </c>
      <c r="F789" s="41">
        <f>IF(OR(E789="",E789=0),"",IFERROR(AVERAGEIFS($C$6:$C$2005,$B$6:$B$2005,B789,$A$6:$A$2005,E789),""))</f>
        <v/>
      </c>
      <c r="G789" s="34">
        <f>IF(F789="","",A789-E789)</f>
        <v/>
      </c>
      <c r="H789" s="42">
        <f>IF(OR(F789="",C789=""),"",IFERROR((C789-F789)/G789,""))</f>
        <v/>
      </c>
      <c r="I789" s="39">
        <f>IF(B789="","",IFERROR(INDEX('Animais'!$M$6:$M$1005,MATCH(B789,'Animais'!$A$6:$A$1005,0)),"Brinco não cadastrado"))</f>
        <v/>
      </c>
    </row>
    <row r="790">
      <c r="A790" s="31" t="n"/>
      <c r="B790" s="36" t="n"/>
      <c r="C790" s="38" t="n"/>
      <c r="D790" s="32" t="n"/>
      <c r="E790" s="43">
        <f>IF(OR(A790="",B790=""),"",SUMPRODUCT(MAX(($B$6:$B$2005=B790)*($A$6:$A$2005&lt;A790)*$A$6:$A$2005)))</f>
        <v/>
      </c>
      <c r="F790" s="41">
        <f>IF(OR(E790="",E790=0),"",IFERROR(AVERAGEIFS($C$6:$C$2005,$B$6:$B$2005,B790,$A$6:$A$2005,E790),""))</f>
        <v/>
      </c>
      <c r="G790" s="34">
        <f>IF(F790="","",A790-E790)</f>
        <v/>
      </c>
      <c r="H790" s="42">
        <f>IF(OR(F790="",C790=""),"",IFERROR((C790-F790)/G790,""))</f>
        <v/>
      </c>
      <c r="I790" s="39">
        <f>IF(B790="","",IFERROR(INDEX('Animais'!$M$6:$M$1005,MATCH(B790,'Animais'!$A$6:$A$1005,0)),"Brinco não cadastrado"))</f>
        <v/>
      </c>
    </row>
    <row r="791">
      <c r="A791" s="31" t="n"/>
      <c r="B791" s="36" t="n"/>
      <c r="C791" s="38" t="n"/>
      <c r="D791" s="32" t="n"/>
      <c r="E791" s="43">
        <f>IF(OR(A791="",B791=""),"",SUMPRODUCT(MAX(($B$6:$B$2005=B791)*($A$6:$A$2005&lt;A791)*$A$6:$A$2005)))</f>
        <v/>
      </c>
      <c r="F791" s="41">
        <f>IF(OR(E791="",E791=0),"",IFERROR(AVERAGEIFS($C$6:$C$2005,$B$6:$B$2005,B791,$A$6:$A$2005,E791),""))</f>
        <v/>
      </c>
      <c r="G791" s="34">
        <f>IF(F791="","",A791-E791)</f>
        <v/>
      </c>
      <c r="H791" s="42">
        <f>IF(OR(F791="",C791=""),"",IFERROR((C791-F791)/G791,""))</f>
        <v/>
      </c>
      <c r="I791" s="39">
        <f>IF(B791="","",IFERROR(INDEX('Animais'!$M$6:$M$1005,MATCH(B791,'Animais'!$A$6:$A$1005,0)),"Brinco não cadastrado"))</f>
        <v/>
      </c>
    </row>
    <row r="792">
      <c r="A792" s="31" t="n"/>
      <c r="B792" s="36" t="n"/>
      <c r="C792" s="38" t="n"/>
      <c r="D792" s="32" t="n"/>
      <c r="E792" s="43">
        <f>IF(OR(A792="",B792=""),"",SUMPRODUCT(MAX(($B$6:$B$2005=B792)*($A$6:$A$2005&lt;A792)*$A$6:$A$2005)))</f>
        <v/>
      </c>
      <c r="F792" s="41">
        <f>IF(OR(E792="",E792=0),"",IFERROR(AVERAGEIFS($C$6:$C$2005,$B$6:$B$2005,B792,$A$6:$A$2005,E792),""))</f>
        <v/>
      </c>
      <c r="G792" s="34">
        <f>IF(F792="","",A792-E792)</f>
        <v/>
      </c>
      <c r="H792" s="42">
        <f>IF(OR(F792="",C792=""),"",IFERROR((C792-F792)/G792,""))</f>
        <v/>
      </c>
      <c r="I792" s="39">
        <f>IF(B792="","",IFERROR(INDEX('Animais'!$M$6:$M$1005,MATCH(B792,'Animais'!$A$6:$A$1005,0)),"Brinco não cadastrado"))</f>
        <v/>
      </c>
    </row>
    <row r="793">
      <c r="A793" s="31" t="n"/>
      <c r="B793" s="36" t="n"/>
      <c r="C793" s="38" t="n"/>
      <c r="D793" s="32" t="n"/>
      <c r="E793" s="43">
        <f>IF(OR(A793="",B793=""),"",SUMPRODUCT(MAX(($B$6:$B$2005=B793)*($A$6:$A$2005&lt;A793)*$A$6:$A$2005)))</f>
        <v/>
      </c>
      <c r="F793" s="41">
        <f>IF(OR(E793="",E793=0),"",IFERROR(AVERAGEIFS($C$6:$C$2005,$B$6:$B$2005,B793,$A$6:$A$2005,E793),""))</f>
        <v/>
      </c>
      <c r="G793" s="34">
        <f>IF(F793="","",A793-E793)</f>
        <v/>
      </c>
      <c r="H793" s="42">
        <f>IF(OR(F793="",C793=""),"",IFERROR((C793-F793)/G793,""))</f>
        <v/>
      </c>
      <c r="I793" s="39">
        <f>IF(B793="","",IFERROR(INDEX('Animais'!$M$6:$M$1005,MATCH(B793,'Animais'!$A$6:$A$1005,0)),"Brinco não cadastrado"))</f>
        <v/>
      </c>
    </row>
    <row r="794">
      <c r="A794" s="31" t="n"/>
      <c r="B794" s="36" t="n"/>
      <c r="C794" s="38" t="n"/>
      <c r="D794" s="32" t="n"/>
      <c r="E794" s="43">
        <f>IF(OR(A794="",B794=""),"",SUMPRODUCT(MAX(($B$6:$B$2005=B794)*($A$6:$A$2005&lt;A794)*$A$6:$A$2005)))</f>
        <v/>
      </c>
      <c r="F794" s="41">
        <f>IF(OR(E794="",E794=0),"",IFERROR(AVERAGEIFS($C$6:$C$2005,$B$6:$B$2005,B794,$A$6:$A$2005,E794),""))</f>
        <v/>
      </c>
      <c r="G794" s="34">
        <f>IF(F794="","",A794-E794)</f>
        <v/>
      </c>
      <c r="H794" s="42">
        <f>IF(OR(F794="",C794=""),"",IFERROR((C794-F794)/G794,""))</f>
        <v/>
      </c>
      <c r="I794" s="39">
        <f>IF(B794="","",IFERROR(INDEX('Animais'!$M$6:$M$1005,MATCH(B794,'Animais'!$A$6:$A$1005,0)),"Brinco não cadastrado"))</f>
        <v/>
      </c>
    </row>
    <row r="795">
      <c r="A795" s="31" t="n"/>
      <c r="B795" s="36" t="n"/>
      <c r="C795" s="38" t="n"/>
      <c r="D795" s="32" t="n"/>
      <c r="E795" s="43">
        <f>IF(OR(A795="",B795=""),"",SUMPRODUCT(MAX(($B$6:$B$2005=B795)*($A$6:$A$2005&lt;A795)*$A$6:$A$2005)))</f>
        <v/>
      </c>
      <c r="F795" s="41">
        <f>IF(OR(E795="",E795=0),"",IFERROR(AVERAGEIFS($C$6:$C$2005,$B$6:$B$2005,B795,$A$6:$A$2005,E795),""))</f>
        <v/>
      </c>
      <c r="G795" s="34">
        <f>IF(F795="","",A795-E795)</f>
        <v/>
      </c>
      <c r="H795" s="42">
        <f>IF(OR(F795="",C795=""),"",IFERROR((C795-F795)/G795,""))</f>
        <v/>
      </c>
      <c r="I795" s="39">
        <f>IF(B795="","",IFERROR(INDEX('Animais'!$M$6:$M$1005,MATCH(B795,'Animais'!$A$6:$A$1005,0)),"Brinco não cadastrado"))</f>
        <v/>
      </c>
    </row>
    <row r="796">
      <c r="A796" s="31" t="n"/>
      <c r="B796" s="36" t="n"/>
      <c r="C796" s="38" t="n"/>
      <c r="D796" s="32" t="n"/>
      <c r="E796" s="43">
        <f>IF(OR(A796="",B796=""),"",SUMPRODUCT(MAX(($B$6:$B$2005=B796)*($A$6:$A$2005&lt;A796)*$A$6:$A$2005)))</f>
        <v/>
      </c>
      <c r="F796" s="41">
        <f>IF(OR(E796="",E796=0),"",IFERROR(AVERAGEIFS($C$6:$C$2005,$B$6:$B$2005,B796,$A$6:$A$2005,E796),""))</f>
        <v/>
      </c>
      <c r="G796" s="34">
        <f>IF(F796="","",A796-E796)</f>
        <v/>
      </c>
      <c r="H796" s="42">
        <f>IF(OR(F796="",C796=""),"",IFERROR((C796-F796)/G796,""))</f>
        <v/>
      </c>
      <c r="I796" s="39">
        <f>IF(B796="","",IFERROR(INDEX('Animais'!$M$6:$M$1005,MATCH(B796,'Animais'!$A$6:$A$1005,0)),"Brinco não cadastrado"))</f>
        <v/>
      </c>
    </row>
    <row r="797">
      <c r="A797" s="31" t="n"/>
      <c r="B797" s="36" t="n"/>
      <c r="C797" s="38" t="n"/>
      <c r="D797" s="32" t="n"/>
      <c r="E797" s="43">
        <f>IF(OR(A797="",B797=""),"",SUMPRODUCT(MAX(($B$6:$B$2005=B797)*($A$6:$A$2005&lt;A797)*$A$6:$A$2005)))</f>
        <v/>
      </c>
      <c r="F797" s="41">
        <f>IF(OR(E797="",E797=0),"",IFERROR(AVERAGEIFS($C$6:$C$2005,$B$6:$B$2005,B797,$A$6:$A$2005,E797),""))</f>
        <v/>
      </c>
      <c r="G797" s="34">
        <f>IF(F797="","",A797-E797)</f>
        <v/>
      </c>
      <c r="H797" s="42">
        <f>IF(OR(F797="",C797=""),"",IFERROR((C797-F797)/G797,""))</f>
        <v/>
      </c>
      <c r="I797" s="39">
        <f>IF(B797="","",IFERROR(INDEX('Animais'!$M$6:$M$1005,MATCH(B797,'Animais'!$A$6:$A$1005,0)),"Brinco não cadastrado"))</f>
        <v/>
      </c>
    </row>
    <row r="798">
      <c r="A798" s="31" t="n"/>
      <c r="B798" s="36" t="n"/>
      <c r="C798" s="38" t="n"/>
      <c r="D798" s="32" t="n"/>
      <c r="E798" s="43">
        <f>IF(OR(A798="",B798=""),"",SUMPRODUCT(MAX(($B$6:$B$2005=B798)*($A$6:$A$2005&lt;A798)*$A$6:$A$2005)))</f>
        <v/>
      </c>
      <c r="F798" s="41">
        <f>IF(OR(E798="",E798=0),"",IFERROR(AVERAGEIFS($C$6:$C$2005,$B$6:$B$2005,B798,$A$6:$A$2005,E798),""))</f>
        <v/>
      </c>
      <c r="G798" s="34">
        <f>IF(F798="","",A798-E798)</f>
        <v/>
      </c>
      <c r="H798" s="42">
        <f>IF(OR(F798="",C798=""),"",IFERROR((C798-F798)/G798,""))</f>
        <v/>
      </c>
      <c r="I798" s="39">
        <f>IF(B798="","",IFERROR(INDEX('Animais'!$M$6:$M$1005,MATCH(B798,'Animais'!$A$6:$A$1005,0)),"Brinco não cadastrado"))</f>
        <v/>
      </c>
    </row>
    <row r="799">
      <c r="A799" s="31" t="n"/>
      <c r="B799" s="36" t="n"/>
      <c r="C799" s="38" t="n"/>
      <c r="D799" s="32" t="n"/>
      <c r="E799" s="43">
        <f>IF(OR(A799="",B799=""),"",SUMPRODUCT(MAX(($B$6:$B$2005=B799)*($A$6:$A$2005&lt;A799)*$A$6:$A$2005)))</f>
        <v/>
      </c>
      <c r="F799" s="41">
        <f>IF(OR(E799="",E799=0),"",IFERROR(AVERAGEIFS($C$6:$C$2005,$B$6:$B$2005,B799,$A$6:$A$2005,E799),""))</f>
        <v/>
      </c>
      <c r="G799" s="34">
        <f>IF(F799="","",A799-E799)</f>
        <v/>
      </c>
      <c r="H799" s="42">
        <f>IF(OR(F799="",C799=""),"",IFERROR((C799-F799)/G799,""))</f>
        <v/>
      </c>
      <c r="I799" s="39">
        <f>IF(B799="","",IFERROR(INDEX('Animais'!$M$6:$M$1005,MATCH(B799,'Animais'!$A$6:$A$1005,0)),"Brinco não cadastrado"))</f>
        <v/>
      </c>
    </row>
    <row r="800">
      <c r="A800" s="31" t="n"/>
      <c r="B800" s="36" t="n"/>
      <c r="C800" s="38" t="n"/>
      <c r="D800" s="32" t="n"/>
      <c r="E800" s="43">
        <f>IF(OR(A800="",B800=""),"",SUMPRODUCT(MAX(($B$6:$B$2005=B800)*($A$6:$A$2005&lt;A800)*$A$6:$A$2005)))</f>
        <v/>
      </c>
      <c r="F800" s="41">
        <f>IF(OR(E800="",E800=0),"",IFERROR(AVERAGEIFS($C$6:$C$2005,$B$6:$B$2005,B800,$A$6:$A$2005,E800),""))</f>
        <v/>
      </c>
      <c r="G800" s="34">
        <f>IF(F800="","",A800-E800)</f>
        <v/>
      </c>
      <c r="H800" s="42">
        <f>IF(OR(F800="",C800=""),"",IFERROR((C800-F800)/G800,""))</f>
        <v/>
      </c>
      <c r="I800" s="39">
        <f>IF(B800="","",IFERROR(INDEX('Animais'!$M$6:$M$1005,MATCH(B800,'Animais'!$A$6:$A$1005,0)),"Brinco não cadastrado"))</f>
        <v/>
      </c>
    </row>
    <row r="801">
      <c r="A801" s="31" t="n"/>
      <c r="B801" s="36" t="n"/>
      <c r="C801" s="38" t="n"/>
      <c r="D801" s="32" t="n"/>
      <c r="E801" s="43">
        <f>IF(OR(A801="",B801=""),"",SUMPRODUCT(MAX(($B$6:$B$2005=B801)*($A$6:$A$2005&lt;A801)*$A$6:$A$2005)))</f>
        <v/>
      </c>
      <c r="F801" s="41">
        <f>IF(OR(E801="",E801=0),"",IFERROR(AVERAGEIFS($C$6:$C$2005,$B$6:$B$2005,B801,$A$6:$A$2005,E801),""))</f>
        <v/>
      </c>
      <c r="G801" s="34">
        <f>IF(F801="","",A801-E801)</f>
        <v/>
      </c>
      <c r="H801" s="42">
        <f>IF(OR(F801="",C801=""),"",IFERROR((C801-F801)/G801,""))</f>
        <v/>
      </c>
      <c r="I801" s="39">
        <f>IF(B801="","",IFERROR(INDEX('Animais'!$M$6:$M$1005,MATCH(B801,'Animais'!$A$6:$A$1005,0)),"Brinco não cadastrado"))</f>
        <v/>
      </c>
    </row>
    <row r="802">
      <c r="A802" s="31" t="n"/>
      <c r="B802" s="36" t="n"/>
      <c r="C802" s="38" t="n"/>
      <c r="D802" s="32" t="n"/>
      <c r="E802" s="43">
        <f>IF(OR(A802="",B802=""),"",SUMPRODUCT(MAX(($B$6:$B$2005=B802)*($A$6:$A$2005&lt;A802)*$A$6:$A$2005)))</f>
        <v/>
      </c>
      <c r="F802" s="41">
        <f>IF(OR(E802="",E802=0),"",IFERROR(AVERAGEIFS($C$6:$C$2005,$B$6:$B$2005,B802,$A$6:$A$2005,E802),""))</f>
        <v/>
      </c>
      <c r="G802" s="34">
        <f>IF(F802="","",A802-E802)</f>
        <v/>
      </c>
      <c r="H802" s="42">
        <f>IF(OR(F802="",C802=""),"",IFERROR((C802-F802)/G802,""))</f>
        <v/>
      </c>
      <c r="I802" s="39">
        <f>IF(B802="","",IFERROR(INDEX('Animais'!$M$6:$M$1005,MATCH(B802,'Animais'!$A$6:$A$1005,0)),"Brinco não cadastrado"))</f>
        <v/>
      </c>
    </row>
    <row r="803">
      <c r="A803" s="31" t="n"/>
      <c r="B803" s="36" t="n"/>
      <c r="C803" s="38" t="n"/>
      <c r="D803" s="32" t="n"/>
      <c r="E803" s="43">
        <f>IF(OR(A803="",B803=""),"",SUMPRODUCT(MAX(($B$6:$B$2005=B803)*($A$6:$A$2005&lt;A803)*$A$6:$A$2005)))</f>
        <v/>
      </c>
      <c r="F803" s="41">
        <f>IF(OR(E803="",E803=0),"",IFERROR(AVERAGEIFS($C$6:$C$2005,$B$6:$B$2005,B803,$A$6:$A$2005,E803),""))</f>
        <v/>
      </c>
      <c r="G803" s="34">
        <f>IF(F803="","",A803-E803)</f>
        <v/>
      </c>
      <c r="H803" s="42">
        <f>IF(OR(F803="",C803=""),"",IFERROR((C803-F803)/G803,""))</f>
        <v/>
      </c>
      <c r="I803" s="39">
        <f>IF(B803="","",IFERROR(INDEX('Animais'!$M$6:$M$1005,MATCH(B803,'Animais'!$A$6:$A$1005,0)),"Brinco não cadastrado"))</f>
        <v/>
      </c>
    </row>
    <row r="804">
      <c r="A804" s="31" t="n"/>
      <c r="B804" s="36" t="n"/>
      <c r="C804" s="38" t="n"/>
      <c r="D804" s="32" t="n"/>
      <c r="E804" s="43">
        <f>IF(OR(A804="",B804=""),"",SUMPRODUCT(MAX(($B$6:$B$2005=B804)*($A$6:$A$2005&lt;A804)*$A$6:$A$2005)))</f>
        <v/>
      </c>
      <c r="F804" s="41">
        <f>IF(OR(E804="",E804=0),"",IFERROR(AVERAGEIFS($C$6:$C$2005,$B$6:$B$2005,B804,$A$6:$A$2005,E804),""))</f>
        <v/>
      </c>
      <c r="G804" s="34">
        <f>IF(F804="","",A804-E804)</f>
        <v/>
      </c>
      <c r="H804" s="42">
        <f>IF(OR(F804="",C804=""),"",IFERROR((C804-F804)/G804,""))</f>
        <v/>
      </c>
      <c r="I804" s="39">
        <f>IF(B804="","",IFERROR(INDEX('Animais'!$M$6:$M$1005,MATCH(B804,'Animais'!$A$6:$A$1005,0)),"Brinco não cadastrado"))</f>
        <v/>
      </c>
    </row>
    <row r="805">
      <c r="A805" s="31" t="n"/>
      <c r="B805" s="36" t="n"/>
      <c r="C805" s="38" t="n"/>
      <c r="D805" s="32" t="n"/>
      <c r="E805" s="43">
        <f>IF(OR(A805="",B805=""),"",SUMPRODUCT(MAX(($B$6:$B$2005=B805)*($A$6:$A$2005&lt;A805)*$A$6:$A$2005)))</f>
        <v/>
      </c>
      <c r="F805" s="41">
        <f>IF(OR(E805="",E805=0),"",IFERROR(AVERAGEIFS($C$6:$C$2005,$B$6:$B$2005,B805,$A$6:$A$2005,E805),""))</f>
        <v/>
      </c>
      <c r="G805" s="34">
        <f>IF(F805="","",A805-E805)</f>
        <v/>
      </c>
      <c r="H805" s="42">
        <f>IF(OR(F805="",C805=""),"",IFERROR((C805-F805)/G805,""))</f>
        <v/>
      </c>
      <c r="I805" s="39">
        <f>IF(B805="","",IFERROR(INDEX('Animais'!$M$6:$M$1005,MATCH(B805,'Animais'!$A$6:$A$1005,0)),"Brinco não cadastrado"))</f>
        <v/>
      </c>
    </row>
    <row r="806">
      <c r="A806" s="31" t="n"/>
      <c r="B806" s="36" t="n"/>
      <c r="C806" s="38" t="n"/>
      <c r="D806" s="32" t="n"/>
      <c r="E806" s="43">
        <f>IF(OR(A806="",B806=""),"",SUMPRODUCT(MAX(($B$6:$B$2005=B806)*($A$6:$A$2005&lt;A806)*$A$6:$A$2005)))</f>
        <v/>
      </c>
      <c r="F806" s="41">
        <f>IF(OR(E806="",E806=0),"",IFERROR(AVERAGEIFS($C$6:$C$2005,$B$6:$B$2005,B806,$A$6:$A$2005,E806),""))</f>
        <v/>
      </c>
      <c r="G806" s="34">
        <f>IF(F806="","",A806-E806)</f>
        <v/>
      </c>
      <c r="H806" s="42">
        <f>IF(OR(F806="",C806=""),"",IFERROR((C806-F806)/G806,""))</f>
        <v/>
      </c>
      <c r="I806" s="39">
        <f>IF(B806="","",IFERROR(INDEX('Animais'!$M$6:$M$1005,MATCH(B806,'Animais'!$A$6:$A$1005,0)),"Brinco não cadastrado"))</f>
        <v/>
      </c>
    </row>
    <row r="807">
      <c r="A807" s="31" t="n"/>
      <c r="B807" s="36" t="n"/>
      <c r="C807" s="38" t="n"/>
      <c r="D807" s="32" t="n"/>
      <c r="E807" s="43">
        <f>IF(OR(A807="",B807=""),"",SUMPRODUCT(MAX(($B$6:$B$2005=B807)*($A$6:$A$2005&lt;A807)*$A$6:$A$2005)))</f>
        <v/>
      </c>
      <c r="F807" s="41">
        <f>IF(OR(E807="",E807=0),"",IFERROR(AVERAGEIFS($C$6:$C$2005,$B$6:$B$2005,B807,$A$6:$A$2005,E807),""))</f>
        <v/>
      </c>
      <c r="G807" s="34">
        <f>IF(F807="","",A807-E807)</f>
        <v/>
      </c>
      <c r="H807" s="42">
        <f>IF(OR(F807="",C807=""),"",IFERROR((C807-F807)/G807,""))</f>
        <v/>
      </c>
      <c r="I807" s="39">
        <f>IF(B807="","",IFERROR(INDEX('Animais'!$M$6:$M$1005,MATCH(B807,'Animais'!$A$6:$A$1005,0)),"Brinco não cadastrado"))</f>
        <v/>
      </c>
    </row>
    <row r="808">
      <c r="A808" s="31" t="n"/>
      <c r="B808" s="36" t="n"/>
      <c r="C808" s="38" t="n"/>
      <c r="D808" s="32" t="n"/>
      <c r="E808" s="43">
        <f>IF(OR(A808="",B808=""),"",SUMPRODUCT(MAX(($B$6:$B$2005=B808)*($A$6:$A$2005&lt;A808)*$A$6:$A$2005)))</f>
        <v/>
      </c>
      <c r="F808" s="41">
        <f>IF(OR(E808="",E808=0),"",IFERROR(AVERAGEIFS($C$6:$C$2005,$B$6:$B$2005,B808,$A$6:$A$2005,E808),""))</f>
        <v/>
      </c>
      <c r="G808" s="34">
        <f>IF(F808="","",A808-E808)</f>
        <v/>
      </c>
      <c r="H808" s="42">
        <f>IF(OR(F808="",C808=""),"",IFERROR((C808-F808)/G808,""))</f>
        <v/>
      </c>
      <c r="I808" s="39">
        <f>IF(B808="","",IFERROR(INDEX('Animais'!$M$6:$M$1005,MATCH(B808,'Animais'!$A$6:$A$1005,0)),"Brinco não cadastrado"))</f>
        <v/>
      </c>
    </row>
    <row r="809">
      <c r="A809" s="31" t="n"/>
      <c r="B809" s="36" t="n"/>
      <c r="C809" s="38" t="n"/>
      <c r="D809" s="32" t="n"/>
      <c r="E809" s="43">
        <f>IF(OR(A809="",B809=""),"",SUMPRODUCT(MAX(($B$6:$B$2005=B809)*($A$6:$A$2005&lt;A809)*$A$6:$A$2005)))</f>
        <v/>
      </c>
      <c r="F809" s="41">
        <f>IF(OR(E809="",E809=0),"",IFERROR(AVERAGEIFS($C$6:$C$2005,$B$6:$B$2005,B809,$A$6:$A$2005,E809),""))</f>
        <v/>
      </c>
      <c r="G809" s="34">
        <f>IF(F809="","",A809-E809)</f>
        <v/>
      </c>
      <c r="H809" s="42">
        <f>IF(OR(F809="",C809=""),"",IFERROR((C809-F809)/G809,""))</f>
        <v/>
      </c>
      <c r="I809" s="39">
        <f>IF(B809="","",IFERROR(INDEX('Animais'!$M$6:$M$1005,MATCH(B809,'Animais'!$A$6:$A$1005,0)),"Brinco não cadastrado"))</f>
        <v/>
      </c>
    </row>
    <row r="810">
      <c r="A810" s="31" t="n"/>
      <c r="B810" s="36" t="n"/>
      <c r="C810" s="38" t="n"/>
      <c r="D810" s="32" t="n"/>
      <c r="E810" s="43">
        <f>IF(OR(A810="",B810=""),"",SUMPRODUCT(MAX(($B$6:$B$2005=B810)*($A$6:$A$2005&lt;A810)*$A$6:$A$2005)))</f>
        <v/>
      </c>
      <c r="F810" s="41">
        <f>IF(OR(E810="",E810=0),"",IFERROR(AVERAGEIFS($C$6:$C$2005,$B$6:$B$2005,B810,$A$6:$A$2005,E810),""))</f>
        <v/>
      </c>
      <c r="G810" s="34">
        <f>IF(F810="","",A810-E810)</f>
        <v/>
      </c>
      <c r="H810" s="42">
        <f>IF(OR(F810="",C810=""),"",IFERROR((C810-F810)/G810,""))</f>
        <v/>
      </c>
      <c r="I810" s="39">
        <f>IF(B810="","",IFERROR(INDEX('Animais'!$M$6:$M$1005,MATCH(B810,'Animais'!$A$6:$A$1005,0)),"Brinco não cadastrado"))</f>
        <v/>
      </c>
    </row>
    <row r="811">
      <c r="A811" s="31" t="n"/>
      <c r="B811" s="36" t="n"/>
      <c r="C811" s="38" t="n"/>
      <c r="D811" s="32" t="n"/>
      <c r="E811" s="43">
        <f>IF(OR(A811="",B811=""),"",SUMPRODUCT(MAX(($B$6:$B$2005=B811)*($A$6:$A$2005&lt;A811)*$A$6:$A$2005)))</f>
        <v/>
      </c>
      <c r="F811" s="41">
        <f>IF(OR(E811="",E811=0),"",IFERROR(AVERAGEIFS($C$6:$C$2005,$B$6:$B$2005,B811,$A$6:$A$2005,E811),""))</f>
        <v/>
      </c>
      <c r="G811" s="34">
        <f>IF(F811="","",A811-E811)</f>
        <v/>
      </c>
      <c r="H811" s="42">
        <f>IF(OR(F811="",C811=""),"",IFERROR((C811-F811)/G811,""))</f>
        <v/>
      </c>
      <c r="I811" s="39">
        <f>IF(B811="","",IFERROR(INDEX('Animais'!$M$6:$M$1005,MATCH(B811,'Animais'!$A$6:$A$1005,0)),"Brinco não cadastrado"))</f>
        <v/>
      </c>
    </row>
    <row r="812">
      <c r="A812" s="31" t="n"/>
      <c r="B812" s="36" t="n"/>
      <c r="C812" s="38" t="n"/>
      <c r="D812" s="32" t="n"/>
      <c r="E812" s="43">
        <f>IF(OR(A812="",B812=""),"",SUMPRODUCT(MAX(($B$6:$B$2005=B812)*($A$6:$A$2005&lt;A812)*$A$6:$A$2005)))</f>
        <v/>
      </c>
      <c r="F812" s="41">
        <f>IF(OR(E812="",E812=0),"",IFERROR(AVERAGEIFS($C$6:$C$2005,$B$6:$B$2005,B812,$A$6:$A$2005,E812),""))</f>
        <v/>
      </c>
      <c r="G812" s="34">
        <f>IF(F812="","",A812-E812)</f>
        <v/>
      </c>
      <c r="H812" s="42">
        <f>IF(OR(F812="",C812=""),"",IFERROR((C812-F812)/G812,""))</f>
        <v/>
      </c>
      <c r="I812" s="39">
        <f>IF(B812="","",IFERROR(INDEX('Animais'!$M$6:$M$1005,MATCH(B812,'Animais'!$A$6:$A$1005,0)),"Brinco não cadastrado"))</f>
        <v/>
      </c>
    </row>
    <row r="813">
      <c r="A813" s="31" t="n"/>
      <c r="B813" s="36" t="n"/>
      <c r="C813" s="38" t="n"/>
      <c r="D813" s="32" t="n"/>
      <c r="E813" s="43">
        <f>IF(OR(A813="",B813=""),"",SUMPRODUCT(MAX(($B$6:$B$2005=B813)*($A$6:$A$2005&lt;A813)*$A$6:$A$2005)))</f>
        <v/>
      </c>
      <c r="F813" s="41">
        <f>IF(OR(E813="",E813=0),"",IFERROR(AVERAGEIFS($C$6:$C$2005,$B$6:$B$2005,B813,$A$6:$A$2005,E813),""))</f>
        <v/>
      </c>
      <c r="G813" s="34">
        <f>IF(F813="","",A813-E813)</f>
        <v/>
      </c>
      <c r="H813" s="42">
        <f>IF(OR(F813="",C813=""),"",IFERROR((C813-F813)/G813,""))</f>
        <v/>
      </c>
      <c r="I813" s="39">
        <f>IF(B813="","",IFERROR(INDEX('Animais'!$M$6:$M$1005,MATCH(B813,'Animais'!$A$6:$A$1005,0)),"Brinco não cadastrado"))</f>
        <v/>
      </c>
    </row>
    <row r="814">
      <c r="A814" s="31" t="n"/>
      <c r="B814" s="36" t="n"/>
      <c r="C814" s="38" t="n"/>
      <c r="D814" s="32" t="n"/>
      <c r="E814" s="43">
        <f>IF(OR(A814="",B814=""),"",SUMPRODUCT(MAX(($B$6:$B$2005=B814)*($A$6:$A$2005&lt;A814)*$A$6:$A$2005)))</f>
        <v/>
      </c>
      <c r="F814" s="41">
        <f>IF(OR(E814="",E814=0),"",IFERROR(AVERAGEIFS($C$6:$C$2005,$B$6:$B$2005,B814,$A$6:$A$2005,E814),""))</f>
        <v/>
      </c>
      <c r="G814" s="34">
        <f>IF(F814="","",A814-E814)</f>
        <v/>
      </c>
      <c r="H814" s="42">
        <f>IF(OR(F814="",C814=""),"",IFERROR((C814-F814)/G814,""))</f>
        <v/>
      </c>
      <c r="I814" s="39">
        <f>IF(B814="","",IFERROR(INDEX('Animais'!$M$6:$M$1005,MATCH(B814,'Animais'!$A$6:$A$1005,0)),"Brinco não cadastrado"))</f>
        <v/>
      </c>
    </row>
    <row r="815">
      <c r="A815" s="31" t="n"/>
      <c r="B815" s="36" t="n"/>
      <c r="C815" s="38" t="n"/>
      <c r="D815" s="32" t="n"/>
      <c r="E815" s="43">
        <f>IF(OR(A815="",B815=""),"",SUMPRODUCT(MAX(($B$6:$B$2005=B815)*($A$6:$A$2005&lt;A815)*$A$6:$A$2005)))</f>
        <v/>
      </c>
      <c r="F815" s="41">
        <f>IF(OR(E815="",E815=0),"",IFERROR(AVERAGEIFS($C$6:$C$2005,$B$6:$B$2005,B815,$A$6:$A$2005,E815),""))</f>
        <v/>
      </c>
      <c r="G815" s="34">
        <f>IF(F815="","",A815-E815)</f>
        <v/>
      </c>
      <c r="H815" s="42">
        <f>IF(OR(F815="",C815=""),"",IFERROR((C815-F815)/G815,""))</f>
        <v/>
      </c>
      <c r="I815" s="39">
        <f>IF(B815="","",IFERROR(INDEX('Animais'!$M$6:$M$1005,MATCH(B815,'Animais'!$A$6:$A$1005,0)),"Brinco não cadastrado"))</f>
        <v/>
      </c>
    </row>
    <row r="816">
      <c r="A816" s="31" t="n"/>
      <c r="B816" s="36" t="n"/>
      <c r="C816" s="38" t="n"/>
      <c r="D816" s="32" t="n"/>
      <c r="E816" s="43">
        <f>IF(OR(A816="",B816=""),"",SUMPRODUCT(MAX(($B$6:$B$2005=B816)*($A$6:$A$2005&lt;A816)*$A$6:$A$2005)))</f>
        <v/>
      </c>
      <c r="F816" s="41">
        <f>IF(OR(E816="",E816=0),"",IFERROR(AVERAGEIFS($C$6:$C$2005,$B$6:$B$2005,B816,$A$6:$A$2005,E816),""))</f>
        <v/>
      </c>
      <c r="G816" s="34">
        <f>IF(F816="","",A816-E816)</f>
        <v/>
      </c>
      <c r="H816" s="42">
        <f>IF(OR(F816="",C816=""),"",IFERROR((C816-F816)/G816,""))</f>
        <v/>
      </c>
      <c r="I816" s="39">
        <f>IF(B816="","",IFERROR(INDEX('Animais'!$M$6:$M$1005,MATCH(B816,'Animais'!$A$6:$A$1005,0)),"Brinco não cadastrado"))</f>
        <v/>
      </c>
    </row>
    <row r="817">
      <c r="A817" s="31" t="n"/>
      <c r="B817" s="36" t="n"/>
      <c r="C817" s="38" t="n"/>
      <c r="D817" s="32" t="n"/>
      <c r="E817" s="43">
        <f>IF(OR(A817="",B817=""),"",SUMPRODUCT(MAX(($B$6:$B$2005=B817)*($A$6:$A$2005&lt;A817)*$A$6:$A$2005)))</f>
        <v/>
      </c>
      <c r="F817" s="41">
        <f>IF(OR(E817="",E817=0),"",IFERROR(AVERAGEIFS($C$6:$C$2005,$B$6:$B$2005,B817,$A$6:$A$2005,E817),""))</f>
        <v/>
      </c>
      <c r="G817" s="34">
        <f>IF(F817="","",A817-E817)</f>
        <v/>
      </c>
      <c r="H817" s="42">
        <f>IF(OR(F817="",C817=""),"",IFERROR((C817-F817)/G817,""))</f>
        <v/>
      </c>
      <c r="I817" s="39">
        <f>IF(B817="","",IFERROR(INDEX('Animais'!$M$6:$M$1005,MATCH(B817,'Animais'!$A$6:$A$1005,0)),"Brinco não cadastrado"))</f>
        <v/>
      </c>
    </row>
    <row r="818">
      <c r="A818" s="31" t="n"/>
      <c r="B818" s="36" t="n"/>
      <c r="C818" s="38" t="n"/>
      <c r="D818" s="32" t="n"/>
      <c r="E818" s="43">
        <f>IF(OR(A818="",B818=""),"",SUMPRODUCT(MAX(($B$6:$B$2005=B818)*($A$6:$A$2005&lt;A818)*$A$6:$A$2005)))</f>
        <v/>
      </c>
      <c r="F818" s="41">
        <f>IF(OR(E818="",E818=0),"",IFERROR(AVERAGEIFS($C$6:$C$2005,$B$6:$B$2005,B818,$A$6:$A$2005,E818),""))</f>
        <v/>
      </c>
      <c r="G818" s="34">
        <f>IF(F818="","",A818-E818)</f>
        <v/>
      </c>
      <c r="H818" s="42">
        <f>IF(OR(F818="",C818=""),"",IFERROR((C818-F818)/G818,""))</f>
        <v/>
      </c>
      <c r="I818" s="39">
        <f>IF(B818="","",IFERROR(INDEX('Animais'!$M$6:$M$1005,MATCH(B818,'Animais'!$A$6:$A$1005,0)),"Brinco não cadastrado"))</f>
        <v/>
      </c>
    </row>
    <row r="819">
      <c r="A819" s="31" t="n"/>
      <c r="B819" s="36" t="n"/>
      <c r="C819" s="38" t="n"/>
      <c r="D819" s="32" t="n"/>
      <c r="E819" s="43">
        <f>IF(OR(A819="",B819=""),"",SUMPRODUCT(MAX(($B$6:$B$2005=B819)*($A$6:$A$2005&lt;A819)*$A$6:$A$2005)))</f>
        <v/>
      </c>
      <c r="F819" s="41">
        <f>IF(OR(E819="",E819=0),"",IFERROR(AVERAGEIFS($C$6:$C$2005,$B$6:$B$2005,B819,$A$6:$A$2005,E819),""))</f>
        <v/>
      </c>
      <c r="G819" s="34">
        <f>IF(F819="","",A819-E819)</f>
        <v/>
      </c>
      <c r="H819" s="42">
        <f>IF(OR(F819="",C819=""),"",IFERROR((C819-F819)/G819,""))</f>
        <v/>
      </c>
      <c r="I819" s="39">
        <f>IF(B819="","",IFERROR(INDEX('Animais'!$M$6:$M$1005,MATCH(B819,'Animais'!$A$6:$A$1005,0)),"Brinco não cadastrado"))</f>
        <v/>
      </c>
    </row>
    <row r="820">
      <c r="A820" s="31" t="n"/>
      <c r="B820" s="36" t="n"/>
      <c r="C820" s="38" t="n"/>
      <c r="D820" s="32" t="n"/>
      <c r="E820" s="43">
        <f>IF(OR(A820="",B820=""),"",SUMPRODUCT(MAX(($B$6:$B$2005=B820)*($A$6:$A$2005&lt;A820)*$A$6:$A$2005)))</f>
        <v/>
      </c>
      <c r="F820" s="41">
        <f>IF(OR(E820="",E820=0),"",IFERROR(AVERAGEIFS($C$6:$C$2005,$B$6:$B$2005,B820,$A$6:$A$2005,E820),""))</f>
        <v/>
      </c>
      <c r="G820" s="34">
        <f>IF(F820="","",A820-E820)</f>
        <v/>
      </c>
      <c r="H820" s="42">
        <f>IF(OR(F820="",C820=""),"",IFERROR((C820-F820)/G820,""))</f>
        <v/>
      </c>
      <c r="I820" s="39">
        <f>IF(B820="","",IFERROR(INDEX('Animais'!$M$6:$M$1005,MATCH(B820,'Animais'!$A$6:$A$1005,0)),"Brinco não cadastrado"))</f>
        <v/>
      </c>
    </row>
    <row r="821">
      <c r="A821" s="31" t="n"/>
      <c r="B821" s="36" t="n"/>
      <c r="C821" s="38" t="n"/>
      <c r="D821" s="32" t="n"/>
      <c r="E821" s="43">
        <f>IF(OR(A821="",B821=""),"",SUMPRODUCT(MAX(($B$6:$B$2005=B821)*($A$6:$A$2005&lt;A821)*$A$6:$A$2005)))</f>
        <v/>
      </c>
      <c r="F821" s="41">
        <f>IF(OR(E821="",E821=0),"",IFERROR(AVERAGEIFS($C$6:$C$2005,$B$6:$B$2005,B821,$A$6:$A$2005,E821),""))</f>
        <v/>
      </c>
      <c r="G821" s="34">
        <f>IF(F821="","",A821-E821)</f>
        <v/>
      </c>
      <c r="H821" s="42">
        <f>IF(OR(F821="",C821=""),"",IFERROR((C821-F821)/G821,""))</f>
        <v/>
      </c>
      <c r="I821" s="39">
        <f>IF(B821="","",IFERROR(INDEX('Animais'!$M$6:$M$1005,MATCH(B821,'Animais'!$A$6:$A$1005,0)),"Brinco não cadastrado"))</f>
        <v/>
      </c>
    </row>
    <row r="822">
      <c r="A822" s="31" t="n"/>
      <c r="B822" s="36" t="n"/>
      <c r="C822" s="38" t="n"/>
      <c r="D822" s="32" t="n"/>
      <c r="E822" s="43">
        <f>IF(OR(A822="",B822=""),"",SUMPRODUCT(MAX(($B$6:$B$2005=B822)*($A$6:$A$2005&lt;A822)*$A$6:$A$2005)))</f>
        <v/>
      </c>
      <c r="F822" s="41">
        <f>IF(OR(E822="",E822=0),"",IFERROR(AVERAGEIFS($C$6:$C$2005,$B$6:$B$2005,B822,$A$6:$A$2005,E822),""))</f>
        <v/>
      </c>
      <c r="G822" s="34">
        <f>IF(F822="","",A822-E822)</f>
        <v/>
      </c>
      <c r="H822" s="42">
        <f>IF(OR(F822="",C822=""),"",IFERROR((C822-F822)/G822,""))</f>
        <v/>
      </c>
      <c r="I822" s="39">
        <f>IF(B822="","",IFERROR(INDEX('Animais'!$M$6:$M$1005,MATCH(B822,'Animais'!$A$6:$A$1005,0)),"Brinco não cadastrado"))</f>
        <v/>
      </c>
    </row>
    <row r="823">
      <c r="A823" s="31" t="n"/>
      <c r="B823" s="36" t="n"/>
      <c r="C823" s="38" t="n"/>
      <c r="D823" s="32" t="n"/>
      <c r="E823" s="43">
        <f>IF(OR(A823="",B823=""),"",SUMPRODUCT(MAX(($B$6:$B$2005=B823)*($A$6:$A$2005&lt;A823)*$A$6:$A$2005)))</f>
        <v/>
      </c>
      <c r="F823" s="41">
        <f>IF(OR(E823="",E823=0),"",IFERROR(AVERAGEIFS($C$6:$C$2005,$B$6:$B$2005,B823,$A$6:$A$2005,E823),""))</f>
        <v/>
      </c>
      <c r="G823" s="34">
        <f>IF(F823="","",A823-E823)</f>
        <v/>
      </c>
      <c r="H823" s="42">
        <f>IF(OR(F823="",C823=""),"",IFERROR((C823-F823)/G823,""))</f>
        <v/>
      </c>
      <c r="I823" s="39">
        <f>IF(B823="","",IFERROR(INDEX('Animais'!$M$6:$M$1005,MATCH(B823,'Animais'!$A$6:$A$1005,0)),"Brinco não cadastrado"))</f>
        <v/>
      </c>
    </row>
    <row r="824">
      <c r="A824" s="31" t="n"/>
      <c r="B824" s="36" t="n"/>
      <c r="C824" s="38" t="n"/>
      <c r="D824" s="32" t="n"/>
      <c r="E824" s="43">
        <f>IF(OR(A824="",B824=""),"",SUMPRODUCT(MAX(($B$6:$B$2005=B824)*($A$6:$A$2005&lt;A824)*$A$6:$A$2005)))</f>
        <v/>
      </c>
      <c r="F824" s="41">
        <f>IF(OR(E824="",E824=0),"",IFERROR(AVERAGEIFS($C$6:$C$2005,$B$6:$B$2005,B824,$A$6:$A$2005,E824),""))</f>
        <v/>
      </c>
      <c r="G824" s="34">
        <f>IF(F824="","",A824-E824)</f>
        <v/>
      </c>
      <c r="H824" s="42">
        <f>IF(OR(F824="",C824=""),"",IFERROR((C824-F824)/G824,""))</f>
        <v/>
      </c>
      <c r="I824" s="39">
        <f>IF(B824="","",IFERROR(INDEX('Animais'!$M$6:$M$1005,MATCH(B824,'Animais'!$A$6:$A$1005,0)),"Brinco não cadastrado"))</f>
        <v/>
      </c>
    </row>
    <row r="825">
      <c r="A825" s="31" t="n"/>
      <c r="B825" s="36" t="n"/>
      <c r="C825" s="38" t="n"/>
      <c r="D825" s="32" t="n"/>
      <c r="E825" s="43">
        <f>IF(OR(A825="",B825=""),"",SUMPRODUCT(MAX(($B$6:$B$2005=B825)*($A$6:$A$2005&lt;A825)*$A$6:$A$2005)))</f>
        <v/>
      </c>
      <c r="F825" s="41">
        <f>IF(OR(E825="",E825=0),"",IFERROR(AVERAGEIFS($C$6:$C$2005,$B$6:$B$2005,B825,$A$6:$A$2005,E825),""))</f>
        <v/>
      </c>
      <c r="G825" s="34">
        <f>IF(F825="","",A825-E825)</f>
        <v/>
      </c>
      <c r="H825" s="42">
        <f>IF(OR(F825="",C825=""),"",IFERROR((C825-F825)/G825,""))</f>
        <v/>
      </c>
      <c r="I825" s="39">
        <f>IF(B825="","",IFERROR(INDEX('Animais'!$M$6:$M$1005,MATCH(B825,'Animais'!$A$6:$A$1005,0)),"Brinco não cadastrado"))</f>
        <v/>
      </c>
    </row>
    <row r="826">
      <c r="A826" s="31" t="n"/>
      <c r="B826" s="36" t="n"/>
      <c r="C826" s="38" t="n"/>
      <c r="D826" s="32" t="n"/>
      <c r="E826" s="43">
        <f>IF(OR(A826="",B826=""),"",SUMPRODUCT(MAX(($B$6:$B$2005=B826)*($A$6:$A$2005&lt;A826)*$A$6:$A$2005)))</f>
        <v/>
      </c>
      <c r="F826" s="41">
        <f>IF(OR(E826="",E826=0),"",IFERROR(AVERAGEIFS($C$6:$C$2005,$B$6:$B$2005,B826,$A$6:$A$2005,E826),""))</f>
        <v/>
      </c>
      <c r="G826" s="34">
        <f>IF(F826="","",A826-E826)</f>
        <v/>
      </c>
      <c r="H826" s="42">
        <f>IF(OR(F826="",C826=""),"",IFERROR((C826-F826)/G826,""))</f>
        <v/>
      </c>
      <c r="I826" s="39">
        <f>IF(B826="","",IFERROR(INDEX('Animais'!$M$6:$M$1005,MATCH(B826,'Animais'!$A$6:$A$1005,0)),"Brinco não cadastrado"))</f>
        <v/>
      </c>
    </row>
    <row r="827">
      <c r="A827" s="31" t="n"/>
      <c r="B827" s="36" t="n"/>
      <c r="C827" s="38" t="n"/>
      <c r="D827" s="32" t="n"/>
      <c r="E827" s="43">
        <f>IF(OR(A827="",B827=""),"",SUMPRODUCT(MAX(($B$6:$B$2005=B827)*($A$6:$A$2005&lt;A827)*$A$6:$A$2005)))</f>
        <v/>
      </c>
      <c r="F827" s="41">
        <f>IF(OR(E827="",E827=0),"",IFERROR(AVERAGEIFS($C$6:$C$2005,$B$6:$B$2005,B827,$A$6:$A$2005,E827),""))</f>
        <v/>
      </c>
      <c r="G827" s="34">
        <f>IF(F827="","",A827-E827)</f>
        <v/>
      </c>
      <c r="H827" s="42">
        <f>IF(OR(F827="",C827=""),"",IFERROR((C827-F827)/G827,""))</f>
        <v/>
      </c>
      <c r="I827" s="39">
        <f>IF(B827="","",IFERROR(INDEX('Animais'!$M$6:$M$1005,MATCH(B827,'Animais'!$A$6:$A$1005,0)),"Brinco não cadastrado"))</f>
        <v/>
      </c>
    </row>
    <row r="828">
      <c r="A828" s="31" t="n"/>
      <c r="B828" s="36" t="n"/>
      <c r="C828" s="38" t="n"/>
      <c r="D828" s="32" t="n"/>
      <c r="E828" s="43">
        <f>IF(OR(A828="",B828=""),"",SUMPRODUCT(MAX(($B$6:$B$2005=B828)*($A$6:$A$2005&lt;A828)*$A$6:$A$2005)))</f>
        <v/>
      </c>
      <c r="F828" s="41">
        <f>IF(OR(E828="",E828=0),"",IFERROR(AVERAGEIFS($C$6:$C$2005,$B$6:$B$2005,B828,$A$6:$A$2005,E828),""))</f>
        <v/>
      </c>
      <c r="G828" s="34">
        <f>IF(F828="","",A828-E828)</f>
        <v/>
      </c>
      <c r="H828" s="42">
        <f>IF(OR(F828="",C828=""),"",IFERROR((C828-F828)/G828,""))</f>
        <v/>
      </c>
      <c r="I828" s="39">
        <f>IF(B828="","",IFERROR(INDEX('Animais'!$M$6:$M$1005,MATCH(B828,'Animais'!$A$6:$A$1005,0)),"Brinco não cadastrado"))</f>
        <v/>
      </c>
    </row>
    <row r="829">
      <c r="A829" s="31" t="n"/>
      <c r="B829" s="36" t="n"/>
      <c r="C829" s="38" t="n"/>
      <c r="D829" s="32" t="n"/>
      <c r="E829" s="43">
        <f>IF(OR(A829="",B829=""),"",SUMPRODUCT(MAX(($B$6:$B$2005=B829)*($A$6:$A$2005&lt;A829)*$A$6:$A$2005)))</f>
        <v/>
      </c>
      <c r="F829" s="41">
        <f>IF(OR(E829="",E829=0),"",IFERROR(AVERAGEIFS($C$6:$C$2005,$B$6:$B$2005,B829,$A$6:$A$2005,E829),""))</f>
        <v/>
      </c>
      <c r="G829" s="34">
        <f>IF(F829="","",A829-E829)</f>
        <v/>
      </c>
      <c r="H829" s="42">
        <f>IF(OR(F829="",C829=""),"",IFERROR((C829-F829)/G829,""))</f>
        <v/>
      </c>
      <c r="I829" s="39">
        <f>IF(B829="","",IFERROR(INDEX('Animais'!$M$6:$M$1005,MATCH(B829,'Animais'!$A$6:$A$1005,0)),"Brinco não cadastrado"))</f>
        <v/>
      </c>
    </row>
    <row r="830">
      <c r="A830" s="31" t="n"/>
      <c r="B830" s="36" t="n"/>
      <c r="C830" s="38" t="n"/>
      <c r="D830" s="32" t="n"/>
      <c r="E830" s="43">
        <f>IF(OR(A830="",B830=""),"",SUMPRODUCT(MAX(($B$6:$B$2005=B830)*($A$6:$A$2005&lt;A830)*$A$6:$A$2005)))</f>
        <v/>
      </c>
      <c r="F830" s="41">
        <f>IF(OR(E830="",E830=0),"",IFERROR(AVERAGEIFS($C$6:$C$2005,$B$6:$B$2005,B830,$A$6:$A$2005,E830),""))</f>
        <v/>
      </c>
      <c r="G830" s="34">
        <f>IF(F830="","",A830-E830)</f>
        <v/>
      </c>
      <c r="H830" s="42">
        <f>IF(OR(F830="",C830=""),"",IFERROR((C830-F830)/G830,""))</f>
        <v/>
      </c>
      <c r="I830" s="39">
        <f>IF(B830="","",IFERROR(INDEX('Animais'!$M$6:$M$1005,MATCH(B830,'Animais'!$A$6:$A$1005,0)),"Brinco não cadastrado"))</f>
        <v/>
      </c>
    </row>
    <row r="831">
      <c r="A831" s="31" t="n"/>
      <c r="B831" s="36" t="n"/>
      <c r="C831" s="38" t="n"/>
      <c r="D831" s="32" t="n"/>
      <c r="E831" s="43">
        <f>IF(OR(A831="",B831=""),"",SUMPRODUCT(MAX(($B$6:$B$2005=B831)*($A$6:$A$2005&lt;A831)*$A$6:$A$2005)))</f>
        <v/>
      </c>
      <c r="F831" s="41">
        <f>IF(OR(E831="",E831=0),"",IFERROR(AVERAGEIFS($C$6:$C$2005,$B$6:$B$2005,B831,$A$6:$A$2005,E831),""))</f>
        <v/>
      </c>
      <c r="G831" s="34">
        <f>IF(F831="","",A831-E831)</f>
        <v/>
      </c>
      <c r="H831" s="42">
        <f>IF(OR(F831="",C831=""),"",IFERROR((C831-F831)/G831,""))</f>
        <v/>
      </c>
      <c r="I831" s="39">
        <f>IF(B831="","",IFERROR(INDEX('Animais'!$M$6:$M$1005,MATCH(B831,'Animais'!$A$6:$A$1005,0)),"Brinco não cadastrado"))</f>
        <v/>
      </c>
    </row>
    <row r="832">
      <c r="A832" s="31" t="n"/>
      <c r="B832" s="36" t="n"/>
      <c r="C832" s="38" t="n"/>
      <c r="D832" s="32" t="n"/>
      <c r="E832" s="43">
        <f>IF(OR(A832="",B832=""),"",SUMPRODUCT(MAX(($B$6:$B$2005=B832)*($A$6:$A$2005&lt;A832)*$A$6:$A$2005)))</f>
        <v/>
      </c>
      <c r="F832" s="41">
        <f>IF(OR(E832="",E832=0),"",IFERROR(AVERAGEIFS($C$6:$C$2005,$B$6:$B$2005,B832,$A$6:$A$2005,E832),""))</f>
        <v/>
      </c>
      <c r="G832" s="34">
        <f>IF(F832="","",A832-E832)</f>
        <v/>
      </c>
      <c r="H832" s="42">
        <f>IF(OR(F832="",C832=""),"",IFERROR((C832-F832)/G832,""))</f>
        <v/>
      </c>
      <c r="I832" s="39">
        <f>IF(B832="","",IFERROR(INDEX('Animais'!$M$6:$M$1005,MATCH(B832,'Animais'!$A$6:$A$1005,0)),"Brinco não cadastrado"))</f>
        <v/>
      </c>
    </row>
    <row r="833">
      <c r="A833" s="31" t="n"/>
      <c r="B833" s="36" t="n"/>
      <c r="C833" s="38" t="n"/>
      <c r="D833" s="32" t="n"/>
      <c r="E833" s="43">
        <f>IF(OR(A833="",B833=""),"",SUMPRODUCT(MAX(($B$6:$B$2005=B833)*($A$6:$A$2005&lt;A833)*$A$6:$A$2005)))</f>
        <v/>
      </c>
      <c r="F833" s="41">
        <f>IF(OR(E833="",E833=0),"",IFERROR(AVERAGEIFS($C$6:$C$2005,$B$6:$B$2005,B833,$A$6:$A$2005,E833),""))</f>
        <v/>
      </c>
      <c r="G833" s="34">
        <f>IF(F833="","",A833-E833)</f>
        <v/>
      </c>
      <c r="H833" s="42">
        <f>IF(OR(F833="",C833=""),"",IFERROR((C833-F833)/G833,""))</f>
        <v/>
      </c>
      <c r="I833" s="39">
        <f>IF(B833="","",IFERROR(INDEX('Animais'!$M$6:$M$1005,MATCH(B833,'Animais'!$A$6:$A$1005,0)),"Brinco não cadastrado"))</f>
        <v/>
      </c>
    </row>
    <row r="834">
      <c r="A834" s="31" t="n"/>
      <c r="B834" s="36" t="n"/>
      <c r="C834" s="38" t="n"/>
      <c r="D834" s="32" t="n"/>
      <c r="E834" s="43">
        <f>IF(OR(A834="",B834=""),"",SUMPRODUCT(MAX(($B$6:$B$2005=B834)*($A$6:$A$2005&lt;A834)*$A$6:$A$2005)))</f>
        <v/>
      </c>
      <c r="F834" s="41">
        <f>IF(OR(E834="",E834=0),"",IFERROR(AVERAGEIFS($C$6:$C$2005,$B$6:$B$2005,B834,$A$6:$A$2005,E834),""))</f>
        <v/>
      </c>
      <c r="G834" s="34">
        <f>IF(F834="","",A834-E834)</f>
        <v/>
      </c>
      <c r="H834" s="42">
        <f>IF(OR(F834="",C834=""),"",IFERROR((C834-F834)/G834,""))</f>
        <v/>
      </c>
      <c r="I834" s="39">
        <f>IF(B834="","",IFERROR(INDEX('Animais'!$M$6:$M$1005,MATCH(B834,'Animais'!$A$6:$A$1005,0)),"Brinco não cadastrado"))</f>
        <v/>
      </c>
    </row>
    <row r="835">
      <c r="A835" s="31" t="n"/>
      <c r="B835" s="36" t="n"/>
      <c r="C835" s="38" t="n"/>
      <c r="D835" s="32" t="n"/>
      <c r="E835" s="43">
        <f>IF(OR(A835="",B835=""),"",SUMPRODUCT(MAX(($B$6:$B$2005=B835)*($A$6:$A$2005&lt;A835)*$A$6:$A$2005)))</f>
        <v/>
      </c>
      <c r="F835" s="41">
        <f>IF(OR(E835="",E835=0),"",IFERROR(AVERAGEIFS($C$6:$C$2005,$B$6:$B$2005,B835,$A$6:$A$2005,E835),""))</f>
        <v/>
      </c>
      <c r="G835" s="34">
        <f>IF(F835="","",A835-E835)</f>
        <v/>
      </c>
      <c r="H835" s="42">
        <f>IF(OR(F835="",C835=""),"",IFERROR((C835-F835)/G835,""))</f>
        <v/>
      </c>
      <c r="I835" s="39">
        <f>IF(B835="","",IFERROR(INDEX('Animais'!$M$6:$M$1005,MATCH(B835,'Animais'!$A$6:$A$1005,0)),"Brinco não cadastrado"))</f>
        <v/>
      </c>
    </row>
    <row r="836">
      <c r="A836" s="31" t="n"/>
      <c r="B836" s="36" t="n"/>
      <c r="C836" s="38" t="n"/>
      <c r="D836" s="32" t="n"/>
      <c r="E836" s="43">
        <f>IF(OR(A836="",B836=""),"",SUMPRODUCT(MAX(($B$6:$B$2005=B836)*($A$6:$A$2005&lt;A836)*$A$6:$A$2005)))</f>
        <v/>
      </c>
      <c r="F836" s="41">
        <f>IF(OR(E836="",E836=0),"",IFERROR(AVERAGEIFS($C$6:$C$2005,$B$6:$B$2005,B836,$A$6:$A$2005,E836),""))</f>
        <v/>
      </c>
      <c r="G836" s="34">
        <f>IF(F836="","",A836-E836)</f>
        <v/>
      </c>
      <c r="H836" s="42">
        <f>IF(OR(F836="",C836=""),"",IFERROR((C836-F836)/G836,""))</f>
        <v/>
      </c>
      <c r="I836" s="39">
        <f>IF(B836="","",IFERROR(INDEX('Animais'!$M$6:$M$1005,MATCH(B836,'Animais'!$A$6:$A$1005,0)),"Brinco não cadastrado"))</f>
        <v/>
      </c>
    </row>
    <row r="837">
      <c r="A837" s="31" t="n"/>
      <c r="B837" s="36" t="n"/>
      <c r="C837" s="38" t="n"/>
      <c r="D837" s="32" t="n"/>
      <c r="E837" s="43">
        <f>IF(OR(A837="",B837=""),"",SUMPRODUCT(MAX(($B$6:$B$2005=B837)*($A$6:$A$2005&lt;A837)*$A$6:$A$2005)))</f>
        <v/>
      </c>
      <c r="F837" s="41">
        <f>IF(OR(E837="",E837=0),"",IFERROR(AVERAGEIFS($C$6:$C$2005,$B$6:$B$2005,B837,$A$6:$A$2005,E837),""))</f>
        <v/>
      </c>
      <c r="G837" s="34">
        <f>IF(F837="","",A837-E837)</f>
        <v/>
      </c>
      <c r="H837" s="42">
        <f>IF(OR(F837="",C837=""),"",IFERROR((C837-F837)/G837,""))</f>
        <v/>
      </c>
      <c r="I837" s="39">
        <f>IF(B837="","",IFERROR(INDEX('Animais'!$M$6:$M$1005,MATCH(B837,'Animais'!$A$6:$A$1005,0)),"Brinco não cadastrado"))</f>
        <v/>
      </c>
    </row>
    <row r="838">
      <c r="A838" s="31" t="n"/>
      <c r="B838" s="36" t="n"/>
      <c r="C838" s="38" t="n"/>
      <c r="D838" s="32" t="n"/>
      <c r="E838" s="43">
        <f>IF(OR(A838="",B838=""),"",SUMPRODUCT(MAX(($B$6:$B$2005=B838)*($A$6:$A$2005&lt;A838)*$A$6:$A$2005)))</f>
        <v/>
      </c>
      <c r="F838" s="41">
        <f>IF(OR(E838="",E838=0),"",IFERROR(AVERAGEIFS($C$6:$C$2005,$B$6:$B$2005,B838,$A$6:$A$2005,E838),""))</f>
        <v/>
      </c>
      <c r="G838" s="34">
        <f>IF(F838="","",A838-E838)</f>
        <v/>
      </c>
      <c r="H838" s="42">
        <f>IF(OR(F838="",C838=""),"",IFERROR((C838-F838)/G838,""))</f>
        <v/>
      </c>
      <c r="I838" s="39">
        <f>IF(B838="","",IFERROR(INDEX('Animais'!$M$6:$M$1005,MATCH(B838,'Animais'!$A$6:$A$1005,0)),"Brinco não cadastrado"))</f>
        <v/>
      </c>
    </row>
    <row r="839">
      <c r="A839" s="31" t="n"/>
      <c r="B839" s="36" t="n"/>
      <c r="C839" s="38" t="n"/>
      <c r="D839" s="32" t="n"/>
      <c r="E839" s="43">
        <f>IF(OR(A839="",B839=""),"",SUMPRODUCT(MAX(($B$6:$B$2005=B839)*($A$6:$A$2005&lt;A839)*$A$6:$A$2005)))</f>
        <v/>
      </c>
      <c r="F839" s="41">
        <f>IF(OR(E839="",E839=0),"",IFERROR(AVERAGEIFS($C$6:$C$2005,$B$6:$B$2005,B839,$A$6:$A$2005,E839),""))</f>
        <v/>
      </c>
      <c r="G839" s="34">
        <f>IF(F839="","",A839-E839)</f>
        <v/>
      </c>
      <c r="H839" s="42">
        <f>IF(OR(F839="",C839=""),"",IFERROR((C839-F839)/G839,""))</f>
        <v/>
      </c>
      <c r="I839" s="39">
        <f>IF(B839="","",IFERROR(INDEX('Animais'!$M$6:$M$1005,MATCH(B839,'Animais'!$A$6:$A$1005,0)),"Brinco não cadastrado"))</f>
        <v/>
      </c>
    </row>
    <row r="840">
      <c r="A840" s="31" t="n"/>
      <c r="B840" s="36" t="n"/>
      <c r="C840" s="38" t="n"/>
      <c r="D840" s="32" t="n"/>
      <c r="E840" s="43">
        <f>IF(OR(A840="",B840=""),"",SUMPRODUCT(MAX(($B$6:$B$2005=B840)*($A$6:$A$2005&lt;A840)*$A$6:$A$2005)))</f>
        <v/>
      </c>
      <c r="F840" s="41">
        <f>IF(OR(E840="",E840=0),"",IFERROR(AVERAGEIFS($C$6:$C$2005,$B$6:$B$2005,B840,$A$6:$A$2005,E840),""))</f>
        <v/>
      </c>
      <c r="G840" s="34">
        <f>IF(F840="","",A840-E840)</f>
        <v/>
      </c>
      <c r="H840" s="42">
        <f>IF(OR(F840="",C840=""),"",IFERROR((C840-F840)/G840,""))</f>
        <v/>
      </c>
      <c r="I840" s="39">
        <f>IF(B840="","",IFERROR(INDEX('Animais'!$M$6:$M$1005,MATCH(B840,'Animais'!$A$6:$A$1005,0)),"Brinco não cadastrado"))</f>
        <v/>
      </c>
    </row>
    <row r="841">
      <c r="A841" s="31" t="n"/>
      <c r="B841" s="36" t="n"/>
      <c r="C841" s="38" t="n"/>
      <c r="D841" s="32" t="n"/>
      <c r="E841" s="43">
        <f>IF(OR(A841="",B841=""),"",SUMPRODUCT(MAX(($B$6:$B$2005=B841)*($A$6:$A$2005&lt;A841)*$A$6:$A$2005)))</f>
        <v/>
      </c>
      <c r="F841" s="41">
        <f>IF(OR(E841="",E841=0),"",IFERROR(AVERAGEIFS($C$6:$C$2005,$B$6:$B$2005,B841,$A$6:$A$2005,E841),""))</f>
        <v/>
      </c>
      <c r="G841" s="34">
        <f>IF(F841="","",A841-E841)</f>
        <v/>
      </c>
      <c r="H841" s="42">
        <f>IF(OR(F841="",C841=""),"",IFERROR((C841-F841)/G841,""))</f>
        <v/>
      </c>
      <c r="I841" s="39">
        <f>IF(B841="","",IFERROR(INDEX('Animais'!$M$6:$M$1005,MATCH(B841,'Animais'!$A$6:$A$1005,0)),"Brinco não cadastrado"))</f>
        <v/>
      </c>
    </row>
    <row r="842">
      <c r="A842" s="31" t="n"/>
      <c r="B842" s="36" t="n"/>
      <c r="C842" s="38" t="n"/>
      <c r="D842" s="32" t="n"/>
      <c r="E842" s="43">
        <f>IF(OR(A842="",B842=""),"",SUMPRODUCT(MAX(($B$6:$B$2005=B842)*($A$6:$A$2005&lt;A842)*$A$6:$A$2005)))</f>
        <v/>
      </c>
      <c r="F842" s="41">
        <f>IF(OR(E842="",E842=0),"",IFERROR(AVERAGEIFS($C$6:$C$2005,$B$6:$B$2005,B842,$A$6:$A$2005,E842),""))</f>
        <v/>
      </c>
      <c r="G842" s="34">
        <f>IF(F842="","",A842-E842)</f>
        <v/>
      </c>
      <c r="H842" s="42">
        <f>IF(OR(F842="",C842=""),"",IFERROR((C842-F842)/G842,""))</f>
        <v/>
      </c>
      <c r="I842" s="39">
        <f>IF(B842="","",IFERROR(INDEX('Animais'!$M$6:$M$1005,MATCH(B842,'Animais'!$A$6:$A$1005,0)),"Brinco não cadastrado"))</f>
        <v/>
      </c>
    </row>
    <row r="843">
      <c r="A843" s="31" t="n"/>
      <c r="B843" s="36" t="n"/>
      <c r="C843" s="38" t="n"/>
      <c r="D843" s="32" t="n"/>
      <c r="E843" s="43">
        <f>IF(OR(A843="",B843=""),"",SUMPRODUCT(MAX(($B$6:$B$2005=B843)*($A$6:$A$2005&lt;A843)*$A$6:$A$2005)))</f>
        <v/>
      </c>
      <c r="F843" s="41">
        <f>IF(OR(E843="",E843=0),"",IFERROR(AVERAGEIFS($C$6:$C$2005,$B$6:$B$2005,B843,$A$6:$A$2005,E843),""))</f>
        <v/>
      </c>
      <c r="G843" s="34">
        <f>IF(F843="","",A843-E843)</f>
        <v/>
      </c>
      <c r="H843" s="42">
        <f>IF(OR(F843="",C843=""),"",IFERROR((C843-F843)/G843,""))</f>
        <v/>
      </c>
      <c r="I843" s="39">
        <f>IF(B843="","",IFERROR(INDEX('Animais'!$M$6:$M$1005,MATCH(B843,'Animais'!$A$6:$A$1005,0)),"Brinco não cadastrado"))</f>
        <v/>
      </c>
    </row>
    <row r="844">
      <c r="A844" s="31" t="n"/>
      <c r="B844" s="36" t="n"/>
      <c r="C844" s="38" t="n"/>
      <c r="D844" s="32" t="n"/>
      <c r="E844" s="43">
        <f>IF(OR(A844="",B844=""),"",SUMPRODUCT(MAX(($B$6:$B$2005=B844)*($A$6:$A$2005&lt;A844)*$A$6:$A$2005)))</f>
        <v/>
      </c>
      <c r="F844" s="41">
        <f>IF(OR(E844="",E844=0),"",IFERROR(AVERAGEIFS($C$6:$C$2005,$B$6:$B$2005,B844,$A$6:$A$2005,E844),""))</f>
        <v/>
      </c>
      <c r="G844" s="34">
        <f>IF(F844="","",A844-E844)</f>
        <v/>
      </c>
      <c r="H844" s="42">
        <f>IF(OR(F844="",C844=""),"",IFERROR((C844-F844)/G844,""))</f>
        <v/>
      </c>
      <c r="I844" s="39">
        <f>IF(B844="","",IFERROR(INDEX('Animais'!$M$6:$M$1005,MATCH(B844,'Animais'!$A$6:$A$1005,0)),"Brinco não cadastrado"))</f>
        <v/>
      </c>
    </row>
    <row r="845">
      <c r="A845" s="31" t="n"/>
      <c r="B845" s="36" t="n"/>
      <c r="C845" s="38" t="n"/>
      <c r="D845" s="32" t="n"/>
      <c r="E845" s="43">
        <f>IF(OR(A845="",B845=""),"",SUMPRODUCT(MAX(($B$6:$B$2005=B845)*($A$6:$A$2005&lt;A845)*$A$6:$A$2005)))</f>
        <v/>
      </c>
      <c r="F845" s="41">
        <f>IF(OR(E845="",E845=0),"",IFERROR(AVERAGEIFS($C$6:$C$2005,$B$6:$B$2005,B845,$A$6:$A$2005,E845),""))</f>
        <v/>
      </c>
      <c r="G845" s="34">
        <f>IF(F845="","",A845-E845)</f>
        <v/>
      </c>
      <c r="H845" s="42">
        <f>IF(OR(F845="",C845=""),"",IFERROR((C845-F845)/G845,""))</f>
        <v/>
      </c>
      <c r="I845" s="39">
        <f>IF(B845="","",IFERROR(INDEX('Animais'!$M$6:$M$1005,MATCH(B845,'Animais'!$A$6:$A$1005,0)),"Brinco não cadastrado"))</f>
        <v/>
      </c>
    </row>
    <row r="846">
      <c r="A846" s="31" t="n"/>
      <c r="B846" s="36" t="n"/>
      <c r="C846" s="38" t="n"/>
      <c r="D846" s="32" t="n"/>
      <c r="E846" s="43">
        <f>IF(OR(A846="",B846=""),"",SUMPRODUCT(MAX(($B$6:$B$2005=B846)*($A$6:$A$2005&lt;A846)*$A$6:$A$2005)))</f>
        <v/>
      </c>
      <c r="F846" s="41">
        <f>IF(OR(E846="",E846=0),"",IFERROR(AVERAGEIFS($C$6:$C$2005,$B$6:$B$2005,B846,$A$6:$A$2005,E846),""))</f>
        <v/>
      </c>
      <c r="G846" s="34">
        <f>IF(F846="","",A846-E846)</f>
        <v/>
      </c>
      <c r="H846" s="42">
        <f>IF(OR(F846="",C846=""),"",IFERROR((C846-F846)/G846,""))</f>
        <v/>
      </c>
      <c r="I846" s="39">
        <f>IF(B846="","",IFERROR(INDEX('Animais'!$M$6:$M$1005,MATCH(B846,'Animais'!$A$6:$A$1005,0)),"Brinco não cadastrado"))</f>
        <v/>
      </c>
    </row>
    <row r="847">
      <c r="A847" s="31" t="n"/>
      <c r="B847" s="36" t="n"/>
      <c r="C847" s="38" t="n"/>
      <c r="D847" s="32" t="n"/>
      <c r="E847" s="43">
        <f>IF(OR(A847="",B847=""),"",SUMPRODUCT(MAX(($B$6:$B$2005=B847)*($A$6:$A$2005&lt;A847)*$A$6:$A$2005)))</f>
        <v/>
      </c>
      <c r="F847" s="41">
        <f>IF(OR(E847="",E847=0),"",IFERROR(AVERAGEIFS($C$6:$C$2005,$B$6:$B$2005,B847,$A$6:$A$2005,E847),""))</f>
        <v/>
      </c>
      <c r="G847" s="34">
        <f>IF(F847="","",A847-E847)</f>
        <v/>
      </c>
      <c r="H847" s="42">
        <f>IF(OR(F847="",C847=""),"",IFERROR((C847-F847)/G847,""))</f>
        <v/>
      </c>
      <c r="I847" s="39">
        <f>IF(B847="","",IFERROR(INDEX('Animais'!$M$6:$M$1005,MATCH(B847,'Animais'!$A$6:$A$1005,0)),"Brinco não cadastrado"))</f>
        <v/>
      </c>
    </row>
    <row r="848">
      <c r="A848" s="31" t="n"/>
      <c r="B848" s="36" t="n"/>
      <c r="C848" s="38" t="n"/>
      <c r="D848" s="32" t="n"/>
      <c r="E848" s="43">
        <f>IF(OR(A848="",B848=""),"",SUMPRODUCT(MAX(($B$6:$B$2005=B848)*($A$6:$A$2005&lt;A848)*$A$6:$A$2005)))</f>
        <v/>
      </c>
      <c r="F848" s="41">
        <f>IF(OR(E848="",E848=0),"",IFERROR(AVERAGEIFS($C$6:$C$2005,$B$6:$B$2005,B848,$A$6:$A$2005,E848),""))</f>
        <v/>
      </c>
      <c r="G848" s="34">
        <f>IF(F848="","",A848-E848)</f>
        <v/>
      </c>
      <c r="H848" s="42">
        <f>IF(OR(F848="",C848=""),"",IFERROR((C848-F848)/G848,""))</f>
        <v/>
      </c>
      <c r="I848" s="39">
        <f>IF(B848="","",IFERROR(INDEX('Animais'!$M$6:$M$1005,MATCH(B848,'Animais'!$A$6:$A$1005,0)),"Brinco não cadastrado"))</f>
        <v/>
      </c>
    </row>
    <row r="849">
      <c r="A849" s="31" t="n"/>
      <c r="B849" s="36" t="n"/>
      <c r="C849" s="38" t="n"/>
      <c r="D849" s="32" t="n"/>
      <c r="E849" s="43">
        <f>IF(OR(A849="",B849=""),"",SUMPRODUCT(MAX(($B$6:$B$2005=B849)*($A$6:$A$2005&lt;A849)*$A$6:$A$2005)))</f>
        <v/>
      </c>
      <c r="F849" s="41">
        <f>IF(OR(E849="",E849=0),"",IFERROR(AVERAGEIFS($C$6:$C$2005,$B$6:$B$2005,B849,$A$6:$A$2005,E849),""))</f>
        <v/>
      </c>
      <c r="G849" s="34">
        <f>IF(F849="","",A849-E849)</f>
        <v/>
      </c>
      <c r="H849" s="42">
        <f>IF(OR(F849="",C849=""),"",IFERROR((C849-F849)/G849,""))</f>
        <v/>
      </c>
      <c r="I849" s="39">
        <f>IF(B849="","",IFERROR(INDEX('Animais'!$M$6:$M$1005,MATCH(B849,'Animais'!$A$6:$A$1005,0)),"Brinco não cadastrado"))</f>
        <v/>
      </c>
    </row>
    <row r="850">
      <c r="A850" s="31" t="n"/>
      <c r="B850" s="36" t="n"/>
      <c r="C850" s="38" t="n"/>
      <c r="D850" s="32" t="n"/>
      <c r="E850" s="43">
        <f>IF(OR(A850="",B850=""),"",SUMPRODUCT(MAX(($B$6:$B$2005=B850)*($A$6:$A$2005&lt;A850)*$A$6:$A$2005)))</f>
        <v/>
      </c>
      <c r="F850" s="41">
        <f>IF(OR(E850="",E850=0),"",IFERROR(AVERAGEIFS($C$6:$C$2005,$B$6:$B$2005,B850,$A$6:$A$2005,E850),""))</f>
        <v/>
      </c>
      <c r="G850" s="34">
        <f>IF(F850="","",A850-E850)</f>
        <v/>
      </c>
      <c r="H850" s="42">
        <f>IF(OR(F850="",C850=""),"",IFERROR((C850-F850)/G850,""))</f>
        <v/>
      </c>
      <c r="I850" s="39">
        <f>IF(B850="","",IFERROR(INDEX('Animais'!$M$6:$M$1005,MATCH(B850,'Animais'!$A$6:$A$1005,0)),"Brinco não cadastrado"))</f>
        <v/>
      </c>
    </row>
    <row r="851">
      <c r="A851" s="31" t="n"/>
      <c r="B851" s="36" t="n"/>
      <c r="C851" s="38" t="n"/>
      <c r="D851" s="32" t="n"/>
      <c r="E851" s="43">
        <f>IF(OR(A851="",B851=""),"",SUMPRODUCT(MAX(($B$6:$B$2005=B851)*($A$6:$A$2005&lt;A851)*$A$6:$A$2005)))</f>
        <v/>
      </c>
      <c r="F851" s="41">
        <f>IF(OR(E851="",E851=0),"",IFERROR(AVERAGEIFS($C$6:$C$2005,$B$6:$B$2005,B851,$A$6:$A$2005,E851),""))</f>
        <v/>
      </c>
      <c r="G851" s="34">
        <f>IF(F851="","",A851-E851)</f>
        <v/>
      </c>
      <c r="H851" s="42">
        <f>IF(OR(F851="",C851=""),"",IFERROR((C851-F851)/G851,""))</f>
        <v/>
      </c>
      <c r="I851" s="39">
        <f>IF(B851="","",IFERROR(INDEX('Animais'!$M$6:$M$1005,MATCH(B851,'Animais'!$A$6:$A$1005,0)),"Brinco não cadastrado"))</f>
        <v/>
      </c>
    </row>
    <row r="852">
      <c r="A852" s="31" t="n"/>
      <c r="B852" s="36" t="n"/>
      <c r="C852" s="38" t="n"/>
      <c r="D852" s="32" t="n"/>
      <c r="E852" s="43">
        <f>IF(OR(A852="",B852=""),"",SUMPRODUCT(MAX(($B$6:$B$2005=B852)*($A$6:$A$2005&lt;A852)*$A$6:$A$2005)))</f>
        <v/>
      </c>
      <c r="F852" s="41">
        <f>IF(OR(E852="",E852=0),"",IFERROR(AVERAGEIFS($C$6:$C$2005,$B$6:$B$2005,B852,$A$6:$A$2005,E852),""))</f>
        <v/>
      </c>
      <c r="G852" s="34">
        <f>IF(F852="","",A852-E852)</f>
        <v/>
      </c>
      <c r="H852" s="42">
        <f>IF(OR(F852="",C852=""),"",IFERROR((C852-F852)/G852,""))</f>
        <v/>
      </c>
      <c r="I852" s="39">
        <f>IF(B852="","",IFERROR(INDEX('Animais'!$M$6:$M$1005,MATCH(B852,'Animais'!$A$6:$A$1005,0)),"Brinco não cadastrado"))</f>
        <v/>
      </c>
    </row>
    <row r="853">
      <c r="A853" s="31" t="n"/>
      <c r="B853" s="36" t="n"/>
      <c r="C853" s="38" t="n"/>
      <c r="D853" s="32" t="n"/>
      <c r="E853" s="43">
        <f>IF(OR(A853="",B853=""),"",SUMPRODUCT(MAX(($B$6:$B$2005=B853)*($A$6:$A$2005&lt;A853)*$A$6:$A$2005)))</f>
        <v/>
      </c>
      <c r="F853" s="41">
        <f>IF(OR(E853="",E853=0),"",IFERROR(AVERAGEIFS($C$6:$C$2005,$B$6:$B$2005,B853,$A$6:$A$2005,E853),""))</f>
        <v/>
      </c>
      <c r="G853" s="34">
        <f>IF(F853="","",A853-E853)</f>
        <v/>
      </c>
      <c r="H853" s="42">
        <f>IF(OR(F853="",C853=""),"",IFERROR((C853-F853)/G853,""))</f>
        <v/>
      </c>
      <c r="I853" s="39">
        <f>IF(B853="","",IFERROR(INDEX('Animais'!$M$6:$M$1005,MATCH(B853,'Animais'!$A$6:$A$1005,0)),"Brinco não cadastrado"))</f>
        <v/>
      </c>
    </row>
    <row r="854">
      <c r="A854" s="31" t="n"/>
      <c r="B854" s="36" t="n"/>
      <c r="C854" s="38" t="n"/>
      <c r="D854" s="32" t="n"/>
      <c r="E854" s="43">
        <f>IF(OR(A854="",B854=""),"",SUMPRODUCT(MAX(($B$6:$B$2005=B854)*($A$6:$A$2005&lt;A854)*$A$6:$A$2005)))</f>
        <v/>
      </c>
      <c r="F854" s="41">
        <f>IF(OR(E854="",E854=0),"",IFERROR(AVERAGEIFS($C$6:$C$2005,$B$6:$B$2005,B854,$A$6:$A$2005,E854),""))</f>
        <v/>
      </c>
      <c r="G854" s="34">
        <f>IF(F854="","",A854-E854)</f>
        <v/>
      </c>
      <c r="H854" s="42">
        <f>IF(OR(F854="",C854=""),"",IFERROR((C854-F854)/G854,""))</f>
        <v/>
      </c>
      <c r="I854" s="39">
        <f>IF(B854="","",IFERROR(INDEX('Animais'!$M$6:$M$1005,MATCH(B854,'Animais'!$A$6:$A$1005,0)),"Brinco não cadastrado"))</f>
        <v/>
      </c>
    </row>
    <row r="855">
      <c r="A855" s="31" t="n"/>
      <c r="B855" s="36" t="n"/>
      <c r="C855" s="38" t="n"/>
      <c r="D855" s="32" t="n"/>
      <c r="E855" s="43">
        <f>IF(OR(A855="",B855=""),"",SUMPRODUCT(MAX(($B$6:$B$2005=B855)*($A$6:$A$2005&lt;A855)*$A$6:$A$2005)))</f>
        <v/>
      </c>
      <c r="F855" s="41">
        <f>IF(OR(E855="",E855=0),"",IFERROR(AVERAGEIFS($C$6:$C$2005,$B$6:$B$2005,B855,$A$6:$A$2005,E855),""))</f>
        <v/>
      </c>
      <c r="G855" s="34">
        <f>IF(F855="","",A855-E855)</f>
        <v/>
      </c>
      <c r="H855" s="42">
        <f>IF(OR(F855="",C855=""),"",IFERROR((C855-F855)/G855,""))</f>
        <v/>
      </c>
      <c r="I855" s="39">
        <f>IF(B855="","",IFERROR(INDEX('Animais'!$M$6:$M$1005,MATCH(B855,'Animais'!$A$6:$A$1005,0)),"Brinco não cadastrado"))</f>
        <v/>
      </c>
    </row>
    <row r="856">
      <c r="A856" s="31" t="n"/>
      <c r="B856" s="36" t="n"/>
      <c r="C856" s="38" t="n"/>
      <c r="D856" s="32" t="n"/>
      <c r="E856" s="43">
        <f>IF(OR(A856="",B856=""),"",SUMPRODUCT(MAX(($B$6:$B$2005=B856)*($A$6:$A$2005&lt;A856)*$A$6:$A$2005)))</f>
        <v/>
      </c>
      <c r="F856" s="41">
        <f>IF(OR(E856="",E856=0),"",IFERROR(AVERAGEIFS($C$6:$C$2005,$B$6:$B$2005,B856,$A$6:$A$2005,E856),""))</f>
        <v/>
      </c>
      <c r="G856" s="34">
        <f>IF(F856="","",A856-E856)</f>
        <v/>
      </c>
      <c r="H856" s="42">
        <f>IF(OR(F856="",C856=""),"",IFERROR((C856-F856)/G856,""))</f>
        <v/>
      </c>
      <c r="I856" s="39">
        <f>IF(B856="","",IFERROR(INDEX('Animais'!$M$6:$M$1005,MATCH(B856,'Animais'!$A$6:$A$1005,0)),"Brinco não cadastrado"))</f>
        <v/>
      </c>
    </row>
    <row r="857">
      <c r="A857" s="31" t="n"/>
      <c r="B857" s="36" t="n"/>
      <c r="C857" s="38" t="n"/>
      <c r="D857" s="32" t="n"/>
      <c r="E857" s="43">
        <f>IF(OR(A857="",B857=""),"",SUMPRODUCT(MAX(($B$6:$B$2005=B857)*($A$6:$A$2005&lt;A857)*$A$6:$A$2005)))</f>
        <v/>
      </c>
      <c r="F857" s="41">
        <f>IF(OR(E857="",E857=0),"",IFERROR(AVERAGEIFS($C$6:$C$2005,$B$6:$B$2005,B857,$A$6:$A$2005,E857),""))</f>
        <v/>
      </c>
      <c r="G857" s="34">
        <f>IF(F857="","",A857-E857)</f>
        <v/>
      </c>
      <c r="H857" s="42">
        <f>IF(OR(F857="",C857=""),"",IFERROR((C857-F857)/G857,""))</f>
        <v/>
      </c>
      <c r="I857" s="39">
        <f>IF(B857="","",IFERROR(INDEX('Animais'!$M$6:$M$1005,MATCH(B857,'Animais'!$A$6:$A$1005,0)),"Brinco não cadastrado"))</f>
        <v/>
      </c>
    </row>
    <row r="858">
      <c r="A858" s="31" t="n"/>
      <c r="B858" s="36" t="n"/>
      <c r="C858" s="38" t="n"/>
      <c r="D858" s="32" t="n"/>
      <c r="E858" s="43">
        <f>IF(OR(A858="",B858=""),"",SUMPRODUCT(MAX(($B$6:$B$2005=B858)*($A$6:$A$2005&lt;A858)*$A$6:$A$2005)))</f>
        <v/>
      </c>
      <c r="F858" s="41">
        <f>IF(OR(E858="",E858=0),"",IFERROR(AVERAGEIFS($C$6:$C$2005,$B$6:$B$2005,B858,$A$6:$A$2005,E858),""))</f>
        <v/>
      </c>
      <c r="G858" s="34">
        <f>IF(F858="","",A858-E858)</f>
        <v/>
      </c>
      <c r="H858" s="42">
        <f>IF(OR(F858="",C858=""),"",IFERROR((C858-F858)/G858,""))</f>
        <v/>
      </c>
      <c r="I858" s="39">
        <f>IF(B858="","",IFERROR(INDEX('Animais'!$M$6:$M$1005,MATCH(B858,'Animais'!$A$6:$A$1005,0)),"Brinco não cadastrado"))</f>
        <v/>
      </c>
    </row>
    <row r="859">
      <c r="A859" s="31" t="n"/>
      <c r="B859" s="36" t="n"/>
      <c r="C859" s="38" t="n"/>
      <c r="D859" s="32" t="n"/>
      <c r="E859" s="43">
        <f>IF(OR(A859="",B859=""),"",SUMPRODUCT(MAX(($B$6:$B$2005=B859)*($A$6:$A$2005&lt;A859)*$A$6:$A$2005)))</f>
        <v/>
      </c>
      <c r="F859" s="41">
        <f>IF(OR(E859="",E859=0),"",IFERROR(AVERAGEIFS($C$6:$C$2005,$B$6:$B$2005,B859,$A$6:$A$2005,E859),""))</f>
        <v/>
      </c>
      <c r="G859" s="34">
        <f>IF(F859="","",A859-E859)</f>
        <v/>
      </c>
      <c r="H859" s="42">
        <f>IF(OR(F859="",C859=""),"",IFERROR((C859-F859)/G859,""))</f>
        <v/>
      </c>
      <c r="I859" s="39">
        <f>IF(B859="","",IFERROR(INDEX('Animais'!$M$6:$M$1005,MATCH(B859,'Animais'!$A$6:$A$1005,0)),"Brinco não cadastrado"))</f>
        <v/>
      </c>
    </row>
    <row r="860">
      <c r="A860" s="31" t="n"/>
      <c r="B860" s="36" t="n"/>
      <c r="C860" s="38" t="n"/>
      <c r="D860" s="32" t="n"/>
      <c r="E860" s="43">
        <f>IF(OR(A860="",B860=""),"",SUMPRODUCT(MAX(($B$6:$B$2005=B860)*($A$6:$A$2005&lt;A860)*$A$6:$A$2005)))</f>
        <v/>
      </c>
      <c r="F860" s="41">
        <f>IF(OR(E860="",E860=0),"",IFERROR(AVERAGEIFS($C$6:$C$2005,$B$6:$B$2005,B860,$A$6:$A$2005,E860),""))</f>
        <v/>
      </c>
      <c r="G860" s="34">
        <f>IF(F860="","",A860-E860)</f>
        <v/>
      </c>
      <c r="H860" s="42">
        <f>IF(OR(F860="",C860=""),"",IFERROR((C860-F860)/G860,""))</f>
        <v/>
      </c>
      <c r="I860" s="39">
        <f>IF(B860="","",IFERROR(INDEX('Animais'!$M$6:$M$1005,MATCH(B860,'Animais'!$A$6:$A$1005,0)),"Brinco não cadastrado"))</f>
        <v/>
      </c>
    </row>
    <row r="861">
      <c r="A861" s="31" t="n"/>
      <c r="B861" s="36" t="n"/>
      <c r="C861" s="38" t="n"/>
      <c r="D861" s="32" t="n"/>
      <c r="E861" s="43">
        <f>IF(OR(A861="",B861=""),"",SUMPRODUCT(MAX(($B$6:$B$2005=B861)*($A$6:$A$2005&lt;A861)*$A$6:$A$2005)))</f>
        <v/>
      </c>
      <c r="F861" s="41">
        <f>IF(OR(E861="",E861=0),"",IFERROR(AVERAGEIFS($C$6:$C$2005,$B$6:$B$2005,B861,$A$6:$A$2005,E861),""))</f>
        <v/>
      </c>
      <c r="G861" s="34">
        <f>IF(F861="","",A861-E861)</f>
        <v/>
      </c>
      <c r="H861" s="42">
        <f>IF(OR(F861="",C861=""),"",IFERROR((C861-F861)/G861,""))</f>
        <v/>
      </c>
      <c r="I861" s="39">
        <f>IF(B861="","",IFERROR(INDEX('Animais'!$M$6:$M$1005,MATCH(B861,'Animais'!$A$6:$A$1005,0)),"Brinco não cadastrado"))</f>
        <v/>
      </c>
    </row>
    <row r="862">
      <c r="A862" s="31" t="n"/>
      <c r="B862" s="36" t="n"/>
      <c r="C862" s="38" t="n"/>
      <c r="D862" s="32" t="n"/>
      <c r="E862" s="43">
        <f>IF(OR(A862="",B862=""),"",SUMPRODUCT(MAX(($B$6:$B$2005=B862)*($A$6:$A$2005&lt;A862)*$A$6:$A$2005)))</f>
        <v/>
      </c>
      <c r="F862" s="41">
        <f>IF(OR(E862="",E862=0),"",IFERROR(AVERAGEIFS($C$6:$C$2005,$B$6:$B$2005,B862,$A$6:$A$2005,E862),""))</f>
        <v/>
      </c>
      <c r="G862" s="34">
        <f>IF(F862="","",A862-E862)</f>
        <v/>
      </c>
      <c r="H862" s="42">
        <f>IF(OR(F862="",C862=""),"",IFERROR((C862-F862)/G862,""))</f>
        <v/>
      </c>
      <c r="I862" s="39">
        <f>IF(B862="","",IFERROR(INDEX('Animais'!$M$6:$M$1005,MATCH(B862,'Animais'!$A$6:$A$1005,0)),"Brinco não cadastrado"))</f>
        <v/>
      </c>
    </row>
    <row r="863">
      <c r="A863" s="31" t="n"/>
      <c r="B863" s="36" t="n"/>
      <c r="C863" s="38" t="n"/>
      <c r="D863" s="32" t="n"/>
      <c r="E863" s="43">
        <f>IF(OR(A863="",B863=""),"",SUMPRODUCT(MAX(($B$6:$B$2005=B863)*($A$6:$A$2005&lt;A863)*$A$6:$A$2005)))</f>
        <v/>
      </c>
      <c r="F863" s="41">
        <f>IF(OR(E863="",E863=0),"",IFERROR(AVERAGEIFS($C$6:$C$2005,$B$6:$B$2005,B863,$A$6:$A$2005,E863),""))</f>
        <v/>
      </c>
      <c r="G863" s="34">
        <f>IF(F863="","",A863-E863)</f>
        <v/>
      </c>
      <c r="H863" s="42">
        <f>IF(OR(F863="",C863=""),"",IFERROR((C863-F863)/G863,""))</f>
        <v/>
      </c>
      <c r="I863" s="39">
        <f>IF(B863="","",IFERROR(INDEX('Animais'!$M$6:$M$1005,MATCH(B863,'Animais'!$A$6:$A$1005,0)),"Brinco não cadastrado"))</f>
        <v/>
      </c>
    </row>
    <row r="864">
      <c r="A864" s="31" t="n"/>
      <c r="B864" s="36" t="n"/>
      <c r="C864" s="38" t="n"/>
      <c r="D864" s="32" t="n"/>
      <c r="E864" s="43">
        <f>IF(OR(A864="",B864=""),"",SUMPRODUCT(MAX(($B$6:$B$2005=B864)*($A$6:$A$2005&lt;A864)*$A$6:$A$2005)))</f>
        <v/>
      </c>
      <c r="F864" s="41">
        <f>IF(OR(E864="",E864=0),"",IFERROR(AVERAGEIFS($C$6:$C$2005,$B$6:$B$2005,B864,$A$6:$A$2005,E864),""))</f>
        <v/>
      </c>
      <c r="G864" s="34">
        <f>IF(F864="","",A864-E864)</f>
        <v/>
      </c>
      <c r="H864" s="42">
        <f>IF(OR(F864="",C864=""),"",IFERROR((C864-F864)/G864,""))</f>
        <v/>
      </c>
      <c r="I864" s="39">
        <f>IF(B864="","",IFERROR(INDEX('Animais'!$M$6:$M$1005,MATCH(B864,'Animais'!$A$6:$A$1005,0)),"Brinco não cadastrado"))</f>
        <v/>
      </c>
    </row>
    <row r="865">
      <c r="A865" s="31" t="n"/>
      <c r="B865" s="36" t="n"/>
      <c r="C865" s="38" t="n"/>
      <c r="D865" s="32" t="n"/>
      <c r="E865" s="43">
        <f>IF(OR(A865="",B865=""),"",SUMPRODUCT(MAX(($B$6:$B$2005=B865)*($A$6:$A$2005&lt;A865)*$A$6:$A$2005)))</f>
        <v/>
      </c>
      <c r="F865" s="41">
        <f>IF(OR(E865="",E865=0),"",IFERROR(AVERAGEIFS($C$6:$C$2005,$B$6:$B$2005,B865,$A$6:$A$2005,E865),""))</f>
        <v/>
      </c>
      <c r="G865" s="34">
        <f>IF(F865="","",A865-E865)</f>
        <v/>
      </c>
      <c r="H865" s="42">
        <f>IF(OR(F865="",C865=""),"",IFERROR((C865-F865)/G865,""))</f>
        <v/>
      </c>
      <c r="I865" s="39">
        <f>IF(B865="","",IFERROR(INDEX('Animais'!$M$6:$M$1005,MATCH(B865,'Animais'!$A$6:$A$1005,0)),"Brinco não cadastrado"))</f>
        <v/>
      </c>
    </row>
    <row r="866">
      <c r="A866" s="31" t="n"/>
      <c r="B866" s="36" t="n"/>
      <c r="C866" s="38" t="n"/>
      <c r="D866" s="32" t="n"/>
      <c r="E866" s="43">
        <f>IF(OR(A866="",B866=""),"",SUMPRODUCT(MAX(($B$6:$B$2005=B866)*($A$6:$A$2005&lt;A866)*$A$6:$A$2005)))</f>
        <v/>
      </c>
      <c r="F866" s="41">
        <f>IF(OR(E866="",E866=0),"",IFERROR(AVERAGEIFS($C$6:$C$2005,$B$6:$B$2005,B866,$A$6:$A$2005,E866),""))</f>
        <v/>
      </c>
      <c r="G866" s="34">
        <f>IF(F866="","",A866-E866)</f>
        <v/>
      </c>
      <c r="H866" s="42">
        <f>IF(OR(F866="",C866=""),"",IFERROR((C866-F866)/G866,""))</f>
        <v/>
      </c>
      <c r="I866" s="39">
        <f>IF(B866="","",IFERROR(INDEX('Animais'!$M$6:$M$1005,MATCH(B866,'Animais'!$A$6:$A$1005,0)),"Brinco não cadastrado"))</f>
        <v/>
      </c>
    </row>
    <row r="867">
      <c r="A867" s="31" t="n"/>
      <c r="B867" s="36" t="n"/>
      <c r="C867" s="38" t="n"/>
      <c r="D867" s="32" t="n"/>
      <c r="E867" s="43">
        <f>IF(OR(A867="",B867=""),"",SUMPRODUCT(MAX(($B$6:$B$2005=B867)*($A$6:$A$2005&lt;A867)*$A$6:$A$2005)))</f>
        <v/>
      </c>
      <c r="F867" s="41">
        <f>IF(OR(E867="",E867=0),"",IFERROR(AVERAGEIFS($C$6:$C$2005,$B$6:$B$2005,B867,$A$6:$A$2005,E867),""))</f>
        <v/>
      </c>
      <c r="G867" s="34">
        <f>IF(F867="","",A867-E867)</f>
        <v/>
      </c>
      <c r="H867" s="42">
        <f>IF(OR(F867="",C867=""),"",IFERROR((C867-F867)/G867,""))</f>
        <v/>
      </c>
      <c r="I867" s="39">
        <f>IF(B867="","",IFERROR(INDEX('Animais'!$M$6:$M$1005,MATCH(B867,'Animais'!$A$6:$A$1005,0)),"Brinco não cadastrado"))</f>
        <v/>
      </c>
    </row>
    <row r="868">
      <c r="A868" s="31" t="n"/>
      <c r="B868" s="36" t="n"/>
      <c r="C868" s="38" t="n"/>
      <c r="D868" s="32" t="n"/>
      <c r="E868" s="43">
        <f>IF(OR(A868="",B868=""),"",SUMPRODUCT(MAX(($B$6:$B$2005=B868)*($A$6:$A$2005&lt;A868)*$A$6:$A$2005)))</f>
        <v/>
      </c>
      <c r="F868" s="41">
        <f>IF(OR(E868="",E868=0),"",IFERROR(AVERAGEIFS($C$6:$C$2005,$B$6:$B$2005,B868,$A$6:$A$2005,E868),""))</f>
        <v/>
      </c>
      <c r="G868" s="34">
        <f>IF(F868="","",A868-E868)</f>
        <v/>
      </c>
      <c r="H868" s="42">
        <f>IF(OR(F868="",C868=""),"",IFERROR((C868-F868)/G868,""))</f>
        <v/>
      </c>
      <c r="I868" s="39">
        <f>IF(B868="","",IFERROR(INDEX('Animais'!$M$6:$M$1005,MATCH(B868,'Animais'!$A$6:$A$1005,0)),"Brinco não cadastrado"))</f>
        <v/>
      </c>
    </row>
    <row r="869">
      <c r="A869" s="31" t="n"/>
      <c r="B869" s="36" t="n"/>
      <c r="C869" s="38" t="n"/>
      <c r="D869" s="32" t="n"/>
      <c r="E869" s="43">
        <f>IF(OR(A869="",B869=""),"",SUMPRODUCT(MAX(($B$6:$B$2005=B869)*($A$6:$A$2005&lt;A869)*$A$6:$A$2005)))</f>
        <v/>
      </c>
      <c r="F869" s="41">
        <f>IF(OR(E869="",E869=0),"",IFERROR(AVERAGEIFS($C$6:$C$2005,$B$6:$B$2005,B869,$A$6:$A$2005,E869),""))</f>
        <v/>
      </c>
      <c r="G869" s="34">
        <f>IF(F869="","",A869-E869)</f>
        <v/>
      </c>
      <c r="H869" s="42">
        <f>IF(OR(F869="",C869=""),"",IFERROR((C869-F869)/G869,""))</f>
        <v/>
      </c>
      <c r="I869" s="39">
        <f>IF(B869="","",IFERROR(INDEX('Animais'!$M$6:$M$1005,MATCH(B869,'Animais'!$A$6:$A$1005,0)),"Brinco não cadastrado"))</f>
        <v/>
      </c>
    </row>
    <row r="870">
      <c r="A870" s="31" t="n"/>
      <c r="B870" s="36" t="n"/>
      <c r="C870" s="38" t="n"/>
      <c r="D870" s="32" t="n"/>
      <c r="E870" s="43">
        <f>IF(OR(A870="",B870=""),"",SUMPRODUCT(MAX(($B$6:$B$2005=B870)*($A$6:$A$2005&lt;A870)*$A$6:$A$2005)))</f>
        <v/>
      </c>
      <c r="F870" s="41">
        <f>IF(OR(E870="",E870=0),"",IFERROR(AVERAGEIFS($C$6:$C$2005,$B$6:$B$2005,B870,$A$6:$A$2005,E870),""))</f>
        <v/>
      </c>
      <c r="G870" s="34">
        <f>IF(F870="","",A870-E870)</f>
        <v/>
      </c>
      <c r="H870" s="42">
        <f>IF(OR(F870="",C870=""),"",IFERROR((C870-F870)/G870,""))</f>
        <v/>
      </c>
      <c r="I870" s="39">
        <f>IF(B870="","",IFERROR(INDEX('Animais'!$M$6:$M$1005,MATCH(B870,'Animais'!$A$6:$A$1005,0)),"Brinco não cadastrado"))</f>
        <v/>
      </c>
    </row>
    <row r="871">
      <c r="A871" s="31" t="n"/>
      <c r="B871" s="36" t="n"/>
      <c r="C871" s="38" t="n"/>
      <c r="D871" s="32" t="n"/>
      <c r="E871" s="43">
        <f>IF(OR(A871="",B871=""),"",SUMPRODUCT(MAX(($B$6:$B$2005=B871)*($A$6:$A$2005&lt;A871)*$A$6:$A$2005)))</f>
        <v/>
      </c>
      <c r="F871" s="41">
        <f>IF(OR(E871="",E871=0),"",IFERROR(AVERAGEIFS($C$6:$C$2005,$B$6:$B$2005,B871,$A$6:$A$2005,E871),""))</f>
        <v/>
      </c>
      <c r="G871" s="34">
        <f>IF(F871="","",A871-E871)</f>
        <v/>
      </c>
      <c r="H871" s="42">
        <f>IF(OR(F871="",C871=""),"",IFERROR((C871-F871)/G871,""))</f>
        <v/>
      </c>
      <c r="I871" s="39">
        <f>IF(B871="","",IFERROR(INDEX('Animais'!$M$6:$M$1005,MATCH(B871,'Animais'!$A$6:$A$1005,0)),"Brinco não cadastrado"))</f>
        <v/>
      </c>
    </row>
    <row r="872">
      <c r="A872" s="31" t="n"/>
      <c r="B872" s="36" t="n"/>
      <c r="C872" s="38" t="n"/>
      <c r="D872" s="32" t="n"/>
      <c r="E872" s="43">
        <f>IF(OR(A872="",B872=""),"",SUMPRODUCT(MAX(($B$6:$B$2005=B872)*($A$6:$A$2005&lt;A872)*$A$6:$A$2005)))</f>
        <v/>
      </c>
      <c r="F872" s="41">
        <f>IF(OR(E872="",E872=0),"",IFERROR(AVERAGEIFS($C$6:$C$2005,$B$6:$B$2005,B872,$A$6:$A$2005,E872),""))</f>
        <v/>
      </c>
      <c r="G872" s="34">
        <f>IF(F872="","",A872-E872)</f>
        <v/>
      </c>
      <c r="H872" s="42">
        <f>IF(OR(F872="",C872=""),"",IFERROR((C872-F872)/G872,""))</f>
        <v/>
      </c>
      <c r="I872" s="39">
        <f>IF(B872="","",IFERROR(INDEX('Animais'!$M$6:$M$1005,MATCH(B872,'Animais'!$A$6:$A$1005,0)),"Brinco não cadastrado"))</f>
        <v/>
      </c>
    </row>
    <row r="873">
      <c r="A873" s="31" t="n"/>
      <c r="B873" s="36" t="n"/>
      <c r="C873" s="38" t="n"/>
      <c r="D873" s="32" t="n"/>
      <c r="E873" s="43">
        <f>IF(OR(A873="",B873=""),"",SUMPRODUCT(MAX(($B$6:$B$2005=B873)*($A$6:$A$2005&lt;A873)*$A$6:$A$2005)))</f>
        <v/>
      </c>
      <c r="F873" s="41">
        <f>IF(OR(E873="",E873=0),"",IFERROR(AVERAGEIFS($C$6:$C$2005,$B$6:$B$2005,B873,$A$6:$A$2005,E873),""))</f>
        <v/>
      </c>
      <c r="G873" s="34">
        <f>IF(F873="","",A873-E873)</f>
        <v/>
      </c>
      <c r="H873" s="42">
        <f>IF(OR(F873="",C873=""),"",IFERROR((C873-F873)/G873,""))</f>
        <v/>
      </c>
      <c r="I873" s="39">
        <f>IF(B873="","",IFERROR(INDEX('Animais'!$M$6:$M$1005,MATCH(B873,'Animais'!$A$6:$A$1005,0)),"Brinco não cadastrado"))</f>
        <v/>
      </c>
    </row>
    <row r="874">
      <c r="A874" s="31" t="n"/>
      <c r="B874" s="36" t="n"/>
      <c r="C874" s="38" t="n"/>
      <c r="D874" s="32" t="n"/>
      <c r="E874" s="43">
        <f>IF(OR(A874="",B874=""),"",SUMPRODUCT(MAX(($B$6:$B$2005=B874)*($A$6:$A$2005&lt;A874)*$A$6:$A$2005)))</f>
        <v/>
      </c>
      <c r="F874" s="41">
        <f>IF(OR(E874="",E874=0),"",IFERROR(AVERAGEIFS($C$6:$C$2005,$B$6:$B$2005,B874,$A$6:$A$2005,E874),""))</f>
        <v/>
      </c>
      <c r="G874" s="34">
        <f>IF(F874="","",A874-E874)</f>
        <v/>
      </c>
      <c r="H874" s="42">
        <f>IF(OR(F874="",C874=""),"",IFERROR((C874-F874)/G874,""))</f>
        <v/>
      </c>
      <c r="I874" s="39">
        <f>IF(B874="","",IFERROR(INDEX('Animais'!$M$6:$M$1005,MATCH(B874,'Animais'!$A$6:$A$1005,0)),"Brinco não cadastrado"))</f>
        <v/>
      </c>
    </row>
    <row r="875">
      <c r="A875" s="31" t="n"/>
      <c r="B875" s="36" t="n"/>
      <c r="C875" s="38" t="n"/>
      <c r="D875" s="32" t="n"/>
      <c r="E875" s="43">
        <f>IF(OR(A875="",B875=""),"",SUMPRODUCT(MAX(($B$6:$B$2005=B875)*($A$6:$A$2005&lt;A875)*$A$6:$A$2005)))</f>
        <v/>
      </c>
      <c r="F875" s="41">
        <f>IF(OR(E875="",E875=0),"",IFERROR(AVERAGEIFS($C$6:$C$2005,$B$6:$B$2005,B875,$A$6:$A$2005,E875),""))</f>
        <v/>
      </c>
      <c r="G875" s="34">
        <f>IF(F875="","",A875-E875)</f>
        <v/>
      </c>
      <c r="H875" s="42">
        <f>IF(OR(F875="",C875=""),"",IFERROR((C875-F875)/G875,""))</f>
        <v/>
      </c>
      <c r="I875" s="39">
        <f>IF(B875="","",IFERROR(INDEX('Animais'!$M$6:$M$1005,MATCH(B875,'Animais'!$A$6:$A$1005,0)),"Brinco não cadastrado"))</f>
        <v/>
      </c>
    </row>
    <row r="876">
      <c r="A876" s="31" t="n"/>
      <c r="B876" s="36" t="n"/>
      <c r="C876" s="38" t="n"/>
      <c r="D876" s="32" t="n"/>
      <c r="E876" s="43">
        <f>IF(OR(A876="",B876=""),"",SUMPRODUCT(MAX(($B$6:$B$2005=B876)*($A$6:$A$2005&lt;A876)*$A$6:$A$2005)))</f>
        <v/>
      </c>
      <c r="F876" s="41">
        <f>IF(OR(E876="",E876=0),"",IFERROR(AVERAGEIFS($C$6:$C$2005,$B$6:$B$2005,B876,$A$6:$A$2005,E876),""))</f>
        <v/>
      </c>
      <c r="G876" s="34">
        <f>IF(F876="","",A876-E876)</f>
        <v/>
      </c>
      <c r="H876" s="42">
        <f>IF(OR(F876="",C876=""),"",IFERROR((C876-F876)/G876,""))</f>
        <v/>
      </c>
      <c r="I876" s="39">
        <f>IF(B876="","",IFERROR(INDEX('Animais'!$M$6:$M$1005,MATCH(B876,'Animais'!$A$6:$A$1005,0)),"Brinco não cadastrado"))</f>
        <v/>
      </c>
    </row>
    <row r="877">
      <c r="A877" s="31" t="n"/>
      <c r="B877" s="36" t="n"/>
      <c r="C877" s="38" t="n"/>
      <c r="D877" s="32" t="n"/>
      <c r="E877" s="43">
        <f>IF(OR(A877="",B877=""),"",SUMPRODUCT(MAX(($B$6:$B$2005=B877)*($A$6:$A$2005&lt;A877)*$A$6:$A$2005)))</f>
        <v/>
      </c>
      <c r="F877" s="41">
        <f>IF(OR(E877="",E877=0),"",IFERROR(AVERAGEIFS($C$6:$C$2005,$B$6:$B$2005,B877,$A$6:$A$2005,E877),""))</f>
        <v/>
      </c>
      <c r="G877" s="34">
        <f>IF(F877="","",A877-E877)</f>
        <v/>
      </c>
      <c r="H877" s="42">
        <f>IF(OR(F877="",C877=""),"",IFERROR((C877-F877)/G877,""))</f>
        <v/>
      </c>
      <c r="I877" s="39">
        <f>IF(B877="","",IFERROR(INDEX('Animais'!$M$6:$M$1005,MATCH(B877,'Animais'!$A$6:$A$1005,0)),"Brinco não cadastrado"))</f>
        <v/>
      </c>
    </row>
    <row r="878">
      <c r="A878" s="31" t="n"/>
      <c r="B878" s="36" t="n"/>
      <c r="C878" s="38" t="n"/>
      <c r="D878" s="32" t="n"/>
      <c r="E878" s="43">
        <f>IF(OR(A878="",B878=""),"",SUMPRODUCT(MAX(($B$6:$B$2005=B878)*($A$6:$A$2005&lt;A878)*$A$6:$A$2005)))</f>
        <v/>
      </c>
      <c r="F878" s="41">
        <f>IF(OR(E878="",E878=0),"",IFERROR(AVERAGEIFS($C$6:$C$2005,$B$6:$B$2005,B878,$A$6:$A$2005,E878),""))</f>
        <v/>
      </c>
      <c r="G878" s="34">
        <f>IF(F878="","",A878-E878)</f>
        <v/>
      </c>
      <c r="H878" s="42">
        <f>IF(OR(F878="",C878=""),"",IFERROR((C878-F878)/G878,""))</f>
        <v/>
      </c>
      <c r="I878" s="39">
        <f>IF(B878="","",IFERROR(INDEX('Animais'!$M$6:$M$1005,MATCH(B878,'Animais'!$A$6:$A$1005,0)),"Brinco não cadastrado"))</f>
        <v/>
      </c>
    </row>
    <row r="879">
      <c r="A879" s="31" t="n"/>
      <c r="B879" s="36" t="n"/>
      <c r="C879" s="38" t="n"/>
      <c r="D879" s="32" t="n"/>
      <c r="E879" s="43">
        <f>IF(OR(A879="",B879=""),"",SUMPRODUCT(MAX(($B$6:$B$2005=B879)*($A$6:$A$2005&lt;A879)*$A$6:$A$2005)))</f>
        <v/>
      </c>
      <c r="F879" s="41">
        <f>IF(OR(E879="",E879=0),"",IFERROR(AVERAGEIFS($C$6:$C$2005,$B$6:$B$2005,B879,$A$6:$A$2005,E879),""))</f>
        <v/>
      </c>
      <c r="G879" s="34">
        <f>IF(F879="","",A879-E879)</f>
        <v/>
      </c>
      <c r="H879" s="42">
        <f>IF(OR(F879="",C879=""),"",IFERROR((C879-F879)/G879,""))</f>
        <v/>
      </c>
      <c r="I879" s="39">
        <f>IF(B879="","",IFERROR(INDEX('Animais'!$M$6:$M$1005,MATCH(B879,'Animais'!$A$6:$A$1005,0)),"Brinco não cadastrado"))</f>
        <v/>
      </c>
    </row>
    <row r="880">
      <c r="A880" s="31" t="n"/>
      <c r="B880" s="36" t="n"/>
      <c r="C880" s="38" t="n"/>
      <c r="D880" s="32" t="n"/>
      <c r="E880" s="43">
        <f>IF(OR(A880="",B880=""),"",SUMPRODUCT(MAX(($B$6:$B$2005=B880)*($A$6:$A$2005&lt;A880)*$A$6:$A$2005)))</f>
        <v/>
      </c>
      <c r="F880" s="41">
        <f>IF(OR(E880="",E880=0),"",IFERROR(AVERAGEIFS($C$6:$C$2005,$B$6:$B$2005,B880,$A$6:$A$2005,E880),""))</f>
        <v/>
      </c>
      <c r="G880" s="34">
        <f>IF(F880="","",A880-E880)</f>
        <v/>
      </c>
      <c r="H880" s="42">
        <f>IF(OR(F880="",C880=""),"",IFERROR((C880-F880)/G880,""))</f>
        <v/>
      </c>
      <c r="I880" s="39">
        <f>IF(B880="","",IFERROR(INDEX('Animais'!$M$6:$M$1005,MATCH(B880,'Animais'!$A$6:$A$1005,0)),"Brinco não cadastrado"))</f>
        <v/>
      </c>
    </row>
    <row r="881">
      <c r="A881" s="31" t="n"/>
      <c r="B881" s="36" t="n"/>
      <c r="C881" s="38" t="n"/>
      <c r="D881" s="32" t="n"/>
      <c r="E881" s="43">
        <f>IF(OR(A881="",B881=""),"",SUMPRODUCT(MAX(($B$6:$B$2005=B881)*($A$6:$A$2005&lt;A881)*$A$6:$A$2005)))</f>
        <v/>
      </c>
      <c r="F881" s="41">
        <f>IF(OR(E881="",E881=0),"",IFERROR(AVERAGEIFS($C$6:$C$2005,$B$6:$B$2005,B881,$A$6:$A$2005,E881),""))</f>
        <v/>
      </c>
      <c r="G881" s="34">
        <f>IF(F881="","",A881-E881)</f>
        <v/>
      </c>
      <c r="H881" s="42">
        <f>IF(OR(F881="",C881=""),"",IFERROR((C881-F881)/G881,""))</f>
        <v/>
      </c>
      <c r="I881" s="39">
        <f>IF(B881="","",IFERROR(INDEX('Animais'!$M$6:$M$1005,MATCH(B881,'Animais'!$A$6:$A$1005,0)),"Brinco não cadastrado"))</f>
        <v/>
      </c>
    </row>
    <row r="882">
      <c r="A882" s="31" t="n"/>
      <c r="B882" s="36" t="n"/>
      <c r="C882" s="38" t="n"/>
      <c r="D882" s="32" t="n"/>
      <c r="E882" s="43">
        <f>IF(OR(A882="",B882=""),"",SUMPRODUCT(MAX(($B$6:$B$2005=B882)*($A$6:$A$2005&lt;A882)*$A$6:$A$2005)))</f>
        <v/>
      </c>
      <c r="F882" s="41">
        <f>IF(OR(E882="",E882=0),"",IFERROR(AVERAGEIFS($C$6:$C$2005,$B$6:$B$2005,B882,$A$6:$A$2005,E882),""))</f>
        <v/>
      </c>
      <c r="G882" s="34">
        <f>IF(F882="","",A882-E882)</f>
        <v/>
      </c>
      <c r="H882" s="42">
        <f>IF(OR(F882="",C882=""),"",IFERROR((C882-F882)/G882,""))</f>
        <v/>
      </c>
      <c r="I882" s="39">
        <f>IF(B882="","",IFERROR(INDEX('Animais'!$M$6:$M$1005,MATCH(B882,'Animais'!$A$6:$A$1005,0)),"Brinco não cadastrado"))</f>
        <v/>
      </c>
    </row>
    <row r="883">
      <c r="A883" s="31" t="n"/>
      <c r="B883" s="36" t="n"/>
      <c r="C883" s="38" t="n"/>
      <c r="D883" s="32" t="n"/>
      <c r="E883" s="43">
        <f>IF(OR(A883="",B883=""),"",SUMPRODUCT(MAX(($B$6:$B$2005=B883)*($A$6:$A$2005&lt;A883)*$A$6:$A$2005)))</f>
        <v/>
      </c>
      <c r="F883" s="41">
        <f>IF(OR(E883="",E883=0),"",IFERROR(AVERAGEIFS($C$6:$C$2005,$B$6:$B$2005,B883,$A$6:$A$2005,E883),""))</f>
        <v/>
      </c>
      <c r="G883" s="34">
        <f>IF(F883="","",A883-E883)</f>
        <v/>
      </c>
      <c r="H883" s="42">
        <f>IF(OR(F883="",C883=""),"",IFERROR((C883-F883)/G883,""))</f>
        <v/>
      </c>
      <c r="I883" s="39">
        <f>IF(B883="","",IFERROR(INDEX('Animais'!$M$6:$M$1005,MATCH(B883,'Animais'!$A$6:$A$1005,0)),"Brinco não cadastrado"))</f>
        <v/>
      </c>
    </row>
    <row r="884">
      <c r="A884" s="31" t="n"/>
      <c r="B884" s="36" t="n"/>
      <c r="C884" s="38" t="n"/>
      <c r="D884" s="32" t="n"/>
      <c r="E884" s="43">
        <f>IF(OR(A884="",B884=""),"",SUMPRODUCT(MAX(($B$6:$B$2005=B884)*($A$6:$A$2005&lt;A884)*$A$6:$A$2005)))</f>
        <v/>
      </c>
      <c r="F884" s="41">
        <f>IF(OR(E884="",E884=0),"",IFERROR(AVERAGEIFS($C$6:$C$2005,$B$6:$B$2005,B884,$A$6:$A$2005,E884),""))</f>
        <v/>
      </c>
      <c r="G884" s="34">
        <f>IF(F884="","",A884-E884)</f>
        <v/>
      </c>
      <c r="H884" s="42">
        <f>IF(OR(F884="",C884=""),"",IFERROR((C884-F884)/G884,""))</f>
        <v/>
      </c>
      <c r="I884" s="39">
        <f>IF(B884="","",IFERROR(INDEX('Animais'!$M$6:$M$1005,MATCH(B884,'Animais'!$A$6:$A$1005,0)),"Brinco não cadastrado"))</f>
        <v/>
      </c>
    </row>
    <row r="885">
      <c r="A885" s="31" t="n"/>
      <c r="B885" s="36" t="n"/>
      <c r="C885" s="38" t="n"/>
      <c r="D885" s="32" t="n"/>
      <c r="E885" s="43">
        <f>IF(OR(A885="",B885=""),"",SUMPRODUCT(MAX(($B$6:$B$2005=B885)*($A$6:$A$2005&lt;A885)*$A$6:$A$2005)))</f>
        <v/>
      </c>
      <c r="F885" s="41">
        <f>IF(OR(E885="",E885=0),"",IFERROR(AVERAGEIFS($C$6:$C$2005,$B$6:$B$2005,B885,$A$6:$A$2005,E885),""))</f>
        <v/>
      </c>
      <c r="G885" s="34">
        <f>IF(F885="","",A885-E885)</f>
        <v/>
      </c>
      <c r="H885" s="42">
        <f>IF(OR(F885="",C885=""),"",IFERROR((C885-F885)/G885,""))</f>
        <v/>
      </c>
      <c r="I885" s="39">
        <f>IF(B885="","",IFERROR(INDEX('Animais'!$M$6:$M$1005,MATCH(B885,'Animais'!$A$6:$A$1005,0)),"Brinco não cadastrado"))</f>
        <v/>
      </c>
    </row>
    <row r="886">
      <c r="A886" s="31" t="n"/>
      <c r="B886" s="36" t="n"/>
      <c r="C886" s="38" t="n"/>
      <c r="D886" s="32" t="n"/>
      <c r="E886" s="43">
        <f>IF(OR(A886="",B886=""),"",SUMPRODUCT(MAX(($B$6:$B$2005=B886)*($A$6:$A$2005&lt;A886)*$A$6:$A$2005)))</f>
        <v/>
      </c>
      <c r="F886" s="41">
        <f>IF(OR(E886="",E886=0),"",IFERROR(AVERAGEIFS($C$6:$C$2005,$B$6:$B$2005,B886,$A$6:$A$2005,E886),""))</f>
        <v/>
      </c>
      <c r="G886" s="34">
        <f>IF(F886="","",A886-E886)</f>
        <v/>
      </c>
      <c r="H886" s="42">
        <f>IF(OR(F886="",C886=""),"",IFERROR((C886-F886)/G886,""))</f>
        <v/>
      </c>
      <c r="I886" s="39">
        <f>IF(B886="","",IFERROR(INDEX('Animais'!$M$6:$M$1005,MATCH(B886,'Animais'!$A$6:$A$1005,0)),"Brinco não cadastrado"))</f>
        <v/>
      </c>
    </row>
    <row r="887">
      <c r="A887" s="31" t="n"/>
      <c r="B887" s="36" t="n"/>
      <c r="C887" s="38" t="n"/>
      <c r="D887" s="32" t="n"/>
      <c r="E887" s="43">
        <f>IF(OR(A887="",B887=""),"",SUMPRODUCT(MAX(($B$6:$B$2005=B887)*($A$6:$A$2005&lt;A887)*$A$6:$A$2005)))</f>
        <v/>
      </c>
      <c r="F887" s="41">
        <f>IF(OR(E887="",E887=0),"",IFERROR(AVERAGEIFS($C$6:$C$2005,$B$6:$B$2005,B887,$A$6:$A$2005,E887),""))</f>
        <v/>
      </c>
      <c r="G887" s="34">
        <f>IF(F887="","",A887-E887)</f>
        <v/>
      </c>
      <c r="H887" s="42">
        <f>IF(OR(F887="",C887=""),"",IFERROR((C887-F887)/G887,""))</f>
        <v/>
      </c>
      <c r="I887" s="39">
        <f>IF(B887="","",IFERROR(INDEX('Animais'!$M$6:$M$1005,MATCH(B887,'Animais'!$A$6:$A$1005,0)),"Brinco não cadastrado"))</f>
        <v/>
      </c>
    </row>
    <row r="888">
      <c r="A888" s="31" t="n"/>
      <c r="B888" s="36" t="n"/>
      <c r="C888" s="38" t="n"/>
      <c r="D888" s="32" t="n"/>
      <c r="E888" s="43">
        <f>IF(OR(A888="",B888=""),"",SUMPRODUCT(MAX(($B$6:$B$2005=B888)*($A$6:$A$2005&lt;A888)*$A$6:$A$2005)))</f>
        <v/>
      </c>
      <c r="F888" s="41">
        <f>IF(OR(E888="",E888=0),"",IFERROR(AVERAGEIFS($C$6:$C$2005,$B$6:$B$2005,B888,$A$6:$A$2005,E888),""))</f>
        <v/>
      </c>
      <c r="G888" s="34">
        <f>IF(F888="","",A888-E888)</f>
        <v/>
      </c>
      <c r="H888" s="42">
        <f>IF(OR(F888="",C888=""),"",IFERROR((C888-F888)/G888,""))</f>
        <v/>
      </c>
      <c r="I888" s="39">
        <f>IF(B888="","",IFERROR(INDEX('Animais'!$M$6:$M$1005,MATCH(B888,'Animais'!$A$6:$A$1005,0)),"Brinco não cadastrado"))</f>
        <v/>
      </c>
    </row>
    <row r="889">
      <c r="A889" s="31" t="n"/>
      <c r="B889" s="36" t="n"/>
      <c r="C889" s="38" t="n"/>
      <c r="D889" s="32" t="n"/>
      <c r="E889" s="43">
        <f>IF(OR(A889="",B889=""),"",SUMPRODUCT(MAX(($B$6:$B$2005=B889)*($A$6:$A$2005&lt;A889)*$A$6:$A$2005)))</f>
        <v/>
      </c>
      <c r="F889" s="41">
        <f>IF(OR(E889="",E889=0),"",IFERROR(AVERAGEIFS($C$6:$C$2005,$B$6:$B$2005,B889,$A$6:$A$2005,E889),""))</f>
        <v/>
      </c>
      <c r="G889" s="34">
        <f>IF(F889="","",A889-E889)</f>
        <v/>
      </c>
      <c r="H889" s="42">
        <f>IF(OR(F889="",C889=""),"",IFERROR((C889-F889)/G889,""))</f>
        <v/>
      </c>
      <c r="I889" s="39">
        <f>IF(B889="","",IFERROR(INDEX('Animais'!$M$6:$M$1005,MATCH(B889,'Animais'!$A$6:$A$1005,0)),"Brinco não cadastrado"))</f>
        <v/>
      </c>
    </row>
    <row r="890">
      <c r="A890" s="31" t="n"/>
      <c r="B890" s="36" t="n"/>
      <c r="C890" s="38" t="n"/>
      <c r="D890" s="32" t="n"/>
      <c r="E890" s="43">
        <f>IF(OR(A890="",B890=""),"",SUMPRODUCT(MAX(($B$6:$B$2005=B890)*($A$6:$A$2005&lt;A890)*$A$6:$A$2005)))</f>
        <v/>
      </c>
      <c r="F890" s="41">
        <f>IF(OR(E890="",E890=0),"",IFERROR(AVERAGEIFS($C$6:$C$2005,$B$6:$B$2005,B890,$A$6:$A$2005,E890),""))</f>
        <v/>
      </c>
      <c r="G890" s="34">
        <f>IF(F890="","",A890-E890)</f>
        <v/>
      </c>
      <c r="H890" s="42">
        <f>IF(OR(F890="",C890=""),"",IFERROR((C890-F890)/G890,""))</f>
        <v/>
      </c>
      <c r="I890" s="39">
        <f>IF(B890="","",IFERROR(INDEX('Animais'!$M$6:$M$1005,MATCH(B890,'Animais'!$A$6:$A$1005,0)),"Brinco não cadastrado"))</f>
        <v/>
      </c>
    </row>
    <row r="891">
      <c r="A891" s="31" t="n"/>
      <c r="B891" s="36" t="n"/>
      <c r="C891" s="38" t="n"/>
      <c r="D891" s="32" t="n"/>
      <c r="E891" s="43">
        <f>IF(OR(A891="",B891=""),"",SUMPRODUCT(MAX(($B$6:$B$2005=B891)*($A$6:$A$2005&lt;A891)*$A$6:$A$2005)))</f>
        <v/>
      </c>
      <c r="F891" s="41">
        <f>IF(OR(E891="",E891=0),"",IFERROR(AVERAGEIFS($C$6:$C$2005,$B$6:$B$2005,B891,$A$6:$A$2005,E891),""))</f>
        <v/>
      </c>
      <c r="G891" s="34">
        <f>IF(F891="","",A891-E891)</f>
        <v/>
      </c>
      <c r="H891" s="42">
        <f>IF(OR(F891="",C891=""),"",IFERROR((C891-F891)/G891,""))</f>
        <v/>
      </c>
      <c r="I891" s="39">
        <f>IF(B891="","",IFERROR(INDEX('Animais'!$M$6:$M$1005,MATCH(B891,'Animais'!$A$6:$A$1005,0)),"Brinco não cadastrado"))</f>
        <v/>
      </c>
    </row>
    <row r="892">
      <c r="A892" s="31" t="n"/>
      <c r="B892" s="36" t="n"/>
      <c r="C892" s="38" t="n"/>
      <c r="D892" s="32" t="n"/>
      <c r="E892" s="43">
        <f>IF(OR(A892="",B892=""),"",SUMPRODUCT(MAX(($B$6:$B$2005=B892)*($A$6:$A$2005&lt;A892)*$A$6:$A$2005)))</f>
        <v/>
      </c>
      <c r="F892" s="41">
        <f>IF(OR(E892="",E892=0),"",IFERROR(AVERAGEIFS($C$6:$C$2005,$B$6:$B$2005,B892,$A$6:$A$2005,E892),""))</f>
        <v/>
      </c>
      <c r="G892" s="34">
        <f>IF(F892="","",A892-E892)</f>
        <v/>
      </c>
      <c r="H892" s="42">
        <f>IF(OR(F892="",C892=""),"",IFERROR((C892-F892)/G892,""))</f>
        <v/>
      </c>
      <c r="I892" s="39">
        <f>IF(B892="","",IFERROR(INDEX('Animais'!$M$6:$M$1005,MATCH(B892,'Animais'!$A$6:$A$1005,0)),"Brinco não cadastrado"))</f>
        <v/>
      </c>
    </row>
    <row r="893">
      <c r="A893" s="31" t="n"/>
      <c r="B893" s="36" t="n"/>
      <c r="C893" s="38" t="n"/>
      <c r="D893" s="32" t="n"/>
      <c r="E893" s="43">
        <f>IF(OR(A893="",B893=""),"",SUMPRODUCT(MAX(($B$6:$B$2005=B893)*($A$6:$A$2005&lt;A893)*$A$6:$A$2005)))</f>
        <v/>
      </c>
      <c r="F893" s="41">
        <f>IF(OR(E893="",E893=0),"",IFERROR(AVERAGEIFS($C$6:$C$2005,$B$6:$B$2005,B893,$A$6:$A$2005,E893),""))</f>
        <v/>
      </c>
      <c r="G893" s="34">
        <f>IF(F893="","",A893-E893)</f>
        <v/>
      </c>
      <c r="H893" s="42">
        <f>IF(OR(F893="",C893=""),"",IFERROR((C893-F893)/G893,""))</f>
        <v/>
      </c>
      <c r="I893" s="39">
        <f>IF(B893="","",IFERROR(INDEX('Animais'!$M$6:$M$1005,MATCH(B893,'Animais'!$A$6:$A$1005,0)),"Brinco não cadastrado"))</f>
        <v/>
      </c>
    </row>
    <row r="894">
      <c r="A894" s="31" t="n"/>
      <c r="B894" s="36" t="n"/>
      <c r="C894" s="38" t="n"/>
      <c r="D894" s="32" t="n"/>
      <c r="E894" s="43">
        <f>IF(OR(A894="",B894=""),"",SUMPRODUCT(MAX(($B$6:$B$2005=B894)*($A$6:$A$2005&lt;A894)*$A$6:$A$2005)))</f>
        <v/>
      </c>
      <c r="F894" s="41">
        <f>IF(OR(E894="",E894=0),"",IFERROR(AVERAGEIFS($C$6:$C$2005,$B$6:$B$2005,B894,$A$6:$A$2005,E894),""))</f>
        <v/>
      </c>
      <c r="G894" s="34">
        <f>IF(F894="","",A894-E894)</f>
        <v/>
      </c>
      <c r="H894" s="42">
        <f>IF(OR(F894="",C894=""),"",IFERROR((C894-F894)/G894,""))</f>
        <v/>
      </c>
      <c r="I894" s="39">
        <f>IF(B894="","",IFERROR(INDEX('Animais'!$M$6:$M$1005,MATCH(B894,'Animais'!$A$6:$A$1005,0)),"Brinco não cadastrado"))</f>
        <v/>
      </c>
    </row>
    <row r="895">
      <c r="A895" s="31" t="n"/>
      <c r="B895" s="36" t="n"/>
      <c r="C895" s="38" t="n"/>
      <c r="D895" s="32" t="n"/>
      <c r="E895" s="43">
        <f>IF(OR(A895="",B895=""),"",SUMPRODUCT(MAX(($B$6:$B$2005=B895)*($A$6:$A$2005&lt;A895)*$A$6:$A$2005)))</f>
        <v/>
      </c>
      <c r="F895" s="41">
        <f>IF(OR(E895="",E895=0),"",IFERROR(AVERAGEIFS($C$6:$C$2005,$B$6:$B$2005,B895,$A$6:$A$2005,E895),""))</f>
        <v/>
      </c>
      <c r="G895" s="34">
        <f>IF(F895="","",A895-E895)</f>
        <v/>
      </c>
      <c r="H895" s="42">
        <f>IF(OR(F895="",C895=""),"",IFERROR((C895-F895)/G895,""))</f>
        <v/>
      </c>
      <c r="I895" s="39">
        <f>IF(B895="","",IFERROR(INDEX('Animais'!$M$6:$M$1005,MATCH(B895,'Animais'!$A$6:$A$1005,0)),"Brinco não cadastrado"))</f>
        <v/>
      </c>
    </row>
    <row r="896">
      <c r="A896" s="31" t="n"/>
      <c r="B896" s="36" t="n"/>
      <c r="C896" s="38" t="n"/>
      <c r="D896" s="32" t="n"/>
      <c r="E896" s="43">
        <f>IF(OR(A896="",B896=""),"",SUMPRODUCT(MAX(($B$6:$B$2005=B896)*($A$6:$A$2005&lt;A896)*$A$6:$A$2005)))</f>
        <v/>
      </c>
      <c r="F896" s="41">
        <f>IF(OR(E896="",E896=0),"",IFERROR(AVERAGEIFS($C$6:$C$2005,$B$6:$B$2005,B896,$A$6:$A$2005,E896),""))</f>
        <v/>
      </c>
      <c r="G896" s="34">
        <f>IF(F896="","",A896-E896)</f>
        <v/>
      </c>
      <c r="H896" s="42">
        <f>IF(OR(F896="",C896=""),"",IFERROR((C896-F896)/G896,""))</f>
        <v/>
      </c>
      <c r="I896" s="39">
        <f>IF(B896="","",IFERROR(INDEX('Animais'!$M$6:$M$1005,MATCH(B896,'Animais'!$A$6:$A$1005,0)),"Brinco não cadastrado"))</f>
        <v/>
      </c>
    </row>
    <row r="897">
      <c r="A897" s="31" t="n"/>
      <c r="B897" s="36" t="n"/>
      <c r="C897" s="38" t="n"/>
      <c r="D897" s="32" t="n"/>
      <c r="E897" s="43">
        <f>IF(OR(A897="",B897=""),"",SUMPRODUCT(MAX(($B$6:$B$2005=B897)*($A$6:$A$2005&lt;A897)*$A$6:$A$2005)))</f>
        <v/>
      </c>
      <c r="F897" s="41">
        <f>IF(OR(E897="",E897=0),"",IFERROR(AVERAGEIFS($C$6:$C$2005,$B$6:$B$2005,B897,$A$6:$A$2005,E897),""))</f>
        <v/>
      </c>
      <c r="G897" s="34">
        <f>IF(F897="","",A897-E897)</f>
        <v/>
      </c>
      <c r="H897" s="42">
        <f>IF(OR(F897="",C897=""),"",IFERROR((C897-F897)/G897,""))</f>
        <v/>
      </c>
      <c r="I897" s="39">
        <f>IF(B897="","",IFERROR(INDEX('Animais'!$M$6:$M$1005,MATCH(B897,'Animais'!$A$6:$A$1005,0)),"Brinco não cadastrado"))</f>
        <v/>
      </c>
    </row>
    <row r="898">
      <c r="A898" s="31" t="n"/>
      <c r="B898" s="36" t="n"/>
      <c r="C898" s="38" t="n"/>
      <c r="D898" s="32" t="n"/>
      <c r="E898" s="43">
        <f>IF(OR(A898="",B898=""),"",SUMPRODUCT(MAX(($B$6:$B$2005=B898)*($A$6:$A$2005&lt;A898)*$A$6:$A$2005)))</f>
        <v/>
      </c>
      <c r="F898" s="41">
        <f>IF(OR(E898="",E898=0),"",IFERROR(AVERAGEIFS($C$6:$C$2005,$B$6:$B$2005,B898,$A$6:$A$2005,E898),""))</f>
        <v/>
      </c>
      <c r="G898" s="34">
        <f>IF(F898="","",A898-E898)</f>
        <v/>
      </c>
      <c r="H898" s="42">
        <f>IF(OR(F898="",C898=""),"",IFERROR((C898-F898)/G898,""))</f>
        <v/>
      </c>
      <c r="I898" s="39">
        <f>IF(B898="","",IFERROR(INDEX('Animais'!$M$6:$M$1005,MATCH(B898,'Animais'!$A$6:$A$1005,0)),"Brinco não cadastrado"))</f>
        <v/>
      </c>
    </row>
    <row r="899">
      <c r="A899" s="31" t="n"/>
      <c r="B899" s="36" t="n"/>
      <c r="C899" s="38" t="n"/>
      <c r="D899" s="32" t="n"/>
      <c r="E899" s="43">
        <f>IF(OR(A899="",B899=""),"",SUMPRODUCT(MAX(($B$6:$B$2005=B899)*($A$6:$A$2005&lt;A899)*$A$6:$A$2005)))</f>
        <v/>
      </c>
      <c r="F899" s="41">
        <f>IF(OR(E899="",E899=0),"",IFERROR(AVERAGEIFS($C$6:$C$2005,$B$6:$B$2005,B899,$A$6:$A$2005,E899),""))</f>
        <v/>
      </c>
      <c r="G899" s="34">
        <f>IF(F899="","",A899-E899)</f>
        <v/>
      </c>
      <c r="H899" s="42">
        <f>IF(OR(F899="",C899=""),"",IFERROR((C899-F899)/G899,""))</f>
        <v/>
      </c>
      <c r="I899" s="39">
        <f>IF(B899="","",IFERROR(INDEX('Animais'!$M$6:$M$1005,MATCH(B899,'Animais'!$A$6:$A$1005,0)),"Brinco não cadastrado"))</f>
        <v/>
      </c>
    </row>
    <row r="900">
      <c r="A900" s="31" t="n"/>
      <c r="B900" s="36" t="n"/>
      <c r="C900" s="38" t="n"/>
      <c r="D900" s="32" t="n"/>
      <c r="E900" s="43">
        <f>IF(OR(A900="",B900=""),"",SUMPRODUCT(MAX(($B$6:$B$2005=B900)*($A$6:$A$2005&lt;A900)*$A$6:$A$2005)))</f>
        <v/>
      </c>
      <c r="F900" s="41">
        <f>IF(OR(E900="",E900=0),"",IFERROR(AVERAGEIFS($C$6:$C$2005,$B$6:$B$2005,B900,$A$6:$A$2005,E900),""))</f>
        <v/>
      </c>
      <c r="G900" s="34">
        <f>IF(F900="","",A900-E900)</f>
        <v/>
      </c>
      <c r="H900" s="42">
        <f>IF(OR(F900="",C900=""),"",IFERROR((C900-F900)/G900,""))</f>
        <v/>
      </c>
      <c r="I900" s="39">
        <f>IF(B900="","",IFERROR(INDEX('Animais'!$M$6:$M$1005,MATCH(B900,'Animais'!$A$6:$A$1005,0)),"Brinco não cadastrado"))</f>
        <v/>
      </c>
    </row>
    <row r="901">
      <c r="A901" s="31" t="n"/>
      <c r="B901" s="36" t="n"/>
      <c r="C901" s="38" t="n"/>
      <c r="D901" s="32" t="n"/>
      <c r="E901" s="43">
        <f>IF(OR(A901="",B901=""),"",SUMPRODUCT(MAX(($B$6:$B$2005=B901)*($A$6:$A$2005&lt;A901)*$A$6:$A$2005)))</f>
        <v/>
      </c>
      <c r="F901" s="41">
        <f>IF(OR(E901="",E901=0),"",IFERROR(AVERAGEIFS($C$6:$C$2005,$B$6:$B$2005,B901,$A$6:$A$2005,E901),""))</f>
        <v/>
      </c>
      <c r="G901" s="34">
        <f>IF(F901="","",A901-E901)</f>
        <v/>
      </c>
      <c r="H901" s="42">
        <f>IF(OR(F901="",C901=""),"",IFERROR((C901-F901)/G901,""))</f>
        <v/>
      </c>
      <c r="I901" s="39">
        <f>IF(B901="","",IFERROR(INDEX('Animais'!$M$6:$M$1005,MATCH(B901,'Animais'!$A$6:$A$1005,0)),"Brinco não cadastrado"))</f>
        <v/>
      </c>
    </row>
    <row r="902">
      <c r="A902" s="31" t="n"/>
      <c r="B902" s="36" t="n"/>
      <c r="C902" s="38" t="n"/>
      <c r="D902" s="32" t="n"/>
      <c r="E902" s="43">
        <f>IF(OR(A902="",B902=""),"",SUMPRODUCT(MAX(($B$6:$B$2005=B902)*($A$6:$A$2005&lt;A902)*$A$6:$A$2005)))</f>
        <v/>
      </c>
      <c r="F902" s="41">
        <f>IF(OR(E902="",E902=0),"",IFERROR(AVERAGEIFS($C$6:$C$2005,$B$6:$B$2005,B902,$A$6:$A$2005,E902),""))</f>
        <v/>
      </c>
      <c r="G902" s="34">
        <f>IF(F902="","",A902-E902)</f>
        <v/>
      </c>
      <c r="H902" s="42">
        <f>IF(OR(F902="",C902=""),"",IFERROR((C902-F902)/G902,""))</f>
        <v/>
      </c>
      <c r="I902" s="39">
        <f>IF(B902="","",IFERROR(INDEX('Animais'!$M$6:$M$1005,MATCH(B902,'Animais'!$A$6:$A$1005,0)),"Brinco não cadastrado"))</f>
        <v/>
      </c>
    </row>
    <row r="903">
      <c r="A903" s="31" t="n"/>
      <c r="B903" s="36" t="n"/>
      <c r="C903" s="38" t="n"/>
      <c r="D903" s="32" t="n"/>
      <c r="E903" s="43">
        <f>IF(OR(A903="",B903=""),"",SUMPRODUCT(MAX(($B$6:$B$2005=B903)*($A$6:$A$2005&lt;A903)*$A$6:$A$2005)))</f>
        <v/>
      </c>
      <c r="F903" s="41">
        <f>IF(OR(E903="",E903=0),"",IFERROR(AVERAGEIFS($C$6:$C$2005,$B$6:$B$2005,B903,$A$6:$A$2005,E903),""))</f>
        <v/>
      </c>
      <c r="G903" s="34">
        <f>IF(F903="","",A903-E903)</f>
        <v/>
      </c>
      <c r="H903" s="42">
        <f>IF(OR(F903="",C903=""),"",IFERROR((C903-F903)/G903,""))</f>
        <v/>
      </c>
      <c r="I903" s="39">
        <f>IF(B903="","",IFERROR(INDEX('Animais'!$M$6:$M$1005,MATCH(B903,'Animais'!$A$6:$A$1005,0)),"Brinco não cadastrado"))</f>
        <v/>
      </c>
    </row>
    <row r="904">
      <c r="A904" s="31" t="n"/>
      <c r="B904" s="36" t="n"/>
      <c r="C904" s="38" t="n"/>
      <c r="D904" s="32" t="n"/>
      <c r="E904" s="43">
        <f>IF(OR(A904="",B904=""),"",SUMPRODUCT(MAX(($B$6:$B$2005=B904)*($A$6:$A$2005&lt;A904)*$A$6:$A$2005)))</f>
        <v/>
      </c>
      <c r="F904" s="41">
        <f>IF(OR(E904="",E904=0),"",IFERROR(AVERAGEIFS($C$6:$C$2005,$B$6:$B$2005,B904,$A$6:$A$2005,E904),""))</f>
        <v/>
      </c>
      <c r="G904" s="34">
        <f>IF(F904="","",A904-E904)</f>
        <v/>
      </c>
      <c r="H904" s="42">
        <f>IF(OR(F904="",C904=""),"",IFERROR((C904-F904)/G904,""))</f>
        <v/>
      </c>
      <c r="I904" s="39">
        <f>IF(B904="","",IFERROR(INDEX('Animais'!$M$6:$M$1005,MATCH(B904,'Animais'!$A$6:$A$1005,0)),"Brinco não cadastrado"))</f>
        <v/>
      </c>
    </row>
    <row r="905">
      <c r="A905" s="31" t="n"/>
      <c r="B905" s="36" t="n"/>
      <c r="C905" s="38" t="n"/>
      <c r="D905" s="32" t="n"/>
      <c r="E905" s="43">
        <f>IF(OR(A905="",B905=""),"",SUMPRODUCT(MAX(($B$6:$B$2005=B905)*($A$6:$A$2005&lt;A905)*$A$6:$A$2005)))</f>
        <v/>
      </c>
      <c r="F905" s="41">
        <f>IF(OR(E905="",E905=0),"",IFERROR(AVERAGEIFS($C$6:$C$2005,$B$6:$B$2005,B905,$A$6:$A$2005,E905),""))</f>
        <v/>
      </c>
      <c r="G905" s="34">
        <f>IF(F905="","",A905-E905)</f>
        <v/>
      </c>
      <c r="H905" s="42">
        <f>IF(OR(F905="",C905=""),"",IFERROR((C905-F905)/G905,""))</f>
        <v/>
      </c>
      <c r="I905" s="39">
        <f>IF(B905="","",IFERROR(INDEX('Animais'!$M$6:$M$1005,MATCH(B905,'Animais'!$A$6:$A$1005,0)),"Brinco não cadastrado"))</f>
        <v/>
      </c>
    </row>
    <row r="906">
      <c r="A906" s="31" t="n"/>
      <c r="B906" s="36" t="n"/>
      <c r="C906" s="38" t="n"/>
      <c r="D906" s="32" t="n"/>
      <c r="E906" s="43">
        <f>IF(OR(A906="",B906=""),"",SUMPRODUCT(MAX(($B$6:$B$2005=B906)*($A$6:$A$2005&lt;A906)*$A$6:$A$2005)))</f>
        <v/>
      </c>
      <c r="F906" s="41">
        <f>IF(OR(E906="",E906=0),"",IFERROR(AVERAGEIFS($C$6:$C$2005,$B$6:$B$2005,B906,$A$6:$A$2005,E906),""))</f>
        <v/>
      </c>
      <c r="G906" s="34">
        <f>IF(F906="","",A906-E906)</f>
        <v/>
      </c>
      <c r="H906" s="42">
        <f>IF(OR(F906="",C906=""),"",IFERROR((C906-F906)/G906,""))</f>
        <v/>
      </c>
      <c r="I906" s="39">
        <f>IF(B906="","",IFERROR(INDEX('Animais'!$M$6:$M$1005,MATCH(B906,'Animais'!$A$6:$A$1005,0)),"Brinco não cadastrado"))</f>
        <v/>
      </c>
    </row>
    <row r="907">
      <c r="A907" s="31" t="n"/>
      <c r="B907" s="36" t="n"/>
      <c r="C907" s="38" t="n"/>
      <c r="D907" s="32" t="n"/>
      <c r="E907" s="43">
        <f>IF(OR(A907="",B907=""),"",SUMPRODUCT(MAX(($B$6:$B$2005=B907)*($A$6:$A$2005&lt;A907)*$A$6:$A$2005)))</f>
        <v/>
      </c>
      <c r="F907" s="41">
        <f>IF(OR(E907="",E907=0),"",IFERROR(AVERAGEIFS($C$6:$C$2005,$B$6:$B$2005,B907,$A$6:$A$2005,E907),""))</f>
        <v/>
      </c>
      <c r="G907" s="34">
        <f>IF(F907="","",A907-E907)</f>
        <v/>
      </c>
      <c r="H907" s="42">
        <f>IF(OR(F907="",C907=""),"",IFERROR((C907-F907)/G907,""))</f>
        <v/>
      </c>
      <c r="I907" s="39">
        <f>IF(B907="","",IFERROR(INDEX('Animais'!$M$6:$M$1005,MATCH(B907,'Animais'!$A$6:$A$1005,0)),"Brinco não cadastrado"))</f>
        <v/>
      </c>
    </row>
    <row r="908">
      <c r="A908" s="31" t="n"/>
      <c r="B908" s="36" t="n"/>
      <c r="C908" s="38" t="n"/>
      <c r="D908" s="32" t="n"/>
      <c r="E908" s="43">
        <f>IF(OR(A908="",B908=""),"",SUMPRODUCT(MAX(($B$6:$B$2005=B908)*($A$6:$A$2005&lt;A908)*$A$6:$A$2005)))</f>
        <v/>
      </c>
      <c r="F908" s="41">
        <f>IF(OR(E908="",E908=0),"",IFERROR(AVERAGEIFS($C$6:$C$2005,$B$6:$B$2005,B908,$A$6:$A$2005,E908),""))</f>
        <v/>
      </c>
      <c r="G908" s="34">
        <f>IF(F908="","",A908-E908)</f>
        <v/>
      </c>
      <c r="H908" s="42">
        <f>IF(OR(F908="",C908=""),"",IFERROR((C908-F908)/G908,""))</f>
        <v/>
      </c>
      <c r="I908" s="39">
        <f>IF(B908="","",IFERROR(INDEX('Animais'!$M$6:$M$1005,MATCH(B908,'Animais'!$A$6:$A$1005,0)),"Brinco não cadastrado"))</f>
        <v/>
      </c>
    </row>
    <row r="909">
      <c r="A909" s="31" t="n"/>
      <c r="B909" s="36" t="n"/>
      <c r="C909" s="38" t="n"/>
      <c r="D909" s="32" t="n"/>
      <c r="E909" s="43">
        <f>IF(OR(A909="",B909=""),"",SUMPRODUCT(MAX(($B$6:$B$2005=B909)*($A$6:$A$2005&lt;A909)*$A$6:$A$2005)))</f>
        <v/>
      </c>
      <c r="F909" s="41">
        <f>IF(OR(E909="",E909=0),"",IFERROR(AVERAGEIFS($C$6:$C$2005,$B$6:$B$2005,B909,$A$6:$A$2005,E909),""))</f>
        <v/>
      </c>
      <c r="G909" s="34">
        <f>IF(F909="","",A909-E909)</f>
        <v/>
      </c>
      <c r="H909" s="42">
        <f>IF(OR(F909="",C909=""),"",IFERROR((C909-F909)/G909,""))</f>
        <v/>
      </c>
      <c r="I909" s="39">
        <f>IF(B909="","",IFERROR(INDEX('Animais'!$M$6:$M$1005,MATCH(B909,'Animais'!$A$6:$A$1005,0)),"Brinco não cadastrado"))</f>
        <v/>
      </c>
    </row>
    <row r="910">
      <c r="A910" s="31" t="n"/>
      <c r="B910" s="36" t="n"/>
      <c r="C910" s="38" t="n"/>
      <c r="D910" s="32" t="n"/>
      <c r="E910" s="43">
        <f>IF(OR(A910="",B910=""),"",SUMPRODUCT(MAX(($B$6:$B$2005=B910)*($A$6:$A$2005&lt;A910)*$A$6:$A$2005)))</f>
        <v/>
      </c>
      <c r="F910" s="41">
        <f>IF(OR(E910="",E910=0),"",IFERROR(AVERAGEIFS($C$6:$C$2005,$B$6:$B$2005,B910,$A$6:$A$2005,E910),""))</f>
        <v/>
      </c>
      <c r="G910" s="34">
        <f>IF(F910="","",A910-E910)</f>
        <v/>
      </c>
      <c r="H910" s="42">
        <f>IF(OR(F910="",C910=""),"",IFERROR((C910-F910)/G910,""))</f>
        <v/>
      </c>
      <c r="I910" s="39">
        <f>IF(B910="","",IFERROR(INDEX('Animais'!$M$6:$M$1005,MATCH(B910,'Animais'!$A$6:$A$1005,0)),"Brinco não cadastrado"))</f>
        <v/>
      </c>
    </row>
    <row r="911">
      <c r="A911" s="31" t="n"/>
      <c r="B911" s="36" t="n"/>
      <c r="C911" s="38" t="n"/>
      <c r="D911" s="32" t="n"/>
      <c r="E911" s="43">
        <f>IF(OR(A911="",B911=""),"",SUMPRODUCT(MAX(($B$6:$B$2005=B911)*($A$6:$A$2005&lt;A911)*$A$6:$A$2005)))</f>
        <v/>
      </c>
      <c r="F911" s="41">
        <f>IF(OR(E911="",E911=0),"",IFERROR(AVERAGEIFS($C$6:$C$2005,$B$6:$B$2005,B911,$A$6:$A$2005,E911),""))</f>
        <v/>
      </c>
      <c r="G911" s="34">
        <f>IF(F911="","",A911-E911)</f>
        <v/>
      </c>
      <c r="H911" s="42">
        <f>IF(OR(F911="",C911=""),"",IFERROR((C911-F911)/G911,""))</f>
        <v/>
      </c>
      <c r="I911" s="39">
        <f>IF(B911="","",IFERROR(INDEX('Animais'!$M$6:$M$1005,MATCH(B911,'Animais'!$A$6:$A$1005,0)),"Brinco não cadastrado"))</f>
        <v/>
      </c>
    </row>
    <row r="912">
      <c r="A912" s="31" t="n"/>
      <c r="B912" s="36" t="n"/>
      <c r="C912" s="38" t="n"/>
      <c r="D912" s="32" t="n"/>
      <c r="E912" s="43">
        <f>IF(OR(A912="",B912=""),"",SUMPRODUCT(MAX(($B$6:$B$2005=B912)*($A$6:$A$2005&lt;A912)*$A$6:$A$2005)))</f>
        <v/>
      </c>
      <c r="F912" s="41">
        <f>IF(OR(E912="",E912=0),"",IFERROR(AVERAGEIFS($C$6:$C$2005,$B$6:$B$2005,B912,$A$6:$A$2005,E912),""))</f>
        <v/>
      </c>
      <c r="G912" s="34">
        <f>IF(F912="","",A912-E912)</f>
        <v/>
      </c>
      <c r="H912" s="42">
        <f>IF(OR(F912="",C912=""),"",IFERROR((C912-F912)/G912,""))</f>
        <v/>
      </c>
      <c r="I912" s="39">
        <f>IF(B912="","",IFERROR(INDEX('Animais'!$M$6:$M$1005,MATCH(B912,'Animais'!$A$6:$A$1005,0)),"Brinco não cadastrado"))</f>
        <v/>
      </c>
    </row>
    <row r="913">
      <c r="A913" s="31" t="n"/>
      <c r="B913" s="36" t="n"/>
      <c r="C913" s="38" t="n"/>
      <c r="D913" s="32" t="n"/>
      <c r="E913" s="43">
        <f>IF(OR(A913="",B913=""),"",SUMPRODUCT(MAX(($B$6:$B$2005=B913)*($A$6:$A$2005&lt;A913)*$A$6:$A$2005)))</f>
        <v/>
      </c>
      <c r="F913" s="41">
        <f>IF(OR(E913="",E913=0),"",IFERROR(AVERAGEIFS($C$6:$C$2005,$B$6:$B$2005,B913,$A$6:$A$2005,E913),""))</f>
        <v/>
      </c>
      <c r="G913" s="34">
        <f>IF(F913="","",A913-E913)</f>
        <v/>
      </c>
      <c r="H913" s="42">
        <f>IF(OR(F913="",C913=""),"",IFERROR((C913-F913)/G913,""))</f>
        <v/>
      </c>
      <c r="I913" s="39">
        <f>IF(B913="","",IFERROR(INDEX('Animais'!$M$6:$M$1005,MATCH(B913,'Animais'!$A$6:$A$1005,0)),"Brinco não cadastrado"))</f>
        <v/>
      </c>
    </row>
    <row r="914">
      <c r="A914" s="31" t="n"/>
      <c r="B914" s="36" t="n"/>
      <c r="C914" s="38" t="n"/>
      <c r="D914" s="32" t="n"/>
      <c r="E914" s="43">
        <f>IF(OR(A914="",B914=""),"",SUMPRODUCT(MAX(($B$6:$B$2005=B914)*($A$6:$A$2005&lt;A914)*$A$6:$A$2005)))</f>
        <v/>
      </c>
      <c r="F914" s="41">
        <f>IF(OR(E914="",E914=0),"",IFERROR(AVERAGEIFS($C$6:$C$2005,$B$6:$B$2005,B914,$A$6:$A$2005,E914),""))</f>
        <v/>
      </c>
      <c r="G914" s="34">
        <f>IF(F914="","",A914-E914)</f>
        <v/>
      </c>
      <c r="H914" s="42">
        <f>IF(OR(F914="",C914=""),"",IFERROR((C914-F914)/G914,""))</f>
        <v/>
      </c>
      <c r="I914" s="39">
        <f>IF(B914="","",IFERROR(INDEX('Animais'!$M$6:$M$1005,MATCH(B914,'Animais'!$A$6:$A$1005,0)),"Brinco não cadastrado"))</f>
        <v/>
      </c>
    </row>
    <row r="915">
      <c r="A915" s="31" t="n"/>
      <c r="B915" s="36" t="n"/>
      <c r="C915" s="38" t="n"/>
      <c r="D915" s="32" t="n"/>
      <c r="E915" s="43">
        <f>IF(OR(A915="",B915=""),"",SUMPRODUCT(MAX(($B$6:$B$2005=B915)*($A$6:$A$2005&lt;A915)*$A$6:$A$2005)))</f>
        <v/>
      </c>
      <c r="F915" s="41">
        <f>IF(OR(E915="",E915=0),"",IFERROR(AVERAGEIFS($C$6:$C$2005,$B$6:$B$2005,B915,$A$6:$A$2005,E915),""))</f>
        <v/>
      </c>
      <c r="G915" s="34">
        <f>IF(F915="","",A915-E915)</f>
        <v/>
      </c>
      <c r="H915" s="42">
        <f>IF(OR(F915="",C915=""),"",IFERROR((C915-F915)/G915,""))</f>
        <v/>
      </c>
      <c r="I915" s="39">
        <f>IF(B915="","",IFERROR(INDEX('Animais'!$M$6:$M$1005,MATCH(B915,'Animais'!$A$6:$A$1005,0)),"Brinco não cadastrado"))</f>
        <v/>
      </c>
    </row>
    <row r="916">
      <c r="A916" s="31" t="n"/>
      <c r="B916" s="36" t="n"/>
      <c r="C916" s="38" t="n"/>
      <c r="D916" s="32" t="n"/>
      <c r="E916" s="43">
        <f>IF(OR(A916="",B916=""),"",SUMPRODUCT(MAX(($B$6:$B$2005=B916)*($A$6:$A$2005&lt;A916)*$A$6:$A$2005)))</f>
        <v/>
      </c>
      <c r="F916" s="41">
        <f>IF(OR(E916="",E916=0),"",IFERROR(AVERAGEIFS($C$6:$C$2005,$B$6:$B$2005,B916,$A$6:$A$2005,E916),""))</f>
        <v/>
      </c>
      <c r="G916" s="34">
        <f>IF(F916="","",A916-E916)</f>
        <v/>
      </c>
      <c r="H916" s="42">
        <f>IF(OR(F916="",C916=""),"",IFERROR((C916-F916)/G916,""))</f>
        <v/>
      </c>
      <c r="I916" s="39">
        <f>IF(B916="","",IFERROR(INDEX('Animais'!$M$6:$M$1005,MATCH(B916,'Animais'!$A$6:$A$1005,0)),"Brinco não cadastrado"))</f>
        <v/>
      </c>
    </row>
    <row r="917">
      <c r="A917" s="31" t="n"/>
      <c r="B917" s="36" t="n"/>
      <c r="C917" s="38" t="n"/>
      <c r="D917" s="32" t="n"/>
      <c r="E917" s="43">
        <f>IF(OR(A917="",B917=""),"",SUMPRODUCT(MAX(($B$6:$B$2005=B917)*($A$6:$A$2005&lt;A917)*$A$6:$A$2005)))</f>
        <v/>
      </c>
      <c r="F917" s="41">
        <f>IF(OR(E917="",E917=0),"",IFERROR(AVERAGEIFS($C$6:$C$2005,$B$6:$B$2005,B917,$A$6:$A$2005,E917),""))</f>
        <v/>
      </c>
      <c r="G917" s="34">
        <f>IF(F917="","",A917-E917)</f>
        <v/>
      </c>
      <c r="H917" s="42">
        <f>IF(OR(F917="",C917=""),"",IFERROR((C917-F917)/G917,""))</f>
        <v/>
      </c>
      <c r="I917" s="39">
        <f>IF(B917="","",IFERROR(INDEX('Animais'!$M$6:$M$1005,MATCH(B917,'Animais'!$A$6:$A$1005,0)),"Brinco não cadastrado"))</f>
        <v/>
      </c>
    </row>
    <row r="918">
      <c r="A918" s="31" t="n"/>
      <c r="B918" s="36" t="n"/>
      <c r="C918" s="38" t="n"/>
      <c r="D918" s="32" t="n"/>
      <c r="E918" s="43">
        <f>IF(OR(A918="",B918=""),"",SUMPRODUCT(MAX(($B$6:$B$2005=B918)*($A$6:$A$2005&lt;A918)*$A$6:$A$2005)))</f>
        <v/>
      </c>
      <c r="F918" s="41">
        <f>IF(OR(E918="",E918=0),"",IFERROR(AVERAGEIFS($C$6:$C$2005,$B$6:$B$2005,B918,$A$6:$A$2005,E918),""))</f>
        <v/>
      </c>
      <c r="G918" s="34">
        <f>IF(F918="","",A918-E918)</f>
        <v/>
      </c>
      <c r="H918" s="42">
        <f>IF(OR(F918="",C918=""),"",IFERROR((C918-F918)/G918,""))</f>
        <v/>
      </c>
      <c r="I918" s="39">
        <f>IF(B918="","",IFERROR(INDEX('Animais'!$M$6:$M$1005,MATCH(B918,'Animais'!$A$6:$A$1005,0)),"Brinco não cadastrado"))</f>
        <v/>
      </c>
    </row>
    <row r="919">
      <c r="A919" s="31" t="n"/>
      <c r="B919" s="36" t="n"/>
      <c r="C919" s="38" t="n"/>
      <c r="D919" s="32" t="n"/>
      <c r="E919" s="43">
        <f>IF(OR(A919="",B919=""),"",SUMPRODUCT(MAX(($B$6:$B$2005=B919)*($A$6:$A$2005&lt;A919)*$A$6:$A$2005)))</f>
        <v/>
      </c>
      <c r="F919" s="41">
        <f>IF(OR(E919="",E919=0),"",IFERROR(AVERAGEIFS($C$6:$C$2005,$B$6:$B$2005,B919,$A$6:$A$2005,E919),""))</f>
        <v/>
      </c>
      <c r="G919" s="34">
        <f>IF(F919="","",A919-E919)</f>
        <v/>
      </c>
      <c r="H919" s="42">
        <f>IF(OR(F919="",C919=""),"",IFERROR((C919-F919)/G919,""))</f>
        <v/>
      </c>
      <c r="I919" s="39">
        <f>IF(B919="","",IFERROR(INDEX('Animais'!$M$6:$M$1005,MATCH(B919,'Animais'!$A$6:$A$1005,0)),"Brinco não cadastrado"))</f>
        <v/>
      </c>
    </row>
    <row r="920">
      <c r="A920" s="31" t="n"/>
      <c r="B920" s="36" t="n"/>
      <c r="C920" s="38" t="n"/>
      <c r="D920" s="32" t="n"/>
      <c r="E920" s="43">
        <f>IF(OR(A920="",B920=""),"",SUMPRODUCT(MAX(($B$6:$B$2005=B920)*($A$6:$A$2005&lt;A920)*$A$6:$A$2005)))</f>
        <v/>
      </c>
      <c r="F920" s="41">
        <f>IF(OR(E920="",E920=0),"",IFERROR(AVERAGEIFS($C$6:$C$2005,$B$6:$B$2005,B920,$A$6:$A$2005,E920),""))</f>
        <v/>
      </c>
      <c r="G920" s="34">
        <f>IF(F920="","",A920-E920)</f>
        <v/>
      </c>
      <c r="H920" s="42">
        <f>IF(OR(F920="",C920=""),"",IFERROR((C920-F920)/G920,""))</f>
        <v/>
      </c>
      <c r="I920" s="39">
        <f>IF(B920="","",IFERROR(INDEX('Animais'!$M$6:$M$1005,MATCH(B920,'Animais'!$A$6:$A$1005,0)),"Brinco não cadastrado"))</f>
        <v/>
      </c>
    </row>
    <row r="921">
      <c r="A921" s="31" t="n"/>
      <c r="B921" s="36" t="n"/>
      <c r="C921" s="38" t="n"/>
      <c r="D921" s="32" t="n"/>
      <c r="E921" s="43">
        <f>IF(OR(A921="",B921=""),"",SUMPRODUCT(MAX(($B$6:$B$2005=B921)*($A$6:$A$2005&lt;A921)*$A$6:$A$2005)))</f>
        <v/>
      </c>
      <c r="F921" s="41">
        <f>IF(OR(E921="",E921=0),"",IFERROR(AVERAGEIFS($C$6:$C$2005,$B$6:$B$2005,B921,$A$6:$A$2005,E921),""))</f>
        <v/>
      </c>
      <c r="G921" s="34">
        <f>IF(F921="","",A921-E921)</f>
        <v/>
      </c>
      <c r="H921" s="42">
        <f>IF(OR(F921="",C921=""),"",IFERROR((C921-F921)/G921,""))</f>
        <v/>
      </c>
      <c r="I921" s="39">
        <f>IF(B921="","",IFERROR(INDEX('Animais'!$M$6:$M$1005,MATCH(B921,'Animais'!$A$6:$A$1005,0)),"Brinco não cadastrado"))</f>
        <v/>
      </c>
    </row>
    <row r="922">
      <c r="A922" s="31" t="n"/>
      <c r="B922" s="36" t="n"/>
      <c r="C922" s="38" t="n"/>
      <c r="D922" s="32" t="n"/>
      <c r="E922" s="43">
        <f>IF(OR(A922="",B922=""),"",SUMPRODUCT(MAX(($B$6:$B$2005=B922)*($A$6:$A$2005&lt;A922)*$A$6:$A$2005)))</f>
        <v/>
      </c>
      <c r="F922" s="41">
        <f>IF(OR(E922="",E922=0),"",IFERROR(AVERAGEIFS($C$6:$C$2005,$B$6:$B$2005,B922,$A$6:$A$2005,E922),""))</f>
        <v/>
      </c>
      <c r="G922" s="34">
        <f>IF(F922="","",A922-E922)</f>
        <v/>
      </c>
      <c r="H922" s="42">
        <f>IF(OR(F922="",C922=""),"",IFERROR((C922-F922)/G922,""))</f>
        <v/>
      </c>
      <c r="I922" s="39">
        <f>IF(B922="","",IFERROR(INDEX('Animais'!$M$6:$M$1005,MATCH(B922,'Animais'!$A$6:$A$1005,0)),"Brinco não cadastrado"))</f>
        <v/>
      </c>
    </row>
    <row r="923">
      <c r="A923" s="31" t="n"/>
      <c r="B923" s="36" t="n"/>
      <c r="C923" s="38" t="n"/>
      <c r="D923" s="32" t="n"/>
      <c r="E923" s="43">
        <f>IF(OR(A923="",B923=""),"",SUMPRODUCT(MAX(($B$6:$B$2005=B923)*($A$6:$A$2005&lt;A923)*$A$6:$A$2005)))</f>
        <v/>
      </c>
      <c r="F923" s="41">
        <f>IF(OR(E923="",E923=0),"",IFERROR(AVERAGEIFS($C$6:$C$2005,$B$6:$B$2005,B923,$A$6:$A$2005,E923),""))</f>
        <v/>
      </c>
      <c r="G923" s="34">
        <f>IF(F923="","",A923-E923)</f>
        <v/>
      </c>
      <c r="H923" s="42">
        <f>IF(OR(F923="",C923=""),"",IFERROR((C923-F923)/G923,""))</f>
        <v/>
      </c>
      <c r="I923" s="39">
        <f>IF(B923="","",IFERROR(INDEX('Animais'!$M$6:$M$1005,MATCH(B923,'Animais'!$A$6:$A$1005,0)),"Brinco não cadastrado"))</f>
        <v/>
      </c>
    </row>
    <row r="924">
      <c r="A924" s="31" t="n"/>
      <c r="B924" s="36" t="n"/>
      <c r="C924" s="38" t="n"/>
      <c r="D924" s="32" t="n"/>
      <c r="E924" s="43">
        <f>IF(OR(A924="",B924=""),"",SUMPRODUCT(MAX(($B$6:$B$2005=B924)*($A$6:$A$2005&lt;A924)*$A$6:$A$2005)))</f>
        <v/>
      </c>
      <c r="F924" s="41">
        <f>IF(OR(E924="",E924=0),"",IFERROR(AVERAGEIFS($C$6:$C$2005,$B$6:$B$2005,B924,$A$6:$A$2005,E924),""))</f>
        <v/>
      </c>
      <c r="G924" s="34">
        <f>IF(F924="","",A924-E924)</f>
        <v/>
      </c>
      <c r="H924" s="42">
        <f>IF(OR(F924="",C924=""),"",IFERROR((C924-F924)/G924,""))</f>
        <v/>
      </c>
      <c r="I924" s="39">
        <f>IF(B924="","",IFERROR(INDEX('Animais'!$M$6:$M$1005,MATCH(B924,'Animais'!$A$6:$A$1005,0)),"Brinco não cadastrado"))</f>
        <v/>
      </c>
    </row>
    <row r="925">
      <c r="A925" s="31" t="n"/>
      <c r="B925" s="36" t="n"/>
      <c r="C925" s="38" t="n"/>
      <c r="D925" s="32" t="n"/>
      <c r="E925" s="43">
        <f>IF(OR(A925="",B925=""),"",SUMPRODUCT(MAX(($B$6:$B$2005=B925)*($A$6:$A$2005&lt;A925)*$A$6:$A$2005)))</f>
        <v/>
      </c>
      <c r="F925" s="41">
        <f>IF(OR(E925="",E925=0),"",IFERROR(AVERAGEIFS($C$6:$C$2005,$B$6:$B$2005,B925,$A$6:$A$2005,E925),""))</f>
        <v/>
      </c>
      <c r="G925" s="34">
        <f>IF(F925="","",A925-E925)</f>
        <v/>
      </c>
      <c r="H925" s="42">
        <f>IF(OR(F925="",C925=""),"",IFERROR((C925-F925)/G925,""))</f>
        <v/>
      </c>
      <c r="I925" s="39">
        <f>IF(B925="","",IFERROR(INDEX('Animais'!$M$6:$M$1005,MATCH(B925,'Animais'!$A$6:$A$1005,0)),"Brinco não cadastrado"))</f>
        <v/>
      </c>
    </row>
    <row r="926">
      <c r="A926" s="31" t="n"/>
      <c r="B926" s="36" t="n"/>
      <c r="C926" s="38" t="n"/>
      <c r="D926" s="32" t="n"/>
      <c r="E926" s="43">
        <f>IF(OR(A926="",B926=""),"",SUMPRODUCT(MAX(($B$6:$B$2005=B926)*($A$6:$A$2005&lt;A926)*$A$6:$A$2005)))</f>
        <v/>
      </c>
      <c r="F926" s="41">
        <f>IF(OR(E926="",E926=0),"",IFERROR(AVERAGEIFS($C$6:$C$2005,$B$6:$B$2005,B926,$A$6:$A$2005,E926),""))</f>
        <v/>
      </c>
      <c r="G926" s="34">
        <f>IF(F926="","",A926-E926)</f>
        <v/>
      </c>
      <c r="H926" s="42">
        <f>IF(OR(F926="",C926=""),"",IFERROR((C926-F926)/G926,""))</f>
        <v/>
      </c>
      <c r="I926" s="39">
        <f>IF(B926="","",IFERROR(INDEX('Animais'!$M$6:$M$1005,MATCH(B926,'Animais'!$A$6:$A$1005,0)),"Brinco não cadastrado"))</f>
        <v/>
      </c>
    </row>
    <row r="927">
      <c r="A927" s="31" t="n"/>
      <c r="B927" s="36" t="n"/>
      <c r="C927" s="38" t="n"/>
      <c r="D927" s="32" t="n"/>
      <c r="E927" s="43">
        <f>IF(OR(A927="",B927=""),"",SUMPRODUCT(MAX(($B$6:$B$2005=B927)*($A$6:$A$2005&lt;A927)*$A$6:$A$2005)))</f>
        <v/>
      </c>
      <c r="F927" s="41">
        <f>IF(OR(E927="",E927=0),"",IFERROR(AVERAGEIFS($C$6:$C$2005,$B$6:$B$2005,B927,$A$6:$A$2005,E927),""))</f>
        <v/>
      </c>
      <c r="G927" s="34">
        <f>IF(F927="","",A927-E927)</f>
        <v/>
      </c>
      <c r="H927" s="42">
        <f>IF(OR(F927="",C927=""),"",IFERROR((C927-F927)/G927,""))</f>
        <v/>
      </c>
      <c r="I927" s="39">
        <f>IF(B927="","",IFERROR(INDEX('Animais'!$M$6:$M$1005,MATCH(B927,'Animais'!$A$6:$A$1005,0)),"Brinco não cadastrado"))</f>
        <v/>
      </c>
    </row>
    <row r="928">
      <c r="A928" s="31" t="n"/>
      <c r="B928" s="36" t="n"/>
      <c r="C928" s="38" t="n"/>
      <c r="D928" s="32" t="n"/>
      <c r="E928" s="43">
        <f>IF(OR(A928="",B928=""),"",SUMPRODUCT(MAX(($B$6:$B$2005=B928)*($A$6:$A$2005&lt;A928)*$A$6:$A$2005)))</f>
        <v/>
      </c>
      <c r="F928" s="41">
        <f>IF(OR(E928="",E928=0),"",IFERROR(AVERAGEIFS($C$6:$C$2005,$B$6:$B$2005,B928,$A$6:$A$2005,E928),""))</f>
        <v/>
      </c>
      <c r="G928" s="34">
        <f>IF(F928="","",A928-E928)</f>
        <v/>
      </c>
      <c r="H928" s="42">
        <f>IF(OR(F928="",C928=""),"",IFERROR((C928-F928)/G928,""))</f>
        <v/>
      </c>
      <c r="I928" s="39">
        <f>IF(B928="","",IFERROR(INDEX('Animais'!$M$6:$M$1005,MATCH(B928,'Animais'!$A$6:$A$1005,0)),"Brinco não cadastrado"))</f>
        <v/>
      </c>
    </row>
    <row r="929">
      <c r="A929" s="31" t="n"/>
      <c r="B929" s="36" t="n"/>
      <c r="C929" s="38" t="n"/>
      <c r="D929" s="32" t="n"/>
      <c r="E929" s="43">
        <f>IF(OR(A929="",B929=""),"",SUMPRODUCT(MAX(($B$6:$B$2005=B929)*($A$6:$A$2005&lt;A929)*$A$6:$A$2005)))</f>
        <v/>
      </c>
      <c r="F929" s="41">
        <f>IF(OR(E929="",E929=0),"",IFERROR(AVERAGEIFS($C$6:$C$2005,$B$6:$B$2005,B929,$A$6:$A$2005,E929),""))</f>
        <v/>
      </c>
      <c r="G929" s="34">
        <f>IF(F929="","",A929-E929)</f>
        <v/>
      </c>
      <c r="H929" s="42">
        <f>IF(OR(F929="",C929=""),"",IFERROR((C929-F929)/G929,""))</f>
        <v/>
      </c>
      <c r="I929" s="39">
        <f>IF(B929="","",IFERROR(INDEX('Animais'!$M$6:$M$1005,MATCH(B929,'Animais'!$A$6:$A$1005,0)),"Brinco não cadastrado"))</f>
        <v/>
      </c>
    </row>
    <row r="930">
      <c r="A930" s="31" t="n"/>
      <c r="B930" s="36" t="n"/>
      <c r="C930" s="38" t="n"/>
      <c r="D930" s="32" t="n"/>
      <c r="E930" s="43">
        <f>IF(OR(A930="",B930=""),"",SUMPRODUCT(MAX(($B$6:$B$2005=B930)*($A$6:$A$2005&lt;A930)*$A$6:$A$2005)))</f>
        <v/>
      </c>
      <c r="F930" s="41">
        <f>IF(OR(E930="",E930=0),"",IFERROR(AVERAGEIFS($C$6:$C$2005,$B$6:$B$2005,B930,$A$6:$A$2005,E930),""))</f>
        <v/>
      </c>
      <c r="G930" s="34">
        <f>IF(F930="","",A930-E930)</f>
        <v/>
      </c>
      <c r="H930" s="42">
        <f>IF(OR(F930="",C930=""),"",IFERROR((C930-F930)/G930,""))</f>
        <v/>
      </c>
      <c r="I930" s="39">
        <f>IF(B930="","",IFERROR(INDEX('Animais'!$M$6:$M$1005,MATCH(B930,'Animais'!$A$6:$A$1005,0)),"Brinco não cadastrado"))</f>
        <v/>
      </c>
    </row>
    <row r="931">
      <c r="A931" s="31" t="n"/>
      <c r="B931" s="36" t="n"/>
      <c r="C931" s="38" t="n"/>
      <c r="D931" s="32" t="n"/>
      <c r="E931" s="43">
        <f>IF(OR(A931="",B931=""),"",SUMPRODUCT(MAX(($B$6:$B$2005=B931)*($A$6:$A$2005&lt;A931)*$A$6:$A$2005)))</f>
        <v/>
      </c>
      <c r="F931" s="41">
        <f>IF(OR(E931="",E931=0),"",IFERROR(AVERAGEIFS($C$6:$C$2005,$B$6:$B$2005,B931,$A$6:$A$2005,E931),""))</f>
        <v/>
      </c>
      <c r="G931" s="34">
        <f>IF(F931="","",A931-E931)</f>
        <v/>
      </c>
      <c r="H931" s="42">
        <f>IF(OR(F931="",C931=""),"",IFERROR((C931-F931)/G931,""))</f>
        <v/>
      </c>
      <c r="I931" s="39">
        <f>IF(B931="","",IFERROR(INDEX('Animais'!$M$6:$M$1005,MATCH(B931,'Animais'!$A$6:$A$1005,0)),"Brinco não cadastrado"))</f>
        <v/>
      </c>
    </row>
    <row r="932">
      <c r="A932" s="31" t="n"/>
      <c r="B932" s="36" t="n"/>
      <c r="C932" s="38" t="n"/>
      <c r="D932" s="32" t="n"/>
      <c r="E932" s="43">
        <f>IF(OR(A932="",B932=""),"",SUMPRODUCT(MAX(($B$6:$B$2005=B932)*($A$6:$A$2005&lt;A932)*$A$6:$A$2005)))</f>
        <v/>
      </c>
      <c r="F932" s="41">
        <f>IF(OR(E932="",E932=0),"",IFERROR(AVERAGEIFS($C$6:$C$2005,$B$6:$B$2005,B932,$A$6:$A$2005,E932),""))</f>
        <v/>
      </c>
      <c r="G932" s="34">
        <f>IF(F932="","",A932-E932)</f>
        <v/>
      </c>
      <c r="H932" s="42">
        <f>IF(OR(F932="",C932=""),"",IFERROR((C932-F932)/G932,""))</f>
        <v/>
      </c>
      <c r="I932" s="39">
        <f>IF(B932="","",IFERROR(INDEX('Animais'!$M$6:$M$1005,MATCH(B932,'Animais'!$A$6:$A$1005,0)),"Brinco não cadastrado"))</f>
        <v/>
      </c>
    </row>
    <row r="933">
      <c r="A933" s="31" t="n"/>
      <c r="B933" s="36" t="n"/>
      <c r="C933" s="38" t="n"/>
      <c r="D933" s="32" t="n"/>
      <c r="E933" s="43">
        <f>IF(OR(A933="",B933=""),"",SUMPRODUCT(MAX(($B$6:$B$2005=B933)*($A$6:$A$2005&lt;A933)*$A$6:$A$2005)))</f>
        <v/>
      </c>
      <c r="F933" s="41">
        <f>IF(OR(E933="",E933=0),"",IFERROR(AVERAGEIFS($C$6:$C$2005,$B$6:$B$2005,B933,$A$6:$A$2005,E933),""))</f>
        <v/>
      </c>
      <c r="G933" s="34">
        <f>IF(F933="","",A933-E933)</f>
        <v/>
      </c>
      <c r="H933" s="42">
        <f>IF(OR(F933="",C933=""),"",IFERROR((C933-F933)/G933,""))</f>
        <v/>
      </c>
      <c r="I933" s="39">
        <f>IF(B933="","",IFERROR(INDEX('Animais'!$M$6:$M$1005,MATCH(B933,'Animais'!$A$6:$A$1005,0)),"Brinco não cadastrado"))</f>
        <v/>
      </c>
    </row>
    <row r="934">
      <c r="A934" s="31" t="n"/>
      <c r="B934" s="36" t="n"/>
      <c r="C934" s="38" t="n"/>
      <c r="D934" s="32" t="n"/>
      <c r="E934" s="43">
        <f>IF(OR(A934="",B934=""),"",SUMPRODUCT(MAX(($B$6:$B$2005=B934)*($A$6:$A$2005&lt;A934)*$A$6:$A$2005)))</f>
        <v/>
      </c>
      <c r="F934" s="41">
        <f>IF(OR(E934="",E934=0),"",IFERROR(AVERAGEIFS($C$6:$C$2005,$B$6:$B$2005,B934,$A$6:$A$2005,E934),""))</f>
        <v/>
      </c>
      <c r="G934" s="34">
        <f>IF(F934="","",A934-E934)</f>
        <v/>
      </c>
      <c r="H934" s="42">
        <f>IF(OR(F934="",C934=""),"",IFERROR((C934-F934)/G934,""))</f>
        <v/>
      </c>
      <c r="I934" s="39">
        <f>IF(B934="","",IFERROR(INDEX('Animais'!$M$6:$M$1005,MATCH(B934,'Animais'!$A$6:$A$1005,0)),"Brinco não cadastrado"))</f>
        <v/>
      </c>
    </row>
    <row r="935">
      <c r="A935" s="31" t="n"/>
      <c r="B935" s="36" t="n"/>
      <c r="C935" s="38" t="n"/>
      <c r="D935" s="32" t="n"/>
      <c r="E935" s="43">
        <f>IF(OR(A935="",B935=""),"",SUMPRODUCT(MAX(($B$6:$B$2005=B935)*($A$6:$A$2005&lt;A935)*$A$6:$A$2005)))</f>
        <v/>
      </c>
      <c r="F935" s="41">
        <f>IF(OR(E935="",E935=0),"",IFERROR(AVERAGEIFS($C$6:$C$2005,$B$6:$B$2005,B935,$A$6:$A$2005,E935),""))</f>
        <v/>
      </c>
      <c r="G935" s="34">
        <f>IF(F935="","",A935-E935)</f>
        <v/>
      </c>
      <c r="H935" s="42">
        <f>IF(OR(F935="",C935=""),"",IFERROR((C935-F935)/G935,""))</f>
        <v/>
      </c>
      <c r="I935" s="39">
        <f>IF(B935="","",IFERROR(INDEX('Animais'!$M$6:$M$1005,MATCH(B935,'Animais'!$A$6:$A$1005,0)),"Brinco não cadastrado"))</f>
        <v/>
      </c>
    </row>
    <row r="936">
      <c r="A936" s="31" t="n"/>
      <c r="B936" s="36" t="n"/>
      <c r="C936" s="38" t="n"/>
      <c r="D936" s="32" t="n"/>
      <c r="E936" s="43">
        <f>IF(OR(A936="",B936=""),"",SUMPRODUCT(MAX(($B$6:$B$2005=B936)*($A$6:$A$2005&lt;A936)*$A$6:$A$2005)))</f>
        <v/>
      </c>
      <c r="F936" s="41">
        <f>IF(OR(E936="",E936=0),"",IFERROR(AVERAGEIFS($C$6:$C$2005,$B$6:$B$2005,B936,$A$6:$A$2005,E936),""))</f>
        <v/>
      </c>
      <c r="G936" s="34">
        <f>IF(F936="","",A936-E936)</f>
        <v/>
      </c>
      <c r="H936" s="42">
        <f>IF(OR(F936="",C936=""),"",IFERROR((C936-F936)/G936,""))</f>
        <v/>
      </c>
      <c r="I936" s="39">
        <f>IF(B936="","",IFERROR(INDEX('Animais'!$M$6:$M$1005,MATCH(B936,'Animais'!$A$6:$A$1005,0)),"Brinco não cadastrado"))</f>
        <v/>
      </c>
    </row>
    <row r="937">
      <c r="A937" s="31" t="n"/>
      <c r="B937" s="36" t="n"/>
      <c r="C937" s="38" t="n"/>
      <c r="D937" s="32" t="n"/>
      <c r="E937" s="43">
        <f>IF(OR(A937="",B937=""),"",SUMPRODUCT(MAX(($B$6:$B$2005=B937)*($A$6:$A$2005&lt;A937)*$A$6:$A$2005)))</f>
        <v/>
      </c>
      <c r="F937" s="41">
        <f>IF(OR(E937="",E937=0),"",IFERROR(AVERAGEIFS($C$6:$C$2005,$B$6:$B$2005,B937,$A$6:$A$2005,E937),""))</f>
        <v/>
      </c>
      <c r="G937" s="34">
        <f>IF(F937="","",A937-E937)</f>
        <v/>
      </c>
      <c r="H937" s="42">
        <f>IF(OR(F937="",C937=""),"",IFERROR((C937-F937)/G937,""))</f>
        <v/>
      </c>
      <c r="I937" s="39">
        <f>IF(B937="","",IFERROR(INDEX('Animais'!$M$6:$M$1005,MATCH(B937,'Animais'!$A$6:$A$1005,0)),"Brinco não cadastrado"))</f>
        <v/>
      </c>
    </row>
    <row r="938">
      <c r="A938" s="31" t="n"/>
      <c r="B938" s="36" t="n"/>
      <c r="C938" s="38" t="n"/>
      <c r="D938" s="32" t="n"/>
      <c r="E938" s="43">
        <f>IF(OR(A938="",B938=""),"",SUMPRODUCT(MAX(($B$6:$B$2005=B938)*($A$6:$A$2005&lt;A938)*$A$6:$A$2005)))</f>
        <v/>
      </c>
      <c r="F938" s="41">
        <f>IF(OR(E938="",E938=0),"",IFERROR(AVERAGEIFS($C$6:$C$2005,$B$6:$B$2005,B938,$A$6:$A$2005,E938),""))</f>
        <v/>
      </c>
      <c r="G938" s="34">
        <f>IF(F938="","",A938-E938)</f>
        <v/>
      </c>
      <c r="H938" s="42">
        <f>IF(OR(F938="",C938=""),"",IFERROR((C938-F938)/G938,""))</f>
        <v/>
      </c>
      <c r="I938" s="39">
        <f>IF(B938="","",IFERROR(INDEX('Animais'!$M$6:$M$1005,MATCH(B938,'Animais'!$A$6:$A$1005,0)),"Brinco não cadastrado"))</f>
        <v/>
      </c>
    </row>
    <row r="939">
      <c r="A939" s="31" t="n"/>
      <c r="B939" s="36" t="n"/>
      <c r="C939" s="38" t="n"/>
      <c r="D939" s="32" t="n"/>
      <c r="E939" s="43">
        <f>IF(OR(A939="",B939=""),"",SUMPRODUCT(MAX(($B$6:$B$2005=B939)*($A$6:$A$2005&lt;A939)*$A$6:$A$2005)))</f>
        <v/>
      </c>
      <c r="F939" s="41">
        <f>IF(OR(E939="",E939=0),"",IFERROR(AVERAGEIFS($C$6:$C$2005,$B$6:$B$2005,B939,$A$6:$A$2005,E939),""))</f>
        <v/>
      </c>
      <c r="G939" s="34">
        <f>IF(F939="","",A939-E939)</f>
        <v/>
      </c>
      <c r="H939" s="42">
        <f>IF(OR(F939="",C939=""),"",IFERROR((C939-F939)/G939,""))</f>
        <v/>
      </c>
      <c r="I939" s="39">
        <f>IF(B939="","",IFERROR(INDEX('Animais'!$M$6:$M$1005,MATCH(B939,'Animais'!$A$6:$A$1005,0)),"Brinco não cadastrado"))</f>
        <v/>
      </c>
    </row>
    <row r="940">
      <c r="A940" s="31" t="n"/>
      <c r="B940" s="36" t="n"/>
      <c r="C940" s="38" t="n"/>
      <c r="D940" s="32" t="n"/>
      <c r="E940" s="43">
        <f>IF(OR(A940="",B940=""),"",SUMPRODUCT(MAX(($B$6:$B$2005=B940)*($A$6:$A$2005&lt;A940)*$A$6:$A$2005)))</f>
        <v/>
      </c>
      <c r="F940" s="41">
        <f>IF(OR(E940="",E940=0),"",IFERROR(AVERAGEIFS($C$6:$C$2005,$B$6:$B$2005,B940,$A$6:$A$2005,E940),""))</f>
        <v/>
      </c>
      <c r="G940" s="34">
        <f>IF(F940="","",A940-E940)</f>
        <v/>
      </c>
      <c r="H940" s="42">
        <f>IF(OR(F940="",C940=""),"",IFERROR((C940-F940)/G940,""))</f>
        <v/>
      </c>
      <c r="I940" s="39">
        <f>IF(B940="","",IFERROR(INDEX('Animais'!$M$6:$M$1005,MATCH(B940,'Animais'!$A$6:$A$1005,0)),"Brinco não cadastrado"))</f>
        <v/>
      </c>
    </row>
    <row r="941">
      <c r="A941" s="31" t="n"/>
      <c r="B941" s="36" t="n"/>
      <c r="C941" s="38" t="n"/>
      <c r="D941" s="32" t="n"/>
      <c r="E941" s="43">
        <f>IF(OR(A941="",B941=""),"",SUMPRODUCT(MAX(($B$6:$B$2005=B941)*($A$6:$A$2005&lt;A941)*$A$6:$A$2005)))</f>
        <v/>
      </c>
      <c r="F941" s="41">
        <f>IF(OR(E941="",E941=0),"",IFERROR(AVERAGEIFS($C$6:$C$2005,$B$6:$B$2005,B941,$A$6:$A$2005,E941),""))</f>
        <v/>
      </c>
      <c r="G941" s="34">
        <f>IF(F941="","",A941-E941)</f>
        <v/>
      </c>
      <c r="H941" s="42">
        <f>IF(OR(F941="",C941=""),"",IFERROR((C941-F941)/G941,""))</f>
        <v/>
      </c>
      <c r="I941" s="39">
        <f>IF(B941="","",IFERROR(INDEX('Animais'!$M$6:$M$1005,MATCH(B941,'Animais'!$A$6:$A$1005,0)),"Brinco não cadastrado"))</f>
        <v/>
      </c>
    </row>
    <row r="942">
      <c r="A942" s="31" t="n"/>
      <c r="B942" s="36" t="n"/>
      <c r="C942" s="38" t="n"/>
      <c r="D942" s="32" t="n"/>
      <c r="E942" s="43">
        <f>IF(OR(A942="",B942=""),"",SUMPRODUCT(MAX(($B$6:$B$2005=B942)*($A$6:$A$2005&lt;A942)*$A$6:$A$2005)))</f>
        <v/>
      </c>
      <c r="F942" s="41">
        <f>IF(OR(E942="",E942=0),"",IFERROR(AVERAGEIFS($C$6:$C$2005,$B$6:$B$2005,B942,$A$6:$A$2005,E942),""))</f>
        <v/>
      </c>
      <c r="G942" s="34">
        <f>IF(F942="","",A942-E942)</f>
        <v/>
      </c>
      <c r="H942" s="42">
        <f>IF(OR(F942="",C942=""),"",IFERROR((C942-F942)/G942,""))</f>
        <v/>
      </c>
      <c r="I942" s="39">
        <f>IF(B942="","",IFERROR(INDEX('Animais'!$M$6:$M$1005,MATCH(B942,'Animais'!$A$6:$A$1005,0)),"Brinco não cadastrado"))</f>
        <v/>
      </c>
    </row>
    <row r="943">
      <c r="A943" s="31" t="n"/>
      <c r="B943" s="36" t="n"/>
      <c r="C943" s="38" t="n"/>
      <c r="D943" s="32" t="n"/>
      <c r="E943" s="43">
        <f>IF(OR(A943="",B943=""),"",SUMPRODUCT(MAX(($B$6:$B$2005=B943)*($A$6:$A$2005&lt;A943)*$A$6:$A$2005)))</f>
        <v/>
      </c>
      <c r="F943" s="41">
        <f>IF(OR(E943="",E943=0),"",IFERROR(AVERAGEIFS($C$6:$C$2005,$B$6:$B$2005,B943,$A$6:$A$2005,E943),""))</f>
        <v/>
      </c>
      <c r="G943" s="34">
        <f>IF(F943="","",A943-E943)</f>
        <v/>
      </c>
      <c r="H943" s="42">
        <f>IF(OR(F943="",C943=""),"",IFERROR((C943-F943)/G943,""))</f>
        <v/>
      </c>
      <c r="I943" s="39">
        <f>IF(B943="","",IFERROR(INDEX('Animais'!$M$6:$M$1005,MATCH(B943,'Animais'!$A$6:$A$1005,0)),"Brinco não cadastrado"))</f>
        <v/>
      </c>
    </row>
    <row r="944">
      <c r="A944" s="31" t="n"/>
      <c r="B944" s="36" t="n"/>
      <c r="C944" s="38" t="n"/>
      <c r="D944" s="32" t="n"/>
      <c r="E944" s="43">
        <f>IF(OR(A944="",B944=""),"",SUMPRODUCT(MAX(($B$6:$B$2005=B944)*($A$6:$A$2005&lt;A944)*$A$6:$A$2005)))</f>
        <v/>
      </c>
      <c r="F944" s="41">
        <f>IF(OR(E944="",E944=0),"",IFERROR(AVERAGEIFS($C$6:$C$2005,$B$6:$B$2005,B944,$A$6:$A$2005,E944),""))</f>
        <v/>
      </c>
      <c r="G944" s="34">
        <f>IF(F944="","",A944-E944)</f>
        <v/>
      </c>
      <c r="H944" s="42">
        <f>IF(OR(F944="",C944=""),"",IFERROR((C944-F944)/G944,""))</f>
        <v/>
      </c>
      <c r="I944" s="39">
        <f>IF(B944="","",IFERROR(INDEX('Animais'!$M$6:$M$1005,MATCH(B944,'Animais'!$A$6:$A$1005,0)),"Brinco não cadastrado"))</f>
        <v/>
      </c>
    </row>
    <row r="945">
      <c r="A945" s="31" t="n"/>
      <c r="B945" s="36" t="n"/>
      <c r="C945" s="38" t="n"/>
      <c r="D945" s="32" t="n"/>
      <c r="E945" s="43">
        <f>IF(OR(A945="",B945=""),"",SUMPRODUCT(MAX(($B$6:$B$2005=B945)*($A$6:$A$2005&lt;A945)*$A$6:$A$2005)))</f>
        <v/>
      </c>
      <c r="F945" s="41">
        <f>IF(OR(E945="",E945=0),"",IFERROR(AVERAGEIFS($C$6:$C$2005,$B$6:$B$2005,B945,$A$6:$A$2005,E945),""))</f>
        <v/>
      </c>
      <c r="G945" s="34">
        <f>IF(F945="","",A945-E945)</f>
        <v/>
      </c>
      <c r="H945" s="42">
        <f>IF(OR(F945="",C945=""),"",IFERROR((C945-F945)/G945,""))</f>
        <v/>
      </c>
      <c r="I945" s="39">
        <f>IF(B945="","",IFERROR(INDEX('Animais'!$M$6:$M$1005,MATCH(B945,'Animais'!$A$6:$A$1005,0)),"Brinco não cadastrado"))</f>
        <v/>
      </c>
    </row>
    <row r="946">
      <c r="A946" s="31" t="n"/>
      <c r="B946" s="36" t="n"/>
      <c r="C946" s="38" t="n"/>
      <c r="D946" s="32" t="n"/>
      <c r="E946" s="43">
        <f>IF(OR(A946="",B946=""),"",SUMPRODUCT(MAX(($B$6:$B$2005=B946)*($A$6:$A$2005&lt;A946)*$A$6:$A$2005)))</f>
        <v/>
      </c>
      <c r="F946" s="41">
        <f>IF(OR(E946="",E946=0),"",IFERROR(AVERAGEIFS($C$6:$C$2005,$B$6:$B$2005,B946,$A$6:$A$2005,E946),""))</f>
        <v/>
      </c>
      <c r="G946" s="34">
        <f>IF(F946="","",A946-E946)</f>
        <v/>
      </c>
      <c r="H946" s="42">
        <f>IF(OR(F946="",C946=""),"",IFERROR((C946-F946)/G946,""))</f>
        <v/>
      </c>
      <c r="I946" s="39">
        <f>IF(B946="","",IFERROR(INDEX('Animais'!$M$6:$M$1005,MATCH(B946,'Animais'!$A$6:$A$1005,0)),"Brinco não cadastrado"))</f>
        <v/>
      </c>
    </row>
    <row r="947">
      <c r="A947" s="31" t="n"/>
      <c r="B947" s="36" t="n"/>
      <c r="C947" s="38" t="n"/>
      <c r="D947" s="32" t="n"/>
      <c r="E947" s="43">
        <f>IF(OR(A947="",B947=""),"",SUMPRODUCT(MAX(($B$6:$B$2005=B947)*($A$6:$A$2005&lt;A947)*$A$6:$A$2005)))</f>
        <v/>
      </c>
      <c r="F947" s="41">
        <f>IF(OR(E947="",E947=0),"",IFERROR(AVERAGEIFS($C$6:$C$2005,$B$6:$B$2005,B947,$A$6:$A$2005,E947),""))</f>
        <v/>
      </c>
      <c r="G947" s="34">
        <f>IF(F947="","",A947-E947)</f>
        <v/>
      </c>
      <c r="H947" s="42">
        <f>IF(OR(F947="",C947=""),"",IFERROR((C947-F947)/G947,""))</f>
        <v/>
      </c>
      <c r="I947" s="39">
        <f>IF(B947="","",IFERROR(INDEX('Animais'!$M$6:$M$1005,MATCH(B947,'Animais'!$A$6:$A$1005,0)),"Brinco não cadastrado"))</f>
        <v/>
      </c>
    </row>
    <row r="948">
      <c r="A948" s="31" t="n"/>
      <c r="B948" s="36" t="n"/>
      <c r="C948" s="38" t="n"/>
      <c r="D948" s="32" t="n"/>
      <c r="E948" s="43">
        <f>IF(OR(A948="",B948=""),"",SUMPRODUCT(MAX(($B$6:$B$2005=B948)*($A$6:$A$2005&lt;A948)*$A$6:$A$2005)))</f>
        <v/>
      </c>
      <c r="F948" s="41">
        <f>IF(OR(E948="",E948=0),"",IFERROR(AVERAGEIFS($C$6:$C$2005,$B$6:$B$2005,B948,$A$6:$A$2005,E948),""))</f>
        <v/>
      </c>
      <c r="G948" s="34">
        <f>IF(F948="","",A948-E948)</f>
        <v/>
      </c>
      <c r="H948" s="42">
        <f>IF(OR(F948="",C948=""),"",IFERROR((C948-F948)/G948,""))</f>
        <v/>
      </c>
      <c r="I948" s="39">
        <f>IF(B948="","",IFERROR(INDEX('Animais'!$M$6:$M$1005,MATCH(B948,'Animais'!$A$6:$A$1005,0)),"Brinco não cadastrado"))</f>
        <v/>
      </c>
    </row>
    <row r="949">
      <c r="A949" s="31" t="n"/>
      <c r="B949" s="36" t="n"/>
      <c r="C949" s="38" t="n"/>
      <c r="D949" s="32" t="n"/>
      <c r="E949" s="43">
        <f>IF(OR(A949="",B949=""),"",SUMPRODUCT(MAX(($B$6:$B$2005=B949)*($A$6:$A$2005&lt;A949)*$A$6:$A$2005)))</f>
        <v/>
      </c>
      <c r="F949" s="41">
        <f>IF(OR(E949="",E949=0),"",IFERROR(AVERAGEIFS($C$6:$C$2005,$B$6:$B$2005,B949,$A$6:$A$2005,E949),""))</f>
        <v/>
      </c>
      <c r="G949" s="34">
        <f>IF(F949="","",A949-E949)</f>
        <v/>
      </c>
      <c r="H949" s="42">
        <f>IF(OR(F949="",C949=""),"",IFERROR((C949-F949)/G949,""))</f>
        <v/>
      </c>
      <c r="I949" s="39">
        <f>IF(B949="","",IFERROR(INDEX('Animais'!$M$6:$M$1005,MATCH(B949,'Animais'!$A$6:$A$1005,0)),"Brinco não cadastrado"))</f>
        <v/>
      </c>
    </row>
    <row r="950">
      <c r="A950" s="31" t="n"/>
      <c r="B950" s="36" t="n"/>
      <c r="C950" s="38" t="n"/>
      <c r="D950" s="32" t="n"/>
      <c r="E950" s="43">
        <f>IF(OR(A950="",B950=""),"",SUMPRODUCT(MAX(($B$6:$B$2005=B950)*($A$6:$A$2005&lt;A950)*$A$6:$A$2005)))</f>
        <v/>
      </c>
      <c r="F950" s="41">
        <f>IF(OR(E950="",E950=0),"",IFERROR(AVERAGEIFS($C$6:$C$2005,$B$6:$B$2005,B950,$A$6:$A$2005,E950),""))</f>
        <v/>
      </c>
      <c r="G950" s="34">
        <f>IF(F950="","",A950-E950)</f>
        <v/>
      </c>
      <c r="H950" s="42">
        <f>IF(OR(F950="",C950=""),"",IFERROR((C950-F950)/G950,""))</f>
        <v/>
      </c>
      <c r="I950" s="39">
        <f>IF(B950="","",IFERROR(INDEX('Animais'!$M$6:$M$1005,MATCH(B950,'Animais'!$A$6:$A$1005,0)),"Brinco não cadastrado"))</f>
        <v/>
      </c>
    </row>
    <row r="951">
      <c r="A951" s="31" t="n"/>
      <c r="B951" s="36" t="n"/>
      <c r="C951" s="38" t="n"/>
      <c r="D951" s="32" t="n"/>
      <c r="E951" s="43">
        <f>IF(OR(A951="",B951=""),"",SUMPRODUCT(MAX(($B$6:$B$2005=B951)*($A$6:$A$2005&lt;A951)*$A$6:$A$2005)))</f>
        <v/>
      </c>
      <c r="F951" s="41">
        <f>IF(OR(E951="",E951=0),"",IFERROR(AVERAGEIFS($C$6:$C$2005,$B$6:$B$2005,B951,$A$6:$A$2005,E951),""))</f>
        <v/>
      </c>
      <c r="G951" s="34">
        <f>IF(F951="","",A951-E951)</f>
        <v/>
      </c>
      <c r="H951" s="42">
        <f>IF(OR(F951="",C951=""),"",IFERROR((C951-F951)/G951,""))</f>
        <v/>
      </c>
      <c r="I951" s="39">
        <f>IF(B951="","",IFERROR(INDEX('Animais'!$M$6:$M$1005,MATCH(B951,'Animais'!$A$6:$A$1005,0)),"Brinco não cadastrado"))</f>
        <v/>
      </c>
    </row>
    <row r="952">
      <c r="A952" s="31" t="n"/>
      <c r="B952" s="36" t="n"/>
      <c r="C952" s="38" t="n"/>
      <c r="D952" s="32" t="n"/>
      <c r="E952" s="43">
        <f>IF(OR(A952="",B952=""),"",SUMPRODUCT(MAX(($B$6:$B$2005=B952)*($A$6:$A$2005&lt;A952)*$A$6:$A$2005)))</f>
        <v/>
      </c>
      <c r="F952" s="41">
        <f>IF(OR(E952="",E952=0),"",IFERROR(AVERAGEIFS($C$6:$C$2005,$B$6:$B$2005,B952,$A$6:$A$2005,E952),""))</f>
        <v/>
      </c>
      <c r="G952" s="34">
        <f>IF(F952="","",A952-E952)</f>
        <v/>
      </c>
      <c r="H952" s="42">
        <f>IF(OR(F952="",C952=""),"",IFERROR((C952-F952)/G952,""))</f>
        <v/>
      </c>
      <c r="I952" s="39">
        <f>IF(B952="","",IFERROR(INDEX('Animais'!$M$6:$M$1005,MATCH(B952,'Animais'!$A$6:$A$1005,0)),"Brinco não cadastrado"))</f>
        <v/>
      </c>
    </row>
    <row r="953">
      <c r="A953" s="31" t="n"/>
      <c r="B953" s="36" t="n"/>
      <c r="C953" s="38" t="n"/>
      <c r="D953" s="32" t="n"/>
      <c r="E953" s="43">
        <f>IF(OR(A953="",B953=""),"",SUMPRODUCT(MAX(($B$6:$B$2005=B953)*($A$6:$A$2005&lt;A953)*$A$6:$A$2005)))</f>
        <v/>
      </c>
      <c r="F953" s="41">
        <f>IF(OR(E953="",E953=0),"",IFERROR(AVERAGEIFS($C$6:$C$2005,$B$6:$B$2005,B953,$A$6:$A$2005,E953),""))</f>
        <v/>
      </c>
      <c r="G953" s="34">
        <f>IF(F953="","",A953-E953)</f>
        <v/>
      </c>
      <c r="H953" s="42">
        <f>IF(OR(F953="",C953=""),"",IFERROR((C953-F953)/G953,""))</f>
        <v/>
      </c>
      <c r="I953" s="39">
        <f>IF(B953="","",IFERROR(INDEX('Animais'!$M$6:$M$1005,MATCH(B953,'Animais'!$A$6:$A$1005,0)),"Brinco não cadastrado"))</f>
        <v/>
      </c>
    </row>
    <row r="954">
      <c r="A954" s="31" t="n"/>
      <c r="B954" s="36" t="n"/>
      <c r="C954" s="38" t="n"/>
      <c r="D954" s="32" t="n"/>
      <c r="E954" s="43">
        <f>IF(OR(A954="",B954=""),"",SUMPRODUCT(MAX(($B$6:$B$2005=B954)*($A$6:$A$2005&lt;A954)*$A$6:$A$2005)))</f>
        <v/>
      </c>
      <c r="F954" s="41">
        <f>IF(OR(E954="",E954=0),"",IFERROR(AVERAGEIFS($C$6:$C$2005,$B$6:$B$2005,B954,$A$6:$A$2005,E954),""))</f>
        <v/>
      </c>
      <c r="G954" s="34">
        <f>IF(F954="","",A954-E954)</f>
        <v/>
      </c>
      <c r="H954" s="42">
        <f>IF(OR(F954="",C954=""),"",IFERROR((C954-F954)/G954,""))</f>
        <v/>
      </c>
      <c r="I954" s="39">
        <f>IF(B954="","",IFERROR(INDEX('Animais'!$M$6:$M$1005,MATCH(B954,'Animais'!$A$6:$A$1005,0)),"Brinco não cadastrado"))</f>
        <v/>
      </c>
    </row>
    <row r="955">
      <c r="A955" s="31" t="n"/>
      <c r="B955" s="36" t="n"/>
      <c r="C955" s="38" t="n"/>
      <c r="D955" s="32" t="n"/>
      <c r="E955" s="43">
        <f>IF(OR(A955="",B955=""),"",SUMPRODUCT(MAX(($B$6:$B$2005=B955)*($A$6:$A$2005&lt;A955)*$A$6:$A$2005)))</f>
        <v/>
      </c>
      <c r="F955" s="41">
        <f>IF(OR(E955="",E955=0),"",IFERROR(AVERAGEIFS($C$6:$C$2005,$B$6:$B$2005,B955,$A$6:$A$2005,E955),""))</f>
        <v/>
      </c>
      <c r="G955" s="34">
        <f>IF(F955="","",A955-E955)</f>
        <v/>
      </c>
      <c r="H955" s="42">
        <f>IF(OR(F955="",C955=""),"",IFERROR((C955-F955)/G955,""))</f>
        <v/>
      </c>
      <c r="I955" s="39">
        <f>IF(B955="","",IFERROR(INDEX('Animais'!$M$6:$M$1005,MATCH(B955,'Animais'!$A$6:$A$1005,0)),"Brinco não cadastrado"))</f>
        <v/>
      </c>
    </row>
    <row r="956">
      <c r="A956" s="31" t="n"/>
      <c r="B956" s="36" t="n"/>
      <c r="C956" s="38" t="n"/>
      <c r="D956" s="32" t="n"/>
      <c r="E956" s="43">
        <f>IF(OR(A956="",B956=""),"",SUMPRODUCT(MAX(($B$6:$B$2005=B956)*($A$6:$A$2005&lt;A956)*$A$6:$A$2005)))</f>
        <v/>
      </c>
      <c r="F956" s="41">
        <f>IF(OR(E956="",E956=0),"",IFERROR(AVERAGEIFS($C$6:$C$2005,$B$6:$B$2005,B956,$A$6:$A$2005,E956),""))</f>
        <v/>
      </c>
      <c r="G956" s="34">
        <f>IF(F956="","",A956-E956)</f>
        <v/>
      </c>
      <c r="H956" s="42">
        <f>IF(OR(F956="",C956=""),"",IFERROR((C956-F956)/G956,""))</f>
        <v/>
      </c>
      <c r="I956" s="39">
        <f>IF(B956="","",IFERROR(INDEX('Animais'!$M$6:$M$1005,MATCH(B956,'Animais'!$A$6:$A$1005,0)),"Brinco não cadastrado"))</f>
        <v/>
      </c>
    </row>
    <row r="957">
      <c r="A957" s="31" t="n"/>
      <c r="B957" s="36" t="n"/>
      <c r="C957" s="38" t="n"/>
      <c r="D957" s="32" t="n"/>
      <c r="E957" s="43">
        <f>IF(OR(A957="",B957=""),"",SUMPRODUCT(MAX(($B$6:$B$2005=B957)*($A$6:$A$2005&lt;A957)*$A$6:$A$2005)))</f>
        <v/>
      </c>
      <c r="F957" s="41">
        <f>IF(OR(E957="",E957=0),"",IFERROR(AVERAGEIFS($C$6:$C$2005,$B$6:$B$2005,B957,$A$6:$A$2005,E957),""))</f>
        <v/>
      </c>
      <c r="G957" s="34">
        <f>IF(F957="","",A957-E957)</f>
        <v/>
      </c>
      <c r="H957" s="42">
        <f>IF(OR(F957="",C957=""),"",IFERROR((C957-F957)/G957,""))</f>
        <v/>
      </c>
      <c r="I957" s="39">
        <f>IF(B957="","",IFERROR(INDEX('Animais'!$M$6:$M$1005,MATCH(B957,'Animais'!$A$6:$A$1005,0)),"Brinco não cadastrado"))</f>
        <v/>
      </c>
    </row>
    <row r="958">
      <c r="A958" s="31" t="n"/>
      <c r="B958" s="36" t="n"/>
      <c r="C958" s="38" t="n"/>
      <c r="D958" s="32" t="n"/>
      <c r="E958" s="43">
        <f>IF(OR(A958="",B958=""),"",SUMPRODUCT(MAX(($B$6:$B$2005=B958)*($A$6:$A$2005&lt;A958)*$A$6:$A$2005)))</f>
        <v/>
      </c>
      <c r="F958" s="41">
        <f>IF(OR(E958="",E958=0),"",IFERROR(AVERAGEIFS($C$6:$C$2005,$B$6:$B$2005,B958,$A$6:$A$2005,E958),""))</f>
        <v/>
      </c>
      <c r="G958" s="34">
        <f>IF(F958="","",A958-E958)</f>
        <v/>
      </c>
      <c r="H958" s="42">
        <f>IF(OR(F958="",C958=""),"",IFERROR((C958-F958)/G958,""))</f>
        <v/>
      </c>
      <c r="I958" s="39">
        <f>IF(B958="","",IFERROR(INDEX('Animais'!$M$6:$M$1005,MATCH(B958,'Animais'!$A$6:$A$1005,0)),"Brinco não cadastrado"))</f>
        <v/>
      </c>
    </row>
    <row r="959">
      <c r="A959" s="31" t="n"/>
      <c r="B959" s="36" t="n"/>
      <c r="C959" s="38" t="n"/>
      <c r="D959" s="32" t="n"/>
      <c r="E959" s="43">
        <f>IF(OR(A959="",B959=""),"",SUMPRODUCT(MAX(($B$6:$B$2005=B959)*($A$6:$A$2005&lt;A959)*$A$6:$A$2005)))</f>
        <v/>
      </c>
      <c r="F959" s="41">
        <f>IF(OR(E959="",E959=0),"",IFERROR(AVERAGEIFS($C$6:$C$2005,$B$6:$B$2005,B959,$A$6:$A$2005,E959),""))</f>
        <v/>
      </c>
      <c r="G959" s="34">
        <f>IF(F959="","",A959-E959)</f>
        <v/>
      </c>
      <c r="H959" s="42">
        <f>IF(OR(F959="",C959=""),"",IFERROR((C959-F959)/G959,""))</f>
        <v/>
      </c>
      <c r="I959" s="39">
        <f>IF(B959="","",IFERROR(INDEX('Animais'!$M$6:$M$1005,MATCH(B959,'Animais'!$A$6:$A$1005,0)),"Brinco não cadastrado"))</f>
        <v/>
      </c>
    </row>
    <row r="960">
      <c r="A960" s="31" t="n"/>
      <c r="B960" s="36" t="n"/>
      <c r="C960" s="38" t="n"/>
      <c r="D960" s="32" t="n"/>
      <c r="E960" s="43">
        <f>IF(OR(A960="",B960=""),"",SUMPRODUCT(MAX(($B$6:$B$2005=B960)*($A$6:$A$2005&lt;A960)*$A$6:$A$2005)))</f>
        <v/>
      </c>
      <c r="F960" s="41">
        <f>IF(OR(E960="",E960=0),"",IFERROR(AVERAGEIFS($C$6:$C$2005,$B$6:$B$2005,B960,$A$6:$A$2005,E960),""))</f>
        <v/>
      </c>
      <c r="G960" s="34">
        <f>IF(F960="","",A960-E960)</f>
        <v/>
      </c>
      <c r="H960" s="42">
        <f>IF(OR(F960="",C960=""),"",IFERROR((C960-F960)/G960,""))</f>
        <v/>
      </c>
      <c r="I960" s="39">
        <f>IF(B960="","",IFERROR(INDEX('Animais'!$M$6:$M$1005,MATCH(B960,'Animais'!$A$6:$A$1005,0)),"Brinco não cadastrado"))</f>
        <v/>
      </c>
    </row>
    <row r="961">
      <c r="A961" s="31" t="n"/>
      <c r="B961" s="36" t="n"/>
      <c r="C961" s="38" t="n"/>
      <c r="D961" s="32" t="n"/>
      <c r="E961" s="43">
        <f>IF(OR(A961="",B961=""),"",SUMPRODUCT(MAX(($B$6:$B$2005=B961)*($A$6:$A$2005&lt;A961)*$A$6:$A$2005)))</f>
        <v/>
      </c>
      <c r="F961" s="41">
        <f>IF(OR(E961="",E961=0),"",IFERROR(AVERAGEIFS($C$6:$C$2005,$B$6:$B$2005,B961,$A$6:$A$2005,E961),""))</f>
        <v/>
      </c>
      <c r="G961" s="34">
        <f>IF(F961="","",A961-E961)</f>
        <v/>
      </c>
      <c r="H961" s="42">
        <f>IF(OR(F961="",C961=""),"",IFERROR((C961-F961)/G961,""))</f>
        <v/>
      </c>
      <c r="I961" s="39">
        <f>IF(B961="","",IFERROR(INDEX('Animais'!$M$6:$M$1005,MATCH(B961,'Animais'!$A$6:$A$1005,0)),"Brinco não cadastrado"))</f>
        <v/>
      </c>
    </row>
    <row r="962">
      <c r="A962" s="31" t="n"/>
      <c r="B962" s="36" t="n"/>
      <c r="C962" s="38" t="n"/>
      <c r="D962" s="32" t="n"/>
      <c r="E962" s="43">
        <f>IF(OR(A962="",B962=""),"",SUMPRODUCT(MAX(($B$6:$B$2005=B962)*($A$6:$A$2005&lt;A962)*$A$6:$A$2005)))</f>
        <v/>
      </c>
      <c r="F962" s="41">
        <f>IF(OR(E962="",E962=0),"",IFERROR(AVERAGEIFS($C$6:$C$2005,$B$6:$B$2005,B962,$A$6:$A$2005,E962),""))</f>
        <v/>
      </c>
      <c r="G962" s="34">
        <f>IF(F962="","",A962-E962)</f>
        <v/>
      </c>
      <c r="H962" s="42">
        <f>IF(OR(F962="",C962=""),"",IFERROR((C962-F962)/G962,""))</f>
        <v/>
      </c>
      <c r="I962" s="39">
        <f>IF(B962="","",IFERROR(INDEX('Animais'!$M$6:$M$1005,MATCH(B962,'Animais'!$A$6:$A$1005,0)),"Brinco não cadastrado"))</f>
        <v/>
      </c>
    </row>
    <row r="963">
      <c r="A963" s="31" t="n"/>
      <c r="B963" s="36" t="n"/>
      <c r="C963" s="38" t="n"/>
      <c r="D963" s="32" t="n"/>
      <c r="E963" s="43">
        <f>IF(OR(A963="",B963=""),"",SUMPRODUCT(MAX(($B$6:$B$2005=B963)*($A$6:$A$2005&lt;A963)*$A$6:$A$2005)))</f>
        <v/>
      </c>
      <c r="F963" s="41">
        <f>IF(OR(E963="",E963=0),"",IFERROR(AVERAGEIFS($C$6:$C$2005,$B$6:$B$2005,B963,$A$6:$A$2005,E963),""))</f>
        <v/>
      </c>
      <c r="G963" s="34">
        <f>IF(F963="","",A963-E963)</f>
        <v/>
      </c>
      <c r="H963" s="42">
        <f>IF(OR(F963="",C963=""),"",IFERROR((C963-F963)/G963,""))</f>
        <v/>
      </c>
      <c r="I963" s="39">
        <f>IF(B963="","",IFERROR(INDEX('Animais'!$M$6:$M$1005,MATCH(B963,'Animais'!$A$6:$A$1005,0)),"Brinco não cadastrado"))</f>
        <v/>
      </c>
    </row>
    <row r="964">
      <c r="A964" s="31" t="n"/>
      <c r="B964" s="36" t="n"/>
      <c r="C964" s="38" t="n"/>
      <c r="D964" s="32" t="n"/>
      <c r="E964" s="43">
        <f>IF(OR(A964="",B964=""),"",SUMPRODUCT(MAX(($B$6:$B$2005=B964)*($A$6:$A$2005&lt;A964)*$A$6:$A$2005)))</f>
        <v/>
      </c>
      <c r="F964" s="41">
        <f>IF(OR(E964="",E964=0),"",IFERROR(AVERAGEIFS($C$6:$C$2005,$B$6:$B$2005,B964,$A$6:$A$2005,E964),""))</f>
        <v/>
      </c>
      <c r="G964" s="34">
        <f>IF(F964="","",A964-E964)</f>
        <v/>
      </c>
      <c r="H964" s="42">
        <f>IF(OR(F964="",C964=""),"",IFERROR((C964-F964)/G964,""))</f>
        <v/>
      </c>
      <c r="I964" s="39">
        <f>IF(B964="","",IFERROR(INDEX('Animais'!$M$6:$M$1005,MATCH(B964,'Animais'!$A$6:$A$1005,0)),"Brinco não cadastrado"))</f>
        <v/>
      </c>
    </row>
    <row r="965">
      <c r="A965" s="31" t="n"/>
      <c r="B965" s="36" t="n"/>
      <c r="C965" s="38" t="n"/>
      <c r="D965" s="32" t="n"/>
      <c r="E965" s="43">
        <f>IF(OR(A965="",B965=""),"",SUMPRODUCT(MAX(($B$6:$B$2005=B965)*($A$6:$A$2005&lt;A965)*$A$6:$A$2005)))</f>
        <v/>
      </c>
      <c r="F965" s="41">
        <f>IF(OR(E965="",E965=0),"",IFERROR(AVERAGEIFS($C$6:$C$2005,$B$6:$B$2005,B965,$A$6:$A$2005,E965),""))</f>
        <v/>
      </c>
      <c r="G965" s="34">
        <f>IF(F965="","",A965-E965)</f>
        <v/>
      </c>
      <c r="H965" s="42">
        <f>IF(OR(F965="",C965=""),"",IFERROR((C965-F965)/G965,""))</f>
        <v/>
      </c>
      <c r="I965" s="39">
        <f>IF(B965="","",IFERROR(INDEX('Animais'!$M$6:$M$1005,MATCH(B965,'Animais'!$A$6:$A$1005,0)),"Brinco não cadastrado"))</f>
        <v/>
      </c>
    </row>
    <row r="966">
      <c r="A966" s="31" t="n"/>
      <c r="B966" s="36" t="n"/>
      <c r="C966" s="38" t="n"/>
      <c r="D966" s="32" t="n"/>
      <c r="E966" s="43">
        <f>IF(OR(A966="",B966=""),"",SUMPRODUCT(MAX(($B$6:$B$2005=B966)*($A$6:$A$2005&lt;A966)*$A$6:$A$2005)))</f>
        <v/>
      </c>
      <c r="F966" s="41">
        <f>IF(OR(E966="",E966=0),"",IFERROR(AVERAGEIFS($C$6:$C$2005,$B$6:$B$2005,B966,$A$6:$A$2005,E966),""))</f>
        <v/>
      </c>
      <c r="G966" s="34">
        <f>IF(F966="","",A966-E966)</f>
        <v/>
      </c>
      <c r="H966" s="42">
        <f>IF(OR(F966="",C966=""),"",IFERROR((C966-F966)/G966,""))</f>
        <v/>
      </c>
      <c r="I966" s="39">
        <f>IF(B966="","",IFERROR(INDEX('Animais'!$M$6:$M$1005,MATCH(B966,'Animais'!$A$6:$A$1005,0)),"Brinco não cadastrado"))</f>
        <v/>
      </c>
    </row>
    <row r="967">
      <c r="A967" s="31" t="n"/>
      <c r="B967" s="36" t="n"/>
      <c r="C967" s="38" t="n"/>
      <c r="D967" s="32" t="n"/>
      <c r="E967" s="43">
        <f>IF(OR(A967="",B967=""),"",SUMPRODUCT(MAX(($B$6:$B$2005=B967)*($A$6:$A$2005&lt;A967)*$A$6:$A$2005)))</f>
        <v/>
      </c>
      <c r="F967" s="41">
        <f>IF(OR(E967="",E967=0),"",IFERROR(AVERAGEIFS($C$6:$C$2005,$B$6:$B$2005,B967,$A$6:$A$2005,E967),""))</f>
        <v/>
      </c>
      <c r="G967" s="34">
        <f>IF(F967="","",A967-E967)</f>
        <v/>
      </c>
      <c r="H967" s="42">
        <f>IF(OR(F967="",C967=""),"",IFERROR((C967-F967)/G967,""))</f>
        <v/>
      </c>
      <c r="I967" s="39">
        <f>IF(B967="","",IFERROR(INDEX('Animais'!$M$6:$M$1005,MATCH(B967,'Animais'!$A$6:$A$1005,0)),"Brinco não cadastrado"))</f>
        <v/>
      </c>
    </row>
    <row r="968">
      <c r="A968" s="31" t="n"/>
      <c r="B968" s="36" t="n"/>
      <c r="C968" s="38" t="n"/>
      <c r="D968" s="32" t="n"/>
      <c r="E968" s="43">
        <f>IF(OR(A968="",B968=""),"",SUMPRODUCT(MAX(($B$6:$B$2005=B968)*($A$6:$A$2005&lt;A968)*$A$6:$A$2005)))</f>
        <v/>
      </c>
      <c r="F968" s="41">
        <f>IF(OR(E968="",E968=0),"",IFERROR(AVERAGEIFS($C$6:$C$2005,$B$6:$B$2005,B968,$A$6:$A$2005,E968),""))</f>
        <v/>
      </c>
      <c r="G968" s="34">
        <f>IF(F968="","",A968-E968)</f>
        <v/>
      </c>
      <c r="H968" s="42">
        <f>IF(OR(F968="",C968=""),"",IFERROR((C968-F968)/G968,""))</f>
        <v/>
      </c>
      <c r="I968" s="39">
        <f>IF(B968="","",IFERROR(INDEX('Animais'!$M$6:$M$1005,MATCH(B968,'Animais'!$A$6:$A$1005,0)),"Brinco não cadastrado"))</f>
        <v/>
      </c>
    </row>
    <row r="969">
      <c r="A969" s="31" t="n"/>
      <c r="B969" s="36" t="n"/>
      <c r="C969" s="38" t="n"/>
      <c r="D969" s="32" t="n"/>
      <c r="E969" s="43">
        <f>IF(OR(A969="",B969=""),"",SUMPRODUCT(MAX(($B$6:$B$2005=B969)*($A$6:$A$2005&lt;A969)*$A$6:$A$2005)))</f>
        <v/>
      </c>
      <c r="F969" s="41">
        <f>IF(OR(E969="",E969=0),"",IFERROR(AVERAGEIFS($C$6:$C$2005,$B$6:$B$2005,B969,$A$6:$A$2005,E969),""))</f>
        <v/>
      </c>
      <c r="G969" s="34">
        <f>IF(F969="","",A969-E969)</f>
        <v/>
      </c>
      <c r="H969" s="42">
        <f>IF(OR(F969="",C969=""),"",IFERROR((C969-F969)/G969,""))</f>
        <v/>
      </c>
      <c r="I969" s="39">
        <f>IF(B969="","",IFERROR(INDEX('Animais'!$M$6:$M$1005,MATCH(B969,'Animais'!$A$6:$A$1005,0)),"Brinco não cadastrado"))</f>
        <v/>
      </c>
    </row>
    <row r="970">
      <c r="A970" s="31" t="n"/>
      <c r="B970" s="36" t="n"/>
      <c r="C970" s="38" t="n"/>
      <c r="D970" s="32" t="n"/>
      <c r="E970" s="43">
        <f>IF(OR(A970="",B970=""),"",SUMPRODUCT(MAX(($B$6:$B$2005=B970)*($A$6:$A$2005&lt;A970)*$A$6:$A$2005)))</f>
        <v/>
      </c>
      <c r="F970" s="41">
        <f>IF(OR(E970="",E970=0),"",IFERROR(AVERAGEIFS($C$6:$C$2005,$B$6:$B$2005,B970,$A$6:$A$2005,E970),""))</f>
        <v/>
      </c>
      <c r="G970" s="34">
        <f>IF(F970="","",A970-E970)</f>
        <v/>
      </c>
      <c r="H970" s="42">
        <f>IF(OR(F970="",C970=""),"",IFERROR((C970-F970)/G970,""))</f>
        <v/>
      </c>
      <c r="I970" s="39">
        <f>IF(B970="","",IFERROR(INDEX('Animais'!$M$6:$M$1005,MATCH(B970,'Animais'!$A$6:$A$1005,0)),"Brinco não cadastrado"))</f>
        <v/>
      </c>
    </row>
    <row r="971">
      <c r="A971" s="31" t="n"/>
      <c r="B971" s="36" t="n"/>
      <c r="C971" s="38" t="n"/>
      <c r="D971" s="32" t="n"/>
      <c r="E971" s="43">
        <f>IF(OR(A971="",B971=""),"",SUMPRODUCT(MAX(($B$6:$B$2005=B971)*($A$6:$A$2005&lt;A971)*$A$6:$A$2005)))</f>
        <v/>
      </c>
      <c r="F971" s="41">
        <f>IF(OR(E971="",E971=0),"",IFERROR(AVERAGEIFS($C$6:$C$2005,$B$6:$B$2005,B971,$A$6:$A$2005,E971),""))</f>
        <v/>
      </c>
      <c r="G971" s="34">
        <f>IF(F971="","",A971-E971)</f>
        <v/>
      </c>
      <c r="H971" s="42">
        <f>IF(OR(F971="",C971=""),"",IFERROR((C971-F971)/G971,""))</f>
        <v/>
      </c>
      <c r="I971" s="39">
        <f>IF(B971="","",IFERROR(INDEX('Animais'!$M$6:$M$1005,MATCH(B971,'Animais'!$A$6:$A$1005,0)),"Brinco não cadastrado"))</f>
        <v/>
      </c>
    </row>
    <row r="972">
      <c r="A972" s="31" t="n"/>
      <c r="B972" s="36" t="n"/>
      <c r="C972" s="38" t="n"/>
      <c r="D972" s="32" t="n"/>
      <c r="E972" s="43">
        <f>IF(OR(A972="",B972=""),"",SUMPRODUCT(MAX(($B$6:$B$2005=B972)*($A$6:$A$2005&lt;A972)*$A$6:$A$2005)))</f>
        <v/>
      </c>
      <c r="F972" s="41">
        <f>IF(OR(E972="",E972=0),"",IFERROR(AVERAGEIFS($C$6:$C$2005,$B$6:$B$2005,B972,$A$6:$A$2005,E972),""))</f>
        <v/>
      </c>
      <c r="G972" s="34">
        <f>IF(F972="","",A972-E972)</f>
        <v/>
      </c>
      <c r="H972" s="42">
        <f>IF(OR(F972="",C972=""),"",IFERROR((C972-F972)/G972,""))</f>
        <v/>
      </c>
      <c r="I972" s="39">
        <f>IF(B972="","",IFERROR(INDEX('Animais'!$M$6:$M$1005,MATCH(B972,'Animais'!$A$6:$A$1005,0)),"Brinco não cadastrado"))</f>
        <v/>
      </c>
    </row>
    <row r="973">
      <c r="A973" s="31" t="n"/>
      <c r="B973" s="36" t="n"/>
      <c r="C973" s="38" t="n"/>
      <c r="D973" s="32" t="n"/>
      <c r="E973" s="43">
        <f>IF(OR(A973="",B973=""),"",SUMPRODUCT(MAX(($B$6:$B$2005=B973)*($A$6:$A$2005&lt;A973)*$A$6:$A$2005)))</f>
        <v/>
      </c>
      <c r="F973" s="41">
        <f>IF(OR(E973="",E973=0),"",IFERROR(AVERAGEIFS($C$6:$C$2005,$B$6:$B$2005,B973,$A$6:$A$2005,E973),""))</f>
        <v/>
      </c>
      <c r="G973" s="34">
        <f>IF(F973="","",A973-E973)</f>
        <v/>
      </c>
      <c r="H973" s="42">
        <f>IF(OR(F973="",C973=""),"",IFERROR((C973-F973)/G973,""))</f>
        <v/>
      </c>
      <c r="I973" s="39">
        <f>IF(B973="","",IFERROR(INDEX('Animais'!$M$6:$M$1005,MATCH(B973,'Animais'!$A$6:$A$1005,0)),"Brinco não cadastrado"))</f>
        <v/>
      </c>
    </row>
    <row r="974">
      <c r="A974" s="31" t="n"/>
      <c r="B974" s="36" t="n"/>
      <c r="C974" s="38" t="n"/>
      <c r="D974" s="32" t="n"/>
      <c r="E974" s="43">
        <f>IF(OR(A974="",B974=""),"",SUMPRODUCT(MAX(($B$6:$B$2005=B974)*($A$6:$A$2005&lt;A974)*$A$6:$A$2005)))</f>
        <v/>
      </c>
      <c r="F974" s="41">
        <f>IF(OR(E974="",E974=0),"",IFERROR(AVERAGEIFS($C$6:$C$2005,$B$6:$B$2005,B974,$A$6:$A$2005,E974),""))</f>
        <v/>
      </c>
      <c r="G974" s="34">
        <f>IF(F974="","",A974-E974)</f>
        <v/>
      </c>
      <c r="H974" s="42">
        <f>IF(OR(F974="",C974=""),"",IFERROR((C974-F974)/G974,""))</f>
        <v/>
      </c>
      <c r="I974" s="39">
        <f>IF(B974="","",IFERROR(INDEX('Animais'!$M$6:$M$1005,MATCH(B974,'Animais'!$A$6:$A$1005,0)),"Brinco não cadastrado"))</f>
        <v/>
      </c>
    </row>
    <row r="975">
      <c r="A975" s="31" t="n"/>
      <c r="B975" s="36" t="n"/>
      <c r="C975" s="38" t="n"/>
      <c r="D975" s="32" t="n"/>
      <c r="E975" s="43">
        <f>IF(OR(A975="",B975=""),"",SUMPRODUCT(MAX(($B$6:$B$2005=B975)*($A$6:$A$2005&lt;A975)*$A$6:$A$2005)))</f>
        <v/>
      </c>
      <c r="F975" s="41">
        <f>IF(OR(E975="",E975=0),"",IFERROR(AVERAGEIFS($C$6:$C$2005,$B$6:$B$2005,B975,$A$6:$A$2005,E975),""))</f>
        <v/>
      </c>
      <c r="G975" s="34">
        <f>IF(F975="","",A975-E975)</f>
        <v/>
      </c>
      <c r="H975" s="42">
        <f>IF(OR(F975="",C975=""),"",IFERROR((C975-F975)/G975,""))</f>
        <v/>
      </c>
      <c r="I975" s="39">
        <f>IF(B975="","",IFERROR(INDEX('Animais'!$M$6:$M$1005,MATCH(B975,'Animais'!$A$6:$A$1005,0)),"Brinco não cadastrado"))</f>
        <v/>
      </c>
    </row>
    <row r="976">
      <c r="A976" s="31" t="n"/>
      <c r="B976" s="36" t="n"/>
      <c r="C976" s="38" t="n"/>
      <c r="D976" s="32" t="n"/>
      <c r="E976" s="43">
        <f>IF(OR(A976="",B976=""),"",SUMPRODUCT(MAX(($B$6:$B$2005=B976)*($A$6:$A$2005&lt;A976)*$A$6:$A$2005)))</f>
        <v/>
      </c>
      <c r="F976" s="41">
        <f>IF(OR(E976="",E976=0),"",IFERROR(AVERAGEIFS($C$6:$C$2005,$B$6:$B$2005,B976,$A$6:$A$2005,E976),""))</f>
        <v/>
      </c>
      <c r="G976" s="34">
        <f>IF(F976="","",A976-E976)</f>
        <v/>
      </c>
      <c r="H976" s="42">
        <f>IF(OR(F976="",C976=""),"",IFERROR((C976-F976)/G976,""))</f>
        <v/>
      </c>
      <c r="I976" s="39">
        <f>IF(B976="","",IFERROR(INDEX('Animais'!$M$6:$M$1005,MATCH(B976,'Animais'!$A$6:$A$1005,0)),"Brinco não cadastrado"))</f>
        <v/>
      </c>
    </row>
    <row r="977">
      <c r="A977" s="31" t="n"/>
      <c r="B977" s="36" t="n"/>
      <c r="C977" s="38" t="n"/>
      <c r="D977" s="32" t="n"/>
      <c r="E977" s="43">
        <f>IF(OR(A977="",B977=""),"",SUMPRODUCT(MAX(($B$6:$B$2005=B977)*($A$6:$A$2005&lt;A977)*$A$6:$A$2005)))</f>
        <v/>
      </c>
      <c r="F977" s="41">
        <f>IF(OR(E977="",E977=0),"",IFERROR(AVERAGEIFS($C$6:$C$2005,$B$6:$B$2005,B977,$A$6:$A$2005,E977),""))</f>
        <v/>
      </c>
      <c r="G977" s="34">
        <f>IF(F977="","",A977-E977)</f>
        <v/>
      </c>
      <c r="H977" s="42">
        <f>IF(OR(F977="",C977=""),"",IFERROR((C977-F977)/G977,""))</f>
        <v/>
      </c>
      <c r="I977" s="39">
        <f>IF(B977="","",IFERROR(INDEX('Animais'!$M$6:$M$1005,MATCH(B977,'Animais'!$A$6:$A$1005,0)),"Brinco não cadastrado"))</f>
        <v/>
      </c>
    </row>
    <row r="978">
      <c r="A978" s="31" t="n"/>
      <c r="B978" s="36" t="n"/>
      <c r="C978" s="38" t="n"/>
      <c r="D978" s="32" t="n"/>
      <c r="E978" s="43">
        <f>IF(OR(A978="",B978=""),"",SUMPRODUCT(MAX(($B$6:$B$2005=B978)*($A$6:$A$2005&lt;A978)*$A$6:$A$2005)))</f>
        <v/>
      </c>
      <c r="F978" s="41">
        <f>IF(OR(E978="",E978=0),"",IFERROR(AVERAGEIFS($C$6:$C$2005,$B$6:$B$2005,B978,$A$6:$A$2005,E978),""))</f>
        <v/>
      </c>
      <c r="G978" s="34">
        <f>IF(F978="","",A978-E978)</f>
        <v/>
      </c>
      <c r="H978" s="42">
        <f>IF(OR(F978="",C978=""),"",IFERROR((C978-F978)/G978,""))</f>
        <v/>
      </c>
      <c r="I978" s="39">
        <f>IF(B978="","",IFERROR(INDEX('Animais'!$M$6:$M$1005,MATCH(B978,'Animais'!$A$6:$A$1005,0)),"Brinco não cadastrado"))</f>
        <v/>
      </c>
    </row>
    <row r="979">
      <c r="A979" s="31" t="n"/>
      <c r="B979" s="36" t="n"/>
      <c r="C979" s="38" t="n"/>
      <c r="D979" s="32" t="n"/>
      <c r="E979" s="43">
        <f>IF(OR(A979="",B979=""),"",SUMPRODUCT(MAX(($B$6:$B$2005=B979)*($A$6:$A$2005&lt;A979)*$A$6:$A$2005)))</f>
        <v/>
      </c>
      <c r="F979" s="41">
        <f>IF(OR(E979="",E979=0),"",IFERROR(AVERAGEIFS($C$6:$C$2005,$B$6:$B$2005,B979,$A$6:$A$2005,E979),""))</f>
        <v/>
      </c>
      <c r="G979" s="34">
        <f>IF(F979="","",A979-E979)</f>
        <v/>
      </c>
      <c r="H979" s="42">
        <f>IF(OR(F979="",C979=""),"",IFERROR((C979-F979)/G979,""))</f>
        <v/>
      </c>
      <c r="I979" s="39">
        <f>IF(B979="","",IFERROR(INDEX('Animais'!$M$6:$M$1005,MATCH(B979,'Animais'!$A$6:$A$1005,0)),"Brinco não cadastrado"))</f>
        <v/>
      </c>
    </row>
    <row r="980">
      <c r="A980" s="31" t="n"/>
      <c r="B980" s="36" t="n"/>
      <c r="C980" s="38" t="n"/>
      <c r="D980" s="32" t="n"/>
      <c r="E980" s="43">
        <f>IF(OR(A980="",B980=""),"",SUMPRODUCT(MAX(($B$6:$B$2005=B980)*($A$6:$A$2005&lt;A980)*$A$6:$A$2005)))</f>
        <v/>
      </c>
      <c r="F980" s="41">
        <f>IF(OR(E980="",E980=0),"",IFERROR(AVERAGEIFS($C$6:$C$2005,$B$6:$B$2005,B980,$A$6:$A$2005,E980),""))</f>
        <v/>
      </c>
      <c r="G980" s="34">
        <f>IF(F980="","",A980-E980)</f>
        <v/>
      </c>
      <c r="H980" s="42">
        <f>IF(OR(F980="",C980=""),"",IFERROR((C980-F980)/G980,""))</f>
        <v/>
      </c>
      <c r="I980" s="39">
        <f>IF(B980="","",IFERROR(INDEX('Animais'!$M$6:$M$1005,MATCH(B980,'Animais'!$A$6:$A$1005,0)),"Brinco não cadastrado"))</f>
        <v/>
      </c>
    </row>
    <row r="981">
      <c r="A981" s="31" t="n"/>
      <c r="B981" s="36" t="n"/>
      <c r="C981" s="38" t="n"/>
      <c r="D981" s="32" t="n"/>
      <c r="E981" s="43">
        <f>IF(OR(A981="",B981=""),"",SUMPRODUCT(MAX(($B$6:$B$2005=B981)*($A$6:$A$2005&lt;A981)*$A$6:$A$2005)))</f>
        <v/>
      </c>
      <c r="F981" s="41">
        <f>IF(OR(E981="",E981=0),"",IFERROR(AVERAGEIFS($C$6:$C$2005,$B$6:$B$2005,B981,$A$6:$A$2005,E981),""))</f>
        <v/>
      </c>
      <c r="G981" s="34">
        <f>IF(F981="","",A981-E981)</f>
        <v/>
      </c>
      <c r="H981" s="42">
        <f>IF(OR(F981="",C981=""),"",IFERROR((C981-F981)/G981,""))</f>
        <v/>
      </c>
      <c r="I981" s="39">
        <f>IF(B981="","",IFERROR(INDEX('Animais'!$M$6:$M$1005,MATCH(B981,'Animais'!$A$6:$A$1005,0)),"Brinco não cadastrado"))</f>
        <v/>
      </c>
    </row>
    <row r="982">
      <c r="A982" s="31" t="n"/>
      <c r="B982" s="36" t="n"/>
      <c r="C982" s="38" t="n"/>
      <c r="D982" s="32" t="n"/>
      <c r="E982" s="43">
        <f>IF(OR(A982="",B982=""),"",SUMPRODUCT(MAX(($B$6:$B$2005=B982)*($A$6:$A$2005&lt;A982)*$A$6:$A$2005)))</f>
        <v/>
      </c>
      <c r="F982" s="41">
        <f>IF(OR(E982="",E982=0),"",IFERROR(AVERAGEIFS($C$6:$C$2005,$B$6:$B$2005,B982,$A$6:$A$2005,E982),""))</f>
        <v/>
      </c>
      <c r="G982" s="34">
        <f>IF(F982="","",A982-E982)</f>
        <v/>
      </c>
      <c r="H982" s="42">
        <f>IF(OR(F982="",C982=""),"",IFERROR((C982-F982)/G982,""))</f>
        <v/>
      </c>
      <c r="I982" s="39">
        <f>IF(B982="","",IFERROR(INDEX('Animais'!$M$6:$M$1005,MATCH(B982,'Animais'!$A$6:$A$1005,0)),"Brinco não cadastrado"))</f>
        <v/>
      </c>
    </row>
    <row r="983">
      <c r="A983" s="31" t="n"/>
      <c r="B983" s="36" t="n"/>
      <c r="C983" s="38" t="n"/>
      <c r="D983" s="32" t="n"/>
      <c r="E983" s="43">
        <f>IF(OR(A983="",B983=""),"",SUMPRODUCT(MAX(($B$6:$B$2005=B983)*($A$6:$A$2005&lt;A983)*$A$6:$A$2005)))</f>
        <v/>
      </c>
      <c r="F983" s="41">
        <f>IF(OR(E983="",E983=0),"",IFERROR(AVERAGEIFS($C$6:$C$2005,$B$6:$B$2005,B983,$A$6:$A$2005,E983),""))</f>
        <v/>
      </c>
      <c r="G983" s="34">
        <f>IF(F983="","",A983-E983)</f>
        <v/>
      </c>
      <c r="H983" s="42">
        <f>IF(OR(F983="",C983=""),"",IFERROR((C983-F983)/G983,""))</f>
        <v/>
      </c>
      <c r="I983" s="39">
        <f>IF(B983="","",IFERROR(INDEX('Animais'!$M$6:$M$1005,MATCH(B983,'Animais'!$A$6:$A$1005,0)),"Brinco não cadastrado"))</f>
        <v/>
      </c>
    </row>
    <row r="984">
      <c r="A984" s="31" t="n"/>
      <c r="B984" s="36" t="n"/>
      <c r="C984" s="38" t="n"/>
      <c r="D984" s="32" t="n"/>
      <c r="E984" s="43">
        <f>IF(OR(A984="",B984=""),"",SUMPRODUCT(MAX(($B$6:$B$2005=B984)*($A$6:$A$2005&lt;A984)*$A$6:$A$2005)))</f>
        <v/>
      </c>
      <c r="F984" s="41">
        <f>IF(OR(E984="",E984=0),"",IFERROR(AVERAGEIFS($C$6:$C$2005,$B$6:$B$2005,B984,$A$6:$A$2005,E984),""))</f>
        <v/>
      </c>
      <c r="G984" s="34">
        <f>IF(F984="","",A984-E984)</f>
        <v/>
      </c>
      <c r="H984" s="42">
        <f>IF(OR(F984="",C984=""),"",IFERROR((C984-F984)/G984,""))</f>
        <v/>
      </c>
      <c r="I984" s="39">
        <f>IF(B984="","",IFERROR(INDEX('Animais'!$M$6:$M$1005,MATCH(B984,'Animais'!$A$6:$A$1005,0)),"Brinco não cadastrado"))</f>
        <v/>
      </c>
    </row>
    <row r="985">
      <c r="A985" s="31" t="n"/>
      <c r="B985" s="36" t="n"/>
      <c r="C985" s="38" t="n"/>
      <c r="D985" s="32" t="n"/>
      <c r="E985" s="43">
        <f>IF(OR(A985="",B985=""),"",SUMPRODUCT(MAX(($B$6:$B$2005=B985)*($A$6:$A$2005&lt;A985)*$A$6:$A$2005)))</f>
        <v/>
      </c>
      <c r="F985" s="41">
        <f>IF(OR(E985="",E985=0),"",IFERROR(AVERAGEIFS($C$6:$C$2005,$B$6:$B$2005,B985,$A$6:$A$2005,E985),""))</f>
        <v/>
      </c>
      <c r="G985" s="34">
        <f>IF(F985="","",A985-E985)</f>
        <v/>
      </c>
      <c r="H985" s="42">
        <f>IF(OR(F985="",C985=""),"",IFERROR((C985-F985)/G985,""))</f>
        <v/>
      </c>
      <c r="I985" s="39">
        <f>IF(B985="","",IFERROR(INDEX('Animais'!$M$6:$M$1005,MATCH(B985,'Animais'!$A$6:$A$1005,0)),"Brinco não cadastrado"))</f>
        <v/>
      </c>
    </row>
    <row r="986">
      <c r="A986" s="31" t="n"/>
      <c r="B986" s="36" t="n"/>
      <c r="C986" s="38" t="n"/>
      <c r="D986" s="32" t="n"/>
      <c r="E986" s="43">
        <f>IF(OR(A986="",B986=""),"",SUMPRODUCT(MAX(($B$6:$B$2005=B986)*($A$6:$A$2005&lt;A986)*$A$6:$A$2005)))</f>
        <v/>
      </c>
      <c r="F986" s="41">
        <f>IF(OR(E986="",E986=0),"",IFERROR(AVERAGEIFS($C$6:$C$2005,$B$6:$B$2005,B986,$A$6:$A$2005,E986),""))</f>
        <v/>
      </c>
      <c r="G986" s="34">
        <f>IF(F986="","",A986-E986)</f>
        <v/>
      </c>
      <c r="H986" s="42">
        <f>IF(OR(F986="",C986=""),"",IFERROR((C986-F986)/G986,""))</f>
        <v/>
      </c>
      <c r="I986" s="39">
        <f>IF(B986="","",IFERROR(INDEX('Animais'!$M$6:$M$1005,MATCH(B986,'Animais'!$A$6:$A$1005,0)),"Brinco não cadastrado"))</f>
        <v/>
      </c>
    </row>
    <row r="987">
      <c r="A987" s="31" t="n"/>
      <c r="B987" s="36" t="n"/>
      <c r="C987" s="38" t="n"/>
      <c r="D987" s="32" t="n"/>
      <c r="E987" s="43">
        <f>IF(OR(A987="",B987=""),"",SUMPRODUCT(MAX(($B$6:$B$2005=B987)*($A$6:$A$2005&lt;A987)*$A$6:$A$2005)))</f>
        <v/>
      </c>
      <c r="F987" s="41">
        <f>IF(OR(E987="",E987=0),"",IFERROR(AVERAGEIFS($C$6:$C$2005,$B$6:$B$2005,B987,$A$6:$A$2005,E987),""))</f>
        <v/>
      </c>
      <c r="G987" s="34">
        <f>IF(F987="","",A987-E987)</f>
        <v/>
      </c>
      <c r="H987" s="42">
        <f>IF(OR(F987="",C987=""),"",IFERROR((C987-F987)/G987,""))</f>
        <v/>
      </c>
      <c r="I987" s="39">
        <f>IF(B987="","",IFERROR(INDEX('Animais'!$M$6:$M$1005,MATCH(B987,'Animais'!$A$6:$A$1005,0)),"Brinco não cadastrado"))</f>
        <v/>
      </c>
    </row>
    <row r="988">
      <c r="A988" s="31" t="n"/>
      <c r="B988" s="36" t="n"/>
      <c r="C988" s="38" t="n"/>
      <c r="D988" s="32" t="n"/>
      <c r="E988" s="43">
        <f>IF(OR(A988="",B988=""),"",SUMPRODUCT(MAX(($B$6:$B$2005=B988)*($A$6:$A$2005&lt;A988)*$A$6:$A$2005)))</f>
        <v/>
      </c>
      <c r="F988" s="41">
        <f>IF(OR(E988="",E988=0),"",IFERROR(AVERAGEIFS($C$6:$C$2005,$B$6:$B$2005,B988,$A$6:$A$2005,E988),""))</f>
        <v/>
      </c>
      <c r="G988" s="34">
        <f>IF(F988="","",A988-E988)</f>
        <v/>
      </c>
      <c r="H988" s="42">
        <f>IF(OR(F988="",C988=""),"",IFERROR((C988-F988)/G988,""))</f>
        <v/>
      </c>
      <c r="I988" s="39">
        <f>IF(B988="","",IFERROR(INDEX('Animais'!$M$6:$M$1005,MATCH(B988,'Animais'!$A$6:$A$1005,0)),"Brinco não cadastrado"))</f>
        <v/>
      </c>
    </row>
    <row r="989">
      <c r="A989" s="31" t="n"/>
      <c r="B989" s="36" t="n"/>
      <c r="C989" s="38" t="n"/>
      <c r="D989" s="32" t="n"/>
      <c r="E989" s="43">
        <f>IF(OR(A989="",B989=""),"",SUMPRODUCT(MAX(($B$6:$B$2005=B989)*($A$6:$A$2005&lt;A989)*$A$6:$A$2005)))</f>
        <v/>
      </c>
      <c r="F989" s="41">
        <f>IF(OR(E989="",E989=0),"",IFERROR(AVERAGEIFS($C$6:$C$2005,$B$6:$B$2005,B989,$A$6:$A$2005,E989),""))</f>
        <v/>
      </c>
      <c r="G989" s="34">
        <f>IF(F989="","",A989-E989)</f>
        <v/>
      </c>
      <c r="H989" s="42">
        <f>IF(OR(F989="",C989=""),"",IFERROR((C989-F989)/G989,""))</f>
        <v/>
      </c>
      <c r="I989" s="39">
        <f>IF(B989="","",IFERROR(INDEX('Animais'!$M$6:$M$1005,MATCH(B989,'Animais'!$A$6:$A$1005,0)),"Brinco não cadastrado"))</f>
        <v/>
      </c>
    </row>
    <row r="990">
      <c r="A990" s="31" t="n"/>
      <c r="B990" s="36" t="n"/>
      <c r="C990" s="38" t="n"/>
      <c r="D990" s="32" t="n"/>
      <c r="E990" s="43">
        <f>IF(OR(A990="",B990=""),"",SUMPRODUCT(MAX(($B$6:$B$2005=B990)*($A$6:$A$2005&lt;A990)*$A$6:$A$2005)))</f>
        <v/>
      </c>
      <c r="F990" s="41">
        <f>IF(OR(E990="",E990=0),"",IFERROR(AVERAGEIFS($C$6:$C$2005,$B$6:$B$2005,B990,$A$6:$A$2005,E990),""))</f>
        <v/>
      </c>
      <c r="G990" s="34">
        <f>IF(F990="","",A990-E990)</f>
        <v/>
      </c>
      <c r="H990" s="42">
        <f>IF(OR(F990="",C990=""),"",IFERROR((C990-F990)/G990,""))</f>
        <v/>
      </c>
      <c r="I990" s="39">
        <f>IF(B990="","",IFERROR(INDEX('Animais'!$M$6:$M$1005,MATCH(B990,'Animais'!$A$6:$A$1005,0)),"Brinco não cadastrado"))</f>
        <v/>
      </c>
    </row>
    <row r="991">
      <c r="A991" s="31" t="n"/>
      <c r="B991" s="36" t="n"/>
      <c r="C991" s="38" t="n"/>
      <c r="D991" s="32" t="n"/>
      <c r="E991" s="43">
        <f>IF(OR(A991="",B991=""),"",SUMPRODUCT(MAX(($B$6:$B$2005=B991)*($A$6:$A$2005&lt;A991)*$A$6:$A$2005)))</f>
        <v/>
      </c>
      <c r="F991" s="41">
        <f>IF(OR(E991="",E991=0),"",IFERROR(AVERAGEIFS($C$6:$C$2005,$B$6:$B$2005,B991,$A$6:$A$2005,E991),""))</f>
        <v/>
      </c>
      <c r="G991" s="34">
        <f>IF(F991="","",A991-E991)</f>
        <v/>
      </c>
      <c r="H991" s="42">
        <f>IF(OR(F991="",C991=""),"",IFERROR((C991-F991)/G991,""))</f>
        <v/>
      </c>
      <c r="I991" s="39">
        <f>IF(B991="","",IFERROR(INDEX('Animais'!$M$6:$M$1005,MATCH(B991,'Animais'!$A$6:$A$1005,0)),"Brinco não cadastrado"))</f>
        <v/>
      </c>
    </row>
    <row r="992">
      <c r="A992" s="31" t="n"/>
      <c r="B992" s="36" t="n"/>
      <c r="C992" s="38" t="n"/>
      <c r="D992" s="32" t="n"/>
      <c r="E992" s="43">
        <f>IF(OR(A992="",B992=""),"",SUMPRODUCT(MAX(($B$6:$B$2005=B992)*($A$6:$A$2005&lt;A992)*$A$6:$A$2005)))</f>
        <v/>
      </c>
      <c r="F992" s="41">
        <f>IF(OR(E992="",E992=0),"",IFERROR(AVERAGEIFS($C$6:$C$2005,$B$6:$B$2005,B992,$A$6:$A$2005,E992),""))</f>
        <v/>
      </c>
      <c r="G992" s="34">
        <f>IF(F992="","",A992-E992)</f>
        <v/>
      </c>
      <c r="H992" s="42">
        <f>IF(OR(F992="",C992=""),"",IFERROR((C992-F992)/G992,""))</f>
        <v/>
      </c>
      <c r="I992" s="39">
        <f>IF(B992="","",IFERROR(INDEX('Animais'!$M$6:$M$1005,MATCH(B992,'Animais'!$A$6:$A$1005,0)),"Brinco não cadastrado"))</f>
        <v/>
      </c>
    </row>
    <row r="993">
      <c r="A993" s="31" t="n"/>
      <c r="B993" s="36" t="n"/>
      <c r="C993" s="38" t="n"/>
      <c r="D993" s="32" t="n"/>
      <c r="E993" s="43">
        <f>IF(OR(A993="",B993=""),"",SUMPRODUCT(MAX(($B$6:$B$2005=B993)*($A$6:$A$2005&lt;A993)*$A$6:$A$2005)))</f>
        <v/>
      </c>
      <c r="F993" s="41">
        <f>IF(OR(E993="",E993=0),"",IFERROR(AVERAGEIFS($C$6:$C$2005,$B$6:$B$2005,B993,$A$6:$A$2005,E993),""))</f>
        <v/>
      </c>
      <c r="G993" s="34">
        <f>IF(F993="","",A993-E993)</f>
        <v/>
      </c>
      <c r="H993" s="42">
        <f>IF(OR(F993="",C993=""),"",IFERROR((C993-F993)/G993,""))</f>
        <v/>
      </c>
      <c r="I993" s="39">
        <f>IF(B993="","",IFERROR(INDEX('Animais'!$M$6:$M$1005,MATCH(B993,'Animais'!$A$6:$A$1005,0)),"Brinco não cadastrado"))</f>
        <v/>
      </c>
    </row>
    <row r="994">
      <c r="A994" s="31" t="n"/>
      <c r="B994" s="36" t="n"/>
      <c r="C994" s="38" t="n"/>
      <c r="D994" s="32" t="n"/>
      <c r="E994" s="43">
        <f>IF(OR(A994="",B994=""),"",SUMPRODUCT(MAX(($B$6:$B$2005=B994)*($A$6:$A$2005&lt;A994)*$A$6:$A$2005)))</f>
        <v/>
      </c>
      <c r="F994" s="41">
        <f>IF(OR(E994="",E994=0),"",IFERROR(AVERAGEIFS($C$6:$C$2005,$B$6:$B$2005,B994,$A$6:$A$2005,E994),""))</f>
        <v/>
      </c>
      <c r="G994" s="34">
        <f>IF(F994="","",A994-E994)</f>
        <v/>
      </c>
      <c r="H994" s="42">
        <f>IF(OR(F994="",C994=""),"",IFERROR((C994-F994)/G994,""))</f>
        <v/>
      </c>
      <c r="I994" s="39">
        <f>IF(B994="","",IFERROR(INDEX('Animais'!$M$6:$M$1005,MATCH(B994,'Animais'!$A$6:$A$1005,0)),"Brinco não cadastrado"))</f>
        <v/>
      </c>
    </row>
    <row r="995">
      <c r="A995" s="31" t="n"/>
      <c r="B995" s="36" t="n"/>
      <c r="C995" s="38" t="n"/>
      <c r="D995" s="32" t="n"/>
      <c r="E995" s="43">
        <f>IF(OR(A995="",B995=""),"",SUMPRODUCT(MAX(($B$6:$B$2005=B995)*($A$6:$A$2005&lt;A995)*$A$6:$A$2005)))</f>
        <v/>
      </c>
      <c r="F995" s="41">
        <f>IF(OR(E995="",E995=0),"",IFERROR(AVERAGEIFS($C$6:$C$2005,$B$6:$B$2005,B995,$A$6:$A$2005,E995),""))</f>
        <v/>
      </c>
      <c r="G995" s="34">
        <f>IF(F995="","",A995-E995)</f>
        <v/>
      </c>
      <c r="H995" s="42">
        <f>IF(OR(F995="",C995=""),"",IFERROR((C995-F995)/G995,""))</f>
        <v/>
      </c>
      <c r="I995" s="39">
        <f>IF(B995="","",IFERROR(INDEX('Animais'!$M$6:$M$1005,MATCH(B995,'Animais'!$A$6:$A$1005,0)),"Brinco não cadastrado"))</f>
        <v/>
      </c>
    </row>
    <row r="996">
      <c r="A996" s="31" t="n"/>
      <c r="B996" s="36" t="n"/>
      <c r="C996" s="38" t="n"/>
      <c r="D996" s="32" t="n"/>
      <c r="E996" s="43">
        <f>IF(OR(A996="",B996=""),"",SUMPRODUCT(MAX(($B$6:$B$2005=B996)*($A$6:$A$2005&lt;A996)*$A$6:$A$2005)))</f>
        <v/>
      </c>
      <c r="F996" s="41">
        <f>IF(OR(E996="",E996=0),"",IFERROR(AVERAGEIFS($C$6:$C$2005,$B$6:$B$2005,B996,$A$6:$A$2005,E996),""))</f>
        <v/>
      </c>
      <c r="G996" s="34">
        <f>IF(F996="","",A996-E996)</f>
        <v/>
      </c>
      <c r="H996" s="42">
        <f>IF(OR(F996="",C996=""),"",IFERROR((C996-F996)/G996,""))</f>
        <v/>
      </c>
      <c r="I996" s="39">
        <f>IF(B996="","",IFERROR(INDEX('Animais'!$M$6:$M$1005,MATCH(B996,'Animais'!$A$6:$A$1005,0)),"Brinco não cadastrado"))</f>
        <v/>
      </c>
    </row>
    <row r="997">
      <c r="A997" s="31" t="n"/>
      <c r="B997" s="36" t="n"/>
      <c r="C997" s="38" t="n"/>
      <c r="D997" s="32" t="n"/>
      <c r="E997" s="43">
        <f>IF(OR(A997="",B997=""),"",SUMPRODUCT(MAX(($B$6:$B$2005=B997)*($A$6:$A$2005&lt;A997)*$A$6:$A$2005)))</f>
        <v/>
      </c>
      <c r="F997" s="41">
        <f>IF(OR(E997="",E997=0),"",IFERROR(AVERAGEIFS($C$6:$C$2005,$B$6:$B$2005,B997,$A$6:$A$2005,E997),""))</f>
        <v/>
      </c>
      <c r="G997" s="34">
        <f>IF(F997="","",A997-E997)</f>
        <v/>
      </c>
      <c r="H997" s="42">
        <f>IF(OR(F997="",C997=""),"",IFERROR((C997-F997)/G997,""))</f>
        <v/>
      </c>
      <c r="I997" s="39">
        <f>IF(B997="","",IFERROR(INDEX('Animais'!$M$6:$M$1005,MATCH(B997,'Animais'!$A$6:$A$1005,0)),"Brinco não cadastrado"))</f>
        <v/>
      </c>
    </row>
    <row r="998">
      <c r="A998" s="31" t="n"/>
      <c r="B998" s="36" t="n"/>
      <c r="C998" s="38" t="n"/>
      <c r="D998" s="32" t="n"/>
      <c r="E998" s="43">
        <f>IF(OR(A998="",B998=""),"",SUMPRODUCT(MAX(($B$6:$B$2005=B998)*($A$6:$A$2005&lt;A998)*$A$6:$A$2005)))</f>
        <v/>
      </c>
      <c r="F998" s="41">
        <f>IF(OR(E998="",E998=0),"",IFERROR(AVERAGEIFS($C$6:$C$2005,$B$6:$B$2005,B998,$A$6:$A$2005,E998),""))</f>
        <v/>
      </c>
      <c r="G998" s="34">
        <f>IF(F998="","",A998-E998)</f>
        <v/>
      </c>
      <c r="H998" s="42">
        <f>IF(OR(F998="",C998=""),"",IFERROR((C998-F998)/G998,""))</f>
        <v/>
      </c>
      <c r="I998" s="39">
        <f>IF(B998="","",IFERROR(INDEX('Animais'!$M$6:$M$1005,MATCH(B998,'Animais'!$A$6:$A$1005,0)),"Brinco não cadastrado"))</f>
        <v/>
      </c>
    </row>
    <row r="999">
      <c r="A999" s="31" t="n"/>
      <c r="B999" s="36" t="n"/>
      <c r="C999" s="38" t="n"/>
      <c r="D999" s="32" t="n"/>
      <c r="E999" s="43">
        <f>IF(OR(A999="",B999=""),"",SUMPRODUCT(MAX(($B$6:$B$2005=B999)*($A$6:$A$2005&lt;A999)*$A$6:$A$2005)))</f>
        <v/>
      </c>
      <c r="F999" s="41">
        <f>IF(OR(E999="",E999=0),"",IFERROR(AVERAGEIFS($C$6:$C$2005,$B$6:$B$2005,B999,$A$6:$A$2005,E999),""))</f>
        <v/>
      </c>
      <c r="G999" s="34">
        <f>IF(F999="","",A999-E999)</f>
        <v/>
      </c>
      <c r="H999" s="42">
        <f>IF(OR(F999="",C999=""),"",IFERROR((C999-F999)/G999,""))</f>
        <v/>
      </c>
      <c r="I999" s="39">
        <f>IF(B999="","",IFERROR(INDEX('Animais'!$M$6:$M$1005,MATCH(B999,'Animais'!$A$6:$A$1005,0)),"Brinco não cadastrado"))</f>
        <v/>
      </c>
    </row>
    <row r="1000">
      <c r="A1000" s="31" t="n"/>
      <c r="B1000" s="36" t="n"/>
      <c r="C1000" s="38" t="n"/>
      <c r="D1000" s="32" t="n"/>
      <c r="E1000" s="43">
        <f>IF(OR(A1000="",B1000=""),"",SUMPRODUCT(MAX(($B$6:$B$2005=B1000)*($A$6:$A$2005&lt;A1000)*$A$6:$A$2005)))</f>
        <v/>
      </c>
      <c r="F1000" s="41">
        <f>IF(OR(E1000="",E1000=0),"",IFERROR(AVERAGEIFS($C$6:$C$2005,$B$6:$B$2005,B1000,$A$6:$A$2005,E1000),""))</f>
        <v/>
      </c>
      <c r="G1000" s="34">
        <f>IF(F1000="","",A1000-E1000)</f>
        <v/>
      </c>
      <c r="H1000" s="42">
        <f>IF(OR(F1000="",C1000=""),"",IFERROR((C1000-F1000)/G1000,""))</f>
        <v/>
      </c>
      <c r="I1000" s="39">
        <f>IF(B1000="","",IFERROR(INDEX('Animais'!$M$6:$M$1005,MATCH(B1000,'Animais'!$A$6:$A$1005,0)),"Brinco não cadastrado"))</f>
        <v/>
      </c>
    </row>
    <row r="1001">
      <c r="A1001" s="31" t="n"/>
      <c r="B1001" s="36" t="n"/>
      <c r="C1001" s="38" t="n"/>
      <c r="D1001" s="32" t="n"/>
      <c r="E1001" s="43">
        <f>IF(OR(A1001="",B1001=""),"",SUMPRODUCT(MAX(($B$6:$B$2005=B1001)*($A$6:$A$2005&lt;A1001)*$A$6:$A$2005)))</f>
        <v/>
      </c>
      <c r="F1001" s="41">
        <f>IF(OR(E1001="",E1001=0),"",IFERROR(AVERAGEIFS($C$6:$C$2005,$B$6:$B$2005,B1001,$A$6:$A$2005,E1001),""))</f>
        <v/>
      </c>
      <c r="G1001" s="34">
        <f>IF(F1001="","",A1001-E1001)</f>
        <v/>
      </c>
      <c r="H1001" s="42">
        <f>IF(OR(F1001="",C1001=""),"",IFERROR((C1001-F1001)/G1001,""))</f>
        <v/>
      </c>
      <c r="I1001" s="39">
        <f>IF(B1001="","",IFERROR(INDEX('Animais'!$M$6:$M$1005,MATCH(B1001,'Animais'!$A$6:$A$1005,0)),"Brinco não cadastrado"))</f>
        <v/>
      </c>
    </row>
    <row r="1002">
      <c r="A1002" s="31" t="n"/>
      <c r="B1002" s="36" t="n"/>
      <c r="C1002" s="38" t="n"/>
      <c r="D1002" s="32" t="n"/>
      <c r="E1002" s="43">
        <f>IF(OR(A1002="",B1002=""),"",SUMPRODUCT(MAX(($B$6:$B$2005=B1002)*($A$6:$A$2005&lt;A1002)*$A$6:$A$2005)))</f>
        <v/>
      </c>
      <c r="F1002" s="41">
        <f>IF(OR(E1002="",E1002=0),"",IFERROR(AVERAGEIFS($C$6:$C$2005,$B$6:$B$2005,B1002,$A$6:$A$2005,E1002),""))</f>
        <v/>
      </c>
      <c r="G1002" s="34">
        <f>IF(F1002="","",A1002-E1002)</f>
        <v/>
      </c>
      <c r="H1002" s="42">
        <f>IF(OR(F1002="",C1002=""),"",IFERROR((C1002-F1002)/G1002,""))</f>
        <v/>
      </c>
      <c r="I1002" s="39">
        <f>IF(B1002="","",IFERROR(INDEX('Animais'!$M$6:$M$1005,MATCH(B1002,'Animais'!$A$6:$A$1005,0)),"Brinco não cadastrado"))</f>
        <v/>
      </c>
    </row>
    <row r="1003">
      <c r="A1003" s="31" t="n"/>
      <c r="B1003" s="36" t="n"/>
      <c r="C1003" s="38" t="n"/>
      <c r="D1003" s="32" t="n"/>
      <c r="E1003" s="43">
        <f>IF(OR(A1003="",B1003=""),"",SUMPRODUCT(MAX(($B$6:$B$2005=B1003)*($A$6:$A$2005&lt;A1003)*$A$6:$A$2005)))</f>
        <v/>
      </c>
      <c r="F1003" s="41">
        <f>IF(OR(E1003="",E1003=0),"",IFERROR(AVERAGEIFS($C$6:$C$2005,$B$6:$B$2005,B1003,$A$6:$A$2005,E1003),""))</f>
        <v/>
      </c>
      <c r="G1003" s="34">
        <f>IF(F1003="","",A1003-E1003)</f>
        <v/>
      </c>
      <c r="H1003" s="42">
        <f>IF(OR(F1003="",C1003=""),"",IFERROR((C1003-F1003)/G1003,""))</f>
        <v/>
      </c>
      <c r="I1003" s="39">
        <f>IF(B1003="","",IFERROR(INDEX('Animais'!$M$6:$M$1005,MATCH(B1003,'Animais'!$A$6:$A$1005,0)),"Brinco não cadastrado"))</f>
        <v/>
      </c>
    </row>
    <row r="1004">
      <c r="A1004" s="31" t="n"/>
      <c r="B1004" s="36" t="n"/>
      <c r="C1004" s="38" t="n"/>
      <c r="D1004" s="32" t="n"/>
      <c r="E1004" s="43">
        <f>IF(OR(A1004="",B1004=""),"",SUMPRODUCT(MAX(($B$6:$B$2005=B1004)*($A$6:$A$2005&lt;A1004)*$A$6:$A$2005)))</f>
        <v/>
      </c>
      <c r="F1004" s="41">
        <f>IF(OR(E1004="",E1004=0),"",IFERROR(AVERAGEIFS($C$6:$C$2005,$B$6:$B$2005,B1004,$A$6:$A$2005,E1004),""))</f>
        <v/>
      </c>
      <c r="G1004" s="34">
        <f>IF(F1004="","",A1004-E1004)</f>
        <v/>
      </c>
      <c r="H1004" s="42">
        <f>IF(OR(F1004="",C1004=""),"",IFERROR((C1004-F1004)/G1004,""))</f>
        <v/>
      </c>
      <c r="I1004" s="39">
        <f>IF(B1004="","",IFERROR(INDEX('Animais'!$M$6:$M$1005,MATCH(B1004,'Animais'!$A$6:$A$1005,0)),"Brinco não cadastrado"))</f>
        <v/>
      </c>
    </row>
    <row r="1005">
      <c r="A1005" s="31" t="n"/>
      <c r="B1005" s="36" t="n"/>
      <c r="C1005" s="38" t="n"/>
      <c r="D1005" s="32" t="n"/>
      <c r="E1005" s="43">
        <f>IF(OR(A1005="",B1005=""),"",SUMPRODUCT(MAX(($B$6:$B$2005=B1005)*($A$6:$A$2005&lt;A1005)*$A$6:$A$2005)))</f>
        <v/>
      </c>
      <c r="F1005" s="41">
        <f>IF(OR(E1005="",E1005=0),"",IFERROR(AVERAGEIFS($C$6:$C$2005,$B$6:$B$2005,B1005,$A$6:$A$2005,E1005),""))</f>
        <v/>
      </c>
      <c r="G1005" s="34">
        <f>IF(F1005="","",A1005-E1005)</f>
        <v/>
      </c>
      <c r="H1005" s="42">
        <f>IF(OR(F1005="",C1005=""),"",IFERROR((C1005-F1005)/G1005,""))</f>
        <v/>
      </c>
      <c r="I1005" s="39">
        <f>IF(B1005="","",IFERROR(INDEX('Animais'!$M$6:$M$1005,MATCH(B1005,'Animais'!$A$6:$A$1005,0)),"Brinco não cadastrado"))</f>
        <v/>
      </c>
    </row>
    <row r="1006">
      <c r="A1006" s="31" t="n"/>
      <c r="B1006" s="36" t="n"/>
      <c r="C1006" s="38" t="n"/>
      <c r="D1006" s="32" t="n"/>
      <c r="E1006" s="43">
        <f>IF(OR(A1006="",B1006=""),"",SUMPRODUCT(MAX(($B$6:$B$2005=B1006)*($A$6:$A$2005&lt;A1006)*$A$6:$A$2005)))</f>
        <v/>
      </c>
      <c r="F1006" s="41">
        <f>IF(OR(E1006="",E1006=0),"",IFERROR(AVERAGEIFS($C$6:$C$2005,$B$6:$B$2005,B1006,$A$6:$A$2005,E1006),""))</f>
        <v/>
      </c>
      <c r="G1006" s="34">
        <f>IF(F1006="","",A1006-E1006)</f>
        <v/>
      </c>
      <c r="H1006" s="42">
        <f>IF(OR(F1006="",C1006=""),"",IFERROR((C1006-F1006)/G1006,""))</f>
        <v/>
      </c>
      <c r="I1006" s="39">
        <f>IF(B1006="","",IFERROR(INDEX('Animais'!$M$6:$M$1005,MATCH(B1006,'Animais'!$A$6:$A$1005,0)),"Brinco não cadastrado"))</f>
        <v/>
      </c>
    </row>
    <row r="1007">
      <c r="A1007" s="31" t="n"/>
      <c r="B1007" s="36" t="n"/>
      <c r="C1007" s="38" t="n"/>
      <c r="D1007" s="32" t="n"/>
      <c r="E1007" s="43">
        <f>IF(OR(A1007="",B1007=""),"",SUMPRODUCT(MAX(($B$6:$B$2005=B1007)*($A$6:$A$2005&lt;A1007)*$A$6:$A$2005)))</f>
        <v/>
      </c>
      <c r="F1007" s="41">
        <f>IF(OR(E1007="",E1007=0),"",IFERROR(AVERAGEIFS($C$6:$C$2005,$B$6:$B$2005,B1007,$A$6:$A$2005,E1007),""))</f>
        <v/>
      </c>
      <c r="G1007" s="34">
        <f>IF(F1007="","",A1007-E1007)</f>
        <v/>
      </c>
      <c r="H1007" s="42">
        <f>IF(OR(F1007="",C1007=""),"",IFERROR((C1007-F1007)/G1007,""))</f>
        <v/>
      </c>
      <c r="I1007" s="39">
        <f>IF(B1007="","",IFERROR(INDEX('Animais'!$M$6:$M$1005,MATCH(B1007,'Animais'!$A$6:$A$1005,0)),"Brinco não cadastrado"))</f>
        <v/>
      </c>
    </row>
    <row r="1008">
      <c r="A1008" s="31" t="n"/>
      <c r="B1008" s="36" t="n"/>
      <c r="C1008" s="38" t="n"/>
      <c r="D1008" s="32" t="n"/>
      <c r="E1008" s="43">
        <f>IF(OR(A1008="",B1008=""),"",SUMPRODUCT(MAX(($B$6:$B$2005=B1008)*($A$6:$A$2005&lt;A1008)*$A$6:$A$2005)))</f>
        <v/>
      </c>
      <c r="F1008" s="41">
        <f>IF(OR(E1008="",E1008=0),"",IFERROR(AVERAGEIFS($C$6:$C$2005,$B$6:$B$2005,B1008,$A$6:$A$2005,E1008),""))</f>
        <v/>
      </c>
      <c r="G1008" s="34">
        <f>IF(F1008="","",A1008-E1008)</f>
        <v/>
      </c>
      <c r="H1008" s="42">
        <f>IF(OR(F1008="",C1008=""),"",IFERROR((C1008-F1008)/G1008,""))</f>
        <v/>
      </c>
      <c r="I1008" s="39">
        <f>IF(B1008="","",IFERROR(INDEX('Animais'!$M$6:$M$1005,MATCH(B1008,'Animais'!$A$6:$A$1005,0)),"Brinco não cadastrado"))</f>
        <v/>
      </c>
    </row>
    <row r="1009">
      <c r="A1009" s="31" t="n"/>
      <c r="B1009" s="36" t="n"/>
      <c r="C1009" s="38" t="n"/>
      <c r="D1009" s="32" t="n"/>
      <c r="E1009" s="43">
        <f>IF(OR(A1009="",B1009=""),"",SUMPRODUCT(MAX(($B$6:$B$2005=B1009)*($A$6:$A$2005&lt;A1009)*$A$6:$A$2005)))</f>
        <v/>
      </c>
      <c r="F1009" s="41">
        <f>IF(OR(E1009="",E1009=0),"",IFERROR(AVERAGEIFS($C$6:$C$2005,$B$6:$B$2005,B1009,$A$6:$A$2005,E1009),""))</f>
        <v/>
      </c>
      <c r="G1009" s="34">
        <f>IF(F1009="","",A1009-E1009)</f>
        <v/>
      </c>
      <c r="H1009" s="42">
        <f>IF(OR(F1009="",C1009=""),"",IFERROR((C1009-F1009)/G1009,""))</f>
        <v/>
      </c>
      <c r="I1009" s="39">
        <f>IF(B1009="","",IFERROR(INDEX('Animais'!$M$6:$M$1005,MATCH(B1009,'Animais'!$A$6:$A$1005,0)),"Brinco não cadastrado"))</f>
        <v/>
      </c>
    </row>
    <row r="1010">
      <c r="A1010" s="31" t="n"/>
      <c r="B1010" s="36" t="n"/>
      <c r="C1010" s="38" t="n"/>
      <c r="D1010" s="32" t="n"/>
      <c r="E1010" s="43">
        <f>IF(OR(A1010="",B1010=""),"",SUMPRODUCT(MAX(($B$6:$B$2005=B1010)*($A$6:$A$2005&lt;A1010)*$A$6:$A$2005)))</f>
        <v/>
      </c>
      <c r="F1010" s="41">
        <f>IF(OR(E1010="",E1010=0),"",IFERROR(AVERAGEIFS($C$6:$C$2005,$B$6:$B$2005,B1010,$A$6:$A$2005,E1010),""))</f>
        <v/>
      </c>
      <c r="G1010" s="34">
        <f>IF(F1010="","",A1010-E1010)</f>
        <v/>
      </c>
      <c r="H1010" s="42">
        <f>IF(OR(F1010="",C1010=""),"",IFERROR((C1010-F1010)/G1010,""))</f>
        <v/>
      </c>
      <c r="I1010" s="39">
        <f>IF(B1010="","",IFERROR(INDEX('Animais'!$M$6:$M$1005,MATCH(B1010,'Animais'!$A$6:$A$1005,0)),"Brinco não cadastrado"))</f>
        <v/>
      </c>
    </row>
    <row r="1011">
      <c r="A1011" s="31" t="n"/>
      <c r="B1011" s="36" t="n"/>
      <c r="C1011" s="38" t="n"/>
      <c r="D1011" s="32" t="n"/>
      <c r="E1011" s="43">
        <f>IF(OR(A1011="",B1011=""),"",SUMPRODUCT(MAX(($B$6:$B$2005=B1011)*($A$6:$A$2005&lt;A1011)*$A$6:$A$2005)))</f>
        <v/>
      </c>
      <c r="F1011" s="41">
        <f>IF(OR(E1011="",E1011=0),"",IFERROR(AVERAGEIFS($C$6:$C$2005,$B$6:$B$2005,B1011,$A$6:$A$2005,E1011),""))</f>
        <v/>
      </c>
      <c r="G1011" s="34">
        <f>IF(F1011="","",A1011-E1011)</f>
        <v/>
      </c>
      <c r="H1011" s="42">
        <f>IF(OR(F1011="",C1011=""),"",IFERROR((C1011-F1011)/G1011,""))</f>
        <v/>
      </c>
      <c r="I1011" s="39">
        <f>IF(B1011="","",IFERROR(INDEX('Animais'!$M$6:$M$1005,MATCH(B1011,'Animais'!$A$6:$A$1005,0)),"Brinco não cadastrado"))</f>
        <v/>
      </c>
    </row>
    <row r="1012">
      <c r="A1012" s="31" t="n"/>
      <c r="B1012" s="36" t="n"/>
      <c r="C1012" s="38" t="n"/>
      <c r="D1012" s="32" t="n"/>
      <c r="E1012" s="43">
        <f>IF(OR(A1012="",B1012=""),"",SUMPRODUCT(MAX(($B$6:$B$2005=B1012)*($A$6:$A$2005&lt;A1012)*$A$6:$A$2005)))</f>
        <v/>
      </c>
      <c r="F1012" s="41">
        <f>IF(OR(E1012="",E1012=0),"",IFERROR(AVERAGEIFS($C$6:$C$2005,$B$6:$B$2005,B1012,$A$6:$A$2005,E1012),""))</f>
        <v/>
      </c>
      <c r="G1012" s="34">
        <f>IF(F1012="","",A1012-E1012)</f>
        <v/>
      </c>
      <c r="H1012" s="42">
        <f>IF(OR(F1012="",C1012=""),"",IFERROR((C1012-F1012)/G1012,""))</f>
        <v/>
      </c>
      <c r="I1012" s="39">
        <f>IF(B1012="","",IFERROR(INDEX('Animais'!$M$6:$M$1005,MATCH(B1012,'Animais'!$A$6:$A$1005,0)),"Brinco não cadastrado"))</f>
        <v/>
      </c>
    </row>
    <row r="1013">
      <c r="A1013" s="31" t="n"/>
      <c r="B1013" s="36" t="n"/>
      <c r="C1013" s="38" t="n"/>
      <c r="D1013" s="32" t="n"/>
      <c r="E1013" s="43">
        <f>IF(OR(A1013="",B1013=""),"",SUMPRODUCT(MAX(($B$6:$B$2005=B1013)*($A$6:$A$2005&lt;A1013)*$A$6:$A$2005)))</f>
        <v/>
      </c>
      <c r="F1013" s="41">
        <f>IF(OR(E1013="",E1013=0),"",IFERROR(AVERAGEIFS($C$6:$C$2005,$B$6:$B$2005,B1013,$A$6:$A$2005,E1013),""))</f>
        <v/>
      </c>
      <c r="G1013" s="34">
        <f>IF(F1013="","",A1013-E1013)</f>
        <v/>
      </c>
      <c r="H1013" s="42">
        <f>IF(OR(F1013="",C1013=""),"",IFERROR((C1013-F1013)/G1013,""))</f>
        <v/>
      </c>
      <c r="I1013" s="39">
        <f>IF(B1013="","",IFERROR(INDEX('Animais'!$M$6:$M$1005,MATCH(B1013,'Animais'!$A$6:$A$1005,0)),"Brinco não cadastrado"))</f>
        <v/>
      </c>
    </row>
    <row r="1014">
      <c r="A1014" s="31" t="n"/>
      <c r="B1014" s="36" t="n"/>
      <c r="C1014" s="38" t="n"/>
      <c r="D1014" s="32" t="n"/>
      <c r="E1014" s="43">
        <f>IF(OR(A1014="",B1014=""),"",SUMPRODUCT(MAX(($B$6:$B$2005=B1014)*($A$6:$A$2005&lt;A1014)*$A$6:$A$2005)))</f>
        <v/>
      </c>
      <c r="F1014" s="41">
        <f>IF(OR(E1014="",E1014=0),"",IFERROR(AVERAGEIFS($C$6:$C$2005,$B$6:$B$2005,B1014,$A$6:$A$2005,E1014),""))</f>
        <v/>
      </c>
      <c r="G1014" s="34">
        <f>IF(F1014="","",A1014-E1014)</f>
        <v/>
      </c>
      <c r="H1014" s="42">
        <f>IF(OR(F1014="",C1014=""),"",IFERROR((C1014-F1014)/G1014,""))</f>
        <v/>
      </c>
      <c r="I1014" s="39">
        <f>IF(B1014="","",IFERROR(INDEX('Animais'!$M$6:$M$1005,MATCH(B1014,'Animais'!$A$6:$A$1005,0)),"Brinco não cadastrado"))</f>
        <v/>
      </c>
    </row>
    <row r="1015">
      <c r="A1015" s="31" t="n"/>
      <c r="B1015" s="36" t="n"/>
      <c r="C1015" s="38" t="n"/>
      <c r="D1015" s="32" t="n"/>
      <c r="E1015" s="43">
        <f>IF(OR(A1015="",B1015=""),"",SUMPRODUCT(MAX(($B$6:$B$2005=B1015)*($A$6:$A$2005&lt;A1015)*$A$6:$A$2005)))</f>
        <v/>
      </c>
      <c r="F1015" s="41">
        <f>IF(OR(E1015="",E1015=0),"",IFERROR(AVERAGEIFS($C$6:$C$2005,$B$6:$B$2005,B1015,$A$6:$A$2005,E1015),""))</f>
        <v/>
      </c>
      <c r="G1015" s="34">
        <f>IF(F1015="","",A1015-E1015)</f>
        <v/>
      </c>
      <c r="H1015" s="42">
        <f>IF(OR(F1015="",C1015=""),"",IFERROR((C1015-F1015)/G1015,""))</f>
        <v/>
      </c>
      <c r="I1015" s="39">
        <f>IF(B1015="","",IFERROR(INDEX('Animais'!$M$6:$M$1005,MATCH(B1015,'Animais'!$A$6:$A$1005,0)),"Brinco não cadastrado"))</f>
        <v/>
      </c>
    </row>
    <row r="1016">
      <c r="A1016" s="31" t="n"/>
      <c r="B1016" s="36" t="n"/>
      <c r="C1016" s="38" t="n"/>
      <c r="D1016" s="32" t="n"/>
      <c r="E1016" s="43">
        <f>IF(OR(A1016="",B1016=""),"",SUMPRODUCT(MAX(($B$6:$B$2005=B1016)*($A$6:$A$2005&lt;A1016)*$A$6:$A$2005)))</f>
        <v/>
      </c>
      <c r="F1016" s="41">
        <f>IF(OR(E1016="",E1016=0),"",IFERROR(AVERAGEIFS($C$6:$C$2005,$B$6:$B$2005,B1016,$A$6:$A$2005,E1016),""))</f>
        <v/>
      </c>
      <c r="G1016" s="34">
        <f>IF(F1016="","",A1016-E1016)</f>
        <v/>
      </c>
      <c r="H1016" s="42">
        <f>IF(OR(F1016="",C1016=""),"",IFERROR((C1016-F1016)/G1016,""))</f>
        <v/>
      </c>
      <c r="I1016" s="39">
        <f>IF(B1016="","",IFERROR(INDEX('Animais'!$M$6:$M$1005,MATCH(B1016,'Animais'!$A$6:$A$1005,0)),"Brinco não cadastrado"))</f>
        <v/>
      </c>
    </row>
    <row r="1017">
      <c r="A1017" s="31" t="n"/>
      <c r="B1017" s="36" t="n"/>
      <c r="C1017" s="38" t="n"/>
      <c r="D1017" s="32" t="n"/>
      <c r="E1017" s="43">
        <f>IF(OR(A1017="",B1017=""),"",SUMPRODUCT(MAX(($B$6:$B$2005=B1017)*($A$6:$A$2005&lt;A1017)*$A$6:$A$2005)))</f>
        <v/>
      </c>
      <c r="F1017" s="41">
        <f>IF(OR(E1017="",E1017=0),"",IFERROR(AVERAGEIFS($C$6:$C$2005,$B$6:$B$2005,B1017,$A$6:$A$2005,E1017),""))</f>
        <v/>
      </c>
      <c r="G1017" s="34">
        <f>IF(F1017="","",A1017-E1017)</f>
        <v/>
      </c>
      <c r="H1017" s="42">
        <f>IF(OR(F1017="",C1017=""),"",IFERROR((C1017-F1017)/G1017,""))</f>
        <v/>
      </c>
      <c r="I1017" s="39">
        <f>IF(B1017="","",IFERROR(INDEX('Animais'!$M$6:$M$1005,MATCH(B1017,'Animais'!$A$6:$A$1005,0)),"Brinco não cadastrado"))</f>
        <v/>
      </c>
    </row>
    <row r="1018">
      <c r="A1018" s="31" t="n"/>
      <c r="B1018" s="36" t="n"/>
      <c r="C1018" s="38" t="n"/>
      <c r="D1018" s="32" t="n"/>
      <c r="E1018" s="43">
        <f>IF(OR(A1018="",B1018=""),"",SUMPRODUCT(MAX(($B$6:$B$2005=B1018)*($A$6:$A$2005&lt;A1018)*$A$6:$A$2005)))</f>
        <v/>
      </c>
      <c r="F1018" s="41">
        <f>IF(OR(E1018="",E1018=0),"",IFERROR(AVERAGEIFS($C$6:$C$2005,$B$6:$B$2005,B1018,$A$6:$A$2005,E1018),""))</f>
        <v/>
      </c>
      <c r="G1018" s="34">
        <f>IF(F1018="","",A1018-E1018)</f>
        <v/>
      </c>
      <c r="H1018" s="42">
        <f>IF(OR(F1018="",C1018=""),"",IFERROR((C1018-F1018)/G1018,""))</f>
        <v/>
      </c>
      <c r="I1018" s="39">
        <f>IF(B1018="","",IFERROR(INDEX('Animais'!$M$6:$M$1005,MATCH(B1018,'Animais'!$A$6:$A$1005,0)),"Brinco não cadastrado"))</f>
        <v/>
      </c>
    </row>
    <row r="1019">
      <c r="A1019" s="31" t="n"/>
      <c r="B1019" s="36" t="n"/>
      <c r="C1019" s="38" t="n"/>
      <c r="D1019" s="32" t="n"/>
      <c r="E1019" s="43">
        <f>IF(OR(A1019="",B1019=""),"",SUMPRODUCT(MAX(($B$6:$B$2005=B1019)*($A$6:$A$2005&lt;A1019)*$A$6:$A$2005)))</f>
        <v/>
      </c>
      <c r="F1019" s="41">
        <f>IF(OR(E1019="",E1019=0),"",IFERROR(AVERAGEIFS($C$6:$C$2005,$B$6:$B$2005,B1019,$A$6:$A$2005,E1019),""))</f>
        <v/>
      </c>
      <c r="G1019" s="34">
        <f>IF(F1019="","",A1019-E1019)</f>
        <v/>
      </c>
      <c r="H1019" s="42">
        <f>IF(OR(F1019="",C1019=""),"",IFERROR((C1019-F1019)/G1019,""))</f>
        <v/>
      </c>
      <c r="I1019" s="39">
        <f>IF(B1019="","",IFERROR(INDEX('Animais'!$M$6:$M$1005,MATCH(B1019,'Animais'!$A$6:$A$1005,0)),"Brinco não cadastrado"))</f>
        <v/>
      </c>
    </row>
    <row r="1020">
      <c r="A1020" s="31" t="n"/>
      <c r="B1020" s="36" t="n"/>
      <c r="C1020" s="38" t="n"/>
      <c r="D1020" s="32" t="n"/>
      <c r="E1020" s="43">
        <f>IF(OR(A1020="",B1020=""),"",SUMPRODUCT(MAX(($B$6:$B$2005=B1020)*($A$6:$A$2005&lt;A1020)*$A$6:$A$2005)))</f>
        <v/>
      </c>
      <c r="F1020" s="41">
        <f>IF(OR(E1020="",E1020=0),"",IFERROR(AVERAGEIFS($C$6:$C$2005,$B$6:$B$2005,B1020,$A$6:$A$2005,E1020),""))</f>
        <v/>
      </c>
      <c r="G1020" s="34">
        <f>IF(F1020="","",A1020-E1020)</f>
        <v/>
      </c>
      <c r="H1020" s="42">
        <f>IF(OR(F1020="",C1020=""),"",IFERROR((C1020-F1020)/G1020,""))</f>
        <v/>
      </c>
      <c r="I1020" s="39">
        <f>IF(B1020="","",IFERROR(INDEX('Animais'!$M$6:$M$1005,MATCH(B1020,'Animais'!$A$6:$A$1005,0)),"Brinco não cadastrado"))</f>
        <v/>
      </c>
    </row>
    <row r="1021">
      <c r="A1021" s="31" t="n"/>
      <c r="B1021" s="36" t="n"/>
      <c r="C1021" s="38" t="n"/>
      <c r="D1021" s="32" t="n"/>
      <c r="E1021" s="43">
        <f>IF(OR(A1021="",B1021=""),"",SUMPRODUCT(MAX(($B$6:$B$2005=B1021)*($A$6:$A$2005&lt;A1021)*$A$6:$A$2005)))</f>
        <v/>
      </c>
      <c r="F1021" s="41">
        <f>IF(OR(E1021="",E1021=0),"",IFERROR(AVERAGEIFS($C$6:$C$2005,$B$6:$B$2005,B1021,$A$6:$A$2005,E1021),""))</f>
        <v/>
      </c>
      <c r="G1021" s="34">
        <f>IF(F1021="","",A1021-E1021)</f>
        <v/>
      </c>
      <c r="H1021" s="42">
        <f>IF(OR(F1021="",C1021=""),"",IFERROR((C1021-F1021)/G1021,""))</f>
        <v/>
      </c>
      <c r="I1021" s="39">
        <f>IF(B1021="","",IFERROR(INDEX('Animais'!$M$6:$M$1005,MATCH(B1021,'Animais'!$A$6:$A$1005,0)),"Brinco não cadastrado"))</f>
        <v/>
      </c>
    </row>
    <row r="1022">
      <c r="A1022" s="31" t="n"/>
      <c r="B1022" s="36" t="n"/>
      <c r="C1022" s="38" t="n"/>
      <c r="D1022" s="32" t="n"/>
      <c r="E1022" s="43">
        <f>IF(OR(A1022="",B1022=""),"",SUMPRODUCT(MAX(($B$6:$B$2005=B1022)*($A$6:$A$2005&lt;A1022)*$A$6:$A$2005)))</f>
        <v/>
      </c>
      <c r="F1022" s="41">
        <f>IF(OR(E1022="",E1022=0),"",IFERROR(AVERAGEIFS($C$6:$C$2005,$B$6:$B$2005,B1022,$A$6:$A$2005,E1022),""))</f>
        <v/>
      </c>
      <c r="G1022" s="34">
        <f>IF(F1022="","",A1022-E1022)</f>
        <v/>
      </c>
      <c r="H1022" s="42">
        <f>IF(OR(F1022="",C1022=""),"",IFERROR((C1022-F1022)/G1022,""))</f>
        <v/>
      </c>
      <c r="I1022" s="39">
        <f>IF(B1022="","",IFERROR(INDEX('Animais'!$M$6:$M$1005,MATCH(B1022,'Animais'!$A$6:$A$1005,0)),"Brinco não cadastrado"))</f>
        <v/>
      </c>
    </row>
    <row r="1023">
      <c r="A1023" s="31" t="n"/>
      <c r="B1023" s="36" t="n"/>
      <c r="C1023" s="38" t="n"/>
      <c r="D1023" s="32" t="n"/>
      <c r="E1023" s="43">
        <f>IF(OR(A1023="",B1023=""),"",SUMPRODUCT(MAX(($B$6:$B$2005=B1023)*($A$6:$A$2005&lt;A1023)*$A$6:$A$2005)))</f>
        <v/>
      </c>
      <c r="F1023" s="41">
        <f>IF(OR(E1023="",E1023=0),"",IFERROR(AVERAGEIFS($C$6:$C$2005,$B$6:$B$2005,B1023,$A$6:$A$2005,E1023),""))</f>
        <v/>
      </c>
      <c r="G1023" s="34">
        <f>IF(F1023="","",A1023-E1023)</f>
        <v/>
      </c>
      <c r="H1023" s="42">
        <f>IF(OR(F1023="",C1023=""),"",IFERROR((C1023-F1023)/G1023,""))</f>
        <v/>
      </c>
      <c r="I1023" s="39">
        <f>IF(B1023="","",IFERROR(INDEX('Animais'!$M$6:$M$1005,MATCH(B1023,'Animais'!$A$6:$A$1005,0)),"Brinco não cadastrado"))</f>
        <v/>
      </c>
    </row>
    <row r="1024">
      <c r="A1024" s="31" t="n"/>
      <c r="B1024" s="36" t="n"/>
      <c r="C1024" s="38" t="n"/>
      <c r="D1024" s="32" t="n"/>
      <c r="E1024" s="43">
        <f>IF(OR(A1024="",B1024=""),"",SUMPRODUCT(MAX(($B$6:$B$2005=B1024)*($A$6:$A$2005&lt;A1024)*$A$6:$A$2005)))</f>
        <v/>
      </c>
      <c r="F1024" s="41">
        <f>IF(OR(E1024="",E1024=0),"",IFERROR(AVERAGEIFS($C$6:$C$2005,$B$6:$B$2005,B1024,$A$6:$A$2005,E1024),""))</f>
        <v/>
      </c>
      <c r="G1024" s="34">
        <f>IF(F1024="","",A1024-E1024)</f>
        <v/>
      </c>
      <c r="H1024" s="42">
        <f>IF(OR(F1024="",C1024=""),"",IFERROR((C1024-F1024)/G1024,""))</f>
        <v/>
      </c>
      <c r="I1024" s="39">
        <f>IF(B1024="","",IFERROR(INDEX('Animais'!$M$6:$M$1005,MATCH(B1024,'Animais'!$A$6:$A$1005,0)),"Brinco não cadastrado"))</f>
        <v/>
      </c>
    </row>
    <row r="1025">
      <c r="A1025" s="31" t="n"/>
      <c r="B1025" s="36" t="n"/>
      <c r="C1025" s="38" t="n"/>
      <c r="D1025" s="32" t="n"/>
      <c r="E1025" s="43">
        <f>IF(OR(A1025="",B1025=""),"",SUMPRODUCT(MAX(($B$6:$B$2005=B1025)*($A$6:$A$2005&lt;A1025)*$A$6:$A$2005)))</f>
        <v/>
      </c>
      <c r="F1025" s="41">
        <f>IF(OR(E1025="",E1025=0),"",IFERROR(AVERAGEIFS($C$6:$C$2005,$B$6:$B$2005,B1025,$A$6:$A$2005,E1025),""))</f>
        <v/>
      </c>
      <c r="G1025" s="34">
        <f>IF(F1025="","",A1025-E1025)</f>
        <v/>
      </c>
      <c r="H1025" s="42">
        <f>IF(OR(F1025="",C1025=""),"",IFERROR((C1025-F1025)/G1025,""))</f>
        <v/>
      </c>
      <c r="I1025" s="39">
        <f>IF(B1025="","",IFERROR(INDEX('Animais'!$M$6:$M$1005,MATCH(B1025,'Animais'!$A$6:$A$1005,0)),"Brinco não cadastrado"))</f>
        <v/>
      </c>
    </row>
    <row r="1026">
      <c r="A1026" s="31" t="n"/>
      <c r="B1026" s="36" t="n"/>
      <c r="C1026" s="38" t="n"/>
      <c r="D1026" s="32" t="n"/>
      <c r="E1026" s="43">
        <f>IF(OR(A1026="",B1026=""),"",SUMPRODUCT(MAX(($B$6:$B$2005=B1026)*($A$6:$A$2005&lt;A1026)*$A$6:$A$2005)))</f>
        <v/>
      </c>
      <c r="F1026" s="41">
        <f>IF(OR(E1026="",E1026=0),"",IFERROR(AVERAGEIFS($C$6:$C$2005,$B$6:$B$2005,B1026,$A$6:$A$2005,E1026),""))</f>
        <v/>
      </c>
      <c r="G1026" s="34">
        <f>IF(F1026="","",A1026-E1026)</f>
        <v/>
      </c>
      <c r="H1026" s="42">
        <f>IF(OR(F1026="",C1026=""),"",IFERROR((C1026-F1026)/G1026,""))</f>
        <v/>
      </c>
      <c r="I1026" s="39">
        <f>IF(B1026="","",IFERROR(INDEX('Animais'!$M$6:$M$1005,MATCH(B1026,'Animais'!$A$6:$A$1005,0)),"Brinco não cadastrado"))</f>
        <v/>
      </c>
    </row>
    <row r="1027">
      <c r="A1027" s="31" t="n"/>
      <c r="B1027" s="36" t="n"/>
      <c r="C1027" s="38" t="n"/>
      <c r="D1027" s="32" t="n"/>
      <c r="E1027" s="43">
        <f>IF(OR(A1027="",B1027=""),"",SUMPRODUCT(MAX(($B$6:$B$2005=B1027)*($A$6:$A$2005&lt;A1027)*$A$6:$A$2005)))</f>
        <v/>
      </c>
      <c r="F1027" s="41">
        <f>IF(OR(E1027="",E1027=0),"",IFERROR(AVERAGEIFS($C$6:$C$2005,$B$6:$B$2005,B1027,$A$6:$A$2005,E1027),""))</f>
        <v/>
      </c>
      <c r="G1027" s="34">
        <f>IF(F1027="","",A1027-E1027)</f>
        <v/>
      </c>
      <c r="H1027" s="42">
        <f>IF(OR(F1027="",C1027=""),"",IFERROR((C1027-F1027)/G1027,""))</f>
        <v/>
      </c>
      <c r="I1027" s="39">
        <f>IF(B1027="","",IFERROR(INDEX('Animais'!$M$6:$M$1005,MATCH(B1027,'Animais'!$A$6:$A$1005,0)),"Brinco não cadastrado"))</f>
        <v/>
      </c>
    </row>
    <row r="1028">
      <c r="A1028" s="31" t="n"/>
      <c r="B1028" s="36" t="n"/>
      <c r="C1028" s="38" t="n"/>
      <c r="D1028" s="32" t="n"/>
      <c r="E1028" s="43">
        <f>IF(OR(A1028="",B1028=""),"",SUMPRODUCT(MAX(($B$6:$B$2005=B1028)*($A$6:$A$2005&lt;A1028)*$A$6:$A$2005)))</f>
        <v/>
      </c>
      <c r="F1028" s="41">
        <f>IF(OR(E1028="",E1028=0),"",IFERROR(AVERAGEIFS($C$6:$C$2005,$B$6:$B$2005,B1028,$A$6:$A$2005,E1028),""))</f>
        <v/>
      </c>
      <c r="G1028" s="34">
        <f>IF(F1028="","",A1028-E1028)</f>
        <v/>
      </c>
      <c r="H1028" s="42">
        <f>IF(OR(F1028="",C1028=""),"",IFERROR((C1028-F1028)/G1028,""))</f>
        <v/>
      </c>
      <c r="I1028" s="39">
        <f>IF(B1028="","",IFERROR(INDEX('Animais'!$M$6:$M$1005,MATCH(B1028,'Animais'!$A$6:$A$1005,0)),"Brinco não cadastrado"))</f>
        <v/>
      </c>
    </row>
    <row r="1029">
      <c r="A1029" s="31" t="n"/>
      <c r="B1029" s="36" t="n"/>
      <c r="C1029" s="38" t="n"/>
      <c r="D1029" s="32" t="n"/>
      <c r="E1029" s="43">
        <f>IF(OR(A1029="",B1029=""),"",SUMPRODUCT(MAX(($B$6:$B$2005=B1029)*($A$6:$A$2005&lt;A1029)*$A$6:$A$2005)))</f>
        <v/>
      </c>
      <c r="F1029" s="41">
        <f>IF(OR(E1029="",E1029=0),"",IFERROR(AVERAGEIFS($C$6:$C$2005,$B$6:$B$2005,B1029,$A$6:$A$2005,E1029),""))</f>
        <v/>
      </c>
      <c r="G1029" s="34">
        <f>IF(F1029="","",A1029-E1029)</f>
        <v/>
      </c>
      <c r="H1029" s="42">
        <f>IF(OR(F1029="",C1029=""),"",IFERROR((C1029-F1029)/G1029,""))</f>
        <v/>
      </c>
      <c r="I1029" s="39">
        <f>IF(B1029="","",IFERROR(INDEX('Animais'!$M$6:$M$1005,MATCH(B1029,'Animais'!$A$6:$A$1005,0)),"Brinco não cadastrado"))</f>
        <v/>
      </c>
    </row>
    <row r="1030">
      <c r="A1030" s="31" t="n"/>
      <c r="B1030" s="36" t="n"/>
      <c r="C1030" s="38" t="n"/>
      <c r="D1030" s="32" t="n"/>
      <c r="E1030" s="43">
        <f>IF(OR(A1030="",B1030=""),"",SUMPRODUCT(MAX(($B$6:$B$2005=B1030)*($A$6:$A$2005&lt;A1030)*$A$6:$A$2005)))</f>
        <v/>
      </c>
      <c r="F1030" s="41">
        <f>IF(OR(E1030="",E1030=0),"",IFERROR(AVERAGEIFS($C$6:$C$2005,$B$6:$B$2005,B1030,$A$6:$A$2005,E1030),""))</f>
        <v/>
      </c>
      <c r="G1030" s="34">
        <f>IF(F1030="","",A1030-E1030)</f>
        <v/>
      </c>
      <c r="H1030" s="42">
        <f>IF(OR(F1030="",C1030=""),"",IFERROR((C1030-F1030)/G1030,""))</f>
        <v/>
      </c>
      <c r="I1030" s="39">
        <f>IF(B1030="","",IFERROR(INDEX('Animais'!$M$6:$M$1005,MATCH(B1030,'Animais'!$A$6:$A$1005,0)),"Brinco não cadastrado"))</f>
        <v/>
      </c>
    </row>
    <row r="1031">
      <c r="A1031" s="31" t="n"/>
      <c r="B1031" s="36" t="n"/>
      <c r="C1031" s="38" t="n"/>
      <c r="D1031" s="32" t="n"/>
      <c r="E1031" s="43">
        <f>IF(OR(A1031="",B1031=""),"",SUMPRODUCT(MAX(($B$6:$B$2005=B1031)*($A$6:$A$2005&lt;A1031)*$A$6:$A$2005)))</f>
        <v/>
      </c>
      <c r="F1031" s="41">
        <f>IF(OR(E1031="",E1031=0),"",IFERROR(AVERAGEIFS($C$6:$C$2005,$B$6:$B$2005,B1031,$A$6:$A$2005,E1031),""))</f>
        <v/>
      </c>
      <c r="G1031" s="34">
        <f>IF(F1031="","",A1031-E1031)</f>
        <v/>
      </c>
      <c r="H1031" s="42">
        <f>IF(OR(F1031="",C1031=""),"",IFERROR((C1031-F1031)/G1031,""))</f>
        <v/>
      </c>
      <c r="I1031" s="39">
        <f>IF(B1031="","",IFERROR(INDEX('Animais'!$M$6:$M$1005,MATCH(B1031,'Animais'!$A$6:$A$1005,0)),"Brinco não cadastrado"))</f>
        <v/>
      </c>
    </row>
    <row r="1032">
      <c r="A1032" s="31" t="n"/>
      <c r="B1032" s="36" t="n"/>
      <c r="C1032" s="38" t="n"/>
      <c r="D1032" s="32" t="n"/>
      <c r="E1032" s="43">
        <f>IF(OR(A1032="",B1032=""),"",SUMPRODUCT(MAX(($B$6:$B$2005=B1032)*($A$6:$A$2005&lt;A1032)*$A$6:$A$2005)))</f>
        <v/>
      </c>
      <c r="F1032" s="41">
        <f>IF(OR(E1032="",E1032=0),"",IFERROR(AVERAGEIFS($C$6:$C$2005,$B$6:$B$2005,B1032,$A$6:$A$2005,E1032),""))</f>
        <v/>
      </c>
      <c r="G1032" s="34">
        <f>IF(F1032="","",A1032-E1032)</f>
        <v/>
      </c>
      <c r="H1032" s="42">
        <f>IF(OR(F1032="",C1032=""),"",IFERROR((C1032-F1032)/G1032,""))</f>
        <v/>
      </c>
      <c r="I1032" s="39">
        <f>IF(B1032="","",IFERROR(INDEX('Animais'!$M$6:$M$1005,MATCH(B1032,'Animais'!$A$6:$A$1005,0)),"Brinco não cadastrado"))</f>
        <v/>
      </c>
    </row>
    <row r="1033">
      <c r="A1033" s="31" t="n"/>
      <c r="B1033" s="36" t="n"/>
      <c r="C1033" s="38" t="n"/>
      <c r="D1033" s="32" t="n"/>
      <c r="E1033" s="43">
        <f>IF(OR(A1033="",B1033=""),"",SUMPRODUCT(MAX(($B$6:$B$2005=B1033)*($A$6:$A$2005&lt;A1033)*$A$6:$A$2005)))</f>
        <v/>
      </c>
      <c r="F1033" s="41">
        <f>IF(OR(E1033="",E1033=0),"",IFERROR(AVERAGEIFS($C$6:$C$2005,$B$6:$B$2005,B1033,$A$6:$A$2005,E1033),""))</f>
        <v/>
      </c>
      <c r="G1033" s="34">
        <f>IF(F1033="","",A1033-E1033)</f>
        <v/>
      </c>
      <c r="H1033" s="42">
        <f>IF(OR(F1033="",C1033=""),"",IFERROR((C1033-F1033)/G1033,""))</f>
        <v/>
      </c>
      <c r="I1033" s="39">
        <f>IF(B1033="","",IFERROR(INDEX('Animais'!$M$6:$M$1005,MATCH(B1033,'Animais'!$A$6:$A$1005,0)),"Brinco não cadastrado"))</f>
        <v/>
      </c>
    </row>
    <row r="1034">
      <c r="A1034" s="31" t="n"/>
      <c r="B1034" s="36" t="n"/>
      <c r="C1034" s="38" t="n"/>
      <c r="D1034" s="32" t="n"/>
      <c r="E1034" s="43">
        <f>IF(OR(A1034="",B1034=""),"",SUMPRODUCT(MAX(($B$6:$B$2005=B1034)*($A$6:$A$2005&lt;A1034)*$A$6:$A$2005)))</f>
        <v/>
      </c>
      <c r="F1034" s="41">
        <f>IF(OR(E1034="",E1034=0),"",IFERROR(AVERAGEIFS($C$6:$C$2005,$B$6:$B$2005,B1034,$A$6:$A$2005,E1034),""))</f>
        <v/>
      </c>
      <c r="G1034" s="34">
        <f>IF(F1034="","",A1034-E1034)</f>
        <v/>
      </c>
      <c r="H1034" s="42">
        <f>IF(OR(F1034="",C1034=""),"",IFERROR((C1034-F1034)/G1034,""))</f>
        <v/>
      </c>
      <c r="I1034" s="39">
        <f>IF(B1034="","",IFERROR(INDEX('Animais'!$M$6:$M$1005,MATCH(B1034,'Animais'!$A$6:$A$1005,0)),"Brinco não cadastrado"))</f>
        <v/>
      </c>
    </row>
    <row r="1035">
      <c r="A1035" s="31" t="n"/>
      <c r="B1035" s="36" t="n"/>
      <c r="C1035" s="38" t="n"/>
      <c r="D1035" s="32" t="n"/>
      <c r="E1035" s="43">
        <f>IF(OR(A1035="",B1035=""),"",SUMPRODUCT(MAX(($B$6:$B$2005=B1035)*($A$6:$A$2005&lt;A1035)*$A$6:$A$2005)))</f>
        <v/>
      </c>
      <c r="F1035" s="41">
        <f>IF(OR(E1035="",E1035=0),"",IFERROR(AVERAGEIFS($C$6:$C$2005,$B$6:$B$2005,B1035,$A$6:$A$2005,E1035),""))</f>
        <v/>
      </c>
      <c r="G1035" s="34">
        <f>IF(F1035="","",A1035-E1035)</f>
        <v/>
      </c>
      <c r="H1035" s="42">
        <f>IF(OR(F1035="",C1035=""),"",IFERROR((C1035-F1035)/G1035,""))</f>
        <v/>
      </c>
      <c r="I1035" s="39">
        <f>IF(B1035="","",IFERROR(INDEX('Animais'!$M$6:$M$1005,MATCH(B1035,'Animais'!$A$6:$A$1005,0)),"Brinco não cadastrado"))</f>
        <v/>
      </c>
    </row>
    <row r="1036">
      <c r="A1036" s="31" t="n"/>
      <c r="B1036" s="36" t="n"/>
      <c r="C1036" s="38" t="n"/>
      <c r="D1036" s="32" t="n"/>
      <c r="E1036" s="43">
        <f>IF(OR(A1036="",B1036=""),"",SUMPRODUCT(MAX(($B$6:$B$2005=B1036)*($A$6:$A$2005&lt;A1036)*$A$6:$A$2005)))</f>
        <v/>
      </c>
      <c r="F1036" s="41">
        <f>IF(OR(E1036="",E1036=0),"",IFERROR(AVERAGEIFS($C$6:$C$2005,$B$6:$B$2005,B1036,$A$6:$A$2005,E1036),""))</f>
        <v/>
      </c>
      <c r="G1036" s="34">
        <f>IF(F1036="","",A1036-E1036)</f>
        <v/>
      </c>
      <c r="H1036" s="42">
        <f>IF(OR(F1036="",C1036=""),"",IFERROR((C1036-F1036)/G1036,""))</f>
        <v/>
      </c>
      <c r="I1036" s="39">
        <f>IF(B1036="","",IFERROR(INDEX('Animais'!$M$6:$M$1005,MATCH(B1036,'Animais'!$A$6:$A$1005,0)),"Brinco não cadastrado"))</f>
        <v/>
      </c>
    </row>
    <row r="1037">
      <c r="A1037" s="31" t="n"/>
      <c r="B1037" s="36" t="n"/>
      <c r="C1037" s="38" t="n"/>
      <c r="D1037" s="32" t="n"/>
      <c r="E1037" s="43">
        <f>IF(OR(A1037="",B1037=""),"",SUMPRODUCT(MAX(($B$6:$B$2005=B1037)*($A$6:$A$2005&lt;A1037)*$A$6:$A$2005)))</f>
        <v/>
      </c>
      <c r="F1037" s="41">
        <f>IF(OR(E1037="",E1037=0),"",IFERROR(AVERAGEIFS($C$6:$C$2005,$B$6:$B$2005,B1037,$A$6:$A$2005,E1037),""))</f>
        <v/>
      </c>
      <c r="G1037" s="34">
        <f>IF(F1037="","",A1037-E1037)</f>
        <v/>
      </c>
      <c r="H1037" s="42">
        <f>IF(OR(F1037="",C1037=""),"",IFERROR((C1037-F1037)/G1037,""))</f>
        <v/>
      </c>
      <c r="I1037" s="39">
        <f>IF(B1037="","",IFERROR(INDEX('Animais'!$M$6:$M$1005,MATCH(B1037,'Animais'!$A$6:$A$1005,0)),"Brinco não cadastrado"))</f>
        <v/>
      </c>
    </row>
    <row r="1038">
      <c r="A1038" s="31" t="n"/>
      <c r="B1038" s="36" t="n"/>
      <c r="C1038" s="38" t="n"/>
      <c r="D1038" s="32" t="n"/>
      <c r="E1038" s="43">
        <f>IF(OR(A1038="",B1038=""),"",SUMPRODUCT(MAX(($B$6:$B$2005=B1038)*($A$6:$A$2005&lt;A1038)*$A$6:$A$2005)))</f>
        <v/>
      </c>
      <c r="F1038" s="41">
        <f>IF(OR(E1038="",E1038=0),"",IFERROR(AVERAGEIFS($C$6:$C$2005,$B$6:$B$2005,B1038,$A$6:$A$2005,E1038),""))</f>
        <v/>
      </c>
      <c r="G1038" s="34">
        <f>IF(F1038="","",A1038-E1038)</f>
        <v/>
      </c>
      <c r="H1038" s="42">
        <f>IF(OR(F1038="",C1038=""),"",IFERROR((C1038-F1038)/G1038,""))</f>
        <v/>
      </c>
      <c r="I1038" s="39">
        <f>IF(B1038="","",IFERROR(INDEX('Animais'!$M$6:$M$1005,MATCH(B1038,'Animais'!$A$6:$A$1005,0)),"Brinco não cadastrado"))</f>
        <v/>
      </c>
    </row>
    <row r="1039">
      <c r="A1039" s="31" t="n"/>
      <c r="B1039" s="36" t="n"/>
      <c r="C1039" s="38" t="n"/>
      <c r="D1039" s="32" t="n"/>
      <c r="E1039" s="43">
        <f>IF(OR(A1039="",B1039=""),"",SUMPRODUCT(MAX(($B$6:$B$2005=B1039)*($A$6:$A$2005&lt;A1039)*$A$6:$A$2005)))</f>
        <v/>
      </c>
      <c r="F1039" s="41">
        <f>IF(OR(E1039="",E1039=0),"",IFERROR(AVERAGEIFS($C$6:$C$2005,$B$6:$B$2005,B1039,$A$6:$A$2005,E1039),""))</f>
        <v/>
      </c>
      <c r="G1039" s="34">
        <f>IF(F1039="","",A1039-E1039)</f>
        <v/>
      </c>
      <c r="H1039" s="42">
        <f>IF(OR(F1039="",C1039=""),"",IFERROR((C1039-F1039)/G1039,""))</f>
        <v/>
      </c>
      <c r="I1039" s="39">
        <f>IF(B1039="","",IFERROR(INDEX('Animais'!$M$6:$M$1005,MATCH(B1039,'Animais'!$A$6:$A$1005,0)),"Brinco não cadastrado"))</f>
        <v/>
      </c>
    </row>
    <row r="1040">
      <c r="A1040" s="31" t="n"/>
      <c r="B1040" s="36" t="n"/>
      <c r="C1040" s="38" t="n"/>
      <c r="D1040" s="32" t="n"/>
      <c r="E1040" s="43">
        <f>IF(OR(A1040="",B1040=""),"",SUMPRODUCT(MAX(($B$6:$B$2005=B1040)*($A$6:$A$2005&lt;A1040)*$A$6:$A$2005)))</f>
        <v/>
      </c>
      <c r="F1040" s="41">
        <f>IF(OR(E1040="",E1040=0),"",IFERROR(AVERAGEIFS($C$6:$C$2005,$B$6:$B$2005,B1040,$A$6:$A$2005,E1040),""))</f>
        <v/>
      </c>
      <c r="G1040" s="34">
        <f>IF(F1040="","",A1040-E1040)</f>
        <v/>
      </c>
      <c r="H1040" s="42">
        <f>IF(OR(F1040="",C1040=""),"",IFERROR((C1040-F1040)/G1040,""))</f>
        <v/>
      </c>
      <c r="I1040" s="39">
        <f>IF(B1040="","",IFERROR(INDEX('Animais'!$M$6:$M$1005,MATCH(B1040,'Animais'!$A$6:$A$1005,0)),"Brinco não cadastrado"))</f>
        <v/>
      </c>
    </row>
    <row r="1041">
      <c r="A1041" s="31" t="n"/>
      <c r="B1041" s="36" t="n"/>
      <c r="C1041" s="38" t="n"/>
      <c r="D1041" s="32" t="n"/>
      <c r="E1041" s="43">
        <f>IF(OR(A1041="",B1041=""),"",SUMPRODUCT(MAX(($B$6:$B$2005=B1041)*($A$6:$A$2005&lt;A1041)*$A$6:$A$2005)))</f>
        <v/>
      </c>
      <c r="F1041" s="41">
        <f>IF(OR(E1041="",E1041=0),"",IFERROR(AVERAGEIFS($C$6:$C$2005,$B$6:$B$2005,B1041,$A$6:$A$2005,E1041),""))</f>
        <v/>
      </c>
      <c r="G1041" s="34">
        <f>IF(F1041="","",A1041-E1041)</f>
        <v/>
      </c>
      <c r="H1041" s="42">
        <f>IF(OR(F1041="",C1041=""),"",IFERROR((C1041-F1041)/G1041,""))</f>
        <v/>
      </c>
      <c r="I1041" s="39">
        <f>IF(B1041="","",IFERROR(INDEX('Animais'!$M$6:$M$1005,MATCH(B1041,'Animais'!$A$6:$A$1005,0)),"Brinco não cadastrado"))</f>
        <v/>
      </c>
    </row>
    <row r="1042">
      <c r="A1042" s="31" t="n"/>
      <c r="B1042" s="36" t="n"/>
      <c r="C1042" s="38" t="n"/>
      <c r="D1042" s="32" t="n"/>
      <c r="E1042" s="43">
        <f>IF(OR(A1042="",B1042=""),"",SUMPRODUCT(MAX(($B$6:$B$2005=B1042)*($A$6:$A$2005&lt;A1042)*$A$6:$A$2005)))</f>
        <v/>
      </c>
      <c r="F1042" s="41">
        <f>IF(OR(E1042="",E1042=0),"",IFERROR(AVERAGEIFS($C$6:$C$2005,$B$6:$B$2005,B1042,$A$6:$A$2005,E1042),""))</f>
        <v/>
      </c>
      <c r="G1042" s="34">
        <f>IF(F1042="","",A1042-E1042)</f>
        <v/>
      </c>
      <c r="H1042" s="42">
        <f>IF(OR(F1042="",C1042=""),"",IFERROR((C1042-F1042)/G1042,""))</f>
        <v/>
      </c>
      <c r="I1042" s="39">
        <f>IF(B1042="","",IFERROR(INDEX('Animais'!$M$6:$M$1005,MATCH(B1042,'Animais'!$A$6:$A$1005,0)),"Brinco não cadastrado"))</f>
        <v/>
      </c>
    </row>
    <row r="1043">
      <c r="A1043" s="31" t="n"/>
      <c r="B1043" s="36" t="n"/>
      <c r="C1043" s="38" t="n"/>
      <c r="D1043" s="32" t="n"/>
      <c r="E1043" s="43">
        <f>IF(OR(A1043="",B1043=""),"",SUMPRODUCT(MAX(($B$6:$B$2005=B1043)*($A$6:$A$2005&lt;A1043)*$A$6:$A$2005)))</f>
        <v/>
      </c>
      <c r="F1043" s="41">
        <f>IF(OR(E1043="",E1043=0),"",IFERROR(AVERAGEIFS($C$6:$C$2005,$B$6:$B$2005,B1043,$A$6:$A$2005,E1043),""))</f>
        <v/>
      </c>
      <c r="G1043" s="34">
        <f>IF(F1043="","",A1043-E1043)</f>
        <v/>
      </c>
      <c r="H1043" s="42">
        <f>IF(OR(F1043="",C1043=""),"",IFERROR((C1043-F1043)/G1043,""))</f>
        <v/>
      </c>
      <c r="I1043" s="39">
        <f>IF(B1043="","",IFERROR(INDEX('Animais'!$M$6:$M$1005,MATCH(B1043,'Animais'!$A$6:$A$1005,0)),"Brinco não cadastrado"))</f>
        <v/>
      </c>
    </row>
    <row r="1044">
      <c r="A1044" s="31" t="n"/>
      <c r="B1044" s="36" t="n"/>
      <c r="C1044" s="38" t="n"/>
      <c r="D1044" s="32" t="n"/>
      <c r="E1044" s="43">
        <f>IF(OR(A1044="",B1044=""),"",SUMPRODUCT(MAX(($B$6:$B$2005=B1044)*($A$6:$A$2005&lt;A1044)*$A$6:$A$2005)))</f>
        <v/>
      </c>
      <c r="F1044" s="41">
        <f>IF(OR(E1044="",E1044=0),"",IFERROR(AVERAGEIFS($C$6:$C$2005,$B$6:$B$2005,B1044,$A$6:$A$2005,E1044),""))</f>
        <v/>
      </c>
      <c r="G1044" s="34">
        <f>IF(F1044="","",A1044-E1044)</f>
        <v/>
      </c>
      <c r="H1044" s="42">
        <f>IF(OR(F1044="",C1044=""),"",IFERROR((C1044-F1044)/G1044,""))</f>
        <v/>
      </c>
      <c r="I1044" s="39">
        <f>IF(B1044="","",IFERROR(INDEX('Animais'!$M$6:$M$1005,MATCH(B1044,'Animais'!$A$6:$A$1005,0)),"Brinco não cadastrado"))</f>
        <v/>
      </c>
    </row>
    <row r="1045">
      <c r="A1045" s="31" t="n"/>
      <c r="B1045" s="36" t="n"/>
      <c r="C1045" s="38" t="n"/>
      <c r="D1045" s="32" t="n"/>
      <c r="E1045" s="43">
        <f>IF(OR(A1045="",B1045=""),"",SUMPRODUCT(MAX(($B$6:$B$2005=B1045)*($A$6:$A$2005&lt;A1045)*$A$6:$A$2005)))</f>
        <v/>
      </c>
      <c r="F1045" s="41">
        <f>IF(OR(E1045="",E1045=0),"",IFERROR(AVERAGEIFS($C$6:$C$2005,$B$6:$B$2005,B1045,$A$6:$A$2005,E1045),""))</f>
        <v/>
      </c>
      <c r="G1045" s="34">
        <f>IF(F1045="","",A1045-E1045)</f>
        <v/>
      </c>
      <c r="H1045" s="42">
        <f>IF(OR(F1045="",C1045=""),"",IFERROR((C1045-F1045)/G1045,""))</f>
        <v/>
      </c>
      <c r="I1045" s="39">
        <f>IF(B1045="","",IFERROR(INDEX('Animais'!$M$6:$M$1005,MATCH(B1045,'Animais'!$A$6:$A$1005,0)),"Brinco não cadastrado"))</f>
        <v/>
      </c>
    </row>
    <row r="1046">
      <c r="A1046" s="31" t="n"/>
      <c r="B1046" s="36" t="n"/>
      <c r="C1046" s="38" t="n"/>
      <c r="D1046" s="32" t="n"/>
      <c r="E1046" s="43">
        <f>IF(OR(A1046="",B1046=""),"",SUMPRODUCT(MAX(($B$6:$B$2005=B1046)*($A$6:$A$2005&lt;A1046)*$A$6:$A$2005)))</f>
        <v/>
      </c>
      <c r="F1046" s="41">
        <f>IF(OR(E1046="",E1046=0),"",IFERROR(AVERAGEIFS($C$6:$C$2005,$B$6:$B$2005,B1046,$A$6:$A$2005,E1046),""))</f>
        <v/>
      </c>
      <c r="G1046" s="34">
        <f>IF(F1046="","",A1046-E1046)</f>
        <v/>
      </c>
      <c r="H1046" s="42">
        <f>IF(OR(F1046="",C1046=""),"",IFERROR((C1046-F1046)/G1046,""))</f>
        <v/>
      </c>
      <c r="I1046" s="39">
        <f>IF(B1046="","",IFERROR(INDEX('Animais'!$M$6:$M$1005,MATCH(B1046,'Animais'!$A$6:$A$1005,0)),"Brinco não cadastrado"))</f>
        <v/>
      </c>
    </row>
    <row r="1047">
      <c r="A1047" s="31" t="n"/>
      <c r="B1047" s="36" t="n"/>
      <c r="C1047" s="38" t="n"/>
      <c r="D1047" s="32" t="n"/>
      <c r="E1047" s="43">
        <f>IF(OR(A1047="",B1047=""),"",SUMPRODUCT(MAX(($B$6:$B$2005=B1047)*($A$6:$A$2005&lt;A1047)*$A$6:$A$2005)))</f>
        <v/>
      </c>
      <c r="F1047" s="41">
        <f>IF(OR(E1047="",E1047=0),"",IFERROR(AVERAGEIFS($C$6:$C$2005,$B$6:$B$2005,B1047,$A$6:$A$2005,E1047),""))</f>
        <v/>
      </c>
      <c r="G1047" s="34">
        <f>IF(F1047="","",A1047-E1047)</f>
        <v/>
      </c>
      <c r="H1047" s="42">
        <f>IF(OR(F1047="",C1047=""),"",IFERROR((C1047-F1047)/G1047,""))</f>
        <v/>
      </c>
      <c r="I1047" s="39">
        <f>IF(B1047="","",IFERROR(INDEX('Animais'!$M$6:$M$1005,MATCH(B1047,'Animais'!$A$6:$A$1005,0)),"Brinco não cadastrado"))</f>
        <v/>
      </c>
    </row>
    <row r="1048">
      <c r="A1048" s="31" t="n"/>
      <c r="B1048" s="36" t="n"/>
      <c r="C1048" s="38" t="n"/>
      <c r="D1048" s="32" t="n"/>
      <c r="E1048" s="43">
        <f>IF(OR(A1048="",B1048=""),"",SUMPRODUCT(MAX(($B$6:$B$2005=B1048)*($A$6:$A$2005&lt;A1048)*$A$6:$A$2005)))</f>
        <v/>
      </c>
      <c r="F1048" s="41">
        <f>IF(OR(E1048="",E1048=0),"",IFERROR(AVERAGEIFS($C$6:$C$2005,$B$6:$B$2005,B1048,$A$6:$A$2005,E1048),""))</f>
        <v/>
      </c>
      <c r="G1048" s="34">
        <f>IF(F1048="","",A1048-E1048)</f>
        <v/>
      </c>
      <c r="H1048" s="42">
        <f>IF(OR(F1048="",C1048=""),"",IFERROR((C1048-F1048)/G1048,""))</f>
        <v/>
      </c>
      <c r="I1048" s="39">
        <f>IF(B1048="","",IFERROR(INDEX('Animais'!$M$6:$M$1005,MATCH(B1048,'Animais'!$A$6:$A$1005,0)),"Brinco não cadastrado"))</f>
        <v/>
      </c>
    </row>
    <row r="1049">
      <c r="A1049" s="31" t="n"/>
      <c r="B1049" s="36" t="n"/>
      <c r="C1049" s="38" t="n"/>
      <c r="D1049" s="32" t="n"/>
      <c r="E1049" s="43">
        <f>IF(OR(A1049="",B1049=""),"",SUMPRODUCT(MAX(($B$6:$B$2005=B1049)*($A$6:$A$2005&lt;A1049)*$A$6:$A$2005)))</f>
        <v/>
      </c>
      <c r="F1049" s="41">
        <f>IF(OR(E1049="",E1049=0),"",IFERROR(AVERAGEIFS($C$6:$C$2005,$B$6:$B$2005,B1049,$A$6:$A$2005,E1049),""))</f>
        <v/>
      </c>
      <c r="G1049" s="34">
        <f>IF(F1049="","",A1049-E1049)</f>
        <v/>
      </c>
      <c r="H1049" s="42">
        <f>IF(OR(F1049="",C1049=""),"",IFERROR((C1049-F1049)/G1049,""))</f>
        <v/>
      </c>
      <c r="I1049" s="39">
        <f>IF(B1049="","",IFERROR(INDEX('Animais'!$M$6:$M$1005,MATCH(B1049,'Animais'!$A$6:$A$1005,0)),"Brinco não cadastrado"))</f>
        <v/>
      </c>
    </row>
    <row r="1050">
      <c r="A1050" s="31" t="n"/>
      <c r="B1050" s="36" t="n"/>
      <c r="C1050" s="38" t="n"/>
      <c r="D1050" s="32" t="n"/>
      <c r="E1050" s="43">
        <f>IF(OR(A1050="",B1050=""),"",SUMPRODUCT(MAX(($B$6:$B$2005=B1050)*($A$6:$A$2005&lt;A1050)*$A$6:$A$2005)))</f>
        <v/>
      </c>
      <c r="F1050" s="41">
        <f>IF(OR(E1050="",E1050=0),"",IFERROR(AVERAGEIFS($C$6:$C$2005,$B$6:$B$2005,B1050,$A$6:$A$2005,E1050),""))</f>
        <v/>
      </c>
      <c r="G1050" s="34">
        <f>IF(F1050="","",A1050-E1050)</f>
        <v/>
      </c>
      <c r="H1050" s="42">
        <f>IF(OR(F1050="",C1050=""),"",IFERROR((C1050-F1050)/G1050,""))</f>
        <v/>
      </c>
      <c r="I1050" s="39">
        <f>IF(B1050="","",IFERROR(INDEX('Animais'!$M$6:$M$1005,MATCH(B1050,'Animais'!$A$6:$A$1005,0)),"Brinco não cadastrado"))</f>
        <v/>
      </c>
    </row>
    <row r="1051">
      <c r="A1051" s="31" t="n"/>
      <c r="B1051" s="36" t="n"/>
      <c r="C1051" s="38" t="n"/>
      <c r="D1051" s="32" t="n"/>
      <c r="E1051" s="43">
        <f>IF(OR(A1051="",B1051=""),"",SUMPRODUCT(MAX(($B$6:$B$2005=B1051)*($A$6:$A$2005&lt;A1051)*$A$6:$A$2005)))</f>
        <v/>
      </c>
      <c r="F1051" s="41">
        <f>IF(OR(E1051="",E1051=0),"",IFERROR(AVERAGEIFS($C$6:$C$2005,$B$6:$B$2005,B1051,$A$6:$A$2005,E1051),""))</f>
        <v/>
      </c>
      <c r="G1051" s="34">
        <f>IF(F1051="","",A1051-E1051)</f>
        <v/>
      </c>
      <c r="H1051" s="42">
        <f>IF(OR(F1051="",C1051=""),"",IFERROR((C1051-F1051)/G1051,""))</f>
        <v/>
      </c>
      <c r="I1051" s="39">
        <f>IF(B1051="","",IFERROR(INDEX('Animais'!$M$6:$M$1005,MATCH(B1051,'Animais'!$A$6:$A$1005,0)),"Brinco não cadastrado"))</f>
        <v/>
      </c>
    </row>
    <row r="1052">
      <c r="A1052" s="31" t="n"/>
      <c r="B1052" s="36" t="n"/>
      <c r="C1052" s="38" t="n"/>
      <c r="D1052" s="32" t="n"/>
      <c r="E1052" s="43">
        <f>IF(OR(A1052="",B1052=""),"",SUMPRODUCT(MAX(($B$6:$B$2005=B1052)*($A$6:$A$2005&lt;A1052)*$A$6:$A$2005)))</f>
        <v/>
      </c>
      <c r="F1052" s="41">
        <f>IF(OR(E1052="",E1052=0),"",IFERROR(AVERAGEIFS($C$6:$C$2005,$B$6:$B$2005,B1052,$A$6:$A$2005,E1052),""))</f>
        <v/>
      </c>
      <c r="G1052" s="34">
        <f>IF(F1052="","",A1052-E1052)</f>
        <v/>
      </c>
      <c r="H1052" s="42">
        <f>IF(OR(F1052="",C1052=""),"",IFERROR((C1052-F1052)/G1052,""))</f>
        <v/>
      </c>
      <c r="I1052" s="39">
        <f>IF(B1052="","",IFERROR(INDEX('Animais'!$M$6:$M$1005,MATCH(B1052,'Animais'!$A$6:$A$1005,0)),"Brinco não cadastrado"))</f>
        <v/>
      </c>
    </row>
    <row r="1053">
      <c r="A1053" s="31" t="n"/>
      <c r="B1053" s="36" t="n"/>
      <c r="C1053" s="38" t="n"/>
      <c r="D1053" s="32" t="n"/>
      <c r="E1053" s="43">
        <f>IF(OR(A1053="",B1053=""),"",SUMPRODUCT(MAX(($B$6:$B$2005=B1053)*($A$6:$A$2005&lt;A1053)*$A$6:$A$2005)))</f>
        <v/>
      </c>
      <c r="F1053" s="41">
        <f>IF(OR(E1053="",E1053=0),"",IFERROR(AVERAGEIFS($C$6:$C$2005,$B$6:$B$2005,B1053,$A$6:$A$2005,E1053),""))</f>
        <v/>
      </c>
      <c r="G1053" s="34">
        <f>IF(F1053="","",A1053-E1053)</f>
        <v/>
      </c>
      <c r="H1053" s="42">
        <f>IF(OR(F1053="",C1053=""),"",IFERROR((C1053-F1053)/G1053,""))</f>
        <v/>
      </c>
      <c r="I1053" s="39">
        <f>IF(B1053="","",IFERROR(INDEX('Animais'!$M$6:$M$1005,MATCH(B1053,'Animais'!$A$6:$A$1005,0)),"Brinco não cadastrado"))</f>
        <v/>
      </c>
    </row>
    <row r="1054">
      <c r="A1054" s="31" t="n"/>
      <c r="B1054" s="36" t="n"/>
      <c r="C1054" s="38" t="n"/>
      <c r="D1054" s="32" t="n"/>
      <c r="E1054" s="43">
        <f>IF(OR(A1054="",B1054=""),"",SUMPRODUCT(MAX(($B$6:$B$2005=B1054)*($A$6:$A$2005&lt;A1054)*$A$6:$A$2005)))</f>
        <v/>
      </c>
      <c r="F1054" s="41">
        <f>IF(OR(E1054="",E1054=0),"",IFERROR(AVERAGEIFS($C$6:$C$2005,$B$6:$B$2005,B1054,$A$6:$A$2005,E1054),""))</f>
        <v/>
      </c>
      <c r="G1054" s="34">
        <f>IF(F1054="","",A1054-E1054)</f>
        <v/>
      </c>
      <c r="H1054" s="42">
        <f>IF(OR(F1054="",C1054=""),"",IFERROR((C1054-F1054)/G1054,""))</f>
        <v/>
      </c>
      <c r="I1054" s="39">
        <f>IF(B1054="","",IFERROR(INDEX('Animais'!$M$6:$M$1005,MATCH(B1054,'Animais'!$A$6:$A$1005,0)),"Brinco não cadastrado"))</f>
        <v/>
      </c>
    </row>
    <row r="1055">
      <c r="A1055" s="31" t="n"/>
      <c r="B1055" s="36" t="n"/>
      <c r="C1055" s="38" t="n"/>
      <c r="D1055" s="32" t="n"/>
      <c r="E1055" s="43">
        <f>IF(OR(A1055="",B1055=""),"",SUMPRODUCT(MAX(($B$6:$B$2005=B1055)*($A$6:$A$2005&lt;A1055)*$A$6:$A$2005)))</f>
        <v/>
      </c>
      <c r="F1055" s="41">
        <f>IF(OR(E1055="",E1055=0),"",IFERROR(AVERAGEIFS($C$6:$C$2005,$B$6:$B$2005,B1055,$A$6:$A$2005,E1055),""))</f>
        <v/>
      </c>
      <c r="G1055" s="34">
        <f>IF(F1055="","",A1055-E1055)</f>
        <v/>
      </c>
      <c r="H1055" s="42">
        <f>IF(OR(F1055="",C1055=""),"",IFERROR((C1055-F1055)/G1055,""))</f>
        <v/>
      </c>
      <c r="I1055" s="39">
        <f>IF(B1055="","",IFERROR(INDEX('Animais'!$M$6:$M$1005,MATCH(B1055,'Animais'!$A$6:$A$1005,0)),"Brinco não cadastrado"))</f>
        <v/>
      </c>
    </row>
    <row r="1056">
      <c r="A1056" s="31" t="n"/>
      <c r="B1056" s="36" t="n"/>
      <c r="C1056" s="38" t="n"/>
      <c r="D1056" s="32" t="n"/>
      <c r="E1056" s="43">
        <f>IF(OR(A1056="",B1056=""),"",SUMPRODUCT(MAX(($B$6:$B$2005=B1056)*($A$6:$A$2005&lt;A1056)*$A$6:$A$2005)))</f>
        <v/>
      </c>
      <c r="F1056" s="41">
        <f>IF(OR(E1056="",E1056=0),"",IFERROR(AVERAGEIFS($C$6:$C$2005,$B$6:$B$2005,B1056,$A$6:$A$2005,E1056),""))</f>
        <v/>
      </c>
      <c r="G1056" s="34">
        <f>IF(F1056="","",A1056-E1056)</f>
        <v/>
      </c>
      <c r="H1056" s="42">
        <f>IF(OR(F1056="",C1056=""),"",IFERROR((C1056-F1056)/G1056,""))</f>
        <v/>
      </c>
      <c r="I1056" s="39">
        <f>IF(B1056="","",IFERROR(INDEX('Animais'!$M$6:$M$1005,MATCH(B1056,'Animais'!$A$6:$A$1005,0)),"Brinco não cadastrado"))</f>
        <v/>
      </c>
    </row>
    <row r="1057">
      <c r="A1057" s="31" t="n"/>
      <c r="B1057" s="36" t="n"/>
      <c r="C1057" s="38" t="n"/>
      <c r="D1057" s="32" t="n"/>
      <c r="E1057" s="43">
        <f>IF(OR(A1057="",B1057=""),"",SUMPRODUCT(MAX(($B$6:$B$2005=B1057)*($A$6:$A$2005&lt;A1057)*$A$6:$A$2005)))</f>
        <v/>
      </c>
      <c r="F1057" s="41">
        <f>IF(OR(E1057="",E1057=0),"",IFERROR(AVERAGEIFS($C$6:$C$2005,$B$6:$B$2005,B1057,$A$6:$A$2005,E1057),""))</f>
        <v/>
      </c>
      <c r="G1057" s="34">
        <f>IF(F1057="","",A1057-E1057)</f>
        <v/>
      </c>
      <c r="H1057" s="42">
        <f>IF(OR(F1057="",C1057=""),"",IFERROR((C1057-F1057)/G1057,""))</f>
        <v/>
      </c>
      <c r="I1057" s="39">
        <f>IF(B1057="","",IFERROR(INDEX('Animais'!$M$6:$M$1005,MATCH(B1057,'Animais'!$A$6:$A$1005,0)),"Brinco não cadastrado"))</f>
        <v/>
      </c>
    </row>
    <row r="1058">
      <c r="A1058" s="31" t="n"/>
      <c r="B1058" s="36" t="n"/>
      <c r="C1058" s="38" t="n"/>
      <c r="D1058" s="32" t="n"/>
      <c r="E1058" s="43">
        <f>IF(OR(A1058="",B1058=""),"",SUMPRODUCT(MAX(($B$6:$B$2005=B1058)*($A$6:$A$2005&lt;A1058)*$A$6:$A$2005)))</f>
        <v/>
      </c>
      <c r="F1058" s="41">
        <f>IF(OR(E1058="",E1058=0),"",IFERROR(AVERAGEIFS($C$6:$C$2005,$B$6:$B$2005,B1058,$A$6:$A$2005,E1058),""))</f>
        <v/>
      </c>
      <c r="G1058" s="34">
        <f>IF(F1058="","",A1058-E1058)</f>
        <v/>
      </c>
      <c r="H1058" s="42">
        <f>IF(OR(F1058="",C1058=""),"",IFERROR((C1058-F1058)/G1058,""))</f>
        <v/>
      </c>
      <c r="I1058" s="39">
        <f>IF(B1058="","",IFERROR(INDEX('Animais'!$M$6:$M$1005,MATCH(B1058,'Animais'!$A$6:$A$1005,0)),"Brinco não cadastrado"))</f>
        <v/>
      </c>
    </row>
    <row r="1059">
      <c r="A1059" s="31" t="n"/>
      <c r="B1059" s="36" t="n"/>
      <c r="C1059" s="38" t="n"/>
      <c r="D1059" s="32" t="n"/>
      <c r="E1059" s="43">
        <f>IF(OR(A1059="",B1059=""),"",SUMPRODUCT(MAX(($B$6:$B$2005=B1059)*($A$6:$A$2005&lt;A1059)*$A$6:$A$2005)))</f>
        <v/>
      </c>
      <c r="F1059" s="41">
        <f>IF(OR(E1059="",E1059=0),"",IFERROR(AVERAGEIFS($C$6:$C$2005,$B$6:$B$2005,B1059,$A$6:$A$2005,E1059),""))</f>
        <v/>
      </c>
      <c r="G1059" s="34">
        <f>IF(F1059="","",A1059-E1059)</f>
        <v/>
      </c>
      <c r="H1059" s="42">
        <f>IF(OR(F1059="",C1059=""),"",IFERROR((C1059-F1059)/G1059,""))</f>
        <v/>
      </c>
      <c r="I1059" s="39">
        <f>IF(B1059="","",IFERROR(INDEX('Animais'!$M$6:$M$1005,MATCH(B1059,'Animais'!$A$6:$A$1005,0)),"Brinco não cadastrado"))</f>
        <v/>
      </c>
    </row>
    <row r="1060">
      <c r="A1060" s="31" t="n"/>
      <c r="B1060" s="36" t="n"/>
      <c r="C1060" s="38" t="n"/>
      <c r="D1060" s="32" t="n"/>
      <c r="E1060" s="43">
        <f>IF(OR(A1060="",B1060=""),"",SUMPRODUCT(MAX(($B$6:$B$2005=B1060)*($A$6:$A$2005&lt;A1060)*$A$6:$A$2005)))</f>
        <v/>
      </c>
      <c r="F1060" s="41">
        <f>IF(OR(E1060="",E1060=0),"",IFERROR(AVERAGEIFS($C$6:$C$2005,$B$6:$B$2005,B1060,$A$6:$A$2005,E1060),""))</f>
        <v/>
      </c>
      <c r="G1060" s="34">
        <f>IF(F1060="","",A1060-E1060)</f>
        <v/>
      </c>
      <c r="H1060" s="42">
        <f>IF(OR(F1060="",C1060=""),"",IFERROR((C1060-F1060)/G1060,""))</f>
        <v/>
      </c>
      <c r="I1060" s="39">
        <f>IF(B1060="","",IFERROR(INDEX('Animais'!$M$6:$M$1005,MATCH(B1060,'Animais'!$A$6:$A$1005,0)),"Brinco não cadastrado"))</f>
        <v/>
      </c>
    </row>
    <row r="1061">
      <c r="A1061" s="31" t="n"/>
      <c r="B1061" s="36" t="n"/>
      <c r="C1061" s="38" t="n"/>
      <c r="D1061" s="32" t="n"/>
      <c r="E1061" s="43">
        <f>IF(OR(A1061="",B1061=""),"",SUMPRODUCT(MAX(($B$6:$B$2005=B1061)*($A$6:$A$2005&lt;A1061)*$A$6:$A$2005)))</f>
        <v/>
      </c>
      <c r="F1061" s="41">
        <f>IF(OR(E1061="",E1061=0),"",IFERROR(AVERAGEIFS($C$6:$C$2005,$B$6:$B$2005,B1061,$A$6:$A$2005,E1061),""))</f>
        <v/>
      </c>
      <c r="G1061" s="34">
        <f>IF(F1061="","",A1061-E1061)</f>
        <v/>
      </c>
      <c r="H1061" s="42">
        <f>IF(OR(F1061="",C1061=""),"",IFERROR((C1061-F1061)/G1061,""))</f>
        <v/>
      </c>
      <c r="I1061" s="39">
        <f>IF(B1061="","",IFERROR(INDEX('Animais'!$M$6:$M$1005,MATCH(B1061,'Animais'!$A$6:$A$1005,0)),"Brinco não cadastrado"))</f>
        <v/>
      </c>
    </row>
    <row r="1062">
      <c r="A1062" s="31" t="n"/>
      <c r="B1062" s="36" t="n"/>
      <c r="C1062" s="38" t="n"/>
      <c r="D1062" s="32" t="n"/>
      <c r="E1062" s="43">
        <f>IF(OR(A1062="",B1062=""),"",SUMPRODUCT(MAX(($B$6:$B$2005=B1062)*($A$6:$A$2005&lt;A1062)*$A$6:$A$2005)))</f>
        <v/>
      </c>
      <c r="F1062" s="41">
        <f>IF(OR(E1062="",E1062=0),"",IFERROR(AVERAGEIFS($C$6:$C$2005,$B$6:$B$2005,B1062,$A$6:$A$2005,E1062),""))</f>
        <v/>
      </c>
      <c r="G1062" s="34">
        <f>IF(F1062="","",A1062-E1062)</f>
        <v/>
      </c>
      <c r="H1062" s="42">
        <f>IF(OR(F1062="",C1062=""),"",IFERROR((C1062-F1062)/G1062,""))</f>
        <v/>
      </c>
      <c r="I1062" s="39">
        <f>IF(B1062="","",IFERROR(INDEX('Animais'!$M$6:$M$1005,MATCH(B1062,'Animais'!$A$6:$A$1005,0)),"Brinco não cadastrado"))</f>
        <v/>
      </c>
    </row>
    <row r="1063">
      <c r="A1063" s="31" t="n"/>
      <c r="B1063" s="36" t="n"/>
      <c r="C1063" s="38" t="n"/>
      <c r="D1063" s="32" t="n"/>
      <c r="E1063" s="43">
        <f>IF(OR(A1063="",B1063=""),"",SUMPRODUCT(MAX(($B$6:$B$2005=B1063)*($A$6:$A$2005&lt;A1063)*$A$6:$A$2005)))</f>
        <v/>
      </c>
      <c r="F1063" s="41">
        <f>IF(OR(E1063="",E1063=0),"",IFERROR(AVERAGEIFS($C$6:$C$2005,$B$6:$B$2005,B1063,$A$6:$A$2005,E1063),""))</f>
        <v/>
      </c>
      <c r="G1063" s="34">
        <f>IF(F1063="","",A1063-E1063)</f>
        <v/>
      </c>
      <c r="H1063" s="42">
        <f>IF(OR(F1063="",C1063=""),"",IFERROR((C1063-F1063)/G1063,""))</f>
        <v/>
      </c>
      <c r="I1063" s="39">
        <f>IF(B1063="","",IFERROR(INDEX('Animais'!$M$6:$M$1005,MATCH(B1063,'Animais'!$A$6:$A$1005,0)),"Brinco não cadastrado"))</f>
        <v/>
      </c>
    </row>
    <row r="1064">
      <c r="A1064" s="31" t="n"/>
      <c r="B1064" s="36" t="n"/>
      <c r="C1064" s="38" t="n"/>
      <c r="D1064" s="32" t="n"/>
      <c r="E1064" s="43">
        <f>IF(OR(A1064="",B1064=""),"",SUMPRODUCT(MAX(($B$6:$B$2005=B1064)*($A$6:$A$2005&lt;A1064)*$A$6:$A$2005)))</f>
        <v/>
      </c>
      <c r="F1064" s="41">
        <f>IF(OR(E1064="",E1064=0),"",IFERROR(AVERAGEIFS($C$6:$C$2005,$B$6:$B$2005,B1064,$A$6:$A$2005,E1064),""))</f>
        <v/>
      </c>
      <c r="G1064" s="34">
        <f>IF(F1064="","",A1064-E1064)</f>
        <v/>
      </c>
      <c r="H1064" s="42">
        <f>IF(OR(F1064="",C1064=""),"",IFERROR((C1064-F1064)/G1064,""))</f>
        <v/>
      </c>
      <c r="I1064" s="39">
        <f>IF(B1064="","",IFERROR(INDEX('Animais'!$M$6:$M$1005,MATCH(B1064,'Animais'!$A$6:$A$1005,0)),"Brinco não cadastrado"))</f>
        <v/>
      </c>
    </row>
    <row r="1065">
      <c r="A1065" s="31" t="n"/>
      <c r="B1065" s="36" t="n"/>
      <c r="C1065" s="38" t="n"/>
      <c r="D1065" s="32" t="n"/>
      <c r="E1065" s="43">
        <f>IF(OR(A1065="",B1065=""),"",SUMPRODUCT(MAX(($B$6:$B$2005=B1065)*($A$6:$A$2005&lt;A1065)*$A$6:$A$2005)))</f>
        <v/>
      </c>
      <c r="F1065" s="41">
        <f>IF(OR(E1065="",E1065=0),"",IFERROR(AVERAGEIFS($C$6:$C$2005,$B$6:$B$2005,B1065,$A$6:$A$2005,E1065),""))</f>
        <v/>
      </c>
      <c r="G1065" s="34">
        <f>IF(F1065="","",A1065-E1065)</f>
        <v/>
      </c>
      <c r="H1065" s="42">
        <f>IF(OR(F1065="",C1065=""),"",IFERROR((C1065-F1065)/G1065,""))</f>
        <v/>
      </c>
      <c r="I1065" s="39">
        <f>IF(B1065="","",IFERROR(INDEX('Animais'!$M$6:$M$1005,MATCH(B1065,'Animais'!$A$6:$A$1005,0)),"Brinco não cadastrado"))</f>
        <v/>
      </c>
    </row>
    <row r="1066">
      <c r="A1066" s="31" t="n"/>
      <c r="B1066" s="36" t="n"/>
      <c r="C1066" s="38" t="n"/>
      <c r="D1066" s="32" t="n"/>
      <c r="E1066" s="43">
        <f>IF(OR(A1066="",B1066=""),"",SUMPRODUCT(MAX(($B$6:$B$2005=B1066)*($A$6:$A$2005&lt;A1066)*$A$6:$A$2005)))</f>
        <v/>
      </c>
      <c r="F1066" s="41">
        <f>IF(OR(E1066="",E1066=0),"",IFERROR(AVERAGEIFS($C$6:$C$2005,$B$6:$B$2005,B1066,$A$6:$A$2005,E1066),""))</f>
        <v/>
      </c>
      <c r="G1066" s="34">
        <f>IF(F1066="","",A1066-E1066)</f>
        <v/>
      </c>
      <c r="H1066" s="42">
        <f>IF(OR(F1066="",C1066=""),"",IFERROR((C1066-F1066)/G1066,""))</f>
        <v/>
      </c>
      <c r="I1066" s="39">
        <f>IF(B1066="","",IFERROR(INDEX('Animais'!$M$6:$M$1005,MATCH(B1066,'Animais'!$A$6:$A$1005,0)),"Brinco não cadastrado"))</f>
        <v/>
      </c>
    </row>
    <row r="1067">
      <c r="A1067" s="31" t="n"/>
      <c r="B1067" s="36" t="n"/>
      <c r="C1067" s="38" t="n"/>
      <c r="D1067" s="32" t="n"/>
      <c r="E1067" s="43">
        <f>IF(OR(A1067="",B1067=""),"",SUMPRODUCT(MAX(($B$6:$B$2005=B1067)*($A$6:$A$2005&lt;A1067)*$A$6:$A$2005)))</f>
        <v/>
      </c>
      <c r="F1067" s="41">
        <f>IF(OR(E1067="",E1067=0),"",IFERROR(AVERAGEIFS($C$6:$C$2005,$B$6:$B$2005,B1067,$A$6:$A$2005,E1067),""))</f>
        <v/>
      </c>
      <c r="G1067" s="34">
        <f>IF(F1067="","",A1067-E1067)</f>
        <v/>
      </c>
      <c r="H1067" s="42">
        <f>IF(OR(F1067="",C1067=""),"",IFERROR((C1067-F1067)/G1067,""))</f>
        <v/>
      </c>
      <c r="I1067" s="39">
        <f>IF(B1067="","",IFERROR(INDEX('Animais'!$M$6:$M$1005,MATCH(B1067,'Animais'!$A$6:$A$1005,0)),"Brinco não cadastrado"))</f>
        <v/>
      </c>
    </row>
    <row r="1068">
      <c r="A1068" s="31" t="n"/>
      <c r="B1068" s="36" t="n"/>
      <c r="C1068" s="38" t="n"/>
      <c r="D1068" s="32" t="n"/>
      <c r="E1068" s="43">
        <f>IF(OR(A1068="",B1068=""),"",SUMPRODUCT(MAX(($B$6:$B$2005=B1068)*($A$6:$A$2005&lt;A1068)*$A$6:$A$2005)))</f>
        <v/>
      </c>
      <c r="F1068" s="41">
        <f>IF(OR(E1068="",E1068=0),"",IFERROR(AVERAGEIFS($C$6:$C$2005,$B$6:$B$2005,B1068,$A$6:$A$2005,E1068),""))</f>
        <v/>
      </c>
      <c r="G1068" s="34">
        <f>IF(F1068="","",A1068-E1068)</f>
        <v/>
      </c>
      <c r="H1068" s="42">
        <f>IF(OR(F1068="",C1068=""),"",IFERROR((C1068-F1068)/G1068,""))</f>
        <v/>
      </c>
      <c r="I1068" s="39">
        <f>IF(B1068="","",IFERROR(INDEX('Animais'!$M$6:$M$1005,MATCH(B1068,'Animais'!$A$6:$A$1005,0)),"Brinco não cadastrado"))</f>
        <v/>
      </c>
    </row>
    <row r="1069">
      <c r="A1069" s="31" t="n"/>
      <c r="B1069" s="36" t="n"/>
      <c r="C1069" s="38" t="n"/>
      <c r="D1069" s="32" t="n"/>
      <c r="E1069" s="43">
        <f>IF(OR(A1069="",B1069=""),"",SUMPRODUCT(MAX(($B$6:$B$2005=B1069)*($A$6:$A$2005&lt;A1069)*$A$6:$A$2005)))</f>
        <v/>
      </c>
      <c r="F1069" s="41">
        <f>IF(OR(E1069="",E1069=0),"",IFERROR(AVERAGEIFS($C$6:$C$2005,$B$6:$B$2005,B1069,$A$6:$A$2005,E1069),""))</f>
        <v/>
      </c>
      <c r="G1069" s="34">
        <f>IF(F1069="","",A1069-E1069)</f>
        <v/>
      </c>
      <c r="H1069" s="42">
        <f>IF(OR(F1069="",C1069=""),"",IFERROR((C1069-F1069)/G1069,""))</f>
        <v/>
      </c>
      <c r="I1069" s="39">
        <f>IF(B1069="","",IFERROR(INDEX('Animais'!$M$6:$M$1005,MATCH(B1069,'Animais'!$A$6:$A$1005,0)),"Brinco não cadastrado"))</f>
        <v/>
      </c>
    </row>
    <row r="1070">
      <c r="A1070" s="31" t="n"/>
      <c r="B1070" s="36" t="n"/>
      <c r="C1070" s="38" t="n"/>
      <c r="D1070" s="32" t="n"/>
      <c r="E1070" s="43">
        <f>IF(OR(A1070="",B1070=""),"",SUMPRODUCT(MAX(($B$6:$B$2005=B1070)*($A$6:$A$2005&lt;A1070)*$A$6:$A$2005)))</f>
        <v/>
      </c>
      <c r="F1070" s="41">
        <f>IF(OR(E1070="",E1070=0),"",IFERROR(AVERAGEIFS($C$6:$C$2005,$B$6:$B$2005,B1070,$A$6:$A$2005,E1070),""))</f>
        <v/>
      </c>
      <c r="G1070" s="34">
        <f>IF(F1070="","",A1070-E1070)</f>
        <v/>
      </c>
      <c r="H1070" s="42">
        <f>IF(OR(F1070="",C1070=""),"",IFERROR((C1070-F1070)/G1070,""))</f>
        <v/>
      </c>
      <c r="I1070" s="39">
        <f>IF(B1070="","",IFERROR(INDEX('Animais'!$M$6:$M$1005,MATCH(B1070,'Animais'!$A$6:$A$1005,0)),"Brinco não cadastrado"))</f>
        <v/>
      </c>
    </row>
    <row r="1071">
      <c r="A1071" s="31" t="n"/>
      <c r="B1071" s="36" t="n"/>
      <c r="C1071" s="38" t="n"/>
      <c r="D1071" s="32" t="n"/>
      <c r="E1071" s="43">
        <f>IF(OR(A1071="",B1071=""),"",SUMPRODUCT(MAX(($B$6:$B$2005=B1071)*($A$6:$A$2005&lt;A1071)*$A$6:$A$2005)))</f>
        <v/>
      </c>
      <c r="F1071" s="41">
        <f>IF(OR(E1071="",E1071=0),"",IFERROR(AVERAGEIFS($C$6:$C$2005,$B$6:$B$2005,B1071,$A$6:$A$2005,E1071),""))</f>
        <v/>
      </c>
      <c r="G1071" s="34">
        <f>IF(F1071="","",A1071-E1071)</f>
        <v/>
      </c>
      <c r="H1071" s="42">
        <f>IF(OR(F1071="",C1071=""),"",IFERROR((C1071-F1071)/G1071,""))</f>
        <v/>
      </c>
      <c r="I1071" s="39">
        <f>IF(B1071="","",IFERROR(INDEX('Animais'!$M$6:$M$1005,MATCH(B1071,'Animais'!$A$6:$A$1005,0)),"Brinco não cadastrado"))</f>
        <v/>
      </c>
    </row>
    <row r="1072">
      <c r="A1072" s="31" t="n"/>
      <c r="B1072" s="36" t="n"/>
      <c r="C1072" s="38" t="n"/>
      <c r="D1072" s="32" t="n"/>
      <c r="E1072" s="43">
        <f>IF(OR(A1072="",B1072=""),"",SUMPRODUCT(MAX(($B$6:$B$2005=B1072)*($A$6:$A$2005&lt;A1072)*$A$6:$A$2005)))</f>
        <v/>
      </c>
      <c r="F1072" s="41">
        <f>IF(OR(E1072="",E1072=0),"",IFERROR(AVERAGEIFS($C$6:$C$2005,$B$6:$B$2005,B1072,$A$6:$A$2005,E1072),""))</f>
        <v/>
      </c>
      <c r="G1072" s="34">
        <f>IF(F1072="","",A1072-E1072)</f>
        <v/>
      </c>
      <c r="H1072" s="42">
        <f>IF(OR(F1072="",C1072=""),"",IFERROR((C1072-F1072)/G1072,""))</f>
        <v/>
      </c>
      <c r="I1072" s="39">
        <f>IF(B1072="","",IFERROR(INDEX('Animais'!$M$6:$M$1005,MATCH(B1072,'Animais'!$A$6:$A$1005,0)),"Brinco não cadastrado"))</f>
        <v/>
      </c>
    </row>
    <row r="1073">
      <c r="A1073" s="31" t="n"/>
      <c r="B1073" s="36" t="n"/>
      <c r="C1073" s="38" t="n"/>
      <c r="D1073" s="32" t="n"/>
      <c r="E1073" s="43">
        <f>IF(OR(A1073="",B1073=""),"",SUMPRODUCT(MAX(($B$6:$B$2005=B1073)*($A$6:$A$2005&lt;A1073)*$A$6:$A$2005)))</f>
        <v/>
      </c>
      <c r="F1073" s="41">
        <f>IF(OR(E1073="",E1073=0),"",IFERROR(AVERAGEIFS($C$6:$C$2005,$B$6:$B$2005,B1073,$A$6:$A$2005,E1073),""))</f>
        <v/>
      </c>
      <c r="G1073" s="34">
        <f>IF(F1073="","",A1073-E1073)</f>
        <v/>
      </c>
      <c r="H1073" s="42">
        <f>IF(OR(F1073="",C1073=""),"",IFERROR((C1073-F1073)/G1073,""))</f>
        <v/>
      </c>
      <c r="I1073" s="39">
        <f>IF(B1073="","",IFERROR(INDEX('Animais'!$M$6:$M$1005,MATCH(B1073,'Animais'!$A$6:$A$1005,0)),"Brinco não cadastrado"))</f>
        <v/>
      </c>
    </row>
    <row r="1074">
      <c r="A1074" s="31" t="n"/>
      <c r="B1074" s="36" t="n"/>
      <c r="C1074" s="38" t="n"/>
      <c r="D1074" s="32" t="n"/>
      <c r="E1074" s="43">
        <f>IF(OR(A1074="",B1074=""),"",SUMPRODUCT(MAX(($B$6:$B$2005=B1074)*($A$6:$A$2005&lt;A1074)*$A$6:$A$2005)))</f>
        <v/>
      </c>
      <c r="F1074" s="41">
        <f>IF(OR(E1074="",E1074=0),"",IFERROR(AVERAGEIFS($C$6:$C$2005,$B$6:$B$2005,B1074,$A$6:$A$2005,E1074),""))</f>
        <v/>
      </c>
      <c r="G1074" s="34">
        <f>IF(F1074="","",A1074-E1074)</f>
        <v/>
      </c>
      <c r="H1074" s="42">
        <f>IF(OR(F1074="",C1074=""),"",IFERROR((C1074-F1074)/G1074,""))</f>
        <v/>
      </c>
      <c r="I1074" s="39">
        <f>IF(B1074="","",IFERROR(INDEX('Animais'!$M$6:$M$1005,MATCH(B1074,'Animais'!$A$6:$A$1005,0)),"Brinco não cadastrado"))</f>
        <v/>
      </c>
    </row>
    <row r="1075">
      <c r="A1075" s="31" t="n"/>
      <c r="B1075" s="36" t="n"/>
      <c r="C1075" s="38" t="n"/>
      <c r="D1075" s="32" t="n"/>
      <c r="E1075" s="43">
        <f>IF(OR(A1075="",B1075=""),"",SUMPRODUCT(MAX(($B$6:$B$2005=B1075)*($A$6:$A$2005&lt;A1075)*$A$6:$A$2005)))</f>
        <v/>
      </c>
      <c r="F1075" s="41">
        <f>IF(OR(E1075="",E1075=0),"",IFERROR(AVERAGEIFS($C$6:$C$2005,$B$6:$B$2005,B1075,$A$6:$A$2005,E1075),""))</f>
        <v/>
      </c>
      <c r="G1075" s="34">
        <f>IF(F1075="","",A1075-E1075)</f>
        <v/>
      </c>
      <c r="H1075" s="42">
        <f>IF(OR(F1075="",C1075=""),"",IFERROR((C1075-F1075)/G1075,""))</f>
        <v/>
      </c>
      <c r="I1075" s="39">
        <f>IF(B1075="","",IFERROR(INDEX('Animais'!$M$6:$M$1005,MATCH(B1075,'Animais'!$A$6:$A$1005,0)),"Brinco não cadastrado"))</f>
        <v/>
      </c>
    </row>
    <row r="1076">
      <c r="A1076" s="31" t="n"/>
      <c r="B1076" s="36" t="n"/>
      <c r="C1076" s="38" t="n"/>
      <c r="D1076" s="32" t="n"/>
      <c r="E1076" s="43">
        <f>IF(OR(A1076="",B1076=""),"",SUMPRODUCT(MAX(($B$6:$B$2005=B1076)*($A$6:$A$2005&lt;A1076)*$A$6:$A$2005)))</f>
        <v/>
      </c>
      <c r="F1076" s="41">
        <f>IF(OR(E1076="",E1076=0),"",IFERROR(AVERAGEIFS($C$6:$C$2005,$B$6:$B$2005,B1076,$A$6:$A$2005,E1076),""))</f>
        <v/>
      </c>
      <c r="G1076" s="34">
        <f>IF(F1076="","",A1076-E1076)</f>
        <v/>
      </c>
      <c r="H1076" s="42">
        <f>IF(OR(F1076="",C1076=""),"",IFERROR((C1076-F1076)/G1076,""))</f>
        <v/>
      </c>
      <c r="I1076" s="39">
        <f>IF(B1076="","",IFERROR(INDEX('Animais'!$M$6:$M$1005,MATCH(B1076,'Animais'!$A$6:$A$1005,0)),"Brinco não cadastrado"))</f>
        <v/>
      </c>
    </row>
    <row r="1077">
      <c r="A1077" s="31" t="n"/>
      <c r="B1077" s="36" t="n"/>
      <c r="C1077" s="38" t="n"/>
      <c r="D1077" s="32" t="n"/>
      <c r="E1077" s="43">
        <f>IF(OR(A1077="",B1077=""),"",SUMPRODUCT(MAX(($B$6:$B$2005=B1077)*($A$6:$A$2005&lt;A1077)*$A$6:$A$2005)))</f>
        <v/>
      </c>
      <c r="F1077" s="41">
        <f>IF(OR(E1077="",E1077=0),"",IFERROR(AVERAGEIFS($C$6:$C$2005,$B$6:$B$2005,B1077,$A$6:$A$2005,E1077),""))</f>
        <v/>
      </c>
      <c r="G1077" s="34">
        <f>IF(F1077="","",A1077-E1077)</f>
        <v/>
      </c>
      <c r="H1077" s="42">
        <f>IF(OR(F1077="",C1077=""),"",IFERROR((C1077-F1077)/G1077,""))</f>
        <v/>
      </c>
      <c r="I1077" s="39">
        <f>IF(B1077="","",IFERROR(INDEX('Animais'!$M$6:$M$1005,MATCH(B1077,'Animais'!$A$6:$A$1005,0)),"Brinco não cadastrado"))</f>
        <v/>
      </c>
    </row>
    <row r="1078">
      <c r="A1078" s="31" t="n"/>
      <c r="B1078" s="36" t="n"/>
      <c r="C1078" s="38" t="n"/>
      <c r="D1078" s="32" t="n"/>
      <c r="E1078" s="43">
        <f>IF(OR(A1078="",B1078=""),"",SUMPRODUCT(MAX(($B$6:$B$2005=B1078)*($A$6:$A$2005&lt;A1078)*$A$6:$A$2005)))</f>
        <v/>
      </c>
      <c r="F1078" s="41">
        <f>IF(OR(E1078="",E1078=0),"",IFERROR(AVERAGEIFS($C$6:$C$2005,$B$6:$B$2005,B1078,$A$6:$A$2005,E1078),""))</f>
        <v/>
      </c>
      <c r="G1078" s="34">
        <f>IF(F1078="","",A1078-E1078)</f>
        <v/>
      </c>
      <c r="H1078" s="42">
        <f>IF(OR(F1078="",C1078=""),"",IFERROR((C1078-F1078)/G1078,""))</f>
        <v/>
      </c>
      <c r="I1078" s="39">
        <f>IF(B1078="","",IFERROR(INDEX('Animais'!$M$6:$M$1005,MATCH(B1078,'Animais'!$A$6:$A$1005,0)),"Brinco não cadastrado"))</f>
        <v/>
      </c>
    </row>
    <row r="1079">
      <c r="A1079" s="31" t="n"/>
      <c r="B1079" s="36" t="n"/>
      <c r="C1079" s="38" t="n"/>
      <c r="D1079" s="32" t="n"/>
      <c r="E1079" s="43">
        <f>IF(OR(A1079="",B1079=""),"",SUMPRODUCT(MAX(($B$6:$B$2005=B1079)*($A$6:$A$2005&lt;A1079)*$A$6:$A$2005)))</f>
        <v/>
      </c>
      <c r="F1079" s="41">
        <f>IF(OR(E1079="",E1079=0),"",IFERROR(AVERAGEIFS($C$6:$C$2005,$B$6:$B$2005,B1079,$A$6:$A$2005,E1079),""))</f>
        <v/>
      </c>
      <c r="G1079" s="34">
        <f>IF(F1079="","",A1079-E1079)</f>
        <v/>
      </c>
      <c r="H1079" s="42">
        <f>IF(OR(F1079="",C1079=""),"",IFERROR((C1079-F1079)/G1079,""))</f>
        <v/>
      </c>
      <c r="I1079" s="39">
        <f>IF(B1079="","",IFERROR(INDEX('Animais'!$M$6:$M$1005,MATCH(B1079,'Animais'!$A$6:$A$1005,0)),"Brinco não cadastrado"))</f>
        <v/>
      </c>
    </row>
    <row r="1080">
      <c r="A1080" s="31" t="n"/>
      <c r="B1080" s="36" t="n"/>
      <c r="C1080" s="38" t="n"/>
      <c r="D1080" s="32" t="n"/>
      <c r="E1080" s="43">
        <f>IF(OR(A1080="",B1080=""),"",SUMPRODUCT(MAX(($B$6:$B$2005=B1080)*($A$6:$A$2005&lt;A1080)*$A$6:$A$2005)))</f>
        <v/>
      </c>
      <c r="F1080" s="41">
        <f>IF(OR(E1080="",E1080=0),"",IFERROR(AVERAGEIFS($C$6:$C$2005,$B$6:$B$2005,B1080,$A$6:$A$2005,E1080),""))</f>
        <v/>
      </c>
      <c r="G1080" s="34">
        <f>IF(F1080="","",A1080-E1080)</f>
        <v/>
      </c>
      <c r="H1080" s="42">
        <f>IF(OR(F1080="",C1080=""),"",IFERROR((C1080-F1080)/G1080,""))</f>
        <v/>
      </c>
      <c r="I1080" s="39">
        <f>IF(B1080="","",IFERROR(INDEX('Animais'!$M$6:$M$1005,MATCH(B1080,'Animais'!$A$6:$A$1005,0)),"Brinco não cadastrado"))</f>
        <v/>
      </c>
    </row>
    <row r="1081">
      <c r="A1081" s="31" t="n"/>
      <c r="B1081" s="36" t="n"/>
      <c r="C1081" s="38" t="n"/>
      <c r="D1081" s="32" t="n"/>
      <c r="E1081" s="43">
        <f>IF(OR(A1081="",B1081=""),"",SUMPRODUCT(MAX(($B$6:$B$2005=B1081)*($A$6:$A$2005&lt;A1081)*$A$6:$A$2005)))</f>
        <v/>
      </c>
      <c r="F1081" s="41">
        <f>IF(OR(E1081="",E1081=0),"",IFERROR(AVERAGEIFS($C$6:$C$2005,$B$6:$B$2005,B1081,$A$6:$A$2005,E1081),""))</f>
        <v/>
      </c>
      <c r="G1081" s="34">
        <f>IF(F1081="","",A1081-E1081)</f>
        <v/>
      </c>
      <c r="H1081" s="42">
        <f>IF(OR(F1081="",C1081=""),"",IFERROR((C1081-F1081)/G1081,""))</f>
        <v/>
      </c>
      <c r="I1081" s="39">
        <f>IF(B1081="","",IFERROR(INDEX('Animais'!$M$6:$M$1005,MATCH(B1081,'Animais'!$A$6:$A$1005,0)),"Brinco não cadastrado"))</f>
        <v/>
      </c>
    </row>
    <row r="1082">
      <c r="A1082" s="31" t="n"/>
      <c r="B1082" s="36" t="n"/>
      <c r="C1082" s="38" t="n"/>
      <c r="D1082" s="32" t="n"/>
      <c r="E1082" s="43">
        <f>IF(OR(A1082="",B1082=""),"",SUMPRODUCT(MAX(($B$6:$B$2005=B1082)*($A$6:$A$2005&lt;A1082)*$A$6:$A$2005)))</f>
        <v/>
      </c>
      <c r="F1082" s="41">
        <f>IF(OR(E1082="",E1082=0),"",IFERROR(AVERAGEIFS($C$6:$C$2005,$B$6:$B$2005,B1082,$A$6:$A$2005,E1082),""))</f>
        <v/>
      </c>
      <c r="G1082" s="34">
        <f>IF(F1082="","",A1082-E1082)</f>
        <v/>
      </c>
      <c r="H1082" s="42">
        <f>IF(OR(F1082="",C1082=""),"",IFERROR((C1082-F1082)/G1082,""))</f>
        <v/>
      </c>
      <c r="I1082" s="39">
        <f>IF(B1082="","",IFERROR(INDEX('Animais'!$M$6:$M$1005,MATCH(B1082,'Animais'!$A$6:$A$1005,0)),"Brinco não cadastrado"))</f>
        <v/>
      </c>
    </row>
    <row r="1083">
      <c r="A1083" s="31" t="n"/>
      <c r="B1083" s="36" t="n"/>
      <c r="C1083" s="38" t="n"/>
      <c r="D1083" s="32" t="n"/>
      <c r="E1083" s="43">
        <f>IF(OR(A1083="",B1083=""),"",SUMPRODUCT(MAX(($B$6:$B$2005=B1083)*($A$6:$A$2005&lt;A1083)*$A$6:$A$2005)))</f>
        <v/>
      </c>
      <c r="F1083" s="41">
        <f>IF(OR(E1083="",E1083=0),"",IFERROR(AVERAGEIFS($C$6:$C$2005,$B$6:$B$2005,B1083,$A$6:$A$2005,E1083),""))</f>
        <v/>
      </c>
      <c r="G1083" s="34">
        <f>IF(F1083="","",A1083-E1083)</f>
        <v/>
      </c>
      <c r="H1083" s="42">
        <f>IF(OR(F1083="",C1083=""),"",IFERROR((C1083-F1083)/G1083,""))</f>
        <v/>
      </c>
      <c r="I1083" s="39">
        <f>IF(B1083="","",IFERROR(INDEX('Animais'!$M$6:$M$1005,MATCH(B1083,'Animais'!$A$6:$A$1005,0)),"Brinco não cadastrado"))</f>
        <v/>
      </c>
    </row>
    <row r="1084">
      <c r="A1084" s="31" t="n"/>
      <c r="B1084" s="36" t="n"/>
      <c r="C1084" s="38" t="n"/>
      <c r="D1084" s="32" t="n"/>
      <c r="E1084" s="43">
        <f>IF(OR(A1084="",B1084=""),"",SUMPRODUCT(MAX(($B$6:$B$2005=B1084)*($A$6:$A$2005&lt;A1084)*$A$6:$A$2005)))</f>
        <v/>
      </c>
      <c r="F1084" s="41">
        <f>IF(OR(E1084="",E1084=0),"",IFERROR(AVERAGEIFS($C$6:$C$2005,$B$6:$B$2005,B1084,$A$6:$A$2005,E1084),""))</f>
        <v/>
      </c>
      <c r="G1084" s="34">
        <f>IF(F1084="","",A1084-E1084)</f>
        <v/>
      </c>
      <c r="H1084" s="42">
        <f>IF(OR(F1084="",C1084=""),"",IFERROR((C1084-F1084)/G1084,""))</f>
        <v/>
      </c>
      <c r="I1084" s="39">
        <f>IF(B1084="","",IFERROR(INDEX('Animais'!$M$6:$M$1005,MATCH(B1084,'Animais'!$A$6:$A$1005,0)),"Brinco não cadastrado"))</f>
        <v/>
      </c>
    </row>
    <row r="1085">
      <c r="A1085" s="31" t="n"/>
      <c r="B1085" s="36" t="n"/>
      <c r="C1085" s="38" t="n"/>
      <c r="D1085" s="32" t="n"/>
      <c r="E1085" s="43">
        <f>IF(OR(A1085="",B1085=""),"",SUMPRODUCT(MAX(($B$6:$B$2005=B1085)*($A$6:$A$2005&lt;A1085)*$A$6:$A$2005)))</f>
        <v/>
      </c>
      <c r="F1085" s="41">
        <f>IF(OR(E1085="",E1085=0),"",IFERROR(AVERAGEIFS($C$6:$C$2005,$B$6:$B$2005,B1085,$A$6:$A$2005,E1085),""))</f>
        <v/>
      </c>
      <c r="G1085" s="34">
        <f>IF(F1085="","",A1085-E1085)</f>
        <v/>
      </c>
      <c r="H1085" s="42">
        <f>IF(OR(F1085="",C1085=""),"",IFERROR((C1085-F1085)/G1085,""))</f>
        <v/>
      </c>
      <c r="I1085" s="39">
        <f>IF(B1085="","",IFERROR(INDEX('Animais'!$M$6:$M$1005,MATCH(B1085,'Animais'!$A$6:$A$1005,0)),"Brinco não cadastrado"))</f>
        <v/>
      </c>
    </row>
    <row r="1086">
      <c r="A1086" s="31" t="n"/>
      <c r="B1086" s="36" t="n"/>
      <c r="C1086" s="38" t="n"/>
      <c r="D1086" s="32" t="n"/>
      <c r="E1086" s="43">
        <f>IF(OR(A1086="",B1086=""),"",SUMPRODUCT(MAX(($B$6:$B$2005=B1086)*($A$6:$A$2005&lt;A1086)*$A$6:$A$2005)))</f>
        <v/>
      </c>
      <c r="F1086" s="41">
        <f>IF(OR(E1086="",E1086=0),"",IFERROR(AVERAGEIFS($C$6:$C$2005,$B$6:$B$2005,B1086,$A$6:$A$2005,E1086),""))</f>
        <v/>
      </c>
      <c r="G1086" s="34">
        <f>IF(F1086="","",A1086-E1086)</f>
        <v/>
      </c>
      <c r="H1086" s="42">
        <f>IF(OR(F1086="",C1086=""),"",IFERROR((C1086-F1086)/G1086,""))</f>
        <v/>
      </c>
      <c r="I1086" s="39">
        <f>IF(B1086="","",IFERROR(INDEX('Animais'!$M$6:$M$1005,MATCH(B1086,'Animais'!$A$6:$A$1005,0)),"Brinco não cadastrado"))</f>
        <v/>
      </c>
    </row>
    <row r="1087">
      <c r="A1087" s="31" t="n"/>
      <c r="B1087" s="36" t="n"/>
      <c r="C1087" s="38" t="n"/>
      <c r="D1087" s="32" t="n"/>
      <c r="E1087" s="43">
        <f>IF(OR(A1087="",B1087=""),"",SUMPRODUCT(MAX(($B$6:$B$2005=B1087)*($A$6:$A$2005&lt;A1087)*$A$6:$A$2005)))</f>
        <v/>
      </c>
      <c r="F1087" s="41">
        <f>IF(OR(E1087="",E1087=0),"",IFERROR(AVERAGEIFS($C$6:$C$2005,$B$6:$B$2005,B1087,$A$6:$A$2005,E1087),""))</f>
        <v/>
      </c>
      <c r="G1087" s="34">
        <f>IF(F1087="","",A1087-E1087)</f>
        <v/>
      </c>
      <c r="H1087" s="42">
        <f>IF(OR(F1087="",C1087=""),"",IFERROR((C1087-F1087)/G1087,""))</f>
        <v/>
      </c>
      <c r="I1087" s="39">
        <f>IF(B1087="","",IFERROR(INDEX('Animais'!$M$6:$M$1005,MATCH(B1087,'Animais'!$A$6:$A$1005,0)),"Brinco não cadastrado"))</f>
        <v/>
      </c>
    </row>
    <row r="1088">
      <c r="A1088" s="31" t="n"/>
      <c r="B1088" s="36" t="n"/>
      <c r="C1088" s="38" t="n"/>
      <c r="D1088" s="32" t="n"/>
      <c r="E1088" s="43">
        <f>IF(OR(A1088="",B1088=""),"",SUMPRODUCT(MAX(($B$6:$B$2005=B1088)*($A$6:$A$2005&lt;A1088)*$A$6:$A$2005)))</f>
        <v/>
      </c>
      <c r="F1088" s="41">
        <f>IF(OR(E1088="",E1088=0),"",IFERROR(AVERAGEIFS($C$6:$C$2005,$B$6:$B$2005,B1088,$A$6:$A$2005,E1088),""))</f>
        <v/>
      </c>
      <c r="G1088" s="34">
        <f>IF(F1088="","",A1088-E1088)</f>
        <v/>
      </c>
      <c r="H1088" s="42">
        <f>IF(OR(F1088="",C1088=""),"",IFERROR((C1088-F1088)/G1088,""))</f>
        <v/>
      </c>
      <c r="I1088" s="39">
        <f>IF(B1088="","",IFERROR(INDEX('Animais'!$M$6:$M$1005,MATCH(B1088,'Animais'!$A$6:$A$1005,0)),"Brinco não cadastrado"))</f>
        <v/>
      </c>
    </row>
    <row r="1089">
      <c r="A1089" s="31" t="n"/>
      <c r="B1089" s="36" t="n"/>
      <c r="C1089" s="38" t="n"/>
      <c r="D1089" s="32" t="n"/>
      <c r="E1089" s="43">
        <f>IF(OR(A1089="",B1089=""),"",SUMPRODUCT(MAX(($B$6:$B$2005=B1089)*($A$6:$A$2005&lt;A1089)*$A$6:$A$2005)))</f>
        <v/>
      </c>
      <c r="F1089" s="41">
        <f>IF(OR(E1089="",E1089=0),"",IFERROR(AVERAGEIFS($C$6:$C$2005,$B$6:$B$2005,B1089,$A$6:$A$2005,E1089),""))</f>
        <v/>
      </c>
      <c r="G1089" s="34">
        <f>IF(F1089="","",A1089-E1089)</f>
        <v/>
      </c>
      <c r="H1089" s="42">
        <f>IF(OR(F1089="",C1089=""),"",IFERROR((C1089-F1089)/G1089,""))</f>
        <v/>
      </c>
      <c r="I1089" s="39">
        <f>IF(B1089="","",IFERROR(INDEX('Animais'!$M$6:$M$1005,MATCH(B1089,'Animais'!$A$6:$A$1005,0)),"Brinco não cadastrado"))</f>
        <v/>
      </c>
    </row>
    <row r="1090">
      <c r="A1090" s="31" t="n"/>
      <c r="B1090" s="36" t="n"/>
      <c r="C1090" s="38" t="n"/>
      <c r="D1090" s="32" t="n"/>
      <c r="E1090" s="43">
        <f>IF(OR(A1090="",B1090=""),"",SUMPRODUCT(MAX(($B$6:$B$2005=B1090)*($A$6:$A$2005&lt;A1090)*$A$6:$A$2005)))</f>
        <v/>
      </c>
      <c r="F1090" s="41">
        <f>IF(OR(E1090="",E1090=0),"",IFERROR(AVERAGEIFS($C$6:$C$2005,$B$6:$B$2005,B1090,$A$6:$A$2005,E1090),""))</f>
        <v/>
      </c>
      <c r="G1090" s="34">
        <f>IF(F1090="","",A1090-E1090)</f>
        <v/>
      </c>
      <c r="H1090" s="42">
        <f>IF(OR(F1090="",C1090=""),"",IFERROR((C1090-F1090)/G1090,""))</f>
        <v/>
      </c>
      <c r="I1090" s="39">
        <f>IF(B1090="","",IFERROR(INDEX('Animais'!$M$6:$M$1005,MATCH(B1090,'Animais'!$A$6:$A$1005,0)),"Brinco não cadastrado"))</f>
        <v/>
      </c>
    </row>
    <row r="1091">
      <c r="A1091" s="31" t="n"/>
      <c r="B1091" s="36" t="n"/>
      <c r="C1091" s="38" t="n"/>
      <c r="D1091" s="32" t="n"/>
      <c r="E1091" s="43">
        <f>IF(OR(A1091="",B1091=""),"",SUMPRODUCT(MAX(($B$6:$B$2005=B1091)*($A$6:$A$2005&lt;A1091)*$A$6:$A$2005)))</f>
        <v/>
      </c>
      <c r="F1091" s="41">
        <f>IF(OR(E1091="",E1091=0),"",IFERROR(AVERAGEIFS($C$6:$C$2005,$B$6:$B$2005,B1091,$A$6:$A$2005,E1091),""))</f>
        <v/>
      </c>
      <c r="G1091" s="34">
        <f>IF(F1091="","",A1091-E1091)</f>
        <v/>
      </c>
      <c r="H1091" s="42">
        <f>IF(OR(F1091="",C1091=""),"",IFERROR((C1091-F1091)/G1091,""))</f>
        <v/>
      </c>
      <c r="I1091" s="39">
        <f>IF(B1091="","",IFERROR(INDEX('Animais'!$M$6:$M$1005,MATCH(B1091,'Animais'!$A$6:$A$1005,0)),"Brinco não cadastrado"))</f>
        <v/>
      </c>
    </row>
    <row r="1092">
      <c r="A1092" s="31" t="n"/>
      <c r="B1092" s="36" t="n"/>
      <c r="C1092" s="38" t="n"/>
      <c r="D1092" s="32" t="n"/>
      <c r="E1092" s="43">
        <f>IF(OR(A1092="",B1092=""),"",SUMPRODUCT(MAX(($B$6:$B$2005=B1092)*($A$6:$A$2005&lt;A1092)*$A$6:$A$2005)))</f>
        <v/>
      </c>
      <c r="F1092" s="41">
        <f>IF(OR(E1092="",E1092=0),"",IFERROR(AVERAGEIFS($C$6:$C$2005,$B$6:$B$2005,B1092,$A$6:$A$2005,E1092),""))</f>
        <v/>
      </c>
      <c r="G1092" s="34">
        <f>IF(F1092="","",A1092-E1092)</f>
        <v/>
      </c>
      <c r="H1092" s="42">
        <f>IF(OR(F1092="",C1092=""),"",IFERROR((C1092-F1092)/G1092,""))</f>
        <v/>
      </c>
      <c r="I1092" s="39">
        <f>IF(B1092="","",IFERROR(INDEX('Animais'!$M$6:$M$1005,MATCH(B1092,'Animais'!$A$6:$A$1005,0)),"Brinco não cadastrado"))</f>
        <v/>
      </c>
    </row>
    <row r="1093">
      <c r="A1093" s="31" t="n"/>
      <c r="B1093" s="36" t="n"/>
      <c r="C1093" s="38" t="n"/>
      <c r="D1093" s="32" t="n"/>
      <c r="E1093" s="43">
        <f>IF(OR(A1093="",B1093=""),"",SUMPRODUCT(MAX(($B$6:$B$2005=B1093)*($A$6:$A$2005&lt;A1093)*$A$6:$A$2005)))</f>
        <v/>
      </c>
      <c r="F1093" s="41">
        <f>IF(OR(E1093="",E1093=0),"",IFERROR(AVERAGEIFS($C$6:$C$2005,$B$6:$B$2005,B1093,$A$6:$A$2005,E1093),""))</f>
        <v/>
      </c>
      <c r="G1093" s="34">
        <f>IF(F1093="","",A1093-E1093)</f>
        <v/>
      </c>
      <c r="H1093" s="42">
        <f>IF(OR(F1093="",C1093=""),"",IFERROR((C1093-F1093)/G1093,""))</f>
        <v/>
      </c>
      <c r="I1093" s="39">
        <f>IF(B1093="","",IFERROR(INDEX('Animais'!$M$6:$M$1005,MATCH(B1093,'Animais'!$A$6:$A$1005,0)),"Brinco não cadastrado"))</f>
        <v/>
      </c>
    </row>
    <row r="1094">
      <c r="A1094" s="31" t="n"/>
      <c r="B1094" s="36" t="n"/>
      <c r="C1094" s="38" t="n"/>
      <c r="D1094" s="32" t="n"/>
      <c r="E1094" s="43">
        <f>IF(OR(A1094="",B1094=""),"",SUMPRODUCT(MAX(($B$6:$B$2005=B1094)*($A$6:$A$2005&lt;A1094)*$A$6:$A$2005)))</f>
        <v/>
      </c>
      <c r="F1094" s="41">
        <f>IF(OR(E1094="",E1094=0),"",IFERROR(AVERAGEIFS($C$6:$C$2005,$B$6:$B$2005,B1094,$A$6:$A$2005,E1094),""))</f>
        <v/>
      </c>
      <c r="G1094" s="34">
        <f>IF(F1094="","",A1094-E1094)</f>
        <v/>
      </c>
      <c r="H1094" s="42">
        <f>IF(OR(F1094="",C1094=""),"",IFERROR((C1094-F1094)/G1094,""))</f>
        <v/>
      </c>
      <c r="I1094" s="39">
        <f>IF(B1094="","",IFERROR(INDEX('Animais'!$M$6:$M$1005,MATCH(B1094,'Animais'!$A$6:$A$1005,0)),"Brinco não cadastrado"))</f>
        <v/>
      </c>
    </row>
    <row r="1095">
      <c r="A1095" s="31" t="n"/>
      <c r="B1095" s="36" t="n"/>
      <c r="C1095" s="38" t="n"/>
      <c r="D1095" s="32" t="n"/>
      <c r="E1095" s="43">
        <f>IF(OR(A1095="",B1095=""),"",SUMPRODUCT(MAX(($B$6:$B$2005=B1095)*($A$6:$A$2005&lt;A1095)*$A$6:$A$2005)))</f>
        <v/>
      </c>
      <c r="F1095" s="41">
        <f>IF(OR(E1095="",E1095=0),"",IFERROR(AVERAGEIFS($C$6:$C$2005,$B$6:$B$2005,B1095,$A$6:$A$2005,E1095),""))</f>
        <v/>
      </c>
      <c r="G1095" s="34">
        <f>IF(F1095="","",A1095-E1095)</f>
        <v/>
      </c>
      <c r="H1095" s="42">
        <f>IF(OR(F1095="",C1095=""),"",IFERROR((C1095-F1095)/G1095,""))</f>
        <v/>
      </c>
      <c r="I1095" s="39">
        <f>IF(B1095="","",IFERROR(INDEX('Animais'!$M$6:$M$1005,MATCH(B1095,'Animais'!$A$6:$A$1005,0)),"Brinco não cadastrado"))</f>
        <v/>
      </c>
    </row>
    <row r="1096">
      <c r="A1096" s="31" t="n"/>
      <c r="B1096" s="36" t="n"/>
      <c r="C1096" s="38" t="n"/>
      <c r="D1096" s="32" t="n"/>
      <c r="E1096" s="43">
        <f>IF(OR(A1096="",B1096=""),"",SUMPRODUCT(MAX(($B$6:$B$2005=B1096)*($A$6:$A$2005&lt;A1096)*$A$6:$A$2005)))</f>
        <v/>
      </c>
      <c r="F1096" s="41">
        <f>IF(OR(E1096="",E1096=0),"",IFERROR(AVERAGEIFS($C$6:$C$2005,$B$6:$B$2005,B1096,$A$6:$A$2005,E1096),""))</f>
        <v/>
      </c>
      <c r="G1096" s="34">
        <f>IF(F1096="","",A1096-E1096)</f>
        <v/>
      </c>
      <c r="H1096" s="42">
        <f>IF(OR(F1096="",C1096=""),"",IFERROR((C1096-F1096)/G1096,""))</f>
        <v/>
      </c>
      <c r="I1096" s="39">
        <f>IF(B1096="","",IFERROR(INDEX('Animais'!$M$6:$M$1005,MATCH(B1096,'Animais'!$A$6:$A$1005,0)),"Brinco não cadastrado"))</f>
        <v/>
      </c>
    </row>
    <row r="1097">
      <c r="A1097" s="31" t="n"/>
      <c r="B1097" s="36" t="n"/>
      <c r="C1097" s="38" t="n"/>
      <c r="D1097" s="32" t="n"/>
      <c r="E1097" s="43">
        <f>IF(OR(A1097="",B1097=""),"",SUMPRODUCT(MAX(($B$6:$B$2005=B1097)*($A$6:$A$2005&lt;A1097)*$A$6:$A$2005)))</f>
        <v/>
      </c>
      <c r="F1097" s="41">
        <f>IF(OR(E1097="",E1097=0),"",IFERROR(AVERAGEIFS($C$6:$C$2005,$B$6:$B$2005,B1097,$A$6:$A$2005,E1097),""))</f>
        <v/>
      </c>
      <c r="G1097" s="34">
        <f>IF(F1097="","",A1097-E1097)</f>
        <v/>
      </c>
      <c r="H1097" s="42">
        <f>IF(OR(F1097="",C1097=""),"",IFERROR((C1097-F1097)/G1097,""))</f>
        <v/>
      </c>
      <c r="I1097" s="39">
        <f>IF(B1097="","",IFERROR(INDEX('Animais'!$M$6:$M$1005,MATCH(B1097,'Animais'!$A$6:$A$1005,0)),"Brinco não cadastrado"))</f>
        <v/>
      </c>
    </row>
    <row r="1098">
      <c r="A1098" s="31" t="n"/>
      <c r="B1098" s="36" t="n"/>
      <c r="C1098" s="38" t="n"/>
      <c r="D1098" s="32" t="n"/>
      <c r="E1098" s="43">
        <f>IF(OR(A1098="",B1098=""),"",SUMPRODUCT(MAX(($B$6:$B$2005=B1098)*($A$6:$A$2005&lt;A1098)*$A$6:$A$2005)))</f>
        <v/>
      </c>
      <c r="F1098" s="41">
        <f>IF(OR(E1098="",E1098=0),"",IFERROR(AVERAGEIFS($C$6:$C$2005,$B$6:$B$2005,B1098,$A$6:$A$2005,E1098),""))</f>
        <v/>
      </c>
      <c r="G1098" s="34">
        <f>IF(F1098="","",A1098-E1098)</f>
        <v/>
      </c>
      <c r="H1098" s="42">
        <f>IF(OR(F1098="",C1098=""),"",IFERROR((C1098-F1098)/G1098,""))</f>
        <v/>
      </c>
      <c r="I1098" s="39">
        <f>IF(B1098="","",IFERROR(INDEX('Animais'!$M$6:$M$1005,MATCH(B1098,'Animais'!$A$6:$A$1005,0)),"Brinco não cadastrado"))</f>
        <v/>
      </c>
    </row>
    <row r="1099">
      <c r="A1099" s="31" t="n"/>
      <c r="B1099" s="36" t="n"/>
      <c r="C1099" s="38" t="n"/>
      <c r="D1099" s="32" t="n"/>
      <c r="E1099" s="43">
        <f>IF(OR(A1099="",B1099=""),"",SUMPRODUCT(MAX(($B$6:$B$2005=B1099)*($A$6:$A$2005&lt;A1099)*$A$6:$A$2005)))</f>
        <v/>
      </c>
      <c r="F1099" s="41">
        <f>IF(OR(E1099="",E1099=0),"",IFERROR(AVERAGEIFS($C$6:$C$2005,$B$6:$B$2005,B1099,$A$6:$A$2005,E1099),""))</f>
        <v/>
      </c>
      <c r="G1099" s="34">
        <f>IF(F1099="","",A1099-E1099)</f>
        <v/>
      </c>
      <c r="H1099" s="42">
        <f>IF(OR(F1099="",C1099=""),"",IFERROR((C1099-F1099)/G1099,""))</f>
        <v/>
      </c>
      <c r="I1099" s="39">
        <f>IF(B1099="","",IFERROR(INDEX('Animais'!$M$6:$M$1005,MATCH(B1099,'Animais'!$A$6:$A$1005,0)),"Brinco não cadastrado"))</f>
        <v/>
      </c>
    </row>
    <row r="1100">
      <c r="A1100" s="31" t="n"/>
      <c r="B1100" s="36" t="n"/>
      <c r="C1100" s="38" t="n"/>
      <c r="D1100" s="32" t="n"/>
      <c r="E1100" s="43">
        <f>IF(OR(A1100="",B1100=""),"",SUMPRODUCT(MAX(($B$6:$B$2005=B1100)*($A$6:$A$2005&lt;A1100)*$A$6:$A$2005)))</f>
        <v/>
      </c>
      <c r="F1100" s="41">
        <f>IF(OR(E1100="",E1100=0),"",IFERROR(AVERAGEIFS($C$6:$C$2005,$B$6:$B$2005,B1100,$A$6:$A$2005,E1100),""))</f>
        <v/>
      </c>
      <c r="G1100" s="34">
        <f>IF(F1100="","",A1100-E1100)</f>
        <v/>
      </c>
      <c r="H1100" s="42">
        <f>IF(OR(F1100="",C1100=""),"",IFERROR((C1100-F1100)/G1100,""))</f>
        <v/>
      </c>
      <c r="I1100" s="39">
        <f>IF(B1100="","",IFERROR(INDEX('Animais'!$M$6:$M$1005,MATCH(B1100,'Animais'!$A$6:$A$1005,0)),"Brinco não cadastrado"))</f>
        <v/>
      </c>
    </row>
    <row r="1101">
      <c r="A1101" s="31" t="n"/>
      <c r="B1101" s="36" t="n"/>
      <c r="C1101" s="38" t="n"/>
      <c r="D1101" s="32" t="n"/>
      <c r="E1101" s="43">
        <f>IF(OR(A1101="",B1101=""),"",SUMPRODUCT(MAX(($B$6:$B$2005=B1101)*($A$6:$A$2005&lt;A1101)*$A$6:$A$2005)))</f>
        <v/>
      </c>
      <c r="F1101" s="41">
        <f>IF(OR(E1101="",E1101=0),"",IFERROR(AVERAGEIFS($C$6:$C$2005,$B$6:$B$2005,B1101,$A$6:$A$2005,E1101),""))</f>
        <v/>
      </c>
      <c r="G1101" s="34">
        <f>IF(F1101="","",A1101-E1101)</f>
        <v/>
      </c>
      <c r="H1101" s="42">
        <f>IF(OR(F1101="",C1101=""),"",IFERROR((C1101-F1101)/G1101,""))</f>
        <v/>
      </c>
      <c r="I1101" s="39">
        <f>IF(B1101="","",IFERROR(INDEX('Animais'!$M$6:$M$1005,MATCH(B1101,'Animais'!$A$6:$A$1005,0)),"Brinco não cadastrado"))</f>
        <v/>
      </c>
    </row>
    <row r="1102">
      <c r="A1102" s="31" t="n"/>
      <c r="B1102" s="36" t="n"/>
      <c r="C1102" s="38" t="n"/>
      <c r="D1102" s="32" t="n"/>
      <c r="E1102" s="43">
        <f>IF(OR(A1102="",B1102=""),"",SUMPRODUCT(MAX(($B$6:$B$2005=B1102)*($A$6:$A$2005&lt;A1102)*$A$6:$A$2005)))</f>
        <v/>
      </c>
      <c r="F1102" s="41">
        <f>IF(OR(E1102="",E1102=0),"",IFERROR(AVERAGEIFS($C$6:$C$2005,$B$6:$B$2005,B1102,$A$6:$A$2005,E1102),""))</f>
        <v/>
      </c>
      <c r="G1102" s="34">
        <f>IF(F1102="","",A1102-E1102)</f>
        <v/>
      </c>
      <c r="H1102" s="42">
        <f>IF(OR(F1102="",C1102=""),"",IFERROR((C1102-F1102)/G1102,""))</f>
        <v/>
      </c>
      <c r="I1102" s="39">
        <f>IF(B1102="","",IFERROR(INDEX('Animais'!$M$6:$M$1005,MATCH(B1102,'Animais'!$A$6:$A$1005,0)),"Brinco não cadastrado"))</f>
        <v/>
      </c>
    </row>
    <row r="1103">
      <c r="A1103" s="31" t="n"/>
      <c r="B1103" s="36" t="n"/>
      <c r="C1103" s="38" t="n"/>
      <c r="D1103" s="32" t="n"/>
      <c r="E1103" s="43">
        <f>IF(OR(A1103="",B1103=""),"",SUMPRODUCT(MAX(($B$6:$B$2005=B1103)*($A$6:$A$2005&lt;A1103)*$A$6:$A$2005)))</f>
        <v/>
      </c>
      <c r="F1103" s="41">
        <f>IF(OR(E1103="",E1103=0),"",IFERROR(AVERAGEIFS($C$6:$C$2005,$B$6:$B$2005,B1103,$A$6:$A$2005,E1103),""))</f>
        <v/>
      </c>
      <c r="G1103" s="34">
        <f>IF(F1103="","",A1103-E1103)</f>
        <v/>
      </c>
      <c r="H1103" s="42">
        <f>IF(OR(F1103="",C1103=""),"",IFERROR((C1103-F1103)/G1103,""))</f>
        <v/>
      </c>
      <c r="I1103" s="39">
        <f>IF(B1103="","",IFERROR(INDEX('Animais'!$M$6:$M$1005,MATCH(B1103,'Animais'!$A$6:$A$1005,0)),"Brinco não cadastrado"))</f>
        <v/>
      </c>
    </row>
    <row r="1104">
      <c r="A1104" s="31" t="n"/>
      <c r="B1104" s="36" t="n"/>
      <c r="C1104" s="38" t="n"/>
      <c r="D1104" s="32" t="n"/>
      <c r="E1104" s="43">
        <f>IF(OR(A1104="",B1104=""),"",SUMPRODUCT(MAX(($B$6:$B$2005=B1104)*($A$6:$A$2005&lt;A1104)*$A$6:$A$2005)))</f>
        <v/>
      </c>
      <c r="F1104" s="41">
        <f>IF(OR(E1104="",E1104=0),"",IFERROR(AVERAGEIFS($C$6:$C$2005,$B$6:$B$2005,B1104,$A$6:$A$2005,E1104),""))</f>
        <v/>
      </c>
      <c r="G1104" s="34">
        <f>IF(F1104="","",A1104-E1104)</f>
        <v/>
      </c>
      <c r="H1104" s="42">
        <f>IF(OR(F1104="",C1104=""),"",IFERROR((C1104-F1104)/G1104,""))</f>
        <v/>
      </c>
      <c r="I1104" s="39">
        <f>IF(B1104="","",IFERROR(INDEX('Animais'!$M$6:$M$1005,MATCH(B1104,'Animais'!$A$6:$A$1005,0)),"Brinco não cadastrado"))</f>
        <v/>
      </c>
    </row>
    <row r="1105">
      <c r="A1105" s="31" t="n"/>
      <c r="B1105" s="36" t="n"/>
      <c r="C1105" s="38" t="n"/>
      <c r="D1105" s="32" t="n"/>
      <c r="E1105" s="43">
        <f>IF(OR(A1105="",B1105=""),"",SUMPRODUCT(MAX(($B$6:$B$2005=B1105)*($A$6:$A$2005&lt;A1105)*$A$6:$A$2005)))</f>
        <v/>
      </c>
      <c r="F1105" s="41">
        <f>IF(OR(E1105="",E1105=0),"",IFERROR(AVERAGEIFS($C$6:$C$2005,$B$6:$B$2005,B1105,$A$6:$A$2005,E1105),""))</f>
        <v/>
      </c>
      <c r="G1105" s="34">
        <f>IF(F1105="","",A1105-E1105)</f>
        <v/>
      </c>
      <c r="H1105" s="42">
        <f>IF(OR(F1105="",C1105=""),"",IFERROR((C1105-F1105)/G1105,""))</f>
        <v/>
      </c>
      <c r="I1105" s="39">
        <f>IF(B1105="","",IFERROR(INDEX('Animais'!$M$6:$M$1005,MATCH(B1105,'Animais'!$A$6:$A$1005,0)),"Brinco não cadastrado"))</f>
        <v/>
      </c>
    </row>
    <row r="1106">
      <c r="A1106" s="31" t="n"/>
      <c r="B1106" s="36" t="n"/>
      <c r="C1106" s="38" t="n"/>
      <c r="D1106" s="32" t="n"/>
      <c r="E1106" s="43">
        <f>IF(OR(A1106="",B1106=""),"",SUMPRODUCT(MAX(($B$6:$B$2005=B1106)*($A$6:$A$2005&lt;A1106)*$A$6:$A$2005)))</f>
        <v/>
      </c>
      <c r="F1106" s="41">
        <f>IF(OR(E1106="",E1106=0),"",IFERROR(AVERAGEIFS($C$6:$C$2005,$B$6:$B$2005,B1106,$A$6:$A$2005,E1106),""))</f>
        <v/>
      </c>
      <c r="G1106" s="34">
        <f>IF(F1106="","",A1106-E1106)</f>
        <v/>
      </c>
      <c r="H1106" s="42">
        <f>IF(OR(F1106="",C1106=""),"",IFERROR((C1106-F1106)/G1106,""))</f>
        <v/>
      </c>
      <c r="I1106" s="39">
        <f>IF(B1106="","",IFERROR(INDEX('Animais'!$M$6:$M$1005,MATCH(B1106,'Animais'!$A$6:$A$1005,0)),"Brinco não cadastrado"))</f>
        <v/>
      </c>
    </row>
    <row r="1107">
      <c r="A1107" s="31" t="n"/>
      <c r="B1107" s="36" t="n"/>
      <c r="C1107" s="38" t="n"/>
      <c r="D1107" s="32" t="n"/>
      <c r="E1107" s="43">
        <f>IF(OR(A1107="",B1107=""),"",SUMPRODUCT(MAX(($B$6:$B$2005=B1107)*($A$6:$A$2005&lt;A1107)*$A$6:$A$2005)))</f>
        <v/>
      </c>
      <c r="F1107" s="41">
        <f>IF(OR(E1107="",E1107=0),"",IFERROR(AVERAGEIFS($C$6:$C$2005,$B$6:$B$2005,B1107,$A$6:$A$2005,E1107),""))</f>
        <v/>
      </c>
      <c r="G1107" s="34">
        <f>IF(F1107="","",A1107-E1107)</f>
        <v/>
      </c>
      <c r="H1107" s="42">
        <f>IF(OR(F1107="",C1107=""),"",IFERROR((C1107-F1107)/G1107,""))</f>
        <v/>
      </c>
      <c r="I1107" s="39">
        <f>IF(B1107="","",IFERROR(INDEX('Animais'!$M$6:$M$1005,MATCH(B1107,'Animais'!$A$6:$A$1005,0)),"Brinco não cadastrado"))</f>
        <v/>
      </c>
    </row>
    <row r="1108">
      <c r="A1108" s="31" t="n"/>
      <c r="B1108" s="36" t="n"/>
      <c r="C1108" s="38" t="n"/>
      <c r="D1108" s="32" t="n"/>
      <c r="E1108" s="43">
        <f>IF(OR(A1108="",B1108=""),"",SUMPRODUCT(MAX(($B$6:$B$2005=B1108)*($A$6:$A$2005&lt;A1108)*$A$6:$A$2005)))</f>
        <v/>
      </c>
      <c r="F1108" s="41">
        <f>IF(OR(E1108="",E1108=0),"",IFERROR(AVERAGEIFS($C$6:$C$2005,$B$6:$B$2005,B1108,$A$6:$A$2005,E1108),""))</f>
        <v/>
      </c>
      <c r="G1108" s="34">
        <f>IF(F1108="","",A1108-E1108)</f>
        <v/>
      </c>
      <c r="H1108" s="42">
        <f>IF(OR(F1108="",C1108=""),"",IFERROR((C1108-F1108)/G1108,""))</f>
        <v/>
      </c>
      <c r="I1108" s="39">
        <f>IF(B1108="","",IFERROR(INDEX('Animais'!$M$6:$M$1005,MATCH(B1108,'Animais'!$A$6:$A$1005,0)),"Brinco não cadastrado"))</f>
        <v/>
      </c>
    </row>
    <row r="1109">
      <c r="A1109" s="31" t="n"/>
      <c r="B1109" s="36" t="n"/>
      <c r="C1109" s="38" t="n"/>
      <c r="D1109" s="32" t="n"/>
      <c r="E1109" s="43">
        <f>IF(OR(A1109="",B1109=""),"",SUMPRODUCT(MAX(($B$6:$B$2005=B1109)*($A$6:$A$2005&lt;A1109)*$A$6:$A$2005)))</f>
        <v/>
      </c>
      <c r="F1109" s="41">
        <f>IF(OR(E1109="",E1109=0),"",IFERROR(AVERAGEIFS($C$6:$C$2005,$B$6:$B$2005,B1109,$A$6:$A$2005,E1109),""))</f>
        <v/>
      </c>
      <c r="G1109" s="34">
        <f>IF(F1109="","",A1109-E1109)</f>
        <v/>
      </c>
      <c r="H1109" s="42">
        <f>IF(OR(F1109="",C1109=""),"",IFERROR((C1109-F1109)/G1109,""))</f>
        <v/>
      </c>
      <c r="I1109" s="39">
        <f>IF(B1109="","",IFERROR(INDEX('Animais'!$M$6:$M$1005,MATCH(B1109,'Animais'!$A$6:$A$1005,0)),"Brinco não cadastrado"))</f>
        <v/>
      </c>
    </row>
    <row r="1110">
      <c r="A1110" s="31" t="n"/>
      <c r="B1110" s="36" t="n"/>
      <c r="C1110" s="38" t="n"/>
      <c r="D1110" s="32" t="n"/>
      <c r="E1110" s="43">
        <f>IF(OR(A1110="",B1110=""),"",SUMPRODUCT(MAX(($B$6:$B$2005=B1110)*($A$6:$A$2005&lt;A1110)*$A$6:$A$2005)))</f>
        <v/>
      </c>
      <c r="F1110" s="41">
        <f>IF(OR(E1110="",E1110=0),"",IFERROR(AVERAGEIFS($C$6:$C$2005,$B$6:$B$2005,B1110,$A$6:$A$2005,E1110),""))</f>
        <v/>
      </c>
      <c r="G1110" s="34">
        <f>IF(F1110="","",A1110-E1110)</f>
        <v/>
      </c>
      <c r="H1110" s="42">
        <f>IF(OR(F1110="",C1110=""),"",IFERROR((C1110-F1110)/G1110,""))</f>
        <v/>
      </c>
      <c r="I1110" s="39">
        <f>IF(B1110="","",IFERROR(INDEX('Animais'!$M$6:$M$1005,MATCH(B1110,'Animais'!$A$6:$A$1005,0)),"Brinco não cadastrado"))</f>
        <v/>
      </c>
    </row>
    <row r="1111">
      <c r="A1111" s="31" t="n"/>
      <c r="B1111" s="36" t="n"/>
      <c r="C1111" s="38" t="n"/>
      <c r="D1111" s="32" t="n"/>
      <c r="E1111" s="43">
        <f>IF(OR(A1111="",B1111=""),"",SUMPRODUCT(MAX(($B$6:$B$2005=B1111)*($A$6:$A$2005&lt;A1111)*$A$6:$A$2005)))</f>
        <v/>
      </c>
      <c r="F1111" s="41">
        <f>IF(OR(E1111="",E1111=0),"",IFERROR(AVERAGEIFS($C$6:$C$2005,$B$6:$B$2005,B1111,$A$6:$A$2005,E1111),""))</f>
        <v/>
      </c>
      <c r="G1111" s="34">
        <f>IF(F1111="","",A1111-E1111)</f>
        <v/>
      </c>
      <c r="H1111" s="42">
        <f>IF(OR(F1111="",C1111=""),"",IFERROR((C1111-F1111)/G1111,""))</f>
        <v/>
      </c>
      <c r="I1111" s="39">
        <f>IF(B1111="","",IFERROR(INDEX('Animais'!$M$6:$M$1005,MATCH(B1111,'Animais'!$A$6:$A$1005,0)),"Brinco não cadastrado"))</f>
        <v/>
      </c>
    </row>
    <row r="1112">
      <c r="A1112" s="31" t="n"/>
      <c r="B1112" s="36" t="n"/>
      <c r="C1112" s="38" t="n"/>
      <c r="D1112" s="32" t="n"/>
      <c r="E1112" s="43">
        <f>IF(OR(A1112="",B1112=""),"",SUMPRODUCT(MAX(($B$6:$B$2005=B1112)*($A$6:$A$2005&lt;A1112)*$A$6:$A$2005)))</f>
        <v/>
      </c>
      <c r="F1112" s="41">
        <f>IF(OR(E1112="",E1112=0),"",IFERROR(AVERAGEIFS($C$6:$C$2005,$B$6:$B$2005,B1112,$A$6:$A$2005,E1112),""))</f>
        <v/>
      </c>
      <c r="G1112" s="34">
        <f>IF(F1112="","",A1112-E1112)</f>
        <v/>
      </c>
      <c r="H1112" s="42">
        <f>IF(OR(F1112="",C1112=""),"",IFERROR((C1112-F1112)/G1112,""))</f>
        <v/>
      </c>
      <c r="I1112" s="39">
        <f>IF(B1112="","",IFERROR(INDEX('Animais'!$M$6:$M$1005,MATCH(B1112,'Animais'!$A$6:$A$1005,0)),"Brinco não cadastrado"))</f>
        <v/>
      </c>
    </row>
    <row r="1113">
      <c r="A1113" s="31" t="n"/>
      <c r="B1113" s="36" t="n"/>
      <c r="C1113" s="38" t="n"/>
      <c r="D1113" s="32" t="n"/>
      <c r="E1113" s="43">
        <f>IF(OR(A1113="",B1113=""),"",SUMPRODUCT(MAX(($B$6:$B$2005=B1113)*($A$6:$A$2005&lt;A1113)*$A$6:$A$2005)))</f>
        <v/>
      </c>
      <c r="F1113" s="41">
        <f>IF(OR(E1113="",E1113=0),"",IFERROR(AVERAGEIFS($C$6:$C$2005,$B$6:$B$2005,B1113,$A$6:$A$2005,E1113),""))</f>
        <v/>
      </c>
      <c r="G1113" s="34">
        <f>IF(F1113="","",A1113-E1113)</f>
        <v/>
      </c>
      <c r="H1113" s="42">
        <f>IF(OR(F1113="",C1113=""),"",IFERROR((C1113-F1113)/G1113,""))</f>
        <v/>
      </c>
      <c r="I1113" s="39">
        <f>IF(B1113="","",IFERROR(INDEX('Animais'!$M$6:$M$1005,MATCH(B1113,'Animais'!$A$6:$A$1005,0)),"Brinco não cadastrado"))</f>
        <v/>
      </c>
    </row>
    <row r="1114">
      <c r="A1114" s="31" t="n"/>
      <c r="B1114" s="36" t="n"/>
      <c r="C1114" s="38" t="n"/>
      <c r="D1114" s="32" t="n"/>
      <c r="E1114" s="43">
        <f>IF(OR(A1114="",B1114=""),"",SUMPRODUCT(MAX(($B$6:$B$2005=B1114)*($A$6:$A$2005&lt;A1114)*$A$6:$A$2005)))</f>
        <v/>
      </c>
      <c r="F1114" s="41">
        <f>IF(OR(E1114="",E1114=0),"",IFERROR(AVERAGEIFS($C$6:$C$2005,$B$6:$B$2005,B1114,$A$6:$A$2005,E1114),""))</f>
        <v/>
      </c>
      <c r="G1114" s="34">
        <f>IF(F1114="","",A1114-E1114)</f>
        <v/>
      </c>
      <c r="H1114" s="42">
        <f>IF(OR(F1114="",C1114=""),"",IFERROR((C1114-F1114)/G1114,""))</f>
        <v/>
      </c>
      <c r="I1114" s="39">
        <f>IF(B1114="","",IFERROR(INDEX('Animais'!$M$6:$M$1005,MATCH(B1114,'Animais'!$A$6:$A$1005,0)),"Brinco não cadastrado"))</f>
        <v/>
      </c>
    </row>
    <row r="1115">
      <c r="A1115" s="31" t="n"/>
      <c r="B1115" s="36" t="n"/>
      <c r="C1115" s="38" t="n"/>
      <c r="D1115" s="32" t="n"/>
      <c r="E1115" s="43">
        <f>IF(OR(A1115="",B1115=""),"",SUMPRODUCT(MAX(($B$6:$B$2005=B1115)*($A$6:$A$2005&lt;A1115)*$A$6:$A$2005)))</f>
        <v/>
      </c>
      <c r="F1115" s="41">
        <f>IF(OR(E1115="",E1115=0),"",IFERROR(AVERAGEIFS($C$6:$C$2005,$B$6:$B$2005,B1115,$A$6:$A$2005,E1115),""))</f>
        <v/>
      </c>
      <c r="G1115" s="34">
        <f>IF(F1115="","",A1115-E1115)</f>
        <v/>
      </c>
      <c r="H1115" s="42">
        <f>IF(OR(F1115="",C1115=""),"",IFERROR((C1115-F1115)/G1115,""))</f>
        <v/>
      </c>
      <c r="I1115" s="39">
        <f>IF(B1115="","",IFERROR(INDEX('Animais'!$M$6:$M$1005,MATCH(B1115,'Animais'!$A$6:$A$1005,0)),"Brinco não cadastrado"))</f>
        <v/>
      </c>
    </row>
    <row r="1116">
      <c r="A1116" s="31" t="n"/>
      <c r="B1116" s="36" t="n"/>
      <c r="C1116" s="38" t="n"/>
      <c r="D1116" s="32" t="n"/>
      <c r="E1116" s="43">
        <f>IF(OR(A1116="",B1116=""),"",SUMPRODUCT(MAX(($B$6:$B$2005=B1116)*($A$6:$A$2005&lt;A1116)*$A$6:$A$2005)))</f>
        <v/>
      </c>
      <c r="F1116" s="41">
        <f>IF(OR(E1116="",E1116=0),"",IFERROR(AVERAGEIFS($C$6:$C$2005,$B$6:$B$2005,B1116,$A$6:$A$2005,E1116),""))</f>
        <v/>
      </c>
      <c r="G1116" s="34">
        <f>IF(F1116="","",A1116-E1116)</f>
        <v/>
      </c>
      <c r="H1116" s="42">
        <f>IF(OR(F1116="",C1116=""),"",IFERROR((C1116-F1116)/G1116,""))</f>
        <v/>
      </c>
      <c r="I1116" s="39">
        <f>IF(B1116="","",IFERROR(INDEX('Animais'!$M$6:$M$1005,MATCH(B1116,'Animais'!$A$6:$A$1005,0)),"Brinco não cadastrado"))</f>
        <v/>
      </c>
    </row>
    <row r="1117">
      <c r="A1117" s="31" t="n"/>
      <c r="B1117" s="36" t="n"/>
      <c r="C1117" s="38" t="n"/>
      <c r="D1117" s="32" t="n"/>
      <c r="E1117" s="43">
        <f>IF(OR(A1117="",B1117=""),"",SUMPRODUCT(MAX(($B$6:$B$2005=B1117)*($A$6:$A$2005&lt;A1117)*$A$6:$A$2005)))</f>
        <v/>
      </c>
      <c r="F1117" s="41">
        <f>IF(OR(E1117="",E1117=0),"",IFERROR(AVERAGEIFS($C$6:$C$2005,$B$6:$B$2005,B1117,$A$6:$A$2005,E1117),""))</f>
        <v/>
      </c>
      <c r="G1117" s="34">
        <f>IF(F1117="","",A1117-E1117)</f>
        <v/>
      </c>
      <c r="H1117" s="42">
        <f>IF(OR(F1117="",C1117=""),"",IFERROR((C1117-F1117)/G1117,""))</f>
        <v/>
      </c>
      <c r="I1117" s="39">
        <f>IF(B1117="","",IFERROR(INDEX('Animais'!$M$6:$M$1005,MATCH(B1117,'Animais'!$A$6:$A$1005,0)),"Brinco não cadastrado"))</f>
        <v/>
      </c>
    </row>
    <row r="1118">
      <c r="A1118" s="31" t="n"/>
      <c r="B1118" s="36" t="n"/>
      <c r="C1118" s="38" t="n"/>
      <c r="D1118" s="32" t="n"/>
      <c r="E1118" s="43">
        <f>IF(OR(A1118="",B1118=""),"",SUMPRODUCT(MAX(($B$6:$B$2005=B1118)*($A$6:$A$2005&lt;A1118)*$A$6:$A$2005)))</f>
        <v/>
      </c>
      <c r="F1118" s="41">
        <f>IF(OR(E1118="",E1118=0),"",IFERROR(AVERAGEIFS($C$6:$C$2005,$B$6:$B$2005,B1118,$A$6:$A$2005,E1118),""))</f>
        <v/>
      </c>
      <c r="G1118" s="34">
        <f>IF(F1118="","",A1118-E1118)</f>
        <v/>
      </c>
      <c r="H1118" s="42">
        <f>IF(OR(F1118="",C1118=""),"",IFERROR((C1118-F1118)/G1118,""))</f>
        <v/>
      </c>
      <c r="I1118" s="39">
        <f>IF(B1118="","",IFERROR(INDEX('Animais'!$M$6:$M$1005,MATCH(B1118,'Animais'!$A$6:$A$1005,0)),"Brinco não cadastrado"))</f>
        <v/>
      </c>
    </row>
    <row r="1119">
      <c r="A1119" s="31" t="n"/>
      <c r="B1119" s="36" t="n"/>
      <c r="C1119" s="38" t="n"/>
      <c r="D1119" s="32" t="n"/>
      <c r="E1119" s="43">
        <f>IF(OR(A1119="",B1119=""),"",SUMPRODUCT(MAX(($B$6:$B$2005=B1119)*($A$6:$A$2005&lt;A1119)*$A$6:$A$2005)))</f>
        <v/>
      </c>
      <c r="F1119" s="41">
        <f>IF(OR(E1119="",E1119=0),"",IFERROR(AVERAGEIFS($C$6:$C$2005,$B$6:$B$2005,B1119,$A$6:$A$2005,E1119),""))</f>
        <v/>
      </c>
      <c r="G1119" s="34">
        <f>IF(F1119="","",A1119-E1119)</f>
        <v/>
      </c>
      <c r="H1119" s="42">
        <f>IF(OR(F1119="",C1119=""),"",IFERROR((C1119-F1119)/G1119,""))</f>
        <v/>
      </c>
      <c r="I1119" s="39">
        <f>IF(B1119="","",IFERROR(INDEX('Animais'!$M$6:$M$1005,MATCH(B1119,'Animais'!$A$6:$A$1005,0)),"Brinco não cadastrado"))</f>
        <v/>
      </c>
    </row>
    <row r="1120">
      <c r="A1120" s="31" t="n"/>
      <c r="B1120" s="36" t="n"/>
      <c r="C1120" s="38" t="n"/>
      <c r="D1120" s="32" t="n"/>
      <c r="E1120" s="43">
        <f>IF(OR(A1120="",B1120=""),"",SUMPRODUCT(MAX(($B$6:$B$2005=B1120)*($A$6:$A$2005&lt;A1120)*$A$6:$A$2005)))</f>
        <v/>
      </c>
      <c r="F1120" s="41">
        <f>IF(OR(E1120="",E1120=0),"",IFERROR(AVERAGEIFS($C$6:$C$2005,$B$6:$B$2005,B1120,$A$6:$A$2005,E1120),""))</f>
        <v/>
      </c>
      <c r="G1120" s="34">
        <f>IF(F1120="","",A1120-E1120)</f>
        <v/>
      </c>
      <c r="H1120" s="42">
        <f>IF(OR(F1120="",C1120=""),"",IFERROR((C1120-F1120)/G1120,""))</f>
        <v/>
      </c>
      <c r="I1120" s="39">
        <f>IF(B1120="","",IFERROR(INDEX('Animais'!$M$6:$M$1005,MATCH(B1120,'Animais'!$A$6:$A$1005,0)),"Brinco não cadastrado"))</f>
        <v/>
      </c>
    </row>
    <row r="1121">
      <c r="A1121" s="31" t="n"/>
      <c r="B1121" s="36" t="n"/>
      <c r="C1121" s="38" t="n"/>
      <c r="D1121" s="32" t="n"/>
      <c r="E1121" s="43">
        <f>IF(OR(A1121="",B1121=""),"",SUMPRODUCT(MAX(($B$6:$B$2005=B1121)*($A$6:$A$2005&lt;A1121)*$A$6:$A$2005)))</f>
        <v/>
      </c>
      <c r="F1121" s="41">
        <f>IF(OR(E1121="",E1121=0),"",IFERROR(AVERAGEIFS($C$6:$C$2005,$B$6:$B$2005,B1121,$A$6:$A$2005,E1121),""))</f>
        <v/>
      </c>
      <c r="G1121" s="34">
        <f>IF(F1121="","",A1121-E1121)</f>
        <v/>
      </c>
      <c r="H1121" s="42">
        <f>IF(OR(F1121="",C1121=""),"",IFERROR((C1121-F1121)/G1121,""))</f>
        <v/>
      </c>
      <c r="I1121" s="39">
        <f>IF(B1121="","",IFERROR(INDEX('Animais'!$M$6:$M$1005,MATCH(B1121,'Animais'!$A$6:$A$1005,0)),"Brinco não cadastrado"))</f>
        <v/>
      </c>
    </row>
    <row r="1122">
      <c r="A1122" s="31" t="n"/>
      <c r="B1122" s="36" t="n"/>
      <c r="C1122" s="38" t="n"/>
      <c r="D1122" s="32" t="n"/>
      <c r="E1122" s="43">
        <f>IF(OR(A1122="",B1122=""),"",SUMPRODUCT(MAX(($B$6:$B$2005=B1122)*($A$6:$A$2005&lt;A1122)*$A$6:$A$2005)))</f>
        <v/>
      </c>
      <c r="F1122" s="41">
        <f>IF(OR(E1122="",E1122=0),"",IFERROR(AVERAGEIFS($C$6:$C$2005,$B$6:$B$2005,B1122,$A$6:$A$2005,E1122),""))</f>
        <v/>
      </c>
      <c r="G1122" s="34">
        <f>IF(F1122="","",A1122-E1122)</f>
        <v/>
      </c>
      <c r="H1122" s="42">
        <f>IF(OR(F1122="",C1122=""),"",IFERROR((C1122-F1122)/G1122,""))</f>
        <v/>
      </c>
      <c r="I1122" s="39">
        <f>IF(B1122="","",IFERROR(INDEX('Animais'!$M$6:$M$1005,MATCH(B1122,'Animais'!$A$6:$A$1005,0)),"Brinco não cadastrado"))</f>
        <v/>
      </c>
    </row>
    <row r="1123">
      <c r="A1123" s="31" t="n"/>
      <c r="B1123" s="36" t="n"/>
      <c r="C1123" s="38" t="n"/>
      <c r="D1123" s="32" t="n"/>
      <c r="E1123" s="43">
        <f>IF(OR(A1123="",B1123=""),"",SUMPRODUCT(MAX(($B$6:$B$2005=B1123)*($A$6:$A$2005&lt;A1123)*$A$6:$A$2005)))</f>
        <v/>
      </c>
      <c r="F1123" s="41">
        <f>IF(OR(E1123="",E1123=0),"",IFERROR(AVERAGEIFS($C$6:$C$2005,$B$6:$B$2005,B1123,$A$6:$A$2005,E1123),""))</f>
        <v/>
      </c>
      <c r="G1123" s="34">
        <f>IF(F1123="","",A1123-E1123)</f>
        <v/>
      </c>
      <c r="H1123" s="42">
        <f>IF(OR(F1123="",C1123=""),"",IFERROR((C1123-F1123)/G1123,""))</f>
        <v/>
      </c>
      <c r="I1123" s="39">
        <f>IF(B1123="","",IFERROR(INDEX('Animais'!$M$6:$M$1005,MATCH(B1123,'Animais'!$A$6:$A$1005,0)),"Brinco não cadastrado"))</f>
        <v/>
      </c>
    </row>
    <row r="1124">
      <c r="A1124" s="31" t="n"/>
      <c r="B1124" s="36" t="n"/>
      <c r="C1124" s="38" t="n"/>
      <c r="D1124" s="32" t="n"/>
      <c r="E1124" s="43">
        <f>IF(OR(A1124="",B1124=""),"",SUMPRODUCT(MAX(($B$6:$B$2005=B1124)*($A$6:$A$2005&lt;A1124)*$A$6:$A$2005)))</f>
        <v/>
      </c>
      <c r="F1124" s="41">
        <f>IF(OR(E1124="",E1124=0),"",IFERROR(AVERAGEIFS($C$6:$C$2005,$B$6:$B$2005,B1124,$A$6:$A$2005,E1124),""))</f>
        <v/>
      </c>
      <c r="G1124" s="34">
        <f>IF(F1124="","",A1124-E1124)</f>
        <v/>
      </c>
      <c r="H1124" s="42">
        <f>IF(OR(F1124="",C1124=""),"",IFERROR((C1124-F1124)/G1124,""))</f>
        <v/>
      </c>
      <c r="I1124" s="39">
        <f>IF(B1124="","",IFERROR(INDEX('Animais'!$M$6:$M$1005,MATCH(B1124,'Animais'!$A$6:$A$1005,0)),"Brinco não cadastrado"))</f>
        <v/>
      </c>
    </row>
    <row r="1125">
      <c r="A1125" s="31" t="n"/>
      <c r="B1125" s="36" t="n"/>
      <c r="C1125" s="38" t="n"/>
      <c r="D1125" s="32" t="n"/>
      <c r="E1125" s="43">
        <f>IF(OR(A1125="",B1125=""),"",SUMPRODUCT(MAX(($B$6:$B$2005=B1125)*($A$6:$A$2005&lt;A1125)*$A$6:$A$2005)))</f>
        <v/>
      </c>
      <c r="F1125" s="41">
        <f>IF(OR(E1125="",E1125=0),"",IFERROR(AVERAGEIFS($C$6:$C$2005,$B$6:$B$2005,B1125,$A$6:$A$2005,E1125),""))</f>
        <v/>
      </c>
      <c r="G1125" s="34">
        <f>IF(F1125="","",A1125-E1125)</f>
        <v/>
      </c>
      <c r="H1125" s="42">
        <f>IF(OR(F1125="",C1125=""),"",IFERROR((C1125-F1125)/G1125,""))</f>
        <v/>
      </c>
      <c r="I1125" s="39">
        <f>IF(B1125="","",IFERROR(INDEX('Animais'!$M$6:$M$1005,MATCH(B1125,'Animais'!$A$6:$A$1005,0)),"Brinco não cadastrado"))</f>
        <v/>
      </c>
    </row>
    <row r="1126">
      <c r="A1126" s="31" t="n"/>
      <c r="B1126" s="36" t="n"/>
      <c r="C1126" s="38" t="n"/>
      <c r="D1126" s="32" t="n"/>
      <c r="E1126" s="43">
        <f>IF(OR(A1126="",B1126=""),"",SUMPRODUCT(MAX(($B$6:$B$2005=B1126)*($A$6:$A$2005&lt;A1126)*$A$6:$A$2005)))</f>
        <v/>
      </c>
      <c r="F1126" s="41">
        <f>IF(OR(E1126="",E1126=0),"",IFERROR(AVERAGEIFS($C$6:$C$2005,$B$6:$B$2005,B1126,$A$6:$A$2005,E1126),""))</f>
        <v/>
      </c>
      <c r="G1126" s="34">
        <f>IF(F1126="","",A1126-E1126)</f>
        <v/>
      </c>
      <c r="H1126" s="42">
        <f>IF(OR(F1126="",C1126=""),"",IFERROR((C1126-F1126)/G1126,""))</f>
        <v/>
      </c>
      <c r="I1126" s="39">
        <f>IF(B1126="","",IFERROR(INDEX('Animais'!$M$6:$M$1005,MATCH(B1126,'Animais'!$A$6:$A$1005,0)),"Brinco não cadastrado"))</f>
        <v/>
      </c>
    </row>
    <row r="1127">
      <c r="A1127" s="31" t="n"/>
      <c r="B1127" s="36" t="n"/>
      <c r="C1127" s="38" t="n"/>
      <c r="D1127" s="32" t="n"/>
      <c r="E1127" s="43">
        <f>IF(OR(A1127="",B1127=""),"",SUMPRODUCT(MAX(($B$6:$B$2005=B1127)*($A$6:$A$2005&lt;A1127)*$A$6:$A$2005)))</f>
        <v/>
      </c>
      <c r="F1127" s="41">
        <f>IF(OR(E1127="",E1127=0),"",IFERROR(AVERAGEIFS($C$6:$C$2005,$B$6:$B$2005,B1127,$A$6:$A$2005,E1127),""))</f>
        <v/>
      </c>
      <c r="G1127" s="34">
        <f>IF(F1127="","",A1127-E1127)</f>
        <v/>
      </c>
      <c r="H1127" s="42">
        <f>IF(OR(F1127="",C1127=""),"",IFERROR((C1127-F1127)/G1127,""))</f>
        <v/>
      </c>
      <c r="I1127" s="39">
        <f>IF(B1127="","",IFERROR(INDEX('Animais'!$M$6:$M$1005,MATCH(B1127,'Animais'!$A$6:$A$1005,0)),"Brinco não cadastrado"))</f>
        <v/>
      </c>
    </row>
    <row r="1128">
      <c r="A1128" s="31" t="n"/>
      <c r="B1128" s="36" t="n"/>
      <c r="C1128" s="38" t="n"/>
      <c r="D1128" s="32" t="n"/>
      <c r="E1128" s="43">
        <f>IF(OR(A1128="",B1128=""),"",SUMPRODUCT(MAX(($B$6:$B$2005=B1128)*($A$6:$A$2005&lt;A1128)*$A$6:$A$2005)))</f>
        <v/>
      </c>
      <c r="F1128" s="41">
        <f>IF(OR(E1128="",E1128=0),"",IFERROR(AVERAGEIFS($C$6:$C$2005,$B$6:$B$2005,B1128,$A$6:$A$2005,E1128),""))</f>
        <v/>
      </c>
      <c r="G1128" s="34">
        <f>IF(F1128="","",A1128-E1128)</f>
        <v/>
      </c>
      <c r="H1128" s="42">
        <f>IF(OR(F1128="",C1128=""),"",IFERROR((C1128-F1128)/G1128,""))</f>
        <v/>
      </c>
      <c r="I1128" s="39">
        <f>IF(B1128="","",IFERROR(INDEX('Animais'!$M$6:$M$1005,MATCH(B1128,'Animais'!$A$6:$A$1005,0)),"Brinco não cadastrado"))</f>
        <v/>
      </c>
    </row>
    <row r="1129">
      <c r="A1129" s="31" t="n"/>
      <c r="B1129" s="36" t="n"/>
      <c r="C1129" s="38" t="n"/>
      <c r="D1129" s="32" t="n"/>
      <c r="E1129" s="43">
        <f>IF(OR(A1129="",B1129=""),"",SUMPRODUCT(MAX(($B$6:$B$2005=B1129)*($A$6:$A$2005&lt;A1129)*$A$6:$A$2005)))</f>
        <v/>
      </c>
      <c r="F1129" s="41">
        <f>IF(OR(E1129="",E1129=0),"",IFERROR(AVERAGEIFS($C$6:$C$2005,$B$6:$B$2005,B1129,$A$6:$A$2005,E1129),""))</f>
        <v/>
      </c>
      <c r="G1129" s="34">
        <f>IF(F1129="","",A1129-E1129)</f>
        <v/>
      </c>
      <c r="H1129" s="42">
        <f>IF(OR(F1129="",C1129=""),"",IFERROR((C1129-F1129)/G1129,""))</f>
        <v/>
      </c>
      <c r="I1129" s="39">
        <f>IF(B1129="","",IFERROR(INDEX('Animais'!$M$6:$M$1005,MATCH(B1129,'Animais'!$A$6:$A$1005,0)),"Brinco não cadastrado"))</f>
        <v/>
      </c>
    </row>
    <row r="1130">
      <c r="A1130" s="31" t="n"/>
      <c r="B1130" s="36" t="n"/>
      <c r="C1130" s="38" t="n"/>
      <c r="D1130" s="32" t="n"/>
      <c r="E1130" s="43">
        <f>IF(OR(A1130="",B1130=""),"",SUMPRODUCT(MAX(($B$6:$B$2005=B1130)*($A$6:$A$2005&lt;A1130)*$A$6:$A$2005)))</f>
        <v/>
      </c>
      <c r="F1130" s="41">
        <f>IF(OR(E1130="",E1130=0),"",IFERROR(AVERAGEIFS($C$6:$C$2005,$B$6:$B$2005,B1130,$A$6:$A$2005,E1130),""))</f>
        <v/>
      </c>
      <c r="G1130" s="34">
        <f>IF(F1130="","",A1130-E1130)</f>
        <v/>
      </c>
      <c r="H1130" s="42">
        <f>IF(OR(F1130="",C1130=""),"",IFERROR((C1130-F1130)/G1130,""))</f>
        <v/>
      </c>
      <c r="I1130" s="39">
        <f>IF(B1130="","",IFERROR(INDEX('Animais'!$M$6:$M$1005,MATCH(B1130,'Animais'!$A$6:$A$1005,0)),"Brinco não cadastrado"))</f>
        <v/>
      </c>
    </row>
    <row r="1131">
      <c r="A1131" s="31" t="n"/>
      <c r="B1131" s="36" t="n"/>
      <c r="C1131" s="38" t="n"/>
      <c r="D1131" s="32" t="n"/>
      <c r="E1131" s="43">
        <f>IF(OR(A1131="",B1131=""),"",SUMPRODUCT(MAX(($B$6:$B$2005=B1131)*($A$6:$A$2005&lt;A1131)*$A$6:$A$2005)))</f>
        <v/>
      </c>
      <c r="F1131" s="41">
        <f>IF(OR(E1131="",E1131=0),"",IFERROR(AVERAGEIFS($C$6:$C$2005,$B$6:$B$2005,B1131,$A$6:$A$2005,E1131),""))</f>
        <v/>
      </c>
      <c r="G1131" s="34">
        <f>IF(F1131="","",A1131-E1131)</f>
        <v/>
      </c>
      <c r="H1131" s="42">
        <f>IF(OR(F1131="",C1131=""),"",IFERROR((C1131-F1131)/G1131,""))</f>
        <v/>
      </c>
      <c r="I1131" s="39">
        <f>IF(B1131="","",IFERROR(INDEX('Animais'!$M$6:$M$1005,MATCH(B1131,'Animais'!$A$6:$A$1005,0)),"Brinco não cadastrado"))</f>
        <v/>
      </c>
    </row>
    <row r="1132">
      <c r="A1132" s="31" t="n"/>
      <c r="B1132" s="36" t="n"/>
      <c r="C1132" s="38" t="n"/>
      <c r="D1132" s="32" t="n"/>
      <c r="E1132" s="43">
        <f>IF(OR(A1132="",B1132=""),"",SUMPRODUCT(MAX(($B$6:$B$2005=B1132)*($A$6:$A$2005&lt;A1132)*$A$6:$A$2005)))</f>
        <v/>
      </c>
      <c r="F1132" s="41">
        <f>IF(OR(E1132="",E1132=0),"",IFERROR(AVERAGEIFS($C$6:$C$2005,$B$6:$B$2005,B1132,$A$6:$A$2005,E1132),""))</f>
        <v/>
      </c>
      <c r="G1132" s="34">
        <f>IF(F1132="","",A1132-E1132)</f>
        <v/>
      </c>
      <c r="H1132" s="42">
        <f>IF(OR(F1132="",C1132=""),"",IFERROR((C1132-F1132)/G1132,""))</f>
        <v/>
      </c>
      <c r="I1132" s="39">
        <f>IF(B1132="","",IFERROR(INDEX('Animais'!$M$6:$M$1005,MATCH(B1132,'Animais'!$A$6:$A$1005,0)),"Brinco não cadastrado"))</f>
        <v/>
      </c>
    </row>
    <row r="1133">
      <c r="A1133" s="31" t="n"/>
      <c r="B1133" s="36" t="n"/>
      <c r="C1133" s="38" t="n"/>
      <c r="D1133" s="32" t="n"/>
      <c r="E1133" s="43">
        <f>IF(OR(A1133="",B1133=""),"",SUMPRODUCT(MAX(($B$6:$B$2005=B1133)*($A$6:$A$2005&lt;A1133)*$A$6:$A$2005)))</f>
        <v/>
      </c>
      <c r="F1133" s="41">
        <f>IF(OR(E1133="",E1133=0),"",IFERROR(AVERAGEIFS($C$6:$C$2005,$B$6:$B$2005,B1133,$A$6:$A$2005,E1133),""))</f>
        <v/>
      </c>
      <c r="G1133" s="34">
        <f>IF(F1133="","",A1133-E1133)</f>
        <v/>
      </c>
      <c r="H1133" s="42">
        <f>IF(OR(F1133="",C1133=""),"",IFERROR((C1133-F1133)/G1133,""))</f>
        <v/>
      </c>
      <c r="I1133" s="39">
        <f>IF(B1133="","",IFERROR(INDEX('Animais'!$M$6:$M$1005,MATCH(B1133,'Animais'!$A$6:$A$1005,0)),"Brinco não cadastrado"))</f>
        <v/>
      </c>
    </row>
    <row r="1134">
      <c r="A1134" s="31" t="n"/>
      <c r="B1134" s="36" t="n"/>
      <c r="C1134" s="38" t="n"/>
      <c r="D1134" s="32" t="n"/>
      <c r="E1134" s="43">
        <f>IF(OR(A1134="",B1134=""),"",SUMPRODUCT(MAX(($B$6:$B$2005=B1134)*($A$6:$A$2005&lt;A1134)*$A$6:$A$2005)))</f>
        <v/>
      </c>
      <c r="F1134" s="41">
        <f>IF(OR(E1134="",E1134=0),"",IFERROR(AVERAGEIFS($C$6:$C$2005,$B$6:$B$2005,B1134,$A$6:$A$2005,E1134),""))</f>
        <v/>
      </c>
      <c r="G1134" s="34">
        <f>IF(F1134="","",A1134-E1134)</f>
        <v/>
      </c>
      <c r="H1134" s="42">
        <f>IF(OR(F1134="",C1134=""),"",IFERROR((C1134-F1134)/G1134,""))</f>
        <v/>
      </c>
      <c r="I1134" s="39">
        <f>IF(B1134="","",IFERROR(INDEX('Animais'!$M$6:$M$1005,MATCH(B1134,'Animais'!$A$6:$A$1005,0)),"Brinco não cadastrado"))</f>
        <v/>
      </c>
    </row>
    <row r="1135">
      <c r="A1135" s="31" t="n"/>
      <c r="B1135" s="36" t="n"/>
      <c r="C1135" s="38" t="n"/>
      <c r="D1135" s="32" t="n"/>
      <c r="E1135" s="43">
        <f>IF(OR(A1135="",B1135=""),"",SUMPRODUCT(MAX(($B$6:$B$2005=B1135)*($A$6:$A$2005&lt;A1135)*$A$6:$A$2005)))</f>
        <v/>
      </c>
      <c r="F1135" s="41">
        <f>IF(OR(E1135="",E1135=0),"",IFERROR(AVERAGEIFS($C$6:$C$2005,$B$6:$B$2005,B1135,$A$6:$A$2005,E1135),""))</f>
        <v/>
      </c>
      <c r="G1135" s="34">
        <f>IF(F1135="","",A1135-E1135)</f>
        <v/>
      </c>
      <c r="H1135" s="42">
        <f>IF(OR(F1135="",C1135=""),"",IFERROR((C1135-F1135)/G1135,""))</f>
        <v/>
      </c>
      <c r="I1135" s="39">
        <f>IF(B1135="","",IFERROR(INDEX('Animais'!$M$6:$M$1005,MATCH(B1135,'Animais'!$A$6:$A$1005,0)),"Brinco não cadastrado"))</f>
        <v/>
      </c>
    </row>
    <row r="1136">
      <c r="A1136" s="31" t="n"/>
      <c r="B1136" s="36" t="n"/>
      <c r="C1136" s="38" t="n"/>
      <c r="D1136" s="32" t="n"/>
      <c r="E1136" s="43">
        <f>IF(OR(A1136="",B1136=""),"",SUMPRODUCT(MAX(($B$6:$B$2005=B1136)*($A$6:$A$2005&lt;A1136)*$A$6:$A$2005)))</f>
        <v/>
      </c>
      <c r="F1136" s="41">
        <f>IF(OR(E1136="",E1136=0),"",IFERROR(AVERAGEIFS($C$6:$C$2005,$B$6:$B$2005,B1136,$A$6:$A$2005,E1136),""))</f>
        <v/>
      </c>
      <c r="G1136" s="34">
        <f>IF(F1136="","",A1136-E1136)</f>
        <v/>
      </c>
      <c r="H1136" s="42">
        <f>IF(OR(F1136="",C1136=""),"",IFERROR((C1136-F1136)/G1136,""))</f>
        <v/>
      </c>
      <c r="I1136" s="39">
        <f>IF(B1136="","",IFERROR(INDEX('Animais'!$M$6:$M$1005,MATCH(B1136,'Animais'!$A$6:$A$1005,0)),"Brinco não cadastrado"))</f>
        <v/>
      </c>
    </row>
    <row r="1137">
      <c r="A1137" s="31" t="n"/>
      <c r="B1137" s="36" t="n"/>
      <c r="C1137" s="38" t="n"/>
      <c r="D1137" s="32" t="n"/>
      <c r="E1137" s="43">
        <f>IF(OR(A1137="",B1137=""),"",SUMPRODUCT(MAX(($B$6:$B$2005=B1137)*($A$6:$A$2005&lt;A1137)*$A$6:$A$2005)))</f>
        <v/>
      </c>
      <c r="F1137" s="41">
        <f>IF(OR(E1137="",E1137=0),"",IFERROR(AVERAGEIFS($C$6:$C$2005,$B$6:$B$2005,B1137,$A$6:$A$2005,E1137),""))</f>
        <v/>
      </c>
      <c r="G1137" s="34">
        <f>IF(F1137="","",A1137-E1137)</f>
        <v/>
      </c>
      <c r="H1137" s="42">
        <f>IF(OR(F1137="",C1137=""),"",IFERROR((C1137-F1137)/G1137,""))</f>
        <v/>
      </c>
      <c r="I1137" s="39">
        <f>IF(B1137="","",IFERROR(INDEX('Animais'!$M$6:$M$1005,MATCH(B1137,'Animais'!$A$6:$A$1005,0)),"Brinco não cadastrado"))</f>
        <v/>
      </c>
    </row>
    <row r="1138">
      <c r="A1138" s="31" t="n"/>
      <c r="B1138" s="36" t="n"/>
      <c r="C1138" s="38" t="n"/>
      <c r="D1138" s="32" t="n"/>
      <c r="E1138" s="43">
        <f>IF(OR(A1138="",B1138=""),"",SUMPRODUCT(MAX(($B$6:$B$2005=B1138)*($A$6:$A$2005&lt;A1138)*$A$6:$A$2005)))</f>
        <v/>
      </c>
      <c r="F1138" s="41">
        <f>IF(OR(E1138="",E1138=0),"",IFERROR(AVERAGEIFS($C$6:$C$2005,$B$6:$B$2005,B1138,$A$6:$A$2005,E1138),""))</f>
        <v/>
      </c>
      <c r="G1138" s="34">
        <f>IF(F1138="","",A1138-E1138)</f>
        <v/>
      </c>
      <c r="H1138" s="42">
        <f>IF(OR(F1138="",C1138=""),"",IFERROR((C1138-F1138)/G1138,""))</f>
        <v/>
      </c>
      <c r="I1138" s="39">
        <f>IF(B1138="","",IFERROR(INDEX('Animais'!$M$6:$M$1005,MATCH(B1138,'Animais'!$A$6:$A$1005,0)),"Brinco não cadastrado"))</f>
        <v/>
      </c>
    </row>
    <row r="1139">
      <c r="A1139" s="31" t="n"/>
      <c r="B1139" s="36" t="n"/>
      <c r="C1139" s="38" t="n"/>
      <c r="D1139" s="32" t="n"/>
      <c r="E1139" s="43">
        <f>IF(OR(A1139="",B1139=""),"",SUMPRODUCT(MAX(($B$6:$B$2005=B1139)*($A$6:$A$2005&lt;A1139)*$A$6:$A$2005)))</f>
        <v/>
      </c>
      <c r="F1139" s="41">
        <f>IF(OR(E1139="",E1139=0),"",IFERROR(AVERAGEIFS($C$6:$C$2005,$B$6:$B$2005,B1139,$A$6:$A$2005,E1139),""))</f>
        <v/>
      </c>
      <c r="G1139" s="34">
        <f>IF(F1139="","",A1139-E1139)</f>
        <v/>
      </c>
      <c r="H1139" s="42">
        <f>IF(OR(F1139="",C1139=""),"",IFERROR((C1139-F1139)/G1139,""))</f>
        <v/>
      </c>
      <c r="I1139" s="39">
        <f>IF(B1139="","",IFERROR(INDEX('Animais'!$M$6:$M$1005,MATCH(B1139,'Animais'!$A$6:$A$1005,0)),"Brinco não cadastrado"))</f>
        <v/>
      </c>
    </row>
    <row r="1140">
      <c r="A1140" s="31" t="n"/>
      <c r="B1140" s="36" t="n"/>
      <c r="C1140" s="38" t="n"/>
      <c r="D1140" s="32" t="n"/>
      <c r="E1140" s="43">
        <f>IF(OR(A1140="",B1140=""),"",SUMPRODUCT(MAX(($B$6:$B$2005=B1140)*($A$6:$A$2005&lt;A1140)*$A$6:$A$2005)))</f>
        <v/>
      </c>
      <c r="F1140" s="41">
        <f>IF(OR(E1140="",E1140=0),"",IFERROR(AVERAGEIFS($C$6:$C$2005,$B$6:$B$2005,B1140,$A$6:$A$2005,E1140),""))</f>
        <v/>
      </c>
      <c r="G1140" s="34">
        <f>IF(F1140="","",A1140-E1140)</f>
        <v/>
      </c>
      <c r="H1140" s="42">
        <f>IF(OR(F1140="",C1140=""),"",IFERROR((C1140-F1140)/G1140,""))</f>
        <v/>
      </c>
      <c r="I1140" s="39">
        <f>IF(B1140="","",IFERROR(INDEX('Animais'!$M$6:$M$1005,MATCH(B1140,'Animais'!$A$6:$A$1005,0)),"Brinco não cadastrado"))</f>
        <v/>
      </c>
    </row>
    <row r="1141">
      <c r="A1141" s="31" t="n"/>
      <c r="B1141" s="36" t="n"/>
      <c r="C1141" s="38" t="n"/>
      <c r="D1141" s="32" t="n"/>
      <c r="E1141" s="43">
        <f>IF(OR(A1141="",B1141=""),"",SUMPRODUCT(MAX(($B$6:$B$2005=B1141)*($A$6:$A$2005&lt;A1141)*$A$6:$A$2005)))</f>
        <v/>
      </c>
      <c r="F1141" s="41">
        <f>IF(OR(E1141="",E1141=0),"",IFERROR(AVERAGEIFS($C$6:$C$2005,$B$6:$B$2005,B1141,$A$6:$A$2005,E1141),""))</f>
        <v/>
      </c>
      <c r="G1141" s="34">
        <f>IF(F1141="","",A1141-E1141)</f>
        <v/>
      </c>
      <c r="H1141" s="42">
        <f>IF(OR(F1141="",C1141=""),"",IFERROR((C1141-F1141)/G1141,""))</f>
        <v/>
      </c>
      <c r="I1141" s="39">
        <f>IF(B1141="","",IFERROR(INDEX('Animais'!$M$6:$M$1005,MATCH(B1141,'Animais'!$A$6:$A$1005,0)),"Brinco não cadastrado"))</f>
        <v/>
      </c>
    </row>
    <row r="1142">
      <c r="A1142" s="31" t="n"/>
      <c r="B1142" s="36" t="n"/>
      <c r="C1142" s="38" t="n"/>
      <c r="D1142" s="32" t="n"/>
      <c r="E1142" s="43">
        <f>IF(OR(A1142="",B1142=""),"",SUMPRODUCT(MAX(($B$6:$B$2005=B1142)*($A$6:$A$2005&lt;A1142)*$A$6:$A$2005)))</f>
        <v/>
      </c>
      <c r="F1142" s="41">
        <f>IF(OR(E1142="",E1142=0),"",IFERROR(AVERAGEIFS($C$6:$C$2005,$B$6:$B$2005,B1142,$A$6:$A$2005,E1142),""))</f>
        <v/>
      </c>
      <c r="G1142" s="34">
        <f>IF(F1142="","",A1142-E1142)</f>
        <v/>
      </c>
      <c r="H1142" s="42">
        <f>IF(OR(F1142="",C1142=""),"",IFERROR((C1142-F1142)/G1142,""))</f>
        <v/>
      </c>
      <c r="I1142" s="39">
        <f>IF(B1142="","",IFERROR(INDEX('Animais'!$M$6:$M$1005,MATCH(B1142,'Animais'!$A$6:$A$1005,0)),"Brinco não cadastrado"))</f>
        <v/>
      </c>
    </row>
    <row r="1143">
      <c r="A1143" s="31" t="n"/>
      <c r="B1143" s="36" t="n"/>
      <c r="C1143" s="38" t="n"/>
      <c r="D1143" s="32" t="n"/>
      <c r="E1143" s="43">
        <f>IF(OR(A1143="",B1143=""),"",SUMPRODUCT(MAX(($B$6:$B$2005=B1143)*($A$6:$A$2005&lt;A1143)*$A$6:$A$2005)))</f>
        <v/>
      </c>
      <c r="F1143" s="41">
        <f>IF(OR(E1143="",E1143=0),"",IFERROR(AVERAGEIFS($C$6:$C$2005,$B$6:$B$2005,B1143,$A$6:$A$2005,E1143),""))</f>
        <v/>
      </c>
      <c r="G1143" s="34">
        <f>IF(F1143="","",A1143-E1143)</f>
        <v/>
      </c>
      <c r="H1143" s="42">
        <f>IF(OR(F1143="",C1143=""),"",IFERROR((C1143-F1143)/G1143,""))</f>
        <v/>
      </c>
      <c r="I1143" s="39">
        <f>IF(B1143="","",IFERROR(INDEX('Animais'!$M$6:$M$1005,MATCH(B1143,'Animais'!$A$6:$A$1005,0)),"Brinco não cadastrado"))</f>
        <v/>
      </c>
    </row>
    <row r="1144">
      <c r="A1144" s="31" t="n"/>
      <c r="B1144" s="36" t="n"/>
      <c r="C1144" s="38" t="n"/>
      <c r="D1144" s="32" t="n"/>
      <c r="E1144" s="43">
        <f>IF(OR(A1144="",B1144=""),"",SUMPRODUCT(MAX(($B$6:$B$2005=B1144)*($A$6:$A$2005&lt;A1144)*$A$6:$A$2005)))</f>
        <v/>
      </c>
      <c r="F1144" s="41">
        <f>IF(OR(E1144="",E1144=0),"",IFERROR(AVERAGEIFS($C$6:$C$2005,$B$6:$B$2005,B1144,$A$6:$A$2005,E1144),""))</f>
        <v/>
      </c>
      <c r="G1144" s="34">
        <f>IF(F1144="","",A1144-E1144)</f>
        <v/>
      </c>
      <c r="H1144" s="42">
        <f>IF(OR(F1144="",C1144=""),"",IFERROR((C1144-F1144)/G1144,""))</f>
        <v/>
      </c>
      <c r="I1144" s="39">
        <f>IF(B1144="","",IFERROR(INDEX('Animais'!$M$6:$M$1005,MATCH(B1144,'Animais'!$A$6:$A$1005,0)),"Brinco não cadastrado"))</f>
        <v/>
      </c>
    </row>
    <row r="1145">
      <c r="A1145" s="31" t="n"/>
      <c r="B1145" s="36" t="n"/>
      <c r="C1145" s="38" t="n"/>
      <c r="D1145" s="32" t="n"/>
      <c r="E1145" s="43">
        <f>IF(OR(A1145="",B1145=""),"",SUMPRODUCT(MAX(($B$6:$B$2005=B1145)*($A$6:$A$2005&lt;A1145)*$A$6:$A$2005)))</f>
        <v/>
      </c>
      <c r="F1145" s="41">
        <f>IF(OR(E1145="",E1145=0),"",IFERROR(AVERAGEIFS($C$6:$C$2005,$B$6:$B$2005,B1145,$A$6:$A$2005,E1145),""))</f>
        <v/>
      </c>
      <c r="G1145" s="34">
        <f>IF(F1145="","",A1145-E1145)</f>
        <v/>
      </c>
      <c r="H1145" s="42">
        <f>IF(OR(F1145="",C1145=""),"",IFERROR((C1145-F1145)/G1145,""))</f>
        <v/>
      </c>
      <c r="I1145" s="39">
        <f>IF(B1145="","",IFERROR(INDEX('Animais'!$M$6:$M$1005,MATCH(B1145,'Animais'!$A$6:$A$1005,0)),"Brinco não cadastrado"))</f>
        <v/>
      </c>
    </row>
    <row r="1146">
      <c r="A1146" s="31" t="n"/>
      <c r="B1146" s="36" t="n"/>
      <c r="C1146" s="38" t="n"/>
      <c r="D1146" s="32" t="n"/>
      <c r="E1146" s="43">
        <f>IF(OR(A1146="",B1146=""),"",SUMPRODUCT(MAX(($B$6:$B$2005=B1146)*($A$6:$A$2005&lt;A1146)*$A$6:$A$2005)))</f>
        <v/>
      </c>
      <c r="F1146" s="41">
        <f>IF(OR(E1146="",E1146=0),"",IFERROR(AVERAGEIFS($C$6:$C$2005,$B$6:$B$2005,B1146,$A$6:$A$2005,E1146),""))</f>
        <v/>
      </c>
      <c r="G1146" s="34">
        <f>IF(F1146="","",A1146-E1146)</f>
        <v/>
      </c>
      <c r="H1146" s="42">
        <f>IF(OR(F1146="",C1146=""),"",IFERROR((C1146-F1146)/G1146,""))</f>
        <v/>
      </c>
      <c r="I1146" s="39">
        <f>IF(B1146="","",IFERROR(INDEX('Animais'!$M$6:$M$1005,MATCH(B1146,'Animais'!$A$6:$A$1005,0)),"Brinco não cadastrado"))</f>
        <v/>
      </c>
    </row>
    <row r="1147">
      <c r="A1147" s="31" t="n"/>
      <c r="B1147" s="36" t="n"/>
      <c r="C1147" s="38" t="n"/>
      <c r="D1147" s="32" t="n"/>
      <c r="E1147" s="43">
        <f>IF(OR(A1147="",B1147=""),"",SUMPRODUCT(MAX(($B$6:$B$2005=B1147)*($A$6:$A$2005&lt;A1147)*$A$6:$A$2005)))</f>
        <v/>
      </c>
      <c r="F1147" s="41">
        <f>IF(OR(E1147="",E1147=0),"",IFERROR(AVERAGEIFS($C$6:$C$2005,$B$6:$B$2005,B1147,$A$6:$A$2005,E1147),""))</f>
        <v/>
      </c>
      <c r="G1147" s="34">
        <f>IF(F1147="","",A1147-E1147)</f>
        <v/>
      </c>
      <c r="H1147" s="42">
        <f>IF(OR(F1147="",C1147=""),"",IFERROR((C1147-F1147)/G1147,""))</f>
        <v/>
      </c>
      <c r="I1147" s="39">
        <f>IF(B1147="","",IFERROR(INDEX('Animais'!$M$6:$M$1005,MATCH(B1147,'Animais'!$A$6:$A$1005,0)),"Brinco não cadastrado"))</f>
        <v/>
      </c>
    </row>
    <row r="1148">
      <c r="A1148" s="31" t="n"/>
      <c r="B1148" s="36" t="n"/>
      <c r="C1148" s="38" t="n"/>
      <c r="D1148" s="32" t="n"/>
      <c r="E1148" s="43">
        <f>IF(OR(A1148="",B1148=""),"",SUMPRODUCT(MAX(($B$6:$B$2005=B1148)*($A$6:$A$2005&lt;A1148)*$A$6:$A$2005)))</f>
        <v/>
      </c>
      <c r="F1148" s="41">
        <f>IF(OR(E1148="",E1148=0),"",IFERROR(AVERAGEIFS($C$6:$C$2005,$B$6:$B$2005,B1148,$A$6:$A$2005,E1148),""))</f>
        <v/>
      </c>
      <c r="G1148" s="34">
        <f>IF(F1148="","",A1148-E1148)</f>
        <v/>
      </c>
      <c r="H1148" s="42">
        <f>IF(OR(F1148="",C1148=""),"",IFERROR((C1148-F1148)/G1148,""))</f>
        <v/>
      </c>
      <c r="I1148" s="39">
        <f>IF(B1148="","",IFERROR(INDEX('Animais'!$M$6:$M$1005,MATCH(B1148,'Animais'!$A$6:$A$1005,0)),"Brinco não cadastrado"))</f>
        <v/>
      </c>
    </row>
    <row r="1149">
      <c r="A1149" s="31" t="n"/>
      <c r="B1149" s="36" t="n"/>
      <c r="C1149" s="38" t="n"/>
      <c r="D1149" s="32" t="n"/>
      <c r="E1149" s="43">
        <f>IF(OR(A1149="",B1149=""),"",SUMPRODUCT(MAX(($B$6:$B$2005=B1149)*($A$6:$A$2005&lt;A1149)*$A$6:$A$2005)))</f>
        <v/>
      </c>
      <c r="F1149" s="41">
        <f>IF(OR(E1149="",E1149=0),"",IFERROR(AVERAGEIFS($C$6:$C$2005,$B$6:$B$2005,B1149,$A$6:$A$2005,E1149),""))</f>
        <v/>
      </c>
      <c r="G1149" s="34">
        <f>IF(F1149="","",A1149-E1149)</f>
        <v/>
      </c>
      <c r="H1149" s="42">
        <f>IF(OR(F1149="",C1149=""),"",IFERROR((C1149-F1149)/G1149,""))</f>
        <v/>
      </c>
      <c r="I1149" s="39">
        <f>IF(B1149="","",IFERROR(INDEX('Animais'!$M$6:$M$1005,MATCH(B1149,'Animais'!$A$6:$A$1005,0)),"Brinco não cadastrado"))</f>
        <v/>
      </c>
    </row>
    <row r="1150">
      <c r="A1150" s="31" t="n"/>
      <c r="B1150" s="36" t="n"/>
      <c r="C1150" s="38" t="n"/>
      <c r="D1150" s="32" t="n"/>
      <c r="E1150" s="43">
        <f>IF(OR(A1150="",B1150=""),"",SUMPRODUCT(MAX(($B$6:$B$2005=B1150)*($A$6:$A$2005&lt;A1150)*$A$6:$A$2005)))</f>
        <v/>
      </c>
      <c r="F1150" s="41">
        <f>IF(OR(E1150="",E1150=0),"",IFERROR(AVERAGEIFS($C$6:$C$2005,$B$6:$B$2005,B1150,$A$6:$A$2005,E1150),""))</f>
        <v/>
      </c>
      <c r="G1150" s="34">
        <f>IF(F1150="","",A1150-E1150)</f>
        <v/>
      </c>
      <c r="H1150" s="42">
        <f>IF(OR(F1150="",C1150=""),"",IFERROR((C1150-F1150)/G1150,""))</f>
        <v/>
      </c>
      <c r="I1150" s="39">
        <f>IF(B1150="","",IFERROR(INDEX('Animais'!$M$6:$M$1005,MATCH(B1150,'Animais'!$A$6:$A$1005,0)),"Brinco não cadastrado"))</f>
        <v/>
      </c>
    </row>
    <row r="1151">
      <c r="A1151" s="31" t="n"/>
      <c r="B1151" s="36" t="n"/>
      <c r="C1151" s="38" t="n"/>
      <c r="D1151" s="32" t="n"/>
      <c r="E1151" s="43">
        <f>IF(OR(A1151="",B1151=""),"",SUMPRODUCT(MAX(($B$6:$B$2005=B1151)*($A$6:$A$2005&lt;A1151)*$A$6:$A$2005)))</f>
        <v/>
      </c>
      <c r="F1151" s="41">
        <f>IF(OR(E1151="",E1151=0),"",IFERROR(AVERAGEIFS($C$6:$C$2005,$B$6:$B$2005,B1151,$A$6:$A$2005,E1151),""))</f>
        <v/>
      </c>
      <c r="G1151" s="34">
        <f>IF(F1151="","",A1151-E1151)</f>
        <v/>
      </c>
      <c r="H1151" s="42">
        <f>IF(OR(F1151="",C1151=""),"",IFERROR((C1151-F1151)/G1151,""))</f>
        <v/>
      </c>
      <c r="I1151" s="39">
        <f>IF(B1151="","",IFERROR(INDEX('Animais'!$M$6:$M$1005,MATCH(B1151,'Animais'!$A$6:$A$1005,0)),"Brinco não cadastrado"))</f>
        <v/>
      </c>
    </row>
    <row r="1152">
      <c r="A1152" s="31" t="n"/>
      <c r="B1152" s="36" t="n"/>
      <c r="C1152" s="38" t="n"/>
      <c r="D1152" s="32" t="n"/>
      <c r="E1152" s="43">
        <f>IF(OR(A1152="",B1152=""),"",SUMPRODUCT(MAX(($B$6:$B$2005=B1152)*($A$6:$A$2005&lt;A1152)*$A$6:$A$2005)))</f>
        <v/>
      </c>
      <c r="F1152" s="41">
        <f>IF(OR(E1152="",E1152=0),"",IFERROR(AVERAGEIFS($C$6:$C$2005,$B$6:$B$2005,B1152,$A$6:$A$2005,E1152),""))</f>
        <v/>
      </c>
      <c r="G1152" s="34">
        <f>IF(F1152="","",A1152-E1152)</f>
        <v/>
      </c>
      <c r="H1152" s="42">
        <f>IF(OR(F1152="",C1152=""),"",IFERROR((C1152-F1152)/G1152,""))</f>
        <v/>
      </c>
      <c r="I1152" s="39">
        <f>IF(B1152="","",IFERROR(INDEX('Animais'!$M$6:$M$1005,MATCH(B1152,'Animais'!$A$6:$A$1005,0)),"Brinco não cadastrado"))</f>
        <v/>
      </c>
    </row>
    <row r="1153">
      <c r="A1153" s="31" t="n"/>
      <c r="B1153" s="36" t="n"/>
      <c r="C1153" s="38" t="n"/>
      <c r="D1153" s="32" t="n"/>
      <c r="E1153" s="43">
        <f>IF(OR(A1153="",B1153=""),"",SUMPRODUCT(MAX(($B$6:$B$2005=B1153)*($A$6:$A$2005&lt;A1153)*$A$6:$A$2005)))</f>
        <v/>
      </c>
      <c r="F1153" s="41">
        <f>IF(OR(E1153="",E1153=0),"",IFERROR(AVERAGEIFS($C$6:$C$2005,$B$6:$B$2005,B1153,$A$6:$A$2005,E1153),""))</f>
        <v/>
      </c>
      <c r="G1153" s="34">
        <f>IF(F1153="","",A1153-E1153)</f>
        <v/>
      </c>
      <c r="H1153" s="42">
        <f>IF(OR(F1153="",C1153=""),"",IFERROR((C1153-F1153)/G1153,""))</f>
        <v/>
      </c>
      <c r="I1153" s="39">
        <f>IF(B1153="","",IFERROR(INDEX('Animais'!$M$6:$M$1005,MATCH(B1153,'Animais'!$A$6:$A$1005,0)),"Brinco não cadastrado"))</f>
        <v/>
      </c>
    </row>
    <row r="1154">
      <c r="A1154" s="31" t="n"/>
      <c r="B1154" s="36" t="n"/>
      <c r="C1154" s="38" t="n"/>
      <c r="D1154" s="32" t="n"/>
      <c r="E1154" s="43">
        <f>IF(OR(A1154="",B1154=""),"",SUMPRODUCT(MAX(($B$6:$B$2005=B1154)*($A$6:$A$2005&lt;A1154)*$A$6:$A$2005)))</f>
        <v/>
      </c>
      <c r="F1154" s="41">
        <f>IF(OR(E1154="",E1154=0),"",IFERROR(AVERAGEIFS($C$6:$C$2005,$B$6:$B$2005,B1154,$A$6:$A$2005,E1154),""))</f>
        <v/>
      </c>
      <c r="G1154" s="34">
        <f>IF(F1154="","",A1154-E1154)</f>
        <v/>
      </c>
      <c r="H1154" s="42">
        <f>IF(OR(F1154="",C1154=""),"",IFERROR((C1154-F1154)/G1154,""))</f>
        <v/>
      </c>
      <c r="I1154" s="39">
        <f>IF(B1154="","",IFERROR(INDEX('Animais'!$M$6:$M$1005,MATCH(B1154,'Animais'!$A$6:$A$1005,0)),"Brinco não cadastrado"))</f>
        <v/>
      </c>
    </row>
    <row r="1155">
      <c r="A1155" s="31" t="n"/>
      <c r="B1155" s="36" t="n"/>
      <c r="C1155" s="38" t="n"/>
      <c r="D1155" s="32" t="n"/>
      <c r="E1155" s="43">
        <f>IF(OR(A1155="",B1155=""),"",SUMPRODUCT(MAX(($B$6:$B$2005=B1155)*($A$6:$A$2005&lt;A1155)*$A$6:$A$2005)))</f>
        <v/>
      </c>
      <c r="F1155" s="41">
        <f>IF(OR(E1155="",E1155=0),"",IFERROR(AVERAGEIFS($C$6:$C$2005,$B$6:$B$2005,B1155,$A$6:$A$2005,E1155),""))</f>
        <v/>
      </c>
      <c r="G1155" s="34">
        <f>IF(F1155="","",A1155-E1155)</f>
        <v/>
      </c>
      <c r="H1155" s="42">
        <f>IF(OR(F1155="",C1155=""),"",IFERROR((C1155-F1155)/G1155,""))</f>
        <v/>
      </c>
      <c r="I1155" s="39">
        <f>IF(B1155="","",IFERROR(INDEX('Animais'!$M$6:$M$1005,MATCH(B1155,'Animais'!$A$6:$A$1005,0)),"Brinco não cadastrado"))</f>
        <v/>
      </c>
    </row>
    <row r="1156">
      <c r="A1156" s="31" t="n"/>
      <c r="B1156" s="36" t="n"/>
      <c r="C1156" s="38" t="n"/>
      <c r="D1156" s="32" t="n"/>
      <c r="E1156" s="43">
        <f>IF(OR(A1156="",B1156=""),"",SUMPRODUCT(MAX(($B$6:$B$2005=B1156)*($A$6:$A$2005&lt;A1156)*$A$6:$A$2005)))</f>
        <v/>
      </c>
      <c r="F1156" s="41">
        <f>IF(OR(E1156="",E1156=0),"",IFERROR(AVERAGEIFS($C$6:$C$2005,$B$6:$B$2005,B1156,$A$6:$A$2005,E1156),""))</f>
        <v/>
      </c>
      <c r="G1156" s="34">
        <f>IF(F1156="","",A1156-E1156)</f>
        <v/>
      </c>
      <c r="H1156" s="42">
        <f>IF(OR(F1156="",C1156=""),"",IFERROR((C1156-F1156)/G1156,""))</f>
        <v/>
      </c>
      <c r="I1156" s="39">
        <f>IF(B1156="","",IFERROR(INDEX('Animais'!$M$6:$M$1005,MATCH(B1156,'Animais'!$A$6:$A$1005,0)),"Brinco não cadastrado"))</f>
        <v/>
      </c>
    </row>
    <row r="1157">
      <c r="A1157" s="31" t="n"/>
      <c r="B1157" s="36" t="n"/>
      <c r="C1157" s="38" t="n"/>
      <c r="D1157" s="32" t="n"/>
      <c r="E1157" s="43">
        <f>IF(OR(A1157="",B1157=""),"",SUMPRODUCT(MAX(($B$6:$B$2005=B1157)*($A$6:$A$2005&lt;A1157)*$A$6:$A$2005)))</f>
        <v/>
      </c>
      <c r="F1157" s="41">
        <f>IF(OR(E1157="",E1157=0),"",IFERROR(AVERAGEIFS($C$6:$C$2005,$B$6:$B$2005,B1157,$A$6:$A$2005,E1157),""))</f>
        <v/>
      </c>
      <c r="G1157" s="34">
        <f>IF(F1157="","",A1157-E1157)</f>
        <v/>
      </c>
      <c r="H1157" s="42">
        <f>IF(OR(F1157="",C1157=""),"",IFERROR((C1157-F1157)/G1157,""))</f>
        <v/>
      </c>
      <c r="I1157" s="39">
        <f>IF(B1157="","",IFERROR(INDEX('Animais'!$M$6:$M$1005,MATCH(B1157,'Animais'!$A$6:$A$1005,0)),"Brinco não cadastrado"))</f>
        <v/>
      </c>
    </row>
    <row r="1158">
      <c r="A1158" s="31" t="n"/>
      <c r="B1158" s="36" t="n"/>
      <c r="C1158" s="38" t="n"/>
      <c r="D1158" s="32" t="n"/>
      <c r="E1158" s="43">
        <f>IF(OR(A1158="",B1158=""),"",SUMPRODUCT(MAX(($B$6:$B$2005=B1158)*($A$6:$A$2005&lt;A1158)*$A$6:$A$2005)))</f>
        <v/>
      </c>
      <c r="F1158" s="41">
        <f>IF(OR(E1158="",E1158=0),"",IFERROR(AVERAGEIFS($C$6:$C$2005,$B$6:$B$2005,B1158,$A$6:$A$2005,E1158),""))</f>
        <v/>
      </c>
      <c r="G1158" s="34">
        <f>IF(F1158="","",A1158-E1158)</f>
        <v/>
      </c>
      <c r="H1158" s="42">
        <f>IF(OR(F1158="",C1158=""),"",IFERROR((C1158-F1158)/G1158,""))</f>
        <v/>
      </c>
      <c r="I1158" s="39">
        <f>IF(B1158="","",IFERROR(INDEX('Animais'!$M$6:$M$1005,MATCH(B1158,'Animais'!$A$6:$A$1005,0)),"Brinco não cadastrado"))</f>
        <v/>
      </c>
    </row>
    <row r="1159">
      <c r="A1159" s="31" t="n"/>
      <c r="B1159" s="36" t="n"/>
      <c r="C1159" s="38" t="n"/>
      <c r="D1159" s="32" t="n"/>
      <c r="E1159" s="43">
        <f>IF(OR(A1159="",B1159=""),"",SUMPRODUCT(MAX(($B$6:$B$2005=B1159)*($A$6:$A$2005&lt;A1159)*$A$6:$A$2005)))</f>
        <v/>
      </c>
      <c r="F1159" s="41">
        <f>IF(OR(E1159="",E1159=0),"",IFERROR(AVERAGEIFS($C$6:$C$2005,$B$6:$B$2005,B1159,$A$6:$A$2005,E1159),""))</f>
        <v/>
      </c>
      <c r="G1159" s="34">
        <f>IF(F1159="","",A1159-E1159)</f>
        <v/>
      </c>
      <c r="H1159" s="42">
        <f>IF(OR(F1159="",C1159=""),"",IFERROR((C1159-F1159)/G1159,""))</f>
        <v/>
      </c>
      <c r="I1159" s="39">
        <f>IF(B1159="","",IFERROR(INDEX('Animais'!$M$6:$M$1005,MATCH(B1159,'Animais'!$A$6:$A$1005,0)),"Brinco não cadastrado"))</f>
        <v/>
      </c>
    </row>
    <row r="1160">
      <c r="A1160" s="31" t="n"/>
      <c r="B1160" s="36" t="n"/>
      <c r="C1160" s="38" t="n"/>
      <c r="D1160" s="32" t="n"/>
      <c r="E1160" s="43">
        <f>IF(OR(A1160="",B1160=""),"",SUMPRODUCT(MAX(($B$6:$B$2005=B1160)*($A$6:$A$2005&lt;A1160)*$A$6:$A$2005)))</f>
        <v/>
      </c>
      <c r="F1160" s="41">
        <f>IF(OR(E1160="",E1160=0),"",IFERROR(AVERAGEIFS($C$6:$C$2005,$B$6:$B$2005,B1160,$A$6:$A$2005,E1160),""))</f>
        <v/>
      </c>
      <c r="G1160" s="34">
        <f>IF(F1160="","",A1160-E1160)</f>
        <v/>
      </c>
      <c r="H1160" s="42">
        <f>IF(OR(F1160="",C1160=""),"",IFERROR((C1160-F1160)/G1160,""))</f>
        <v/>
      </c>
      <c r="I1160" s="39">
        <f>IF(B1160="","",IFERROR(INDEX('Animais'!$M$6:$M$1005,MATCH(B1160,'Animais'!$A$6:$A$1005,0)),"Brinco não cadastrado"))</f>
        <v/>
      </c>
    </row>
    <row r="1161">
      <c r="A1161" s="31" t="n"/>
      <c r="B1161" s="36" t="n"/>
      <c r="C1161" s="38" t="n"/>
      <c r="D1161" s="32" t="n"/>
      <c r="E1161" s="43">
        <f>IF(OR(A1161="",B1161=""),"",SUMPRODUCT(MAX(($B$6:$B$2005=B1161)*($A$6:$A$2005&lt;A1161)*$A$6:$A$2005)))</f>
        <v/>
      </c>
      <c r="F1161" s="41">
        <f>IF(OR(E1161="",E1161=0),"",IFERROR(AVERAGEIFS($C$6:$C$2005,$B$6:$B$2005,B1161,$A$6:$A$2005,E1161),""))</f>
        <v/>
      </c>
      <c r="G1161" s="34">
        <f>IF(F1161="","",A1161-E1161)</f>
        <v/>
      </c>
      <c r="H1161" s="42">
        <f>IF(OR(F1161="",C1161=""),"",IFERROR((C1161-F1161)/G1161,""))</f>
        <v/>
      </c>
      <c r="I1161" s="39">
        <f>IF(B1161="","",IFERROR(INDEX('Animais'!$M$6:$M$1005,MATCH(B1161,'Animais'!$A$6:$A$1005,0)),"Brinco não cadastrado"))</f>
        <v/>
      </c>
    </row>
    <row r="1162">
      <c r="A1162" s="31" t="n"/>
      <c r="B1162" s="36" t="n"/>
      <c r="C1162" s="38" t="n"/>
      <c r="D1162" s="32" t="n"/>
      <c r="E1162" s="43">
        <f>IF(OR(A1162="",B1162=""),"",SUMPRODUCT(MAX(($B$6:$B$2005=B1162)*($A$6:$A$2005&lt;A1162)*$A$6:$A$2005)))</f>
        <v/>
      </c>
      <c r="F1162" s="41">
        <f>IF(OR(E1162="",E1162=0),"",IFERROR(AVERAGEIFS($C$6:$C$2005,$B$6:$B$2005,B1162,$A$6:$A$2005,E1162),""))</f>
        <v/>
      </c>
      <c r="G1162" s="34">
        <f>IF(F1162="","",A1162-E1162)</f>
        <v/>
      </c>
      <c r="H1162" s="42">
        <f>IF(OR(F1162="",C1162=""),"",IFERROR((C1162-F1162)/G1162,""))</f>
        <v/>
      </c>
      <c r="I1162" s="39">
        <f>IF(B1162="","",IFERROR(INDEX('Animais'!$M$6:$M$1005,MATCH(B1162,'Animais'!$A$6:$A$1005,0)),"Brinco não cadastrado"))</f>
        <v/>
      </c>
    </row>
    <row r="1163">
      <c r="A1163" s="31" t="n"/>
      <c r="B1163" s="36" t="n"/>
      <c r="C1163" s="38" t="n"/>
      <c r="D1163" s="32" t="n"/>
      <c r="E1163" s="43">
        <f>IF(OR(A1163="",B1163=""),"",SUMPRODUCT(MAX(($B$6:$B$2005=B1163)*($A$6:$A$2005&lt;A1163)*$A$6:$A$2005)))</f>
        <v/>
      </c>
      <c r="F1163" s="41">
        <f>IF(OR(E1163="",E1163=0),"",IFERROR(AVERAGEIFS($C$6:$C$2005,$B$6:$B$2005,B1163,$A$6:$A$2005,E1163),""))</f>
        <v/>
      </c>
      <c r="G1163" s="34">
        <f>IF(F1163="","",A1163-E1163)</f>
        <v/>
      </c>
      <c r="H1163" s="42">
        <f>IF(OR(F1163="",C1163=""),"",IFERROR((C1163-F1163)/G1163,""))</f>
        <v/>
      </c>
      <c r="I1163" s="39">
        <f>IF(B1163="","",IFERROR(INDEX('Animais'!$M$6:$M$1005,MATCH(B1163,'Animais'!$A$6:$A$1005,0)),"Brinco não cadastrado"))</f>
        <v/>
      </c>
    </row>
    <row r="1164">
      <c r="A1164" s="31" t="n"/>
      <c r="B1164" s="36" t="n"/>
      <c r="C1164" s="38" t="n"/>
      <c r="D1164" s="32" t="n"/>
      <c r="E1164" s="43">
        <f>IF(OR(A1164="",B1164=""),"",SUMPRODUCT(MAX(($B$6:$B$2005=B1164)*($A$6:$A$2005&lt;A1164)*$A$6:$A$2005)))</f>
        <v/>
      </c>
      <c r="F1164" s="41">
        <f>IF(OR(E1164="",E1164=0),"",IFERROR(AVERAGEIFS($C$6:$C$2005,$B$6:$B$2005,B1164,$A$6:$A$2005,E1164),""))</f>
        <v/>
      </c>
      <c r="G1164" s="34">
        <f>IF(F1164="","",A1164-E1164)</f>
        <v/>
      </c>
      <c r="H1164" s="42">
        <f>IF(OR(F1164="",C1164=""),"",IFERROR((C1164-F1164)/G1164,""))</f>
        <v/>
      </c>
      <c r="I1164" s="39">
        <f>IF(B1164="","",IFERROR(INDEX('Animais'!$M$6:$M$1005,MATCH(B1164,'Animais'!$A$6:$A$1005,0)),"Brinco não cadastrado"))</f>
        <v/>
      </c>
    </row>
    <row r="1165">
      <c r="A1165" s="31" t="n"/>
      <c r="B1165" s="36" t="n"/>
      <c r="C1165" s="38" t="n"/>
      <c r="D1165" s="32" t="n"/>
      <c r="E1165" s="43">
        <f>IF(OR(A1165="",B1165=""),"",SUMPRODUCT(MAX(($B$6:$B$2005=B1165)*($A$6:$A$2005&lt;A1165)*$A$6:$A$2005)))</f>
        <v/>
      </c>
      <c r="F1165" s="41">
        <f>IF(OR(E1165="",E1165=0),"",IFERROR(AVERAGEIFS($C$6:$C$2005,$B$6:$B$2005,B1165,$A$6:$A$2005,E1165),""))</f>
        <v/>
      </c>
      <c r="G1165" s="34">
        <f>IF(F1165="","",A1165-E1165)</f>
        <v/>
      </c>
      <c r="H1165" s="42">
        <f>IF(OR(F1165="",C1165=""),"",IFERROR((C1165-F1165)/G1165,""))</f>
        <v/>
      </c>
      <c r="I1165" s="39">
        <f>IF(B1165="","",IFERROR(INDEX('Animais'!$M$6:$M$1005,MATCH(B1165,'Animais'!$A$6:$A$1005,0)),"Brinco não cadastrado"))</f>
        <v/>
      </c>
    </row>
    <row r="1166">
      <c r="A1166" s="31" t="n"/>
      <c r="B1166" s="36" t="n"/>
      <c r="C1166" s="38" t="n"/>
      <c r="D1166" s="32" t="n"/>
      <c r="E1166" s="43">
        <f>IF(OR(A1166="",B1166=""),"",SUMPRODUCT(MAX(($B$6:$B$2005=B1166)*($A$6:$A$2005&lt;A1166)*$A$6:$A$2005)))</f>
        <v/>
      </c>
      <c r="F1166" s="41">
        <f>IF(OR(E1166="",E1166=0),"",IFERROR(AVERAGEIFS($C$6:$C$2005,$B$6:$B$2005,B1166,$A$6:$A$2005,E1166),""))</f>
        <v/>
      </c>
      <c r="G1166" s="34">
        <f>IF(F1166="","",A1166-E1166)</f>
        <v/>
      </c>
      <c r="H1166" s="42">
        <f>IF(OR(F1166="",C1166=""),"",IFERROR((C1166-F1166)/G1166,""))</f>
        <v/>
      </c>
      <c r="I1166" s="39">
        <f>IF(B1166="","",IFERROR(INDEX('Animais'!$M$6:$M$1005,MATCH(B1166,'Animais'!$A$6:$A$1005,0)),"Brinco não cadastrado"))</f>
        <v/>
      </c>
    </row>
    <row r="1167">
      <c r="A1167" s="31" t="n"/>
      <c r="B1167" s="36" t="n"/>
      <c r="C1167" s="38" t="n"/>
      <c r="D1167" s="32" t="n"/>
      <c r="E1167" s="43">
        <f>IF(OR(A1167="",B1167=""),"",SUMPRODUCT(MAX(($B$6:$B$2005=B1167)*($A$6:$A$2005&lt;A1167)*$A$6:$A$2005)))</f>
        <v/>
      </c>
      <c r="F1167" s="41">
        <f>IF(OR(E1167="",E1167=0),"",IFERROR(AVERAGEIFS($C$6:$C$2005,$B$6:$B$2005,B1167,$A$6:$A$2005,E1167),""))</f>
        <v/>
      </c>
      <c r="G1167" s="34">
        <f>IF(F1167="","",A1167-E1167)</f>
        <v/>
      </c>
      <c r="H1167" s="42">
        <f>IF(OR(F1167="",C1167=""),"",IFERROR((C1167-F1167)/G1167,""))</f>
        <v/>
      </c>
      <c r="I1167" s="39">
        <f>IF(B1167="","",IFERROR(INDEX('Animais'!$M$6:$M$1005,MATCH(B1167,'Animais'!$A$6:$A$1005,0)),"Brinco não cadastrado"))</f>
        <v/>
      </c>
    </row>
    <row r="1168">
      <c r="A1168" s="31" t="n"/>
      <c r="B1168" s="36" t="n"/>
      <c r="C1168" s="38" t="n"/>
      <c r="D1168" s="32" t="n"/>
      <c r="E1168" s="43">
        <f>IF(OR(A1168="",B1168=""),"",SUMPRODUCT(MAX(($B$6:$B$2005=B1168)*($A$6:$A$2005&lt;A1168)*$A$6:$A$2005)))</f>
        <v/>
      </c>
      <c r="F1168" s="41">
        <f>IF(OR(E1168="",E1168=0),"",IFERROR(AVERAGEIFS($C$6:$C$2005,$B$6:$B$2005,B1168,$A$6:$A$2005,E1168),""))</f>
        <v/>
      </c>
      <c r="G1168" s="34">
        <f>IF(F1168="","",A1168-E1168)</f>
        <v/>
      </c>
      <c r="H1168" s="42">
        <f>IF(OR(F1168="",C1168=""),"",IFERROR((C1168-F1168)/G1168,""))</f>
        <v/>
      </c>
      <c r="I1168" s="39">
        <f>IF(B1168="","",IFERROR(INDEX('Animais'!$M$6:$M$1005,MATCH(B1168,'Animais'!$A$6:$A$1005,0)),"Brinco não cadastrado"))</f>
        <v/>
      </c>
    </row>
    <row r="1169">
      <c r="A1169" s="31" t="n"/>
      <c r="B1169" s="36" t="n"/>
      <c r="C1169" s="38" t="n"/>
      <c r="D1169" s="32" t="n"/>
      <c r="E1169" s="43">
        <f>IF(OR(A1169="",B1169=""),"",SUMPRODUCT(MAX(($B$6:$B$2005=B1169)*($A$6:$A$2005&lt;A1169)*$A$6:$A$2005)))</f>
        <v/>
      </c>
      <c r="F1169" s="41">
        <f>IF(OR(E1169="",E1169=0),"",IFERROR(AVERAGEIFS($C$6:$C$2005,$B$6:$B$2005,B1169,$A$6:$A$2005,E1169),""))</f>
        <v/>
      </c>
      <c r="G1169" s="34">
        <f>IF(F1169="","",A1169-E1169)</f>
        <v/>
      </c>
      <c r="H1169" s="42">
        <f>IF(OR(F1169="",C1169=""),"",IFERROR((C1169-F1169)/G1169,""))</f>
        <v/>
      </c>
      <c r="I1169" s="39">
        <f>IF(B1169="","",IFERROR(INDEX('Animais'!$M$6:$M$1005,MATCH(B1169,'Animais'!$A$6:$A$1005,0)),"Brinco não cadastrado"))</f>
        <v/>
      </c>
    </row>
    <row r="1170">
      <c r="A1170" s="31" t="n"/>
      <c r="B1170" s="36" t="n"/>
      <c r="C1170" s="38" t="n"/>
      <c r="D1170" s="32" t="n"/>
      <c r="E1170" s="43">
        <f>IF(OR(A1170="",B1170=""),"",SUMPRODUCT(MAX(($B$6:$B$2005=B1170)*($A$6:$A$2005&lt;A1170)*$A$6:$A$2005)))</f>
        <v/>
      </c>
      <c r="F1170" s="41">
        <f>IF(OR(E1170="",E1170=0),"",IFERROR(AVERAGEIFS($C$6:$C$2005,$B$6:$B$2005,B1170,$A$6:$A$2005,E1170),""))</f>
        <v/>
      </c>
      <c r="G1170" s="34">
        <f>IF(F1170="","",A1170-E1170)</f>
        <v/>
      </c>
      <c r="H1170" s="42">
        <f>IF(OR(F1170="",C1170=""),"",IFERROR((C1170-F1170)/G1170,""))</f>
        <v/>
      </c>
      <c r="I1170" s="39">
        <f>IF(B1170="","",IFERROR(INDEX('Animais'!$M$6:$M$1005,MATCH(B1170,'Animais'!$A$6:$A$1005,0)),"Brinco não cadastrado"))</f>
        <v/>
      </c>
    </row>
    <row r="1171">
      <c r="A1171" s="31" t="n"/>
      <c r="B1171" s="36" t="n"/>
      <c r="C1171" s="38" t="n"/>
      <c r="D1171" s="32" t="n"/>
      <c r="E1171" s="43">
        <f>IF(OR(A1171="",B1171=""),"",SUMPRODUCT(MAX(($B$6:$B$2005=B1171)*($A$6:$A$2005&lt;A1171)*$A$6:$A$2005)))</f>
        <v/>
      </c>
      <c r="F1171" s="41">
        <f>IF(OR(E1171="",E1171=0),"",IFERROR(AVERAGEIFS($C$6:$C$2005,$B$6:$B$2005,B1171,$A$6:$A$2005,E1171),""))</f>
        <v/>
      </c>
      <c r="G1171" s="34">
        <f>IF(F1171="","",A1171-E1171)</f>
        <v/>
      </c>
      <c r="H1171" s="42">
        <f>IF(OR(F1171="",C1171=""),"",IFERROR((C1171-F1171)/G1171,""))</f>
        <v/>
      </c>
      <c r="I1171" s="39">
        <f>IF(B1171="","",IFERROR(INDEX('Animais'!$M$6:$M$1005,MATCH(B1171,'Animais'!$A$6:$A$1005,0)),"Brinco não cadastrado"))</f>
        <v/>
      </c>
    </row>
    <row r="1172">
      <c r="A1172" s="31" t="n"/>
      <c r="B1172" s="36" t="n"/>
      <c r="C1172" s="38" t="n"/>
      <c r="D1172" s="32" t="n"/>
      <c r="E1172" s="43">
        <f>IF(OR(A1172="",B1172=""),"",SUMPRODUCT(MAX(($B$6:$B$2005=B1172)*($A$6:$A$2005&lt;A1172)*$A$6:$A$2005)))</f>
        <v/>
      </c>
      <c r="F1172" s="41">
        <f>IF(OR(E1172="",E1172=0),"",IFERROR(AVERAGEIFS($C$6:$C$2005,$B$6:$B$2005,B1172,$A$6:$A$2005,E1172),""))</f>
        <v/>
      </c>
      <c r="G1172" s="34">
        <f>IF(F1172="","",A1172-E1172)</f>
        <v/>
      </c>
      <c r="H1172" s="42">
        <f>IF(OR(F1172="",C1172=""),"",IFERROR((C1172-F1172)/G1172,""))</f>
        <v/>
      </c>
      <c r="I1172" s="39">
        <f>IF(B1172="","",IFERROR(INDEX('Animais'!$M$6:$M$1005,MATCH(B1172,'Animais'!$A$6:$A$1005,0)),"Brinco não cadastrado"))</f>
        <v/>
      </c>
    </row>
    <row r="1173">
      <c r="A1173" s="31" t="n"/>
      <c r="B1173" s="36" t="n"/>
      <c r="C1173" s="38" t="n"/>
      <c r="D1173" s="32" t="n"/>
      <c r="E1173" s="43">
        <f>IF(OR(A1173="",B1173=""),"",SUMPRODUCT(MAX(($B$6:$B$2005=B1173)*($A$6:$A$2005&lt;A1173)*$A$6:$A$2005)))</f>
        <v/>
      </c>
      <c r="F1173" s="41">
        <f>IF(OR(E1173="",E1173=0),"",IFERROR(AVERAGEIFS($C$6:$C$2005,$B$6:$B$2005,B1173,$A$6:$A$2005,E1173),""))</f>
        <v/>
      </c>
      <c r="G1173" s="34">
        <f>IF(F1173="","",A1173-E1173)</f>
        <v/>
      </c>
      <c r="H1173" s="42">
        <f>IF(OR(F1173="",C1173=""),"",IFERROR((C1173-F1173)/G1173,""))</f>
        <v/>
      </c>
      <c r="I1173" s="39">
        <f>IF(B1173="","",IFERROR(INDEX('Animais'!$M$6:$M$1005,MATCH(B1173,'Animais'!$A$6:$A$1005,0)),"Brinco não cadastrado"))</f>
        <v/>
      </c>
    </row>
    <row r="1174">
      <c r="A1174" s="31" t="n"/>
      <c r="B1174" s="36" t="n"/>
      <c r="C1174" s="38" t="n"/>
      <c r="D1174" s="32" t="n"/>
      <c r="E1174" s="43">
        <f>IF(OR(A1174="",B1174=""),"",SUMPRODUCT(MAX(($B$6:$B$2005=B1174)*($A$6:$A$2005&lt;A1174)*$A$6:$A$2005)))</f>
        <v/>
      </c>
      <c r="F1174" s="41">
        <f>IF(OR(E1174="",E1174=0),"",IFERROR(AVERAGEIFS($C$6:$C$2005,$B$6:$B$2005,B1174,$A$6:$A$2005,E1174),""))</f>
        <v/>
      </c>
      <c r="G1174" s="34">
        <f>IF(F1174="","",A1174-E1174)</f>
        <v/>
      </c>
      <c r="H1174" s="42">
        <f>IF(OR(F1174="",C1174=""),"",IFERROR((C1174-F1174)/G1174,""))</f>
        <v/>
      </c>
      <c r="I1174" s="39">
        <f>IF(B1174="","",IFERROR(INDEX('Animais'!$M$6:$M$1005,MATCH(B1174,'Animais'!$A$6:$A$1005,0)),"Brinco não cadastrado"))</f>
        <v/>
      </c>
    </row>
    <row r="1175">
      <c r="A1175" s="31" t="n"/>
      <c r="B1175" s="36" t="n"/>
      <c r="C1175" s="38" t="n"/>
      <c r="D1175" s="32" t="n"/>
      <c r="E1175" s="43">
        <f>IF(OR(A1175="",B1175=""),"",SUMPRODUCT(MAX(($B$6:$B$2005=B1175)*($A$6:$A$2005&lt;A1175)*$A$6:$A$2005)))</f>
        <v/>
      </c>
      <c r="F1175" s="41">
        <f>IF(OR(E1175="",E1175=0),"",IFERROR(AVERAGEIFS($C$6:$C$2005,$B$6:$B$2005,B1175,$A$6:$A$2005,E1175),""))</f>
        <v/>
      </c>
      <c r="G1175" s="34">
        <f>IF(F1175="","",A1175-E1175)</f>
        <v/>
      </c>
      <c r="H1175" s="42">
        <f>IF(OR(F1175="",C1175=""),"",IFERROR((C1175-F1175)/G1175,""))</f>
        <v/>
      </c>
      <c r="I1175" s="39">
        <f>IF(B1175="","",IFERROR(INDEX('Animais'!$M$6:$M$1005,MATCH(B1175,'Animais'!$A$6:$A$1005,0)),"Brinco não cadastrado"))</f>
        <v/>
      </c>
    </row>
    <row r="1176">
      <c r="A1176" s="31" t="n"/>
      <c r="B1176" s="36" t="n"/>
      <c r="C1176" s="38" t="n"/>
      <c r="D1176" s="32" t="n"/>
      <c r="E1176" s="43">
        <f>IF(OR(A1176="",B1176=""),"",SUMPRODUCT(MAX(($B$6:$B$2005=B1176)*($A$6:$A$2005&lt;A1176)*$A$6:$A$2005)))</f>
        <v/>
      </c>
      <c r="F1176" s="41">
        <f>IF(OR(E1176="",E1176=0),"",IFERROR(AVERAGEIFS($C$6:$C$2005,$B$6:$B$2005,B1176,$A$6:$A$2005,E1176),""))</f>
        <v/>
      </c>
      <c r="G1176" s="34">
        <f>IF(F1176="","",A1176-E1176)</f>
        <v/>
      </c>
      <c r="H1176" s="42">
        <f>IF(OR(F1176="",C1176=""),"",IFERROR((C1176-F1176)/G1176,""))</f>
        <v/>
      </c>
      <c r="I1176" s="39">
        <f>IF(B1176="","",IFERROR(INDEX('Animais'!$M$6:$M$1005,MATCH(B1176,'Animais'!$A$6:$A$1005,0)),"Brinco não cadastrado"))</f>
        <v/>
      </c>
    </row>
    <row r="1177">
      <c r="A1177" s="31" t="n"/>
      <c r="B1177" s="36" t="n"/>
      <c r="C1177" s="38" t="n"/>
      <c r="D1177" s="32" t="n"/>
      <c r="E1177" s="43">
        <f>IF(OR(A1177="",B1177=""),"",SUMPRODUCT(MAX(($B$6:$B$2005=B1177)*($A$6:$A$2005&lt;A1177)*$A$6:$A$2005)))</f>
        <v/>
      </c>
      <c r="F1177" s="41">
        <f>IF(OR(E1177="",E1177=0),"",IFERROR(AVERAGEIFS($C$6:$C$2005,$B$6:$B$2005,B1177,$A$6:$A$2005,E1177),""))</f>
        <v/>
      </c>
      <c r="G1177" s="34">
        <f>IF(F1177="","",A1177-E1177)</f>
        <v/>
      </c>
      <c r="H1177" s="42">
        <f>IF(OR(F1177="",C1177=""),"",IFERROR((C1177-F1177)/G1177,""))</f>
        <v/>
      </c>
      <c r="I1177" s="39">
        <f>IF(B1177="","",IFERROR(INDEX('Animais'!$M$6:$M$1005,MATCH(B1177,'Animais'!$A$6:$A$1005,0)),"Brinco não cadastrado"))</f>
        <v/>
      </c>
    </row>
    <row r="1178">
      <c r="A1178" s="31" t="n"/>
      <c r="B1178" s="36" t="n"/>
      <c r="C1178" s="38" t="n"/>
      <c r="D1178" s="32" t="n"/>
      <c r="E1178" s="43">
        <f>IF(OR(A1178="",B1178=""),"",SUMPRODUCT(MAX(($B$6:$B$2005=B1178)*($A$6:$A$2005&lt;A1178)*$A$6:$A$2005)))</f>
        <v/>
      </c>
      <c r="F1178" s="41">
        <f>IF(OR(E1178="",E1178=0),"",IFERROR(AVERAGEIFS($C$6:$C$2005,$B$6:$B$2005,B1178,$A$6:$A$2005,E1178),""))</f>
        <v/>
      </c>
      <c r="G1178" s="34">
        <f>IF(F1178="","",A1178-E1178)</f>
        <v/>
      </c>
      <c r="H1178" s="42">
        <f>IF(OR(F1178="",C1178=""),"",IFERROR((C1178-F1178)/G1178,""))</f>
        <v/>
      </c>
      <c r="I1178" s="39">
        <f>IF(B1178="","",IFERROR(INDEX('Animais'!$M$6:$M$1005,MATCH(B1178,'Animais'!$A$6:$A$1005,0)),"Brinco não cadastrado"))</f>
        <v/>
      </c>
    </row>
    <row r="1179">
      <c r="A1179" s="31" t="n"/>
      <c r="B1179" s="36" t="n"/>
      <c r="C1179" s="38" t="n"/>
      <c r="D1179" s="32" t="n"/>
      <c r="E1179" s="43">
        <f>IF(OR(A1179="",B1179=""),"",SUMPRODUCT(MAX(($B$6:$B$2005=B1179)*($A$6:$A$2005&lt;A1179)*$A$6:$A$2005)))</f>
        <v/>
      </c>
      <c r="F1179" s="41">
        <f>IF(OR(E1179="",E1179=0),"",IFERROR(AVERAGEIFS($C$6:$C$2005,$B$6:$B$2005,B1179,$A$6:$A$2005,E1179),""))</f>
        <v/>
      </c>
      <c r="G1179" s="34">
        <f>IF(F1179="","",A1179-E1179)</f>
        <v/>
      </c>
      <c r="H1179" s="42">
        <f>IF(OR(F1179="",C1179=""),"",IFERROR((C1179-F1179)/G1179,""))</f>
        <v/>
      </c>
      <c r="I1179" s="39">
        <f>IF(B1179="","",IFERROR(INDEX('Animais'!$M$6:$M$1005,MATCH(B1179,'Animais'!$A$6:$A$1005,0)),"Brinco não cadastrado"))</f>
        <v/>
      </c>
    </row>
    <row r="1180">
      <c r="A1180" s="31" t="n"/>
      <c r="B1180" s="36" t="n"/>
      <c r="C1180" s="38" t="n"/>
      <c r="D1180" s="32" t="n"/>
      <c r="E1180" s="43">
        <f>IF(OR(A1180="",B1180=""),"",SUMPRODUCT(MAX(($B$6:$B$2005=B1180)*($A$6:$A$2005&lt;A1180)*$A$6:$A$2005)))</f>
        <v/>
      </c>
      <c r="F1180" s="41">
        <f>IF(OR(E1180="",E1180=0),"",IFERROR(AVERAGEIFS($C$6:$C$2005,$B$6:$B$2005,B1180,$A$6:$A$2005,E1180),""))</f>
        <v/>
      </c>
      <c r="G1180" s="34">
        <f>IF(F1180="","",A1180-E1180)</f>
        <v/>
      </c>
      <c r="H1180" s="42">
        <f>IF(OR(F1180="",C1180=""),"",IFERROR((C1180-F1180)/G1180,""))</f>
        <v/>
      </c>
      <c r="I1180" s="39">
        <f>IF(B1180="","",IFERROR(INDEX('Animais'!$M$6:$M$1005,MATCH(B1180,'Animais'!$A$6:$A$1005,0)),"Brinco não cadastrado"))</f>
        <v/>
      </c>
    </row>
    <row r="1181">
      <c r="A1181" s="31" t="n"/>
      <c r="B1181" s="36" t="n"/>
      <c r="C1181" s="38" t="n"/>
      <c r="D1181" s="32" t="n"/>
      <c r="E1181" s="43">
        <f>IF(OR(A1181="",B1181=""),"",SUMPRODUCT(MAX(($B$6:$B$2005=B1181)*($A$6:$A$2005&lt;A1181)*$A$6:$A$2005)))</f>
        <v/>
      </c>
      <c r="F1181" s="41">
        <f>IF(OR(E1181="",E1181=0),"",IFERROR(AVERAGEIFS($C$6:$C$2005,$B$6:$B$2005,B1181,$A$6:$A$2005,E1181),""))</f>
        <v/>
      </c>
      <c r="G1181" s="34">
        <f>IF(F1181="","",A1181-E1181)</f>
        <v/>
      </c>
      <c r="H1181" s="42">
        <f>IF(OR(F1181="",C1181=""),"",IFERROR((C1181-F1181)/G1181,""))</f>
        <v/>
      </c>
      <c r="I1181" s="39">
        <f>IF(B1181="","",IFERROR(INDEX('Animais'!$M$6:$M$1005,MATCH(B1181,'Animais'!$A$6:$A$1005,0)),"Brinco não cadastrado"))</f>
        <v/>
      </c>
    </row>
    <row r="1182">
      <c r="A1182" s="31" t="n"/>
      <c r="B1182" s="36" t="n"/>
      <c r="C1182" s="38" t="n"/>
      <c r="D1182" s="32" t="n"/>
      <c r="E1182" s="43">
        <f>IF(OR(A1182="",B1182=""),"",SUMPRODUCT(MAX(($B$6:$B$2005=B1182)*($A$6:$A$2005&lt;A1182)*$A$6:$A$2005)))</f>
        <v/>
      </c>
      <c r="F1182" s="41">
        <f>IF(OR(E1182="",E1182=0),"",IFERROR(AVERAGEIFS($C$6:$C$2005,$B$6:$B$2005,B1182,$A$6:$A$2005,E1182),""))</f>
        <v/>
      </c>
      <c r="G1182" s="34">
        <f>IF(F1182="","",A1182-E1182)</f>
        <v/>
      </c>
      <c r="H1182" s="42">
        <f>IF(OR(F1182="",C1182=""),"",IFERROR((C1182-F1182)/G1182,""))</f>
        <v/>
      </c>
      <c r="I1182" s="39">
        <f>IF(B1182="","",IFERROR(INDEX('Animais'!$M$6:$M$1005,MATCH(B1182,'Animais'!$A$6:$A$1005,0)),"Brinco não cadastrado"))</f>
        <v/>
      </c>
    </row>
    <row r="1183">
      <c r="A1183" s="31" t="n"/>
      <c r="B1183" s="36" t="n"/>
      <c r="C1183" s="38" t="n"/>
      <c r="D1183" s="32" t="n"/>
      <c r="E1183" s="43">
        <f>IF(OR(A1183="",B1183=""),"",SUMPRODUCT(MAX(($B$6:$B$2005=B1183)*($A$6:$A$2005&lt;A1183)*$A$6:$A$2005)))</f>
        <v/>
      </c>
      <c r="F1183" s="41">
        <f>IF(OR(E1183="",E1183=0),"",IFERROR(AVERAGEIFS($C$6:$C$2005,$B$6:$B$2005,B1183,$A$6:$A$2005,E1183),""))</f>
        <v/>
      </c>
      <c r="G1183" s="34">
        <f>IF(F1183="","",A1183-E1183)</f>
        <v/>
      </c>
      <c r="H1183" s="42">
        <f>IF(OR(F1183="",C1183=""),"",IFERROR((C1183-F1183)/G1183,""))</f>
        <v/>
      </c>
      <c r="I1183" s="39">
        <f>IF(B1183="","",IFERROR(INDEX('Animais'!$M$6:$M$1005,MATCH(B1183,'Animais'!$A$6:$A$1005,0)),"Brinco não cadastrado"))</f>
        <v/>
      </c>
    </row>
    <row r="1184">
      <c r="A1184" s="31" t="n"/>
      <c r="B1184" s="36" t="n"/>
      <c r="C1184" s="38" t="n"/>
      <c r="D1184" s="32" t="n"/>
      <c r="E1184" s="43">
        <f>IF(OR(A1184="",B1184=""),"",SUMPRODUCT(MAX(($B$6:$B$2005=B1184)*($A$6:$A$2005&lt;A1184)*$A$6:$A$2005)))</f>
        <v/>
      </c>
      <c r="F1184" s="41">
        <f>IF(OR(E1184="",E1184=0),"",IFERROR(AVERAGEIFS($C$6:$C$2005,$B$6:$B$2005,B1184,$A$6:$A$2005,E1184),""))</f>
        <v/>
      </c>
      <c r="G1184" s="34">
        <f>IF(F1184="","",A1184-E1184)</f>
        <v/>
      </c>
      <c r="H1184" s="42">
        <f>IF(OR(F1184="",C1184=""),"",IFERROR((C1184-F1184)/G1184,""))</f>
        <v/>
      </c>
      <c r="I1184" s="39">
        <f>IF(B1184="","",IFERROR(INDEX('Animais'!$M$6:$M$1005,MATCH(B1184,'Animais'!$A$6:$A$1005,0)),"Brinco não cadastrado"))</f>
        <v/>
      </c>
    </row>
    <row r="1185">
      <c r="A1185" s="31" t="n"/>
      <c r="B1185" s="36" t="n"/>
      <c r="C1185" s="38" t="n"/>
      <c r="D1185" s="32" t="n"/>
      <c r="E1185" s="43">
        <f>IF(OR(A1185="",B1185=""),"",SUMPRODUCT(MAX(($B$6:$B$2005=B1185)*($A$6:$A$2005&lt;A1185)*$A$6:$A$2005)))</f>
        <v/>
      </c>
      <c r="F1185" s="41">
        <f>IF(OR(E1185="",E1185=0),"",IFERROR(AVERAGEIFS($C$6:$C$2005,$B$6:$B$2005,B1185,$A$6:$A$2005,E1185),""))</f>
        <v/>
      </c>
      <c r="G1185" s="34">
        <f>IF(F1185="","",A1185-E1185)</f>
        <v/>
      </c>
      <c r="H1185" s="42">
        <f>IF(OR(F1185="",C1185=""),"",IFERROR((C1185-F1185)/G1185,""))</f>
        <v/>
      </c>
      <c r="I1185" s="39">
        <f>IF(B1185="","",IFERROR(INDEX('Animais'!$M$6:$M$1005,MATCH(B1185,'Animais'!$A$6:$A$1005,0)),"Brinco não cadastrado"))</f>
        <v/>
      </c>
    </row>
    <row r="1186">
      <c r="A1186" s="31" t="n"/>
      <c r="B1186" s="36" t="n"/>
      <c r="C1186" s="38" t="n"/>
      <c r="D1186" s="32" t="n"/>
      <c r="E1186" s="43">
        <f>IF(OR(A1186="",B1186=""),"",SUMPRODUCT(MAX(($B$6:$B$2005=B1186)*($A$6:$A$2005&lt;A1186)*$A$6:$A$2005)))</f>
        <v/>
      </c>
      <c r="F1186" s="41">
        <f>IF(OR(E1186="",E1186=0),"",IFERROR(AVERAGEIFS($C$6:$C$2005,$B$6:$B$2005,B1186,$A$6:$A$2005,E1186),""))</f>
        <v/>
      </c>
      <c r="G1186" s="34">
        <f>IF(F1186="","",A1186-E1186)</f>
        <v/>
      </c>
      <c r="H1186" s="42">
        <f>IF(OR(F1186="",C1186=""),"",IFERROR((C1186-F1186)/G1186,""))</f>
        <v/>
      </c>
      <c r="I1186" s="39">
        <f>IF(B1186="","",IFERROR(INDEX('Animais'!$M$6:$M$1005,MATCH(B1186,'Animais'!$A$6:$A$1005,0)),"Brinco não cadastrado"))</f>
        <v/>
      </c>
    </row>
    <row r="1187">
      <c r="A1187" s="31" t="n"/>
      <c r="B1187" s="36" t="n"/>
      <c r="C1187" s="38" t="n"/>
      <c r="D1187" s="32" t="n"/>
      <c r="E1187" s="43">
        <f>IF(OR(A1187="",B1187=""),"",SUMPRODUCT(MAX(($B$6:$B$2005=B1187)*($A$6:$A$2005&lt;A1187)*$A$6:$A$2005)))</f>
        <v/>
      </c>
      <c r="F1187" s="41">
        <f>IF(OR(E1187="",E1187=0),"",IFERROR(AVERAGEIFS($C$6:$C$2005,$B$6:$B$2005,B1187,$A$6:$A$2005,E1187),""))</f>
        <v/>
      </c>
      <c r="G1187" s="34">
        <f>IF(F1187="","",A1187-E1187)</f>
        <v/>
      </c>
      <c r="H1187" s="42">
        <f>IF(OR(F1187="",C1187=""),"",IFERROR((C1187-F1187)/G1187,""))</f>
        <v/>
      </c>
      <c r="I1187" s="39">
        <f>IF(B1187="","",IFERROR(INDEX('Animais'!$M$6:$M$1005,MATCH(B1187,'Animais'!$A$6:$A$1005,0)),"Brinco não cadastrado"))</f>
        <v/>
      </c>
    </row>
    <row r="1188">
      <c r="A1188" s="31" t="n"/>
      <c r="B1188" s="36" t="n"/>
      <c r="C1188" s="38" t="n"/>
      <c r="D1188" s="32" t="n"/>
      <c r="E1188" s="43">
        <f>IF(OR(A1188="",B1188=""),"",SUMPRODUCT(MAX(($B$6:$B$2005=B1188)*($A$6:$A$2005&lt;A1188)*$A$6:$A$2005)))</f>
        <v/>
      </c>
      <c r="F1188" s="41">
        <f>IF(OR(E1188="",E1188=0),"",IFERROR(AVERAGEIFS($C$6:$C$2005,$B$6:$B$2005,B1188,$A$6:$A$2005,E1188),""))</f>
        <v/>
      </c>
      <c r="G1188" s="34">
        <f>IF(F1188="","",A1188-E1188)</f>
        <v/>
      </c>
      <c r="H1188" s="42">
        <f>IF(OR(F1188="",C1188=""),"",IFERROR((C1188-F1188)/G1188,""))</f>
        <v/>
      </c>
      <c r="I1188" s="39">
        <f>IF(B1188="","",IFERROR(INDEX('Animais'!$M$6:$M$1005,MATCH(B1188,'Animais'!$A$6:$A$1005,0)),"Brinco não cadastrado"))</f>
        <v/>
      </c>
    </row>
    <row r="1189">
      <c r="A1189" s="31" t="n"/>
      <c r="B1189" s="36" t="n"/>
      <c r="C1189" s="38" t="n"/>
      <c r="D1189" s="32" t="n"/>
      <c r="E1189" s="43">
        <f>IF(OR(A1189="",B1189=""),"",SUMPRODUCT(MAX(($B$6:$B$2005=B1189)*($A$6:$A$2005&lt;A1189)*$A$6:$A$2005)))</f>
        <v/>
      </c>
      <c r="F1189" s="41">
        <f>IF(OR(E1189="",E1189=0),"",IFERROR(AVERAGEIFS($C$6:$C$2005,$B$6:$B$2005,B1189,$A$6:$A$2005,E1189),""))</f>
        <v/>
      </c>
      <c r="G1189" s="34">
        <f>IF(F1189="","",A1189-E1189)</f>
        <v/>
      </c>
      <c r="H1189" s="42">
        <f>IF(OR(F1189="",C1189=""),"",IFERROR((C1189-F1189)/G1189,""))</f>
        <v/>
      </c>
      <c r="I1189" s="39">
        <f>IF(B1189="","",IFERROR(INDEX('Animais'!$M$6:$M$1005,MATCH(B1189,'Animais'!$A$6:$A$1005,0)),"Brinco não cadastrado"))</f>
        <v/>
      </c>
    </row>
    <row r="1190">
      <c r="A1190" s="31" t="n"/>
      <c r="B1190" s="36" t="n"/>
      <c r="C1190" s="38" t="n"/>
      <c r="D1190" s="32" t="n"/>
      <c r="E1190" s="43">
        <f>IF(OR(A1190="",B1190=""),"",SUMPRODUCT(MAX(($B$6:$B$2005=B1190)*($A$6:$A$2005&lt;A1190)*$A$6:$A$2005)))</f>
        <v/>
      </c>
      <c r="F1190" s="41">
        <f>IF(OR(E1190="",E1190=0),"",IFERROR(AVERAGEIFS($C$6:$C$2005,$B$6:$B$2005,B1190,$A$6:$A$2005,E1190),""))</f>
        <v/>
      </c>
      <c r="G1190" s="34">
        <f>IF(F1190="","",A1190-E1190)</f>
        <v/>
      </c>
      <c r="H1190" s="42">
        <f>IF(OR(F1190="",C1190=""),"",IFERROR((C1190-F1190)/G1190,""))</f>
        <v/>
      </c>
      <c r="I1190" s="39">
        <f>IF(B1190="","",IFERROR(INDEX('Animais'!$M$6:$M$1005,MATCH(B1190,'Animais'!$A$6:$A$1005,0)),"Brinco não cadastrado"))</f>
        <v/>
      </c>
    </row>
    <row r="1191">
      <c r="A1191" s="31" t="n"/>
      <c r="B1191" s="36" t="n"/>
      <c r="C1191" s="38" t="n"/>
      <c r="D1191" s="32" t="n"/>
      <c r="E1191" s="43">
        <f>IF(OR(A1191="",B1191=""),"",SUMPRODUCT(MAX(($B$6:$B$2005=B1191)*($A$6:$A$2005&lt;A1191)*$A$6:$A$2005)))</f>
        <v/>
      </c>
      <c r="F1191" s="41">
        <f>IF(OR(E1191="",E1191=0),"",IFERROR(AVERAGEIFS($C$6:$C$2005,$B$6:$B$2005,B1191,$A$6:$A$2005,E1191),""))</f>
        <v/>
      </c>
      <c r="G1191" s="34">
        <f>IF(F1191="","",A1191-E1191)</f>
        <v/>
      </c>
      <c r="H1191" s="42">
        <f>IF(OR(F1191="",C1191=""),"",IFERROR((C1191-F1191)/G1191,""))</f>
        <v/>
      </c>
      <c r="I1191" s="39">
        <f>IF(B1191="","",IFERROR(INDEX('Animais'!$M$6:$M$1005,MATCH(B1191,'Animais'!$A$6:$A$1005,0)),"Brinco não cadastrado"))</f>
        <v/>
      </c>
    </row>
    <row r="1192">
      <c r="A1192" s="31" t="n"/>
      <c r="B1192" s="36" t="n"/>
      <c r="C1192" s="38" t="n"/>
      <c r="D1192" s="32" t="n"/>
      <c r="E1192" s="43">
        <f>IF(OR(A1192="",B1192=""),"",SUMPRODUCT(MAX(($B$6:$B$2005=B1192)*($A$6:$A$2005&lt;A1192)*$A$6:$A$2005)))</f>
        <v/>
      </c>
      <c r="F1192" s="41">
        <f>IF(OR(E1192="",E1192=0),"",IFERROR(AVERAGEIFS($C$6:$C$2005,$B$6:$B$2005,B1192,$A$6:$A$2005,E1192),""))</f>
        <v/>
      </c>
      <c r="G1192" s="34">
        <f>IF(F1192="","",A1192-E1192)</f>
        <v/>
      </c>
      <c r="H1192" s="42">
        <f>IF(OR(F1192="",C1192=""),"",IFERROR((C1192-F1192)/G1192,""))</f>
        <v/>
      </c>
      <c r="I1192" s="39">
        <f>IF(B1192="","",IFERROR(INDEX('Animais'!$M$6:$M$1005,MATCH(B1192,'Animais'!$A$6:$A$1005,0)),"Brinco não cadastrado"))</f>
        <v/>
      </c>
    </row>
    <row r="1193">
      <c r="A1193" s="31" t="n"/>
      <c r="B1193" s="36" t="n"/>
      <c r="C1193" s="38" t="n"/>
      <c r="D1193" s="32" t="n"/>
      <c r="E1193" s="43">
        <f>IF(OR(A1193="",B1193=""),"",SUMPRODUCT(MAX(($B$6:$B$2005=B1193)*($A$6:$A$2005&lt;A1193)*$A$6:$A$2005)))</f>
        <v/>
      </c>
      <c r="F1193" s="41">
        <f>IF(OR(E1193="",E1193=0),"",IFERROR(AVERAGEIFS($C$6:$C$2005,$B$6:$B$2005,B1193,$A$6:$A$2005,E1193),""))</f>
        <v/>
      </c>
      <c r="G1193" s="34">
        <f>IF(F1193="","",A1193-E1193)</f>
        <v/>
      </c>
      <c r="H1193" s="42">
        <f>IF(OR(F1193="",C1193=""),"",IFERROR((C1193-F1193)/G1193,""))</f>
        <v/>
      </c>
      <c r="I1193" s="39">
        <f>IF(B1193="","",IFERROR(INDEX('Animais'!$M$6:$M$1005,MATCH(B1193,'Animais'!$A$6:$A$1005,0)),"Brinco não cadastrado"))</f>
        <v/>
      </c>
    </row>
    <row r="1194">
      <c r="A1194" s="31" t="n"/>
      <c r="B1194" s="36" t="n"/>
      <c r="C1194" s="38" t="n"/>
      <c r="D1194" s="32" t="n"/>
      <c r="E1194" s="43">
        <f>IF(OR(A1194="",B1194=""),"",SUMPRODUCT(MAX(($B$6:$B$2005=B1194)*($A$6:$A$2005&lt;A1194)*$A$6:$A$2005)))</f>
        <v/>
      </c>
      <c r="F1194" s="41">
        <f>IF(OR(E1194="",E1194=0),"",IFERROR(AVERAGEIFS($C$6:$C$2005,$B$6:$B$2005,B1194,$A$6:$A$2005,E1194),""))</f>
        <v/>
      </c>
      <c r="G1194" s="34">
        <f>IF(F1194="","",A1194-E1194)</f>
        <v/>
      </c>
      <c r="H1194" s="42">
        <f>IF(OR(F1194="",C1194=""),"",IFERROR((C1194-F1194)/G1194,""))</f>
        <v/>
      </c>
      <c r="I1194" s="39">
        <f>IF(B1194="","",IFERROR(INDEX('Animais'!$M$6:$M$1005,MATCH(B1194,'Animais'!$A$6:$A$1005,0)),"Brinco não cadastrado"))</f>
        <v/>
      </c>
    </row>
    <row r="1195">
      <c r="A1195" s="31" t="n"/>
      <c r="B1195" s="36" t="n"/>
      <c r="C1195" s="38" t="n"/>
      <c r="D1195" s="32" t="n"/>
      <c r="E1195" s="43">
        <f>IF(OR(A1195="",B1195=""),"",SUMPRODUCT(MAX(($B$6:$B$2005=B1195)*($A$6:$A$2005&lt;A1195)*$A$6:$A$2005)))</f>
        <v/>
      </c>
      <c r="F1195" s="41">
        <f>IF(OR(E1195="",E1195=0),"",IFERROR(AVERAGEIFS($C$6:$C$2005,$B$6:$B$2005,B1195,$A$6:$A$2005,E1195),""))</f>
        <v/>
      </c>
      <c r="G1195" s="34">
        <f>IF(F1195="","",A1195-E1195)</f>
        <v/>
      </c>
      <c r="H1195" s="42">
        <f>IF(OR(F1195="",C1195=""),"",IFERROR((C1195-F1195)/G1195,""))</f>
        <v/>
      </c>
      <c r="I1195" s="39">
        <f>IF(B1195="","",IFERROR(INDEX('Animais'!$M$6:$M$1005,MATCH(B1195,'Animais'!$A$6:$A$1005,0)),"Brinco não cadastrado"))</f>
        <v/>
      </c>
    </row>
    <row r="1196">
      <c r="A1196" s="31" t="n"/>
      <c r="B1196" s="36" t="n"/>
      <c r="C1196" s="38" t="n"/>
      <c r="D1196" s="32" t="n"/>
      <c r="E1196" s="43">
        <f>IF(OR(A1196="",B1196=""),"",SUMPRODUCT(MAX(($B$6:$B$2005=B1196)*($A$6:$A$2005&lt;A1196)*$A$6:$A$2005)))</f>
        <v/>
      </c>
      <c r="F1196" s="41">
        <f>IF(OR(E1196="",E1196=0),"",IFERROR(AVERAGEIFS($C$6:$C$2005,$B$6:$B$2005,B1196,$A$6:$A$2005,E1196),""))</f>
        <v/>
      </c>
      <c r="G1196" s="34">
        <f>IF(F1196="","",A1196-E1196)</f>
        <v/>
      </c>
      <c r="H1196" s="42">
        <f>IF(OR(F1196="",C1196=""),"",IFERROR((C1196-F1196)/G1196,""))</f>
        <v/>
      </c>
      <c r="I1196" s="39">
        <f>IF(B1196="","",IFERROR(INDEX('Animais'!$M$6:$M$1005,MATCH(B1196,'Animais'!$A$6:$A$1005,0)),"Brinco não cadastrado"))</f>
        <v/>
      </c>
    </row>
    <row r="1197">
      <c r="A1197" s="31" t="n"/>
      <c r="B1197" s="36" t="n"/>
      <c r="C1197" s="38" t="n"/>
      <c r="D1197" s="32" t="n"/>
      <c r="E1197" s="43">
        <f>IF(OR(A1197="",B1197=""),"",SUMPRODUCT(MAX(($B$6:$B$2005=B1197)*($A$6:$A$2005&lt;A1197)*$A$6:$A$2005)))</f>
        <v/>
      </c>
      <c r="F1197" s="41">
        <f>IF(OR(E1197="",E1197=0),"",IFERROR(AVERAGEIFS($C$6:$C$2005,$B$6:$B$2005,B1197,$A$6:$A$2005,E1197),""))</f>
        <v/>
      </c>
      <c r="G1197" s="34">
        <f>IF(F1197="","",A1197-E1197)</f>
        <v/>
      </c>
      <c r="H1197" s="42">
        <f>IF(OR(F1197="",C1197=""),"",IFERROR((C1197-F1197)/G1197,""))</f>
        <v/>
      </c>
      <c r="I1197" s="39">
        <f>IF(B1197="","",IFERROR(INDEX('Animais'!$M$6:$M$1005,MATCH(B1197,'Animais'!$A$6:$A$1005,0)),"Brinco não cadastrado"))</f>
        <v/>
      </c>
    </row>
    <row r="1198">
      <c r="A1198" s="31" t="n"/>
      <c r="B1198" s="36" t="n"/>
      <c r="C1198" s="38" t="n"/>
      <c r="D1198" s="32" t="n"/>
      <c r="E1198" s="43">
        <f>IF(OR(A1198="",B1198=""),"",SUMPRODUCT(MAX(($B$6:$B$2005=B1198)*($A$6:$A$2005&lt;A1198)*$A$6:$A$2005)))</f>
        <v/>
      </c>
      <c r="F1198" s="41">
        <f>IF(OR(E1198="",E1198=0),"",IFERROR(AVERAGEIFS($C$6:$C$2005,$B$6:$B$2005,B1198,$A$6:$A$2005,E1198),""))</f>
        <v/>
      </c>
      <c r="G1198" s="34">
        <f>IF(F1198="","",A1198-E1198)</f>
        <v/>
      </c>
      <c r="H1198" s="42">
        <f>IF(OR(F1198="",C1198=""),"",IFERROR((C1198-F1198)/G1198,""))</f>
        <v/>
      </c>
      <c r="I1198" s="39">
        <f>IF(B1198="","",IFERROR(INDEX('Animais'!$M$6:$M$1005,MATCH(B1198,'Animais'!$A$6:$A$1005,0)),"Brinco não cadastrado"))</f>
        <v/>
      </c>
    </row>
    <row r="1199">
      <c r="A1199" s="31" t="n"/>
      <c r="B1199" s="36" t="n"/>
      <c r="C1199" s="38" t="n"/>
      <c r="D1199" s="32" t="n"/>
      <c r="E1199" s="43">
        <f>IF(OR(A1199="",B1199=""),"",SUMPRODUCT(MAX(($B$6:$B$2005=B1199)*($A$6:$A$2005&lt;A1199)*$A$6:$A$2005)))</f>
        <v/>
      </c>
      <c r="F1199" s="41">
        <f>IF(OR(E1199="",E1199=0),"",IFERROR(AVERAGEIFS($C$6:$C$2005,$B$6:$B$2005,B1199,$A$6:$A$2005,E1199),""))</f>
        <v/>
      </c>
      <c r="G1199" s="34">
        <f>IF(F1199="","",A1199-E1199)</f>
        <v/>
      </c>
      <c r="H1199" s="42">
        <f>IF(OR(F1199="",C1199=""),"",IFERROR((C1199-F1199)/G1199,""))</f>
        <v/>
      </c>
      <c r="I1199" s="39">
        <f>IF(B1199="","",IFERROR(INDEX('Animais'!$M$6:$M$1005,MATCH(B1199,'Animais'!$A$6:$A$1005,0)),"Brinco não cadastrado"))</f>
        <v/>
      </c>
    </row>
    <row r="1200">
      <c r="A1200" s="31" t="n"/>
      <c r="B1200" s="36" t="n"/>
      <c r="C1200" s="38" t="n"/>
      <c r="D1200" s="32" t="n"/>
      <c r="E1200" s="43">
        <f>IF(OR(A1200="",B1200=""),"",SUMPRODUCT(MAX(($B$6:$B$2005=B1200)*($A$6:$A$2005&lt;A1200)*$A$6:$A$2005)))</f>
        <v/>
      </c>
      <c r="F1200" s="41">
        <f>IF(OR(E1200="",E1200=0),"",IFERROR(AVERAGEIFS($C$6:$C$2005,$B$6:$B$2005,B1200,$A$6:$A$2005,E1200),""))</f>
        <v/>
      </c>
      <c r="G1200" s="34">
        <f>IF(F1200="","",A1200-E1200)</f>
        <v/>
      </c>
      <c r="H1200" s="42">
        <f>IF(OR(F1200="",C1200=""),"",IFERROR((C1200-F1200)/G1200,""))</f>
        <v/>
      </c>
      <c r="I1200" s="39">
        <f>IF(B1200="","",IFERROR(INDEX('Animais'!$M$6:$M$1005,MATCH(B1200,'Animais'!$A$6:$A$1005,0)),"Brinco não cadastrado"))</f>
        <v/>
      </c>
    </row>
    <row r="1201">
      <c r="A1201" s="31" t="n"/>
      <c r="B1201" s="36" t="n"/>
      <c r="C1201" s="38" t="n"/>
      <c r="D1201" s="32" t="n"/>
      <c r="E1201" s="43">
        <f>IF(OR(A1201="",B1201=""),"",SUMPRODUCT(MAX(($B$6:$B$2005=B1201)*($A$6:$A$2005&lt;A1201)*$A$6:$A$2005)))</f>
        <v/>
      </c>
      <c r="F1201" s="41">
        <f>IF(OR(E1201="",E1201=0),"",IFERROR(AVERAGEIFS($C$6:$C$2005,$B$6:$B$2005,B1201,$A$6:$A$2005,E1201),""))</f>
        <v/>
      </c>
      <c r="G1201" s="34">
        <f>IF(F1201="","",A1201-E1201)</f>
        <v/>
      </c>
      <c r="H1201" s="42">
        <f>IF(OR(F1201="",C1201=""),"",IFERROR((C1201-F1201)/G1201,""))</f>
        <v/>
      </c>
      <c r="I1201" s="39">
        <f>IF(B1201="","",IFERROR(INDEX('Animais'!$M$6:$M$1005,MATCH(B1201,'Animais'!$A$6:$A$1005,0)),"Brinco não cadastrado"))</f>
        <v/>
      </c>
    </row>
    <row r="1202">
      <c r="A1202" s="31" t="n"/>
      <c r="B1202" s="36" t="n"/>
      <c r="C1202" s="38" t="n"/>
      <c r="D1202" s="32" t="n"/>
      <c r="E1202" s="43">
        <f>IF(OR(A1202="",B1202=""),"",SUMPRODUCT(MAX(($B$6:$B$2005=B1202)*($A$6:$A$2005&lt;A1202)*$A$6:$A$2005)))</f>
        <v/>
      </c>
      <c r="F1202" s="41">
        <f>IF(OR(E1202="",E1202=0),"",IFERROR(AVERAGEIFS($C$6:$C$2005,$B$6:$B$2005,B1202,$A$6:$A$2005,E1202),""))</f>
        <v/>
      </c>
      <c r="G1202" s="34">
        <f>IF(F1202="","",A1202-E1202)</f>
        <v/>
      </c>
      <c r="H1202" s="42">
        <f>IF(OR(F1202="",C1202=""),"",IFERROR((C1202-F1202)/G1202,""))</f>
        <v/>
      </c>
      <c r="I1202" s="39">
        <f>IF(B1202="","",IFERROR(INDEX('Animais'!$M$6:$M$1005,MATCH(B1202,'Animais'!$A$6:$A$1005,0)),"Brinco não cadastrado"))</f>
        <v/>
      </c>
    </row>
    <row r="1203">
      <c r="A1203" s="31" t="n"/>
      <c r="B1203" s="36" t="n"/>
      <c r="C1203" s="38" t="n"/>
      <c r="D1203" s="32" t="n"/>
      <c r="E1203" s="43">
        <f>IF(OR(A1203="",B1203=""),"",SUMPRODUCT(MAX(($B$6:$B$2005=B1203)*($A$6:$A$2005&lt;A1203)*$A$6:$A$2005)))</f>
        <v/>
      </c>
      <c r="F1203" s="41">
        <f>IF(OR(E1203="",E1203=0),"",IFERROR(AVERAGEIFS($C$6:$C$2005,$B$6:$B$2005,B1203,$A$6:$A$2005,E1203),""))</f>
        <v/>
      </c>
      <c r="G1203" s="34">
        <f>IF(F1203="","",A1203-E1203)</f>
        <v/>
      </c>
      <c r="H1203" s="42">
        <f>IF(OR(F1203="",C1203=""),"",IFERROR((C1203-F1203)/G1203,""))</f>
        <v/>
      </c>
      <c r="I1203" s="39">
        <f>IF(B1203="","",IFERROR(INDEX('Animais'!$M$6:$M$1005,MATCH(B1203,'Animais'!$A$6:$A$1005,0)),"Brinco não cadastrado"))</f>
        <v/>
      </c>
    </row>
    <row r="1204">
      <c r="A1204" s="31" t="n"/>
      <c r="B1204" s="36" t="n"/>
      <c r="C1204" s="38" t="n"/>
      <c r="D1204" s="32" t="n"/>
      <c r="E1204" s="43">
        <f>IF(OR(A1204="",B1204=""),"",SUMPRODUCT(MAX(($B$6:$B$2005=B1204)*($A$6:$A$2005&lt;A1204)*$A$6:$A$2005)))</f>
        <v/>
      </c>
      <c r="F1204" s="41">
        <f>IF(OR(E1204="",E1204=0),"",IFERROR(AVERAGEIFS($C$6:$C$2005,$B$6:$B$2005,B1204,$A$6:$A$2005,E1204),""))</f>
        <v/>
      </c>
      <c r="G1204" s="34">
        <f>IF(F1204="","",A1204-E1204)</f>
        <v/>
      </c>
      <c r="H1204" s="42">
        <f>IF(OR(F1204="",C1204=""),"",IFERROR((C1204-F1204)/G1204,""))</f>
        <v/>
      </c>
      <c r="I1204" s="39">
        <f>IF(B1204="","",IFERROR(INDEX('Animais'!$M$6:$M$1005,MATCH(B1204,'Animais'!$A$6:$A$1005,0)),"Brinco não cadastrado"))</f>
        <v/>
      </c>
    </row>
    <row r="1205">
      <c r="A1205" s="31" t="n"/>
      <c r="B1205" s="36" t="n"/>
      <c r="C1205" s="38" t="n"/>
      <c r="D1205" s="32" t="n"/>
      <c r="E1205" s="43">
        <f>IF(OR(A1205="",B1205=""),"",SUMPRODUCT(MAX(($B$6:$B$2005=B1205)*($A$6:$A$2005&lt;A1205)*$A$6:$A$2005)))</f>
        <v/>
      </c>
      <c r="F1205" s="41">
        <f>IF(OR(E1205="",E1205=0),"",IFERROR(AVERAGEIFS($C$6:$C$2005,$B$6:$B$2005,B1205,$A$6:$A$2005,E1205),""))</f>
        <v/>
      </c>
      <c r="G1205" s="34">
        <f>IF(F1205="","",A1205-E1205)</f>
        <v/>
      </c>
      <c r="H1205" s="42">
        <f>IF(OR(F1205="",C1205=""),"",IFERROR((C1205-F1205)/G1205,""))</f>
        <v/>
      </c>
      <c r="I1205" s="39">
        <f>IF(B1205="","",IFERROR(INDEX('Animais'!$M$6:$M$1005,MATCH(B1205,'Animais'!$A$6:$A$1005,0)),"Brinco não cadastrado"))</f>
        <v/>
      </c>
    </row>
    <row r="1206">
      <c r="A1206" s="31" t="n"/>
      <c r="B1206" s="36" t="n"/>
      <c r="C1206" s="38" t="n"/>
      <c r="D1206" s="32" t="n"/>
      <c r="E1206" s="43">
        <f>IF(OR(A1206="",B1206=""),"",SUMPRODUCT(MAX(($B$6:$B$2005=B1206)*($A$6:$A$2005&lt;A1206)*$A$6:$A$2005)))</f>
        <v/>
      </c>
      <c r="F1206" s="41">
        <f>IF(OR(E1206="",E1206=0),"",IFERROR(AVERAGEIFS($C$6:$C$2005,$B$6:$B$2005,B1206,$A$6:$A$2005,E1206),""))</f>
        <v/>
      </c>
      <c r="G1206" s="34">
        <f>IF(F1206="","",A1206-E1206)</f>
        <v/>
      </c>
      <c r="H1206" s="42">
        <f>IF(OR(F1206="",C1206=""),"",IFERROR((C1206-F1206)/G1206,""))</f>
        <v/>
      </c>
      <c r="I1206" s="39">
        <f>IF(B1206="","",IFERROR(INDEX('Animais'!$M$6:$M$1005,MATCH(B1206,'Animais'!$A$6:$A$1005,0)),"Brinco não cadastrado"))</f>
        <v/>
      </c>
    </row>
    <row r="1207">
      <c r="A1207" s="31" t="n"/>
      <c r="B1207" s="36" t="n"/>
      <c r="C1207" s="38" t="n"/>
      <c r="D1207" s="32" t="n"/>
      <c r="E1207" s="43">
        <f>IF(OR(A1207="",B1207=""),"",SUMPRODUCT(MAX(($B$6:$B$2005=B1207)*($A$6:$A$2005&lt;A1207)*$A$6:$A$2005)))</f>
        <v/>
      </c>
      <c r="F1207" s="41">
        <f>IF(OR(E1207="",E1207=0),"",IFERROR(AVERAGEIFS($C$6:$C$2005,$B$6:$B$2005,B1207,$A$6:$A$2005,E1207),""))</f>
        <v/>
      </c>
      <c r="G1207" s="34">
        <f>IF(F1207="","",A1207-E1207)</f>
        <v/>
      </c>
      <c r="H1207" s="42">
        <f>IF(OR(F1207="",C1207=""),"",IFERROR((C1207-F1207)/G1207,""))</f>
        <v/>
      </c>
      <c r="I1207" s="39">
        <f>IF(B1207="","",IFERROR(INDEX('Animais'!$M$6:$M$1005,MATCH(B1207,'Animais'!$A$6:$A$1005,0)),"Brinco não cadastrado"))</f>
        <v/>
      </c>
    </row>
    <row r="1208">
      <c r="A1208" s="31" t="n"/>
      <c r="B1208" s="36" t="n"/>
      <c r="C1208" s="38" t="n"/>
      <c r="D1208" s="32" t="n"/>
      <c r="E1208" s="43">
        <f>IF(OR(A1208="",B1208=""),"",SUMPRODUCT(MAX(($B$6:$B$2005=B1208)*($A$6:$A$2005&lt;A1208)*$A$6:$A$2005)))</f>
        <v/>
      </c>
      <c r="F1208" s="41">
        <f>IF(OR(E1208="",E1208=0),"",IFERROR(AVERAGEIFS($C$6:$C$2005,$B$6:$B$2005,B1208,$A$6:$A$2005,E1208),""))</f>
        <v/>
      </c>
      <c r="G1208" s="34">
        <f>IF(F1208="","",A1208-E1208)</f>
        <v/>
      </c>
      <c r="H1208" s="42">
        <f>IF(OR(F1208="",C1208=""),"",IFERROR((C1208-F1208)/G1208,""))</f>
        <v/>
      </c>
      <c r="I1208" s="39">
        <f>IF(B1208="","",IFERROR(INDEX('Animais'!$M$6:$M$1005,MATCH(B1208,'Animais'!$A$6:$A$1005,0)),"Brinco não cadastrado"))</f>
        <v/>
      </c>
    </row>
    <row r="1209">
      <c r="A1209" s="31" t="n"/>
      <c r="B1209" s="36" t="n"/>
      <c r="C1209" s="38" t="n"/>
      <c r="D1209" s="32" t="n"/>
      <c r="E1209" s="43">
        <f>IF(OR(A1209="",B1209=""),"",SUMPRODUCT(MAX(($B$6:$B$2005=B1209)*($A$6:$A$2005&lt;A1209)*$A$6:$A$2005)))</f>
        <v/>
      </c>
      <c r="F1209" s="41">
        <f>IF(OR(E1209="",E1209=0),"",IFERROR(AVERAGEIFS($C$6:$C$2005,$B$6:$B$2005,B1209,$A$6:$A$2005,E1209),""))</f>
        <v/>
      </c>
      <c r="G1209" s="34">
        <f>IF(F1209="","",A1209-E1209)</f>
        <v/>
      </c>
      <c r="H1209" s="42">
        <f>IF(OR(F1209="",C1209=""),"",IFERROR((C1209-F1209)/G1209,""))</f>
        <v/>
      </c>
      <c r="I1209" s="39">
        <f>IF(B1209="","",IFERROR(INDEX('Animais'!$M$6:$M$1005,MATCH(B1209,'Animais'!$A$6:$A$1005,0)),"Brinco não cadastrado"))</f>
        <v/>
      </c>
    </row>
    <row r="1210">
      <c r="A1210" s="31" t="n"/>
      <c r="B1210" s="36" t="n"/>
      <c r="C1210" s="38" t="n"/>
      <c r="D1210" s="32" t="n"/>
      <c r="E1210" s="43">
        <f>IF(OR(A1210="",B1210=""),"",SUMPRODUCT(MAX(($B$6:$B$2005=B1210)*($A$6:$A$2005&lt;A1210)*$A$6:$A$2005)))</f>
        <v/>
      </c>
      <c r="F1210" s="41">
        <f>IF(OR(E1210="",E1210=0),"",IFERROR(AVERAGEIFS($C$6:$C$2005,$B$6:$B$2005,B1210,$A$6:$A$2005,E1210),""))</f>
        <v/>
      </c>
      <c r="G1210" s="34">
        <f>IF(F1210="","",A1210-E1210)</f>
        <v/>
      </c>
      <c r="H1210" s="42">
        <f>IF(OR(F1210="",C1210=""),"",IFERROR((C1210-F1210)/G1210,""))</f>
        <v/>
      </c>
      <c r="I1210" s="39">
        <f>IF(B1210="","",IFERROR(INDEX('Animais'!$M$6:$M$1005,MATCH(B1210,'Animais'!$A$6:$A$1005,0)),"Brinco não cadastrado"))</f>
        <v/>
      </c>
    </row>
    <row r="1211">
      <c r="A1211" s="31" t="n"/>
      <c r="B1211" s="36" t="n"/>
      <c r="C1211" s="38" t="n"/>
      <c r="D1211" s="32" t="n"/>
      <c r="E1211" s="43">
        <f>IF(OR(A1211="",B1211=""),"",SUMPRODUCT(MAX(($B$6:$B$2005=B1211)*($A$6:$A$2005&lt;A1211)*$A$6:$A$2005)))</f>
        <v/>
      </c>
      <c r="F1211" s="41">
        <f>IF(OR(E1211="",E1211=0),"",IFERROR(AVERAGEIFS($C$6:$C$2005,$B$6:$B$2005,B1211,$A$6:$A$2005,E1211),""))</f>
        <v/>
      </c>
      <c r="G1211" s="34">
        <f>IF(F1211="","",A1211-E1211)</f>
        <v/>
      </c>
      <c r="H1211" s="42">
        <f>IF(OR(F1211="",C1211=""),"",IFERROR((C1211-F1211)/G1211,""))</f>
        <v/>
      </c>
      <c r="I1211" s="39">
        <f>IF(B1211="","",IFERROR(INDEX('Animais'!$M$6:$M$1005,MATCH(B1211,'Animais'!$A$6:$A$1005,0)),"Brinco não cadastrado"))</f>
        <v/>
      </c>
    </row>
    <row r="1212">
      <c r="A1212" s="31" t="n"/>
      <c r="B1212" s="36" t="n"/>
      <c r="C1212" s="38" t="n"/>
      <c r="D1212" s="32" t="n"/>
      <c r="E1212" s="43">
        <f>IF(OR(A1212="",B1212=""),"",SUMPRODUCT(MAX(($B$6:$B$2005=B1212)*($A$6:$A$2005&lt;A1212)*$A$6:$A$2005)))</f>
        <v/>
      </c>
      <c r="F1212" s="41">
        <f>IF(OR(E1212="",E1212=0),"",IFERROR(AVERAGEIFS($C$6:$C$2005,$B$6:$B$2005,B1212,$A$6:$A$2005,E1212),""))</f>
        <v/>
      </c>
      <c r="G1212" s="34">
        <f>IF(F1212="","",A1212-E1212)</f>
        <v/>
      </c>
      <c r="H1212" s="42">
        <f>IF(OR(F1212="",C1212=""),"",IFERROR((C1212-F1212)/G1212,""))</f>
        <v/>
      </c>
      <c r="I1212" s="39">
        <f>IF(B1212="","",IFERROR(INDEX('Animais'!$M$6:$M$1005,MATCH(B1212,'Animais'!$A$6:$A$1005,0)),"Brinco não cadastrado"))</f>
        <v/>
      </c>
    </row>
    <row r="1213">
      <c r="A1213" s="31" t="n"/>
      <c r="B1213" s="36" t="n"/>
      <c r="C1213" s="38" t="n"/>
      <c r="D1213" s="32" t="n"/>
      <c r="E1213" s="43">
        <f>IF(OR(A1213="",B1213=""),"",SUMPRODUCT(MAX(($B$6:$B$2005=B1213)*($A$6:$A$2005&lt;A1213)*$A$6:$A$2005)))</f>
        <v/>
      </c>
      <c r="F1213" s="41">
        <f>IF(OR(E1213="",E1213=0),"",IFERROR(AVERAGEIFS($C$6:$C$2005,$B$6:$B$2005,B1213,$A$6:$A$2005,E1213),""))</f>
        <v/>
      </c>
      <c r="G1213" s="34">
        <f>IF(F1213="","",A1213-E1213)</f>
        <v/>
      </c>
      <c r="H1213" s="42">
        <f>IF(OR(F1213="",C1213=""),"",IFERROR((C1213-F1213)/G1213,""))</f>
        <v/>
      </c>
      <c r="I1213" s="39">
        <f>IF(B1213="","",IFERROR(INDEX('Animais'!$M$6:$M$1005,MATCH(B1213,'Animais'!$A$6:$A$1005,0)),"Brinco não cadastrado"))</f>
        <v/>
      </c>
    </row>
    <row r="1214">
      <c r="A1214" s="31" t="n"/>
      <c r="B1214" s="36" t="n"/>
      <c r="C1214" s="38" t="n"/>
      <c r="D1214" s="32" t="n"/>
      <c r="E1214" s="43">
        <f>IF(OR(A1214="",B1214=""),"",SUMPRODUCT(MAX(($B$6:$B$2005=B1214)*($A$6:$A$2005&lt;A1214)*$A$6:$A$2005)))</f>
        <v/>
      </c>
      <c r="F1214" s="41">
        <f>IF(OR(E1214="",E1214=0),"",IFERROR(AVERAGEIFS($C$6:$C$2005,$B$6:$B$2005,B1214,$A$6:$A$2005,E1214),""))</f>
        <v/>
      </c>
      <c r="G1214" s="34">
        <f>IF(F1214="","",A1214-E1214)</f>
        <v/>
      </c>
      <c r="H1214" s="42">
        <f>IF(OR(F1214="",C1214=""),"",IFERROR((C1214-F1214)/G1214,""))</f>
        <v/>
      </c>
      <c r="I1214" s="39">
        <f>IF(B1214="","",IFERROR(INDEX('Animais'!$M$6:$M$1005,MATCH(B1214,'Animais'!$A$6:$A$1005,0)),"Brinco não cadastrado"))</f>
        <v/>
      </c>
    </row>
    <row r="1215">
      <c r="A1215" s="31" t="n"/>
      <c r="B1215" s="36" t="n"/>
      <c r="C1215" s="38" t="n"/>
      <c r="D1215" s="32" t="n"/>
      <c r="E1215" s="43">
        <f>IF(OR(A1215="",B1215=""),"",SUMPRODUCT(MAX(($B$6:$B$2005=B1215)*($A$6:$A$2005&lt;A1215)*$A$6:$A$2005)))</f>
        <v/>
      </c>
      <c r="F1215" s="41">
        <f>IF(OR(E1215="",E1215=0),"",IFERROR(AVERAGEIFS($C$6:$C$2005,$B$6:$B$2005,B1215,$A$6:$A$2005,E1215),""))</f>
        <v/>
      </c>
      <c r="G1215" s="34">
        <f>IF(F1215="","",A1215-E1215)</f>
        <v/>
      </c>
      <c r="H1215" s="42">
        <f>IF(OR(F1215="",C1215=""),"",IFERROR((C1215-F1215)/G1215,""))</f>
        <v/>
      </c>
      <c r="I1215" s="39">
        <f>IF(B1215="","",IFERROR(INDEX('Animais'!$M$6:$M$1005,MATCH(B1215,'Animais'!$A$6:$A$1005,0)),"Brinco não cadastrado"))</f>
        <v/>
      </c>
    </row>
    <row r="1216">
      <c r="A1216" s="31" t="n"/>
      <c r="B1216" s="36" t="n"/>
      <c r="C1216" s="38" t="n"/>
      <c r="D1216" s="32" t="n"/>
      <c r="E1216" s="43">
        <f>IF(OR(A1216="",B1216=""),"",SUMPRODUCT(MAX(($B$6:$B$2005=B1216)*($A$6:$A$2005&lt;A1216)*$A$6:$A$2005)))</f>
        <v/>
      </c>
      <c r="F1216" s="41">
        <f>IF(OR(E1216="",E1216=0),"",IFERROR(AVERAGEIFS($C$6:$C$2005,$B$6:$B$2005,B1216,$A$6:$A$2005,E1216),""))</f>
        <v/>
      </c>
      <c r="G1216" s="34">
        <f>IF(F1216="","",A1216-E1216)</f>
        <v/>
      </c>
      <c r="H1216" s="42">
        <f>IF(OR(F1216="",C1216=""),"",IFERROR((C1216-F1216)/G1216,""))</f>
        <v/>
      </c>
      <c r="I1216" s="39">
        <f>IF(B1216="","",IFERROR(INDEX('Animais'!$M$6:$M$1005,MATCH(B1216,'Animais'!$A$6:$A$1005,0)),"Brinco não cadastrado"))</f>
        <v/>
      </c>
    </row>
    <row r="1217">
      <c r="A1217" s="31" t="n"/>
      <c r="B1217" s="36" t="n"/>
      <c r="C1217" s="38" t="n"/>
      <c r="D1217" s="32" t="n"/>
      <c r="E1217" s="43">
        <f>IF(OR(A1217="",B1217=""),"",SUMPRODUCT(MAX(($B$6:$B$2005=B1217)*($A$6:$A$2005&lt;A1217)*$A$6:$A$2005)))</f>
        <v/>
      </c>
      <c r="F1217" s="41">
        <f>IF(OR(E1217="",E1217=0),"",IFERROR(AVERAGEIFS($C$6:$C$2005,$B$6:$B$2005,B1217,$A$6:$A$2005,E1217),""))</f>
        <v/>
      </c>
      <c r="G1217" s="34">
        <f>IF(F1217="","",A1217-E1217)</f>
        <v/>
      </c>
      <c r="H1217" s="42">
        <f>IF(OR(F1217="",C1217=""),"",IFERROR((C1217-F1217)/G1217,""))</f>
        <v/>
      </c>
      <c r="I1217" s="39">
        <f>IF(B1217="","",IFERROR(INDEX('Animais'!$M$6:$M$1005,MATCH(B1217,'Animais'!$A$6:$A$1005,0)),"Brinco não cadastrado"))</f>
        <v/>
      </c>
    </row>
    <row r="1218">
      <c r="A1218" s="31" t="n"/>
      <c r="B1218" s="36" t="n"/>
      <c r="C1218" s="38" t="n"/>
      <c r="D1218" s="32" t="n"/>
      <c r="E1218" s="43">
        <f>IF(OR(A1218="",B1218=""),"",SUMPRODUCT(MAX(($B$6:$B$2005=B1218)*($A$6:$A$2005&lt;A1218)*$A$6:$A$2005)))</f>
        <v/>
      </c>
      <c r="F1218" s="41">
        <f>IF(OR(E1218="",E1218=0),"",IFERROR(AVERAGEIFS($C$6:$C$2005,$B$6:$B$2005,B1218,$A$6:$A$2005,E1218),""))</f>
        <v/>
      </c>
      <c r="G1218" s="34">
        <f>IF(F1218="","",A1218-E1218)</f>
        <v/>
      </c>
      <c r="H1218" s="42">
        <f>IF(OR(F1218="",C1218=""),"",IFERROR((C1218-F1218)/G1218,""))</f>
        <v/>
      </c>
      <c r="I1218" s="39">
        <f>IF(B1218="","",IFERROR(INDEX('Animais'!$M$6:$M$1005,MATCH(B1218,'Animais'!$A$6:$A$1005,0)),"Brinco não cadastrado"))</f>
        <v/>
      </c>
    </row>
    <row r="1219">
      <c r="A1219" s="31" t="n"/>
      <c r="B1219" s="36" t="n"/>
      <c r="C1219" s="38" t="n"/>
      <c r="D1219" s="32" t="n"/>
      <c r="E1219" s="43">
        <f>IF(OR(A1219="",B1219=""),"",SUMPRODUCT(MAX(($B$6:$B$2005=B1219)*($A$6:$A$2005&lt;A1219)*$A$6:$A$2005)))</f>
        <v/>
      </c>
      <c r="F1219" s="41">
        <f>IF(OR(E1219="",E1219=0),"",IFERROR(AVERAGEIFS($C$6:$C$2005,$B$6:$B$2005,B1219,$A$6:$A$2005,E1219),""))</f>
        <v/>
      </c>
      <c r="G1219" s="34">
        <f>IF(F1219="","",A1219-E1219)</f>
        <v/>
      </c>
      <c r="H1219" s="42">
        <f>IF(OR(F1219="",C1219=""),"",IFERROR((C1219-F1219)/G1219,""))</f>
        <v/>
      </c>
      <c r="I1219" s="39">
        <f>IF(B1219="","",IFERROR(INDEX('Animais'!$M$6:$M$1005,MATCH(B1219,'Animais'!$A$6:$A$1005,0)),"Brinco não cadastrado"))</f>
        <v/>
      </c>
    </row>
    <row r="1220">
      <c r="A1220" s="31" t="n"/>
      <c r="B1220" s="36" t="n"/>
      <c r="C1220" s="38" t="n"/>
      <c r="D1220" s="32" t="n"/>
      <c r="E1220" s="43">
        <f>IF(OR(A1220="",B1220=""),"",SUMPRODUCT(MAX(($B$6:$B$2005=B1220)*($A$6:$A$2005&lt;A1220)*$A$6:$A$2005)))</f>
        <v/>
      </c>
      <c r="F1220" s="41">
        <f>IF(OR(E1220="",E1220=0),"",IFERROR(AVERAGEIFS($C$6:$C$2005,$B$6:$B$2005,B1220,$A$6:$A$2005,E1220),""))</f>
        <v/>
      </c>
      <c r="G1220" s="34">
        <f>IF(F1220="","",A1220-E1220)</f>
        <v/>
      </c>
      <c r="H1220" s="42">
        <f>IF(OR(F1220="",C1220=""),"",IFERROR((C1220-F1220)/G1220,""))</f>
        <v/>
      </c>
      <c r="I1220" s="39">
        <f>IF(B1220="","",IFERROR(INDEX('Animais'!$M$6:$M$1005,MATCH(B1220,'Animais'!$A$6:$A$1005,0)),"Brinco não cadastrado"))</f>
        <v/>
      </c>
    </row>
    <row r="1221">
      <c r="A1221" s="31" t="n"/>
      <c r="B1221" s="36" t="n"/>
      <c r="C1221" s="38" t="n"/>
      <c r="D1221" s="32" t="n"/>
      <c r="E1221" s="43">
        <f>IF(OR(A1221="",B1221=""),"",SUMPRODUCT(MAX(($B$6:$B$2005=B1221)*($A$6:$A$2005&lt;A1221)*$A$6:$A$2005)))</f>
        <v/>
      </c>
      <c r="F1221" s="41">
        <f>IF(OR(E1221="",E1221=0),"",IFERROR(AVERAGEIFS($C$6:$C$2005,$B$6:$B$2005,B1221,$A$6:$A$2005,E1221),""))</f>
        <v/>
      </c>
      <c r="G1221" s="34">
        <f>IF(F1221="","",A1221-E1221)</f>
        <v/>
      </c>
      <c r="H1221" s="42">
        <f>IF(OR(F1221="",C1221=""),"",IFERROR((C1221-F1221)/G1221,""))</f>
        <v/>
      </c>
      <c r="I1221" s="39">
        <f>IF(B1221="","",IFERROR(INDEX('Animais'!$M$6:$M$1005,MATCH(B1221,'Animais'!$A$6:$A$1005,0)),"Brinco não cadastrado"))</f>
        <v/>
      </c>
    </row>
    <row r="1222">
      <c r="A1222" s="31" t="n"/>
      <c r="B1222" s="36" t="n"/>
      <c r="C1222" s="38" t="n"/>
      <c r="D1222" s="32" t="n"/>
      <c r="E1222" s="43">
        <f>IF(OR(A1222="",B1222=""),"",SUMPRODUCT(MAX(($B$6:$B$2005=B1222)*($A$6:$A$2005&lt;A1222)*$A$6:$A$2005)))</f>
        <v/>
      </c>
      <c r="F1222" s="41">
        <f>IF(OR(E1222="",E1222=0),"",IFERROR(AVERAGEIFS($C$6:$C$2005,$B$6:$B$2005,B1222,$A$6:$A$2005,E1222),""))</f>
        <v/>
      </c>
      <c r="G1222" s="34">
        <f>IF(F1222="","",A1222-E1222)</f>
        <v/>
      </c>
      <c r="H1222" s="42">
        <f>IF(OR(F1222="",C1222=""),"",IFERROR((C1222-F1222)/G1222,""))</f>
        <v/>
      </c>
      <c r="I1222" s="39">
        <f>IF(B1222="","",IFERROR(INDEX('Animais'!$M$6:$M$1005,MATCH(B1222,'Animais'!$A$6:$A$1005,0)),"Brinco não cadastrado"))</f>
        <v/>
      </c>
    </row>
    <row r="1223">
      <c r="A1223" s="31" t="n"/>
      <c r="B1223" s="36" t="n"/>
      <c r="C1223" s="38" t="n"/>
      <c r="D1223" s="32" t="n"/>
      <c r="E1223" s="43">
        <f>IF(OR(A1223="",B1223=""),"",SUMPRODUCT(MAX(($B$6:$B$2005=B1223)*($A$6:$A$2005&lt;A1223)*$A$6:$A$2005)))</f>
        <v/>
      </c>
      <c r="F1223" s="41">
        <f>IF(OR(E1223="",E1223=0),"",IFERROR(AVERAGEIFS($C$6:$C$2005,$B$6:$B$2005,B1223,$A$6:$A$2005,E1223),""))</f>
        <v/>
      </c>
      <c r="G1223" s="34">
        <f>IF(F1223="","",A1223-E1223)</f>
        <v/>
      </c>
      <c r="H1223" s="42">
        <f>IF(OR(F1223="",C1223=""),"",IFERROR((C1223-F1223)/G1223,""))</f>
        <v/>
      </c>
      <c r="I1223" s="39">
        <f>IF(B1223="","",IFERROR(INDEX('Animais'!$M$6:$M$1005,MATCH(B1223,'Animais'!$A$6:$A$1005,0)),"Brinco não cadastrado"))</f>
        <v/>
      </c>
    </row>
    <row r="1224">
      <c r="A1224" s="31" t="n"/>
      <c r="B1224" s="36" t="n"/>
      <c r="C1224" s="38" t="n"/>
      <c r="D1224" s="32" t="n"/>
      <c r="E1224" s="43">
        <f>IF(OR(A1224="",B1224=""),"",SUMPRODUCT(MAX(($B$6:$B$2005=B1224)*($A$6:$A$2005&lt;A1224)*$A$6:$A$2005)))</f>
        <v/>
      </c>
      <c r="F1224" s="41">
        <f>IF(OR(E1224="",E1224=0),"",IFERROR(AVERAGEIFS($C$6:$C$2005,$B$6:$B$2005,B1224,$A$6:$A$2005,E1224),""))</f>
        <v/>
      </c>
      <c r="G1224" s="34">
        <f>IF(F1224="","",A1224-E1224)</f>
        <v/>
      </c>
      <c r="H1224" s="42">
        <f>IF(OR(F1224="",C1224=""),"",IFERROR((C1224-F1224)/G1224,""))</f>
        <v/>
      </c>
      <c r="I1224" s="39">
        <f>IF(B1224="","",IFERROR(INDEX('Animais'!$M$6:$M$1005,MATCH(B1224,'Animais'!$A$6:$A$1005,0)),"Brinco não cadastrado"))</f>
        <v/>
      </c>
    </row>
    <row r="1225">
      <c r="A1225" s="31" t="n"/>
      <c r="B1225" s="36" t="n"/>
      <c r="C1225" s="38" t="n"/>
      <c r="D1225" s="32" t="n"/>
      <c r="E1225" s="43">
        <f>IF(OR(A1225="",B1225=""),"",SUMPRODUCT(MAX(($B$6:$B$2005=B1225)*($A$6:$A$2005&lt;A1225)*$A$6:$A$2005)))</f>
        <v/>
      </c>
      <c r="F1225" s="41">
        <f>IF(OR(E1225="",E1225=0),"",IFERROR(AVERAGEIFS($C$6:$C$2005,$B$6:$B$2005,B1225,$A$6:$A$2005,E1225),""))</f>
        <v/>
      </c>
      <c r="G1225" s="34">
        <f>IF(F1225="","",A1225-E1225)</f>
        <v/>
      </c>
      <c r="H1225" s="42">
        <f>IF(OR(F1225="",C1225=""),"",IFERROR((C1225-F1225)/G1225,""))</f>
        <v/>
      </c>
      <c r="I1225" s="39">
        <f>IF(B1225="","",IFERROR(INDEX('Animais'!$M$6:$M$1005,MATCH(B1225,'Animais'!$A$6:$A$1005,0)),"Brinco não cadastrado"))</f>
        <v/>
      </c>
    </row>
    <row r="1226">
      <c r="A1226" s="31" t="n"/>
      <c r="B1226" s="36" t="n"/>
      <c r="C1226" s="38" t="n"/>
      <c r="D1226" s="32" t="n"/>
      <c r="E1226" s="43">
        <f>IF(OR(A1226="",B1226=""),"",SUMPRODUCT(MAX(($B$6:$B$2005=B1226)*($A$6:$A$2005&lt;A1226)*$A$6:$A$2005)))</f>
        <v/>
      </c>
      <c r="F1226" s="41">
        <f>IF(OR(E1226="",E1226=0),"",IFERROR(AVERAGEIFS($C$6:$C$2005,$B$6:$B$2005,B1226,$A$6:$A$2005,E1226),""))</f>
        <v/>
      </c>
      <c r="G1226" s="34">
        <f>IF(F1226="","",A1226-E1226)</f>
        <v/>
      </c>
      <c r="H1226" s="42">
        <f>IF(OR(F1226="",C1226=""),"",IFERROR((C1226-F1226)/G1226,""))</f>
        <v/>
      </c>
      <c r="I1226" s="39">
        <f>IF(B1226="","",IFERROR(INDEX('Animais'!$M$6:$M$1005,MATCH(B1226,'Animais'!$A$6:$A$1005,0)),"Brinco não cadastrado"))</f>
        <v/>
      </c>
    </row>
    <row r="1227">
      <c r="A1227" s="31" t="n"/>
      <c r="B1227" s="36" t="n"/>
      <c r="C1227" s="38" t="n"/>
      <c r="D1227" s="32" t="n"/>
      <c r="E1227" s="43">
        <f>IF(OR(A1227="",B1227=""),"",SUMPRODUCT(MAX(($B$6:$B$2005=B1227)*($A$6:$A$2005&lt;A1227)*$A$6:$A$2005)))</f>
        <v/>
      </c>
      <c r="F1227" s="41">
        <f>IF(OR(E1227="",E1227=0),"",IFERROR(AVERAGEIFS($C$6:$C$2005,$B$6:$B$2005,B1227,$A$6:$A$2005,E1227),""))</f>
        <v/>
      </c>
      <c r="G1227" s="34">
        <f>IF(F1227="","",A1227-E1227)</f>
        <v/>
      </c>
      <c r="H1227" s="42">
        <f>IF(OR(F1227="",C1227=""),"",IFERROR((C1227-F1227)/G1227,""))</f>
        <v/>
      </c>
      <c r="I1227" s="39">
        <f>IF(B1227="","",IFERROR(INDEX('Animais'!$M$6:$M$1005,MATCH(B1227,'Animais'!$A$6:$A$1005,0)),"Brinco não cadastrado"))</f>
        <v/>
      </c>
    </row>
    <row r="1228">
      <c r="A1228" s="31" t="n"/>
      <c r="B1228" s="36" t="n"/>
      <c r="C1228" s="38" t="n"/>
      <c r="D1228" s="32" t="n"/>
      <c r="E1228" s="43">
        <f>IF(OR(A1228="",B1228=""),"",SUMPRODUCT(MAX(($B$6:$B$2005=B1228)*($A$6:$A$2005&lt;A1228)*$A$6:$A$2005)))</f>
        <v/>
      </c>
      <c r="F1228" s="41">
        <f>IF(OR(E1228="",E1228=0),"",IFERROR(AVERAGEIFS($C$6:$C$2005,$B$6:$B$2005,B1228,$A$6:$A$2005,E1228),""))</f>
        <v/>
      </c>
      <c r="G1228" s="34">
        <f>IF(F1228="","",A1228-E1228)</f>
        <v/>
      </c>
      <c r="H1228" s="42">
        <f>IF(OR(F1228="",C1228=""),"",IFERROR((C1228-F1228)/G1228,""))</f>
        <v/>
      </c>
      <c r="I1228" s="39">
        <f>IF(B1228="","",IFERROR(INDEX('Animais'!$M$6:$M$1005,MATCH(B1228,'Animais'!$A$6:$A$1005,0)),"Brinco não cadastrado"))</f>
        <v/>
      </c>
    </row>
    <row r="1229">
      <c r="A1229" s="31" t="n"/>
      <c r="B1229" s="36" t="n"/>
      <c r="C1229" s="38" t="n"/>
      <c r="D1229" s="32" t="n"/>
      <c r="E1229" s="43">
        <f>IF(OR(A1229="",B1229=""),"",SUMPRODUCT(MAX(($B$6:$B$2005=B1229)*($A$6:$A$2005&lt;A1229)*$A$6:$A$2005)))</f>
        <v/>
      </c>
      <c r="F1229" s="41">
        <f>IF(OR(E1229="",E1229=0),"",IFERROR(AVERAGEIFS($C$6:$C$2005,$B$6:$B$2005,B1229,$A$6:$A$2005,E1229),""))</f>
        <v/>
      </c>
      <c r="G1229" s="34">
        <f>IF(F1229="","",A1229-E1229)</f>
        <v/>
      </c>
      <c r="H1229" s="42">
        <f>IF(OR(F1229="",C1229=""),"",IFERROR((C1229-F1229)/G1229,""))</f>
        <v/>
      </c>
      <c r="I1229" s="39">
        <f>IF(B1229="","",IFERROR(INDEX('Animais'!$M$6:$M$1005,MATCH(B1229,'Animais'!$A$6:$A$1005,0)),"Brinco não cadastrado"))</f>
        <v/>
      </c>
    </row>
    <row r="1230">
      <c r="A1230" s="31" t="n"/>
      <c r="B1230" s="36" t="n"/>
      <c r="C1230" s="38" t="n"/>
      <c r="D1230" s="32" t="n"/>
      <c r="E1230" s="43">
        <f>IF(OR(A1230="",B1230=""),"",SUMPRODUCT(MAX(($B$6:$B$2005=B1230)*($A$6:$A$2005&lt;A1230)*$A$6:$A$2005)))</f>
        <v/>
      </c>
      <c r="F1230" s="41">
        <f>IF(OR(E1230="",E1230=0),"",IFERROR(AVERAGEIFS($C$6:$C$2005,$B$6:$B$2005,B1230,$A$6:$A$2005,E1230),""))</f>
        <v/>
      </c>
      <c r="G1230" s="34">
        <f>IF(F1230="","",A1230-E1230)</f>
        <v/>
      </c>
      <c r="H1230" s="42">
        <f>IF(OR(F1230="",C1230=""),"",IFERROR((C1230-F1230)/G1230,""))</f>
        <v/>
      </c>
      <c r="I1230" s="39">
        <f>IF(B1230="","",IFERROR(INDEX('Animais'!$M$6:$M$1005,MATCH(B1230,'Animais'!$A$6:$A$1005,0)),"Brinco não cadastrado"))</f>
        <v/>
      </c>
    </row>
    <row r="1231">
      <c r="A1231" s="31" t="n"/>
      <c r="B1231" s="36" t="n"/>
      <c r="C1231" s="38" t="n"/>
      <c r="D1231" s="32" t="n"/>
      <c r="E1231" s="43">
        <f>IF(OR(A1231="",B1231=""),"",SUMPRODUCT(MAX(($B$6:$B$2005=B1231)*($A$6:$A$2005&lt;A1231)*$A$6:$A$2005)))</f>
        <v/>
      </c>
      <c r="F1231" s="41">
        <f>IF(OR(E1231="",E1231=0),"",IFERROR(AVERAGEIFS($C$6:$C$2005,$B$6:$B$2005,B1231,$A$6:$A$2005,E1231),""))</f>
        <v/>
      </c>
      <c r="G1231" s="34">
        <f>IF(F1231="","",A1231-E1231)</f>
        <v/>
      </c>
      <c r="H1231" s="42">
        <f>IF(OR(F1231="",C1231=""),"",IFERROR((C1231-F1231)/G1231,""))</f>
        <v/>
      </c>
      <c r="I1231" s="39">
        <f>IF(B1231="","",IFERROR(INDEX('Animais'!$M$6:$M$1005,MATCH(B1231,'Animais'!$A$6:$A$1005,0)),"Brinco não cadastrado"))</f>
        <v/>
      </c>
    </row>
    <row r="1232">
      <c r="A1232" s="31" t="n"/>
      <c r="B1232" s="36" t="n"/>
      <c r="C1232" s="38" t="n"/>
      <c r="D1232" s="32" t="n"/>
      <c r="E1232" s="43">
        <f>IF(OR(A1232="",B1232=""),"",SUMPRODUCT(MAX(($B$6:$B$2005=B1232)*($A$6:$A$2005&lt;A1232)*$A$6:$A$2005)))</f>
        <v/>
      </c>
      <c r="F1232" s="41">
        <f>IF(OR(E1232="",E1232=0),"",IFERROR(AVERAGEIFS($C$6:$C$2005,$B$6:$B$2005,B1232,$A$6:$A$2005,E1232),""))</f>
        <v/>
      </c>
      <c r="G1232" s="34">
        <f>IF(F1232="","",A1232-E1232)</f>
        <v/>
      </c>
      <c r="H1232" s="42">
        <f>IF(OR(F1232="",C1232=""),"",IFERROR((C1232-F1232)/G1232,""))</f>
        <v/>
      </c>
      <c r="I1232" s="39">
        <f>IF(B1232="","",IFERROR(INDEX('Animais'!$M$6:$M$1005,MATCH(B1232,'Animais'!$A$6:$A$1005,0)),"Brinco não cadastrado"))</f>
        <v/>
      </c>
    </row>
    <row r="1233">
      <c r="A1233" s="31" t="n"/>
      <c r="B1233" s="36" t="n"/>
      <c r="C1233" s="38" t="n"/>
      <c r="D1233" s="32" t="n"/>
      <c r="E1233" s="43">
        <f>IF(OR(A1233="",B1233=""),"",SUMPRODUCT(MAX(($B$6:$B$2005=B1233)*($A$6:$A$2005&lt;A1233)*$A$6:$A$2005)))</f>
        <v/>
      </c>
      <c r="F1233" s="41">
        <f>IF(OR(E1233="",E1233=0),"",IFERROR(AVERAGEIFS($C$6:$C$2005,$B$6:$B$2005,B1233,$A$6:$A$2005,E1233),""))</f>
        <v/>
      </c>
      <c r="G1233" s="34">
        <f>IF(F1233="","",A1233-E1233)</f>
        <v/>
      </c>
      <c r="H1233" s="42">
        <f>IF(OR(F1233="",C1233=""),"",IFERROR((C1233-F1233)/G1233,""))</f>
        <v/>
      </c>
      <c r="I1233" s="39">
        <f>IF(B1233="","",IFERROR(INDEX('Animais'!$M$6:$M$1005,MATCH(B1233,'Animais'!$A$6:$A$1005,0)),"Brinco não cadastrado"))</f>
        <v/>
      </c>
    </row>
    <row r="1234">
      <c r="A1234" s="31" t="n"/>
      <c r="B1234" s="36" t="n"/>
      <c r="C1234" s="38" t="n"/>
      <c r="D1234" s="32" t="n"/>
      <c r="E1234" s="43">
        <f>IF(OR(A1234="",B1234=""),"",SUMPRODUCT(MAX(($B$6:$B$2005=B1234)*($A$6:$A$2005&lt;A1234)*$A$6:$A$2005)))</f>
        <v/>
      </c>
      <c r="F1234" s="41">
        <f>IF(OR(E1234="",E1234=0),"",IFERROR(AVERAGEIFS($C$6:$C$2005,$B$6:$B$2005,B1234,$A$6:$A$2005,E1234),""))</f>
        <v/>
      </c>
      <c r="G1234" s="34">
        <f>IF(F1234="","",A1234-E1234)</f>
        <v/>
      </c>
      <c r="H1234" s="42">
        <f>IF(OR(F1234="",C1234=""),"",IFERROR((C1234-F1234)/G1234,""))</f>
        <v/>
      </c>
      <c r="I1234" s="39">
        <f>IF(B1234="","",IFERROR(INDEX('Animais'!$M$6:$M$1005,MATCH(B1234,'Animais'!$A$6:$A$1005,0)),"Brinco não cadastrado"))</f>
        <v/>
      </c>
    </row>
    <row r="1235">
      <c r="A1235" s="31" t="n"/>
      <c r="B1235" s="36" t="n"/>
      <c r="C1235" s="38" t="n"/>
      <c r="D1235" s="32" t="n"/>
      <c r="E1235" s="43">
        <f>IF(OR(A1235="",B1235=""),"",SUMPRODUCT(MAX(($B$6:$B$2005=B1235)*($A$6:$A$2005&lt;A1235)*$A$6:$A$2005)))</f>
        <v/>
      </c>
      <c r="F1235" s="41">
        <f>IF(OR(E1235="",E1235=0),"",IFERROR(AVERAGEIFS($C$6:$C$2005,$B$6:$B$2005,B1235,$A$6:$A$2005,E1235),""))</f>
        <v/>
      </c>
      <c r="G1235" s="34">
        <f>IF(F1235="","",A1235-E1235)</f>
        <v/>
      </c>
      <c r="H1235" s="42">
        <f>IF(OR(F1235="",C1235=""),"",IFERROR((C1235-F1235)/G1235,""))</f>
        <v/>
      </c>
      <c r="I1235" s="39">
        <f>IF(B1235="","",IFERROR(INDEX('Animais'!$M$6:$M$1005,MATCH(B1235,'Animais'!$A$6:$A$1005,0)),"Brinco não cadastrado"))</f>
        <v/>
      </c>
    </row>
    <row r="1236">
      <c r="A1236" s="31" t="n"/>
      <c r="B1236" s="36" t="n"/>
      <c r="C1236" s="38" t="n"/>
      <c r="D1236" s="32" t="n"/>
      <c r="E1236" s="43">
        <f>IF(OR(A1236="",B1236=""),"",SUMPRODUCT(MAX(($B$6:$B$2005=B1236)*($A$6:$A$2005&lt;A1236)*$A$6:$A$2005)))</f>
        <v/>
      </c>
      <c r="F1236" s="41">
        <f>IF(OR(E1236="",E1236=0),"",IFERROR(AVERAGEIFS($C$6:$C$2005,$B$6:$B$2005,B1236,$A$6:$A$2005,E1236),""))</f>
        <v/>
      </c>
      <c r="G1236" s="34">
        <f>IF(F1236="","",A1236-E1236)</f>
        <v/>
      </c>
      <c r="H1236" s="42">
        <f>IF(OR(F1236="",C1236=""),"",IFERROR((C1236-F1236)/G1236,""))</f>
        <v/>
      </c>
      <c r="I1236" s="39">
        <f>IF(B1236="","",IFERROR(INDEX('Animais'!$M$6:$M$1005,MATCH(B1236,'Animais'!$A$6:$A$1005,0)),"Brinco não cadastrado"))</f>
        <v/>
      </c>
    </row>
    <row r="1237">
      <c r="A1237" s="31" t="n"/>
      <c r="B1237" s="36" t="n"/>
      <c r="C1237" s="38" t="n"/>
      <c r="D1237" s="32" t="n"/>
      <c r="E1237" s="43">
        <f>IF(OR(A1237="",B1237=""),"",SUMPRODUCT(MAX(($B$6:$B$2005=B1237)*($A$6:$A$2005&lt;A1237)*$A$6:$A$2005)))</f>
        <v/>
      </c>
      <c r="F1237" s="41">
        <f>IF(OR(E1237="",E1237=0),"",IFERROR(AVERAGEIFS($C$6:$C$2005,$B$6:$B$2005,B1237,$A$6:$A$2005,E1237),""))</f>
        <v/>
      </c>
      <c r="G1237" s="34">
        <f>IF(F1237="","",A1237-E1237)</f>
        <v/>
      </c>
      <c r="H1237" s="42">
        <f>IF(OR(F1237="",C1237=""),"",IFERROR((C1237-F1237)/G1237,""))</f>
        <v/>
      </c>
      <c r="I1237" s="39">
        <f>IF(B1237="","",IFERROR(INDEX('Animais'!$M$6:$M$1005,MATCH(B1237,'Animais'!$A$6:$A$1005,0)),"Brinco não cadastrado"))</f>
        <v/>
      </c>
    </row>
    <row r="1238">
      <c r="A1238" s="31" t="n"/>
      <c r="B1238" s="36" t="n"/>
      <c r="C1238" s="38" t="n"/>
      <c r="D1238" s="32" t="n"/>
      <c r="E1238" s="43">
        <f>IF(OR(A1238="",B1238=""),"",SUMPRODUCT(MAX(($B$6:$B$2005=B1238)*($A$6:$A$2005&lt;A1238)*$A$6:$A$2005)))</f>
        <v/>
      </c>
      <c r="F1238" s="41">
        <f>IF(OR(E1238="",E1238=0),"",IFERROR(AVERAGEIFS($C$6:$C$2005,$B$6:$B$2005,B1238,$A$6:$A$2005,E1238),""))</f>
        <v/>
      </c>
      <c r="G1238" s="34">
        <f>IF(F1238="","",A1238-E1238)</f>
        <v/>
      </c>
      <c r="H1238" s="42">
        <f>IF(OR(F1238="",C1238=""),"",IFERROR((C1238-F1238)/G1238,""))</f>
        <v/>
      </c>
      <c r="I1238" s="39">
        <f>IF(B1238="","",IFERROR(INDEX('Animais'!$M$6:$M$1005,MATCH(B1238,'Animais'!$A$6:$A$1005,0)),"Brinco não cadastrado"))</f>
        <v/>
      </c>
    </row>
    <row r="1239">
      <c r="A1239" s="31" t="n"/>
      <c r="B1239" s="36" t="n"/>
      <c r="C1239" s="38" t="n"/>
      <c r="D1239" s="32" t="n"/>
      <c r="E1239" s="43">
        <f>IF(OR(A1239="",B1239=""),"",SUMPRODUCT(MAX(($B$6:$B$2005=B1239)*($A$6:$A$2005&lt;A1239)*$A$6:$A$2005)))</f>
        <v/>
      </c>
      <c r="F1239" s="41">
        <f>IF(OR(E1239="",E1239=0),"",IFERROR(AVERAGEIFS($C$6:$C$2005,$B$6:$B$2005,B1239,$A$6:$A$2005,E1239),""))</f>
        <v/>
      </c>
      <c r="G1239" s="34">
        <f>IF(F1239="","",A1239-E1239)</f>
        <v/>
      </c>
      <c r="H1239" s="42">
        <f>IF(OR(F1239="",C1239=""),"",IFERROR((C1239-F1239)/G1239,""))</f>
        <v/>
      </c>
      <c r="I1239" s="39">
        <f>IF(B1239="","",IFERROR(INDEX('Animais'!$M$6:$M$1005,MATCH(B1239,'Animais'!$A$6:$A$1005,0)),"Brinco não cadastrado"))</f>
        <v/>
      </c>
    </row>
    <row r="1240">
      <c r="A1240" s="31" t="n"/>
      <c r="B1240" s="36" t="n"/>
      <c r="C1240" s="38" t="n"/>
      <c r="D1240" s="32" t="n"/>
      <c r="E1240" s="43">
        <f>IF(OR(A1240="",B1240=""),"",SUMPRODUCT(MAX(($B$6:$B$2005=B1240)*($A$6:$A$2005&lt;A1240)*$A$6:$A$2005)))</f>
        <v/>
      </c>
      <c r="F1240" s="41">
        <f>IF(OR(E1240="",E1240=0),"",IFERROR(AVERAGEIFS($C$6:$C$2005,$B$6:$B$2005,B1240,$A$6:$A$2005,E1240),""))</f>
        <v/>
      </c>
      <c r="G1240" s="34">
        <f>IF(F1240="","",A1240-E1240)</f>
        <v/>
      </c>
      <c r="H1240" s="42">
        <f>IF(OR(F1240="",C1240=""),"",IFERROR((C1240-F1240)/G1240,""))</f>
        <v/>
      </c>
      <c r="I1240" s="39">
        <f>IF(B1240="","",IFERROR(INDEX('Animais'!$M$6:$M$1005,MATCH(B1240,'Animais'!$A$6:$A$1005,0)),"Brinco não cadastrado"))</f>
        <v/>
      </c>
    </row>
    <row r="1241">
      <c r="A1241" s="31" t="n"/>
      <c r="B1241" s="36" t="n"/>
      <c r="C1241" s="38" t="n"/>
      <c r="D1241" s="32" t="n"/>
      <c r="E1241" s="43">
        <f>IF(OR(A1241="",B1241=""),"",SUMPRODUCT(MAX(($B$6:$B$2005=B1241)*($A$6:$A$2005&lt;A1241)*$A$6:$A$2005)))</f>
        <v/>
      </c>
      <c r="F1241" s="41">
        <f>IF(OR(E1241="",E1241=0),"",IFERROR(AVERAGEIFS($C$6:$C$2005,$B$6:$B$2005,B1241,$A$6:$A$2005,E1241),""))</f>
        <v/>
      </c>
      <c r="G1241" s="34">
        <f>IF(F1241="","",A1241-E1241)</f>
        <v/>
      </c>
      <c r="H1241" s="42">
        <f>IF(OR(F1241="",C1241=""),"",IFERROR((C1241-F1241)/G1241,""))</f>
        <v/>
      </c>
      <c r="I1241" s="39">
        <f>IF(B1241="","",IFERROR(INDEX('Animais'!$M$6:$M$1005,MATCH(B1241,'Animais'!$A$6:$A$1005,0)),"Brinco não cadastrado"))</f>
        <v/>
      </c>
    </row>
    <row r="1242">
      <c r="A1242" s="31" t="n"/>
      <c r="B1242" s="36" t="n"/>
      <c r="C1242" s="38" t="n"/>
      <c r="D1242" s="32" t="n"/>
      <c r="E1242" s="43">
        <f>IF(OR(A1242="",B1242=""),"",SUMPRODUCT(MAX(($B$6:$B$2005=B1242)*($A$6:$A$2005&lt;A1242)*$A$6:$A$2005)))</f>
        <v/>
      </c>
      <c r="F1242" s="41">
        <f>IF(OR(E1242="",E1242=0),"",IFERROR(AVERAGEIFS($C$6:$C$2005,$B$6:$B$2005,B1242,$A$6:$A$2005,E1242),""))</f>
        <v/>
      </c>
      <c r="G1242" s="34">
        <f>IF(F1242="","",A1242-E1242)</f>
        <v/>
      </c>
      <c r="H1242" s="42">
        <f>IF(OR(F1242="",C1242=""),"",IFERROR((C1242-F1242)/G1242,""))</f>
        <v/>
      </c>
      <c r="I1242" s="39">
        <f>IF(B1242="","",IFERROR(INDEX('Animais'!$M$6:$M$1005,MATCH(B1242,'Animais'!$A$6:$A$1005,0)),"Brinco não cadastrado"))</f>
        <v/>
      </c>
    </row>
    <row r="1243">
      <c r="A1243" s="31" t="n"/>
      <c r="B1243" s="36" t="n"/>
      <c r="C1243" s="38" t="n"/>
      <c r="D1243" s="32" t="n"/>
      <c r="E1243" s="43">
        <f>IF(OR(A1243="",B1243=""),"",SUMPRODUCT(MAX(($B$6:$B$2005=B1243)*($A$6:$A$2005&lt;A1243)*$A$6:$A$2005)))</f>
        <v/>
      </c>
      <c r="F1243" s="41">
        <f>IF(OR(E1243="",E1243=0),"",IFERROR(AVERAGEIFS($C$6:$C$2005,$B$6:$B$2005,B1243,$A$6:$A$2005,E1243),""))</f>
        <v/>
      </c>
      <c r="G1243" s="34">
        <f>IF(F1243="","",A1243-E1243)</f>
        <v/>
      </c>
      <c r="H1243" s="42">
        <f>IF(OR(F1243="",C1243=""),"",IFERROR((C1243-F1243)/G1243,""))</f>
        <v/>
      </c>
      <c r="I1243" s="39">
        <f>IF(B1243="","",IFERROR(INDEX('Animais'!$M$6:$M$1005,MATCH(B1243,'Animais'!$A$6:$A$1005,0)),"Brinco não cadastrado"))</f>
        <v/>
      </c>
    </row>
    <row r="1244">
      <c r="A1244" s="31" t="n"/>
      <c r="B1244" s="36" t="n"/>
      <c r="C1244" s="38" t="n"/>
      <c r="D1244" s="32" t="n"/>
      <c r="E1244" s="43">
        <f>IF(OR(A1244="",B1244=""),"",SUMPRODUCT(MAX(($B$6:$B$2005=B1244)*($A$6:$A$2005&lt;A1244)*$A$6:$A$2005)))</f>
        <v/>
      </c>
      <c r="F1244" s="41">
        <f>IF(OR(E1244="",E1244=0),"",IFERROR(AVERAGEIFS($C$6:$C$2005,$B$6:$B$2005,B1244,$A$6:$A$2005,E1244),""))</f>
        <v/>
      </c>
      <c r="G1244" s="34">
        <f>IF(F1244="","",A1244-E1244)</f>
        <v/>
      </c>
      <c r="H1244" s="42">
        <f>IF(OR(F1244="",C1244=""),"",IFERROR((C1244-F1244)/G1244,""))</f>
        <v/>
      </c>
      <c r="I1244" s="39">
        <f>IF(B1244="","",IFERROR(INDEX('Animais'!$M$6:$M$1005,MATCH(B1244,'Animais'!$A$6:$A$1005,0)),"Brinco não cadastrado"))</f>
        <v/>
      </c>
    </row>
    <row r="1245">
      <c r="A1245" s="31" t="n"/>
      <c r="B1245" s="36" t="n"/>
      <c r="C1245" s="38" t="n"/>
      <c r="D1245" s="32" t="n"/>
      <c r="E1245" s="43">
        <f>IF(OR(A1245="",B1245=""),"",SUMPRODUCT(MAX(($B$6:$B$2005=B1245)*($A$6:$A$2005&lt;A1245)*$A$6:$A$2005)))</f>
        <v/>
      </c>
      <c r="F1245" s="41">
        <f>IF(OR(E1245="",E1245=0),"",IFERROR(AVERAGEIFS($C$6:$C$2005,$B$6:$B$2005,B1245,$A$6:$A$2005,E1245),""))</f>
        <v/>
      </c>
      <c r="G1245" s="34">
        <f>IF(F1245="","",A1245-E1245)</f>
        <v/>
      </c>
      <c r="H1245" s="42">
        <f>IF(OR(F1245="",C1245=""),"",IFERROR((C1245-F1245)/G1245,""))</f>
        <v/>
      </c>
      <c r="I1245" s="39">
        <f>IF(B1245="","",IFERROR(INDEX('Animais'!$M$6:$M$1005,MATCH(B1245,'Animais'!$A$6:$A$1005,0)),"Brinco não cadastrado"))</f>
        <v/>
      </c>
    </row>
    <row r="1246">
      <c r="A1246" s="31" t="n"/>
      <c r="B1246" s="36" t="n"/>
      <c r="C1246" s="38" t="n"/>
      <c r="D1246" s="32" t="n"/>
      <c r="E1246" s="43">
        <f>IF(OR(A1246="",B1246=""),"",SUMPRODUCT(MAX(($B$6:$B$2005=B1246)*($A$6:$A$2005&lt;A1246)*$A$6:$A$2005)))</f>
        <v/>
      </c>
      <c r="F1246" s="41">
        <f>IF(OR(E1246="",E1246=0),"",IFERROR(AVERAGEIFS($C$6:$C$2005,$B$6:$B$2005,B1246,$A$6:$A$2005,E1246),""))</f>
        <v/>
      </c>
      <c r="G1246" s="34">
        <f>IF(F1246="","",A1246-E1246)</f>
        <v/>
      </c>
      <c r="H1246" s="42">
        <f>IF(OR(F1246="",C1246=""),"",IFERROR((C1246-F1246)/G1246,""))</f>
        <v/>
      </c>
      <c r="I1246" s="39">
        <f>IF(B1246="","",IFERROR(INDEX('Animais'!$M$6:$M$1005,MATCH(B1246,'Animais'!$A$6:$A$1005,0)),"Brinco não cadastrado"))</f>
        <v/>
      </c>
    </row>
    <row r="1247">
      <c r="A1247" s="31" t="n"/>
      <c r="B1247" s="36" t="n"/>
      <c r="C1247" s="38" t="n"/>
      <c r="D1247" s="32" t="n"/>
      <c r="E1247" s="43">
        <f>IF(OR(A1247="",B1247=""),"",SUMPRODUCT(MAX(($B$6:$B$2005=B1247)*($A$6:$A$2005&lt;A1247)*$A$6:$A$2005)))</f>
        <v/>
      </c>
      <c r="F1247" s="41">
        <f>IF(OR(E1247="",E1247=0),"",IFERROR(AVERAGEIFS($C$6:$C$2005,$B$6:$B$2005,B1247,$A$6:$A$2005,E1247),""))</f>
        <v/>
      </c>
      <c r="G1247" s="34">
        <f>IF(F1247="","",A1247-E1247)</f>
        <v/>
      </c>
      <c r="H1247" s="42">
        <f>IF(OR(F1247="",C1247=""),"",IFERROR((C1247-F1247)/G1247,""))</f>
        <v/>
      </c>
      <c r="I1247" s="39">
        <f>IF(B1247="","",IFERROR(INDEX('Animais'!$M$6:$M$1005,MATCH(B1247,'Animais'!$A$6:$A$1005,0)),"Brinco não cadastrado"))</f>
        <v/>
      </c>
    </row>
    <row r="1248">
      <c r="A1248" s="31" t="n"/>
      <c r="B1248" s="36" t="n"/>
      <c r="C1248" s="38" t="n"/>
      <c r="D1248" s="32" t="n"/>
      <c r="E1248" s="43">
        <f>IF(OR(A1248="",B1248=""),"",SUMPRODUCT(MAX(($B$6:$B$2005=B1248)*($A$6:$A$2005&lt;A1248)*$A$6:$A$2005)))</f>
        <v/>
      </c>
      <c r="F1248" s="41">
        <f>IF(OR(E1248="",E1248=0),"",IFERROR(AVERAGEIFS($C$6:$C$2005,$B$6:$B$2005,B1248,$A$6:$A$2005,E1248),""))</f>
        <v/>
      </c>
      <c r="G1248" s="34">
        <f>IF(F1248="","",A1248-E1248)</f>
        <v/>
      </c>
      <c r="H1248" s="42">
        <f>IF(OR(F1248="",C1248=""),"",IFERROR((C1248-F1248)/G1248,""))</f>
        <v/>
      </c>
      <c r="I1248" s="39">
        <f>IF(B1248="","",IFERROR(INDEX('Animais'!$M$6:$M$1005,MATCH(B1248,'Animais'!$A$6:$A$1005,0)),"Brinco não cadastrado"))</f>
        <v/>
      </c>
    </row>
    <row r="1249">
      <c r="A1249" s="31" t="n"/>
      <c r="B1249" s="36" t="n"/>
      <c r="C1249" s="38" t="n"/>
      <c r="D1249" s="32" t="n"/>
      <c r="E1249" s="43">
        <f>IF(OR(A1249="",B1249=""),"",SUMPRODUCT(MAX(($B$6:$B$2005=B1249)*($A$6:$A$2005&lt;A1249)*$A$6:$A$2005)))</f>
        <v/>
      </c>
      <c r="F1249" s="41">
        <f>IF(OR(E1249="",E1249=0),"",IFERROR(AVERAGEIFS($C$6:$C$2005,$B$6:$B$2005,B1249,$A$6:$A$2005,E1249),""))</f>
        <v/>
      </c>
      <c r="G1249" s="34">
        <f>IF(F1249="","",A1249-E1249)</f>
        <v/>
      </c>
      <c r="H1249" s="42">
        <f>IF(OR(F1249="",C1249=""),"",IFERROR((C1249-F1249)/G1249,""))</f>
        <v/>
      </c>
      <c r="I1249" s="39">
        <f>IF(B1249="","",IFERROR(INDEX('Animais'!$M$6:$M$1005,MATCH(B1249,'Animais'!$A$6:$A$1005,0)),"Brinco não cadastrado"))</f>
        <v/>
      </c>
    </row>
    <row r="1250">
      <c r="A1250" s="31" t="n"/>
      <c r="B1250" s="36" t="n"/>
      <c r="C1250" s="38" t="n"/>
      <c r="D1250" s="32" t="n"/>
      <c r="E1250" s="43">
        <f>IF(OR(A1250="",B1250=""),"",SUMPRODUCT(MAX(($B$6:$B$2005=B1250)*($A$6:$A$2005&lt;A1250)*$A$6:$A$2005)))</f>
        <v/>
      </c>
      <c r="F1250" s="41">
        <f>IF(OR(E1250="",E1250=0),"",IFERROR(AVERAGEIFS($C$6:$C$2005,$B$6:$B$2005,B1250,$A$6:$A$2005,E1250),""))</f>
        <v/>
      </c>
      <c r="G1250" s="34">
        <f>IF(F1250="","",A1250-E1250)</f>
        <v/>
      </c>
      <c r="H1250" s="42">
        <f>IF(OR(F1250="",C1250=""),"",IFERROR((C1250-F1250)/G1250,""))</f>
        <v/>
      </c>
      <c r="I1250" s="39">
        <f>IF(B1250="","",IFERROR(INDEX('Animais'!$M$6:$M$1005,MATCH(B1250,'Animais'!$A$6:$A$1005,0)),"Brinco não cadastrado"))</f>
        <v/>
      </c>
    </row>
    <row r="1251">
      <c r="A1251" s="31" t="n"/>
      <c r="B1251" s="36" t="n"/>
      <c r="C1251" s="38" t="n"/>
      <c r="D1251" s="32" t="n"/>
      <c r="E1251" s="43">
        <f>IF(OR(A1251="",B1251=""),"",SUMPRODUCT(MAX(($B$6:$B$2005=B1251)*($A$6:$A$2005&lt;A1251)*$A$6:$A$2005)))</f>
        <v/>
      </c>
      <c r="F1251" s="41">
        <f>IF(OR(E1251="",E1251=0),"",IFERROR(AVERAGEIFS($C$6:$C$2005,$B$6:$B$2005,B1251,$A$6:$A$2005,E1251),""))</f>
        <v/>
      </c>
      <c r="G1251" s="34">
        <f>IF(F1251="","",A1251-E1251)</f>
        <v/>
      </c>
      <c r="H1251" s="42">
        <f>IF(OR(F1251="",C1251=""),"",IFERROR((C1251-F1251)/G1251,""))</f>
        <v/>
      </c>
      <c r="I1251" s="39">
        <f>IF(B1251="","",IFERROR(INDEX('Animais'!$M$6:$M$1005,MATCH(B1251,'Animais'!$A$6:$A$1005,0)),"Brinco não cadastrado"))</f>
        <v/>
      </c>
    </row>
    <row r="1252">
      <c r="A1252" s="31" t="n"/>
      <c r="B1252" s="36" t="n"/>
      <c r="C1252" s="38" t="n"/>
      <c r="D1252" s="32" t="n"/>
      <c r="E1252" s="43">
        <f>IF(OR(A1252="",B1252=""),"",SUMPRODUCT(MAX(($B$6:$B$2005=B1252)*($A$6:$A$2005&lt;A1252)*$A$6:$A$2005)))</f>
        <v/>
      </c>
      <c r="F1252" s="41">
        <f>IF(OR(E1252="",E1252=0),"",IFERROR(AVERAGEIFS($C$6:$C$2005,$B$6:$B$2005,B1252,$A$6:$A$2005,E1252),""))</f>
        <v/>
      </c>
      <c r="G1252" s="34">
        <f>IF(F1252="","",A1252-E1252)</f>
        <v/>
      </c>
      <c r="H1252" s="42">
        <f>IF(OR(F1252="",C1252=""),"",IFERROR((C1252-F1252)/G1252,""))</f>
        <v/>
      </c>
      <c r="I1252" s="39">
        <f>IF(B1252="","",IFERROR(INDEX('Animais'!$M$6:$M$1005,MATCH(B1252,'Animais'!$A$6:$A$1005,0)),"Brinco não cadastrado"))</f>
        <v/>
      </c>
    </row>
    <row r="1253">
      <c r="A1253" s="31" t="n"/>
      <c r="B1253" s="36" t="n"/>
      <c r="C1253" s="38" t="n"/>
      <c r="D1253" s="32" t="n"/>
      <c r="E1253" s="43">
        <f>IF(OR(A1253="",B1253=""),"",SUMPRODUCT(MAX(($B$6:$B$2005=B1253)*($A$6:$A$2005&lt;A1253)*$A$6:$A$2005)))</f>
        <v/>
      </c>
      <c r="F1253" s="41">
        <f>IF(OR(E1253="",E1253=0),"",IFERROR(AVERAGEIFS($C$6:$C$2005,$B$6:$B$2005,B1253,$A$6:$A$2005,E1253),""))</f>
        <v/>
      </c>
      <c r="G1253" s="34">
        <f>IF(F1253="","",A1253-E1253)</f>
        <v/>
      </c>
      <c r="H1253" s="42">
        <f>IF(OR(F1253="",C1253=""),"",IFERROR((C1253-F1253)/G1253,""))</f>
        <v/>
      </c>
      <c r="I1253" s="39">
        <f>IF(B1253="","",IFERROR(INDEX('Animais'!$M$6:$M$1005,MATCH(B1253,'Animais'!$A$6:$A$1005,0)),"Brinco não cadastrado"))</f>
        <v/>
      </c>
    </row>
    <row r="1254">
      <c r="A1254" s="31" t="n"/>
      <c r="B1254" s="36" t="n"/>
      <c r="C1254" s="38" t="n"/>
      <c r="D1254" s="32" t="n"/>
      <c r="E1254" s="43">
        <f>IF(OR(A1254="",B1254=""),"",SUMPRODUCT(MAX(($B$6:$B$2005=B1254)*($A$6:$A$2005&lt;A1254)*$A$6:$A$2005)))</f>
        <v/>
      </c>
      <c r="F1254" s="41">
        <f>IF(OR(E1254="",E1254=0),"",IFERROR(AVERAGEIFS($C$6:$C$2005,$B$6:$B$2005,B1254,$A$6:$A$2005,E1254),""))</f>
        <v/>
      </c>
      <c r="G1254" s="34">
        <f>IF(F1254="","",A1254-E1254)</f>
        <v/>
      </c>
      <c r="H1254" s="42">
        <f>IF(OR(F1254="",C1254=""),"",IFERROR((C1254-F1254)/G1254,""))</f>
        <v/>
      </c>
      <c r="I1254" s="39">
        <f>IF(B1254="","",IFERROR(INDEX('Animais'!$M$6:$M$1005,MATCH(B1254,'Animais'!$A$6:$A$1005,0)),"Brinco não cadastrado"))</f>
        <v/>
      </c>
    </row>
    <row r="1255">
      <c r="A1255" s="31" t="n"/>
      <c r="B1255" s="36" t="n"/>
      <c r="C1255" s="38" t="n"/>
      <c r="D1255" s="32" t="n"/>
      <c r="E1255" s="43">
        <f>IF(OR(A1255="",B1255=""),"",SUMPRODUCT(MAX(($B$6:$B$2005=B1255)*($A$6:$A$2005&lt;A1255)*$A$6:$A$2005)))</f>
        <v/>
      </c>
      <c r="F1255" s="41">
        <f>IF(OR(E1255="",E1255=0),"",IFERROR(AVERAGEIFS($C$6:$C$2005,$B$6:$B$2005,B1255,$A$6:$A$2005,E1255),""))</f>
        <v/>
      </c>
      <c r="G1255" s="34">
        <f>IF(F1255="","",A1255-E1255)</f>
        <v/>
      </c>
      <c r="H1255" s="42">
        <f>IF(OR(F1255="",C1255=""),"",IFERROR((C1255-F1255)/G1255,""))</f>
        <v/>
      </c>
      <c r="I1255" s="39">
        <f>IF(B1255="","",IFERROR(INDEX('Animais'!$M$6:$M$1005,MATCH(B1255,'Animais'!$A$6:$A$1005,0)),"Brinco não cadastrado"))</f>
        <v/>
      </c>
    </row>
    <row r="1256">
      <c r="A1256" s="31" t="n"/>
      <c r="B1256" s="36" t="n"/>
      <c r="C1256" s="38" t="n"/>
      <c r="D1256" s="32" t="n"/>
      <c r="E1256" s="43">
        <f>IF(OR(A1256="",B1256=""),"",SUMPRODUCT(MAX(($B$6:$B$2005=B1256)*($A$6:$A$2005&lt;A1256)*$A$6:$A$2005)))</f>
        <v/>
      </c>
      <c r="F1256" s="41">
        <f>IF(OR(E1256="",E1256=0),"",IFERROR(AVERAGEIFS($C$6:$C$2005,$B$6:$B$2005,B1256,$A$6:$A$2005,E1256),""))</f>
        <v/>
      </c>
      <c r="G1256" s="34">
        <f>IF(F1256="","",A1256-E1256)</f>
        <v/>
      </c>
      <c r="H1256" s="42">
        <f>IF(OR(F1256="",C1256=""),"",IFERROR((C1256-F1256)/G1256,""))</f>
        <v/>
      </c>
      <c r="I1256" s="39">
        <f>IF(B1256="","",IFERROR(INDEX('Animais'!$M$6:$M$1005,MATCH(B1256,'Animais'!$A$6:$A$1005,0)),"Brinco não cadastrado"))</f>
        <v/>
      </c>
    </row>
    <row r="1257">
      <c r="A1257" s="31" t="n"/>
      <c r="B1257" s="36" t="n"/>
      <c r="C1257" s="38" t="n"/>
      <c r="D1257" s="32" t="n"/>
      <c r="E1257" s="43">
        <f>IF(OR(A1257="",B1257=""),"",SUMPRODUCT(MAX(($B$6:$B$2005=B1257)*($A$6:$A$2005&lt;A1257)*$A$6:$A$2005)))</f>
        <v/>
      </c>
      <c r="F1257" s="41">
        <f>IF(OR(E1257="",E1257=0),"",IFERROR(AVERAGEIFS($C$6:$C$2005,$B$6:$B$2005,B1257,$A$6:$A$2005,E1257),""))</f>
        <v/>
      </c>
      <c r="G1257" s="34">
        <f>IF(F1257="","",A1257-E1257)</f>
        <v/>
      </c>
      <c r="H1257" s="42">
        <f>IF(OR(F1257="",C1257=""),"",IFERROR((C1257-F1257)/G1257,""))</f>
        <v/>
      </c>
      <c r="I1257" s="39">
        <f>IF(B1257="","",IFERROR(INDEX('Animais'!$M$6:$M$1005,MATCH(B1257,'Animais'!$A$6:$A$1005,0)),"Brinco não cadastrado"))</f>
        <v/>
      </c>
    </row>
    <row r="1258">
      <c r="A1258" s="31" t="n"/>
      <c r="B1258" s="36" t="n"/>
      <c r="C1258" s="38" t="n"/>
      <c r="D1258" s="32" t="n"/>
      <c r="E1258" s="43">
        <f>IF(OR(A1258="",B1258=""),"",SUMPRODUCT(MAX(($B$6:$B$2005=B1258)*($A$6:$A$2005&lt;A1258)*$A$6:$A$2005)))</f>
        <v/>
      </c>
      <c r="F1258" s="41">
        <f>IF(OR(E1258="",E1258=0),"",IFERROR(AVERAGEIFS($C$6:$C$2005,$B$6:$B$2005,B1258,$A$6:$A$2005,E1258),""))</f>
        <v/>
      </c>
      <c r="G1258" s="34">
        <f>IF(F1258="","",A1258-E1258)</f>
        <v/>
      </c>
      <c r="H1258" s="42">
        <f>IF(OR(F1258="",C1258=""),"",IFERROR((C1258-F1258)/G1258,""))</f>
        <v/>
      </c>
      <c r="I1258" s="39">
        <f>IF(B1258="","",IFERROR(INDEX('Animais'!$M$6:$M$1005,MATCH(B1258,'Animais'!$A$6:$A$1005,0)),"Brinco não cadastrado"))</f>
        <v/>
      </c>
    </row>
    <row r="1259">
      <c r="A1259" s="31" t="n"/>
      <c r="B1259" s="36" t="n"/>
      <c r="C1259" s="38" t="n"/>
      <c r="D1259" s="32" t="n"/>
      <c r="E1259" s="43">
        <f>IF(OR(A1259="",B1259=""),"",SUMPRODUCT(MAX(($B$6:$B$2005=B1259)*($A$6:$A$2005&lt;A1259)*$A$6:$A$2005)))</f>
        <v/>
      </c>
      <c r="F1259" s="41">
        <f>IF(OR(E1259="",E1259=0),"",IFERROR(AVERAGEIFS($C$6:$C$2005,$B$6:$B$2005,B1259,$A$6:$A$2005,E1259),""))</f>
        <v/>
      </c>
      <c r="G1259" s="34">
        <f>IF(F1259="","",A1259-E1259)</f>
        <v/>
      </c>
      <c r="H1259" s="42">
        <f>IF(OR(F1259="",C1259=""),"",IFERROR((C1259-F1259)/G1259,""))</f>
        <v/>
      </c>
      <c r="I1259" s="39">
        <f>IF(B1259="","",IFERROR(INDEX('Animais'!$M$6:$M$1005,MATCH(B1259,'Animais'!$A$6:$A$1005,0)),"Brinco não cadastrado"))</f>
        <v/>
      </c>
    </row>
    <row r="1260">
      <c r="A1260" s="31" t="n"/>
      <c r="B1260" s="36" t="n"/>
      <c r="C1260" s="38" t="n"/>
      <c r="D1260" s="32" t="n"/>
      <c r="E1260" s="43">
        <f>IF(OR(A1260="",B1260=""),"",SUMPRODUCT(MAX(($B$6:$B$2005=B1260)*($A$6:$A$2005&lt;A1260)*$A$6:$A$2005)))</f>
        <v/>
      </c>
      <c r="F1260" s="41">
        <f>IF(OR(E1260="",E1260=0),"",IFERROR(AVERAGEIFS($C$6:$C$2005,$B$6:$B$2005,B1260,$A$6:$A$2005,E1260),""))</f>
        <v/>
      </c>
      <c r="G1260" s="34">
        <f>IF(F1260="","",A1260-E1260)</f>
        <v/>
      </c>
      <c r="H1260" s="42">
        <f>IF(OR(F1260="",C1260=""),"",IFERROR((C1260-F1260)/G1260,""))</f>
        <v/>
      </c>
      <c r="I1260" s="39">
        <f>IF(B1260="","",IFERROR(INDEX('Animais'!$M$6:$M$1005,MATCH(B1260,'Animais'!$A$6:$A$1005,0)),"Brinco não cadastrado"))</f>
        <v/>
      </c>
    </row>
    <row r="1261">
      <c r="A1261" s="31" t="n"/>
      <c r="B1261" s="36" t="n"/>
      <c r="C1261" s="38" t="n"/>
      <c r="D1261" s="32" t="n"/>
      <c r="E1261" s="43">
        <f>IF(OR(A1261="",B1261=""),"",SUMPRODUCT(MAX(($B$6:$B$2005=B1261)*($A$6:$A$2005&lt;A1261)*$A$6:$A$2005)))</f>
        <v/>
      </c>
      <c r="F1261" s="41">
        <f>IF(OR(E1261="",E1261=0),"",IFERROR(AVERAGEIFS($C$6:$C$2005,$B$6:$B$2005,B1261,$A$6:$A$2005,E1261),""))</f>
        <v/>
      </c>
      <c r="G1261" s="34">
        <f>IF(F1261="","",A1261-E1261)</f>
        <v/>
      </c>
      <c r="H1261" s="42">
        <f>IF(OR(F1261="",C1261=""),"",IFERROR((C1261-F1261)/G1261,""))</f>
        <v/>
      </c>
      <c r="I1261" s="39">
        <f>IF(B1261="","",IFERROR(INDEX('Animais'!$M$6:$M$1005,MATCH(B1261,'Animais'!$A$6:$A$1005,0)),"Brinco não cadastrado"))</f>
        <v/>
      </c>
    </row>
    <row r="1262">
      <c r="A1262" s="31" t="n"/>
      <c r="B1262" s="36" t="n"/>
      <c r="C1262" s="38" t="n"/>
      <c r="D1262" s="32" t="n"/>
      <c r="E1262" s="43">
        <f>IF(OR(A1262="",B1262=""),"",SUMPRODUCT(MAX(($B$6:$B$2005=B1262)*($A$6:$A$2005&lt;A1262)*$A$6:$A$2005)))</f>
        <v/>
      </c>
      <c r="F1262" s="41">
        <f>IF(OR(E1262="",E1262=0),"",IFERROR(AVERAGEIFS($C$6:$C$2005,$B$6:$B$2005,B1262,$A$6:$A$2005,E1262),""))</f>
        <v/>
      </c>
      <c r="G1262" s="34">
        <f>IF(F1262="","",A1262-E1262)</f>
        <v/>
      </c>
      <c r="H1262" s="42">
        <f>IF(OR(F1262="",C1262=""),"",IFERROR((C1262-F1262)/G1262,""))</f>
        <v/>
      </c>
      <c r="I1262" s="39">
        <f>IF(B1262="","",IFERROR(INDEX('Animais'!$M$6:$M$1005,MATCH(B1262,'Animais'!$A$6:$A$1005,0)),"Brinco não cadastrado"))</f>
        <v/>
      </c>
    </row>
    <row r="1263">
      <c r="A1263" s="31" t="n"/>
      <c r="B1263" s="36" t="n"/>
      <c r="C1263" s="38" t="n"/>
      <c r="D1263" s="32" t="n"/>
      <c r="E1263" s="43">
        <f>IF(OR(A1263="",B1263=""),"",SUMPRODUCT(MAX(($B$6:$B$2005=B1263)*($A$6:$A$2005&lt;A1263)*$A$6:$A$2005)))</f>
        <v/>
      </c>
      <c r="F1263" s="41">
        <f>IF(OR(E1263="",E1263=0),"",IFERROR(AVERAGEIFS($C$6:$C$2005,$B$6:$B$2005,B1263,$A$6:$A$2005,E1263),""))</f>
        <v/>
      </c>
      <c r="G1263" s="34">
        <f>IF(F1263="","",A1263-E1263)</f>
        <v/>
      </c>
      <c r="H1263" s="42">
        <f>IF(OR(F1263="",C1263=""),"",IFERROR((C1263-F1263)/G1263,""))</f>
        <v/>
      </c>
      <c r="I1263" s="39">
        <f>IF(B1263="","",IFERROR(INDEX('Animais'!$M$6:$M$1005,MATCH(B1263,'Animais'!$A$6:$A$1005,0)),"Brinco não cadastrado"))</f>
        <v/>
      </c>
    </row>
    <row r="1264">
      <c r="A1264" s="31" t="n"/>
      <c r="B1264" s="36" t="n"/>
      <c r="C1264" s="38" t="n"/>
      <c r="D1264" s="32" t="n"/>
      <c r="E1264" s="43">
        <f>IF(OR(A1264="",B1264=""),"",SUMPRODUCT(MAX(($B$6:$B$2005=B1264)*($A$6:$A$2005&lt;A1264)*$A$6:$A$2005)))</f>
        <v/>
      </c>
      <c r="F1264" s="41">
        <f>IF(OR(E1264="",E1264=0),"",IFERROR(AVERAGEIFS($C$6:$C$2005,$B$6:$B$2005,B1264,$A$6:$A$2005,E1264),""))</f>
        <v/>
      </c>
      <c r="G1264" s="34">
        <f>IF(F1264="","",A1264-E1264)</f>
        <v/>
      </c>
      <c r="H1264" s="42">
        <f>IF(OR(F1264="",C1264=""),"",IFERROR((C1264-F1264)/G1264,""))</f>
        <v/>
      </c>
      <c r="I1264" s="39">
        <f>IF(B1264="","",IFERROR(INDEX('Animais'!$M$6:$M$1005,MATCH(B1264,'Animais'!$A$6:$A$1005,0)),"Brinco não cadastrado"))</f>
        <v/>
      </c>
    </row>
    <row r="1265">
      <c r="A1265" s="31" t="n"/>
      <c r="B1265" s="36" t="n"/>
      <c r="C1265" s="38" t="n"/>
      <c r="D1265" s="32" t="n"/>
      <c r="E1265" s="43">
        <f>IF(OR(A1265="",B1265=""),"",SUMPRODUCT(MAX(($B$6:$B$2005=B1265)*($A$6:$A$2005&lt;A1265)*$A$6:$A$2005)))</f>
        <v/>
      </c>
      <c r="F1265" s="41">
        <f>IF(OR(E1265="",E1265=0),"",IFERROR(AVERAGEIFS($C$6:$C$2005,$B$6:$B$2005,B1265,$A$6:$A$2005,E1265),""))</f>
        <v/>
      </c>
      <c r="G1265" s="34">
        <f>IF(F1265="","",A1265-E1265)</f>
        <v/>
      </c>
      <c r="H1265" s="42">
        <f>IF(OR(F1265="",C1265=""),"",IFERROR((C1265-F1265)/G1265,""))</f>
        <v/>
      </c>
      <c r="I1265" s="39">
        <f>IF(B1265="","",IFERROR(INDEX('Animais'!$M$6:$M$1005,MATCH(B1265,'Animais'!$A$6:$A$1005,0)),"Brinco não cadastrado"))</f>
        <v/>
      </c>
    </row>
    <row r="1266">
      <c r="A1266" s="31" t="n"/>
      <c r="B1266" s="36" t="n"/>
      <c r="C1266" s="38" t="n"/>
      <c r="D1266" s="32" t="n"/>
      <c r="E1266" s="43">
        <f>IF(OR(A1266="",B1266=""),"",SUMPRODUCT(MAX(($B$6:$B$2005=B1266)*($A$6:$A$2005&lt;A1266)*$A$6:$A$2005)))</f>
        <v/>
      </c>
      <c r="F1266" s="41">
        <f>IF(OR(E1266="",E1266=0),"",IFERROR(AVERAGEIFS($C$6:$C$2005,$B$6:$B$2005,B1266,$A$6:$A$2005,E1266),""))</f>
        <v/>
      </c>
      <c r="G1266" s="34">
        <f>IF(F1266="","",A1266-E1266)</f>
        <v/>
      </c>
      <c r="H1266" s="42">
        <f>IF(OR(F1266="",C1266=""),"",IFERROR((C1266-F1266)/G1266,""))</f>
        <v/>
      </c>
      <c r="I1266" s="39">
        <f>IF(B1266="","",IFERROR(INDEX('Animais'!$M$6:$M$1005,MATCH(B1266,'Animais'!$A$6:$A$1005,0)),"Brinco não cadastrado"))</f>
        <v/>
      </c>
    </row>
    <row r="1267">
      <c r="A1267" s="31" t="n"/>
      <c r="B1267" s="36" t="n"/>
      <c r="C1267" s="38" t="n"/>
      <c r="D1267" s="32" t="n"/>
      <c r="E1267" s="43">
        <f>IF(OR(A1267="",B1267=""),"",SUMPRODUCT(MAX(($B$6:$B$2005=B1267)*($A$6:$A$2005&lt;A1267)*$A$6:$A$2005)))</f>
        <v/>
      </c>
      <c r="F1267" s="41">
        <f>IF(OR(E1267="",E1267=0),"",IFERROR(AVERAGEIFS($C$6:$C$2005,$B$6:$B$2005,B1267,$A$6:$A$2005,E1267),""))</f>
        <v/>
      </c>
      <c r="G1267" s="34">
        <f>IF(F1267="","",A1267-E1267)</f>
        <v/>
      </c>
      <c r="H1267" s="42">
        <f>IF(OR(F1267="",C1267=""),"",IFERROR((C1267-F1267)/G1267,""))</f>
        <v/>
      </c>
      <c r="I1267" s="39">
        <f>IF(B1267="","",IFERROR(INDEX('Animais'!$M$6:$M$1005,MATCH(B1267,'Animais'!$A$6:$A$1005,0)),"Brinco não cadastrado"))</f>
        <v/>
      </c>
    </row>
    <row r="1268">
      <c r="A1268" s="31" t="n"/>
      <c r="B1268" s="36" t="n"/>
      <c r="C1268" s="38" t="n"/>
      <c r="D1268" s="32" t="n"/>
      <c r="E1268" s="43">
        <f>IF(OR(A1268="",B1268=""),"",SUMPRODUCT(MAX(($B$6:$B$2005=B1268)*($A$6:$A$2005&lt;A1268)*$A$6:$A$2005)))</f>
        <v/>
      </c>
      <c r="F1268" s="41">
        <f>IF(OR(E1268="",E1268=0),"",IFERROR(AVERAGEIFS($C$6:$C$2005,$B$6:$B$2005,B1268,$A$6:$A$2005,E1268),""))</f>
        <v/>
      </c>
      <c r="G1268" s="34">
        <f>IF(F1268="","",A1268-E1268)</f>
        <v/>
      </c>
      <c r="H1268" s="42">
        <f>IF(OR(F1268="",C1268=""),"",IFERROR((C1268-F1268)/G1268,""))</f>
        <v/>
      </c>
      <c r="I1268" s="39">
        <f>IF(B1268="","",IFERROR(INDEX('Animais'!$M$6:$M$1005,MATCH(B1268,'Animais'!$A$6:$A$1005,0)),"Brinco não cadastrado"))</f>
        <v/>
      </c>
    </row>
    <row r="1269">
      <c r="A1269" s="31" t="n"/>
      <c r="B1269" s="36" t="n"/>
      <c r="C1269" s="38" t="n"/>
      <c r="D1269" s="32" t="n"/>
      <c r="E1269" s="43">
        <f>IF(OR(A1269="",B1269=""),"",SUMPRODUCT(MAX(($B$6:$B$2005=B1269)*($A$6:$A$2005&lt;A1269)*$A$6:$A$2005)))</f>
        <v/>
      </c>
      <c r="F1269" s="41">
        <f>IF(OR(E1269="",E1269=0),"",IFERROR(AVERAGEIFS($C$6:$C$2005,$B$6:$B$2005,B1269,$A$6:$A$2005,E1269),""))</f>
        <v/>
      </c>
      <c r="G1269" s="34">
        <f>IF(F1269="","",A1269-E1269)</f>
        <v/>
      </c>
      <c r="H1269" s="42">
        <f>IF(OR(F1269="",C1269=""),"",IFERROR((C1269-F1269)/G1269,""))</f>
        <v/>
      </c>
      <c r="I1269" s="39">
        <f>IF(B1269="","",IFERROR(INDEX('Animais'!$M$6:$M$1005,MATCH(B1269,'Animais'!$A$6:$A$1005,0)),"Brinco não cadastrado"))</f>
        <v/>
      </c>
    </row>
    <row r="1270">
      <c r="A1270" s="31" t="n"/>
      <c r="B1270" s="36" t="n"/>
      <c r="C1270" s="38" t="n"/>
      <c r="D1270" s="32" t="n"/>
      <c r="E1270" s="43">
        <f>IF(OR(A1270="",B1270=""),"",SUMPRODUCT(MAX(($B$6:$B$2005=B1270)*($A$6:$A$2005&lt;A1270)*$A$6:$A$2005)))</f>
        <v/>
      </c>
      <c r="F1270" s="41">
        <f>IF(OR(E1270="",E1270=0),"",IFERROR(AVERAGEIFS($C$6:$C$2005,$B$6:$B$2005,B1270,$A$6:$A$2005,E1270),""))</f>
        <v/>
      </c>
      <c r="G1270" s="34">
        <f>IF(F1270="","",A1270-E1270)</f>
        <v/>
      </c>
      <c r="H1270" s="42">
        <f>IF(OR(F1270="",C1270=""),"",IFERROR((C1270-F1270)/G1270,""))</f>
        <v/>
      </c>
      <c r="I1270" s="39">
        <f>IF(B1270="","",IFERROR(INDEX('Animais'!$M$6:$M$1005,MATCH(B1270,'Animais'!$A$6:$A$1005,0)),"Brinco não cadastrado"))</f>
        <v/>
      </c>
    </row>
    <row r="1271">
      <c r="A1271" s="31" t="n"/>
      <c r="B1271" s="36" t="n"/>
      <c r="C1271" s="38" t="n"/>
      <c r="D1271" s="32" t="n"/>
      <c r="E1271" s="43">
        <f>IF(OR(A1271="",B1271=""),"",SUMPRODUCT(MAX(($B$6:$B$2005=B1271)*($A$6:$A$2005&lt;A1271)*$A$6:$A$2005)))</f>
        <v/>
      </c>
      <c r="F1271" s="41">
        <f>IF(OR(E1271="",E1271=0),"",IFERROR(AVERAGEIFS($C$6:$C$2005,$B$6:$B$2005,B1271,$A$6:$A$2005,E1271),""))</f>
        <v/>
      </c>
      <c r="G1271" s="34">
        <f>IF(F1271="","",A1271-E1271)</f>
        <v/>
      </c>
      <c r="H1271" s="42">
        <f>IF(OR(F1271="",C1271=""),"",IFERROR((C1271-F1271)/G1271,""))</f>
        <v/>
      </c>
      <c r="I1271" s="39">
        <f>IF(B1271="","",IFERROR(INDEX('Animais'!$M$6:$M$1005,MATCH(B1271,'Animais'!$A$6:$A$1005,0)),"Brinco não cadastrado"))</f>
        <v/>
      </c>
    </row>
    <row r="1272">
      <c r="A1272" s="31" t="n"/>
      <c r="B1272" s="36" t="n"/>
      <c r="C1272" s="38" t="n"/>
      <c r="D1272" s="32" t="n"/>
      <c r="E1272" s="43">
        <f>IF(OR(A1272="",B1272=""),"",SUMPRODUCT(MAX(($B$6:$B$2005=B1272)*($A$6:$A$2005&lt;A1272)*$A$6:$A$2005)))</f>
        <v/>
      </c>
      <c r="F1272" s="41">
        <f>IF(OR(E1272="",E1272=0),"",IFERROR(AVERAGEIFS($C$6:$C$2005,$B$6:$B$2005,B1272,$A$6:$A$2005,E1272),""))</f>
        <v/>
      </c>
      <c r="G1272" s="34">
        <f>IF(F1272="","",A1272-E1272)</f>
        <v/>
      </c>
      <c r="H1272" s="42">
        <f>IF(OR(F1272="",C1272=""),"",IFERROR((C1272-F1272)/G1272,""))</f>
        <v/>
      </c>
      <c r="I1272" s="39">
        <f>IF(B1272="","",IFERROR(INDEX('Animais'!$M$6:$M$1005,MATCH(B1272,'Animais'!$A$6:$A$1005,0)),"Brinco não cadastrado"))</f>
        <v/>
      </c>
    </row>
    <row r="1273">
      <c r="A1273" s="31" t="n"/>
      <c r="B1273" s="36" t="n"/>
      <c r="C1273" s="38" t="n"/>
      <c r="D1273" s="32" t="n"/>
      <c r="E1273" s="43">
        <f>IF(OR(A1273="",B1273=""),"",SUMPRODUCT(MAX(($B$6:$B$2005=B1273)*($A$6:$A$2005&lt;A1273)*$A$6:$A$2005)))</f>
        <v/>
      </c>
      <c r="F1273" s="41">
        <f>IF(OR(E1273="",E1273=0),"",IFERROR(AVERAGEIFS($C$6:$C$2005,$B$6:$B$2005,B1273,$A$6:$A$2005,E1273),""))</f>
        <v/>
      </c>
      <c r="G1273" s="34">
        <f>IF(F1273="","",A1273-E1273)</f>
        <v/>
      </c>
      <c r="H1273" s="42">
        <f>IF(OR(F1273="",C1273=""),"",IFERROR((C1273-F1273)/G1273,""))</f>
        <v/>
      </c>
      <c r="I1273" s="39">
        <f>IF(B1273="","",IFERROR(INDEX('Animais'!$M$6:$M$1005,MATCH(B1273,'Animais'!$A$6:$A$1005,0)),"Brinco não cadastrado"))</f>
        <v/>
      </c>
    </row>
    <row r="1274">
      <c r="A1274" s="31" t="n"/>
      <c r="B1274" s="36" t="n"/>
      <c r="C1274" s="38" t="n"/>
      <c r="D1274" s="32" t="n"/>
      <c r="E1274" s="43">
        <f>IF(OR(A1274="",B1274=""),"",SUMPRODUCT(MAX(($B$6:$B$2005=B1274)*($A$6:$A$2005&lt;A1274)*$A$6:$A$2005)))</f>
        <v/>
      </c>
      <c r="F1274" s="41">
        <f>IF(OR(E1274="",E1274=0),"",IFERROR(AVERAGEIFS($C$6:$C$2005,$B$6:$B$2005,B1274,$A$6:$A$2005,E1274),""))</f>
        <v/>
      </c>
      <c r="G1274" s="34">
        <f>IF(F1274="","",A1274-E1274)</f>
        <v/>
      </c>
      <c r="H1274" s="42">
        <f>IF(OR(F1274="",C1274=""),"",IFERROR((C1274-F1274)/G1274,""))</f>
        <v/>
      </c>
      <c r="I1274" s="39">
        <f>IF(B1274="","",IFERROR(INDEX('Animais'!$M$6:$M$1005,MATCH(B1274,'Animais'!$A$6:$A$1005,0)),"Brinco não cadastrado"))</f>
        <v/>
      </c>
    </row>
    <row r="1275">
      <c r="A1275" s="31" t="n"/>
      <c r="B1275" s="36" t="n"/>
      <c r="C1275" s="38" t="n"/>
      <c r="D1275" s="32" t="n"/>
      <c r="E1275" s="43">
        <f>IF(OR(A1275="",B1275=""),"",SUMPRODUCT(MAX(($B$6:$B$2005=B1275)*($A$6:$A$2005&lt;A1275)*$A$6:$A$2005)))</f>
        <v/>
      </c>
      <c r="F1275" s="41">
        <f>IF(OR(E1275="",E1275=0),"",IFERROR(AVERAGEIFS($C$6:$C$2005,$B$6:$B$2005,B1275,$A$6:$A$2005,E1275),""))</f>
        <v/>
      </c>
      <c r="G1275" s="34">
        <f>IF(F1275="","",A1275-E1275)</f>
        <v/>
      </c>
      <c r="H1275" s="42">
        <f>IF(OR(F1275="",C1275=""),"",IFERROR((C1275-F1275)/G1275,""))</f>
        <v/>
      </c>
      <c r="I1275" s="39">
        <f>IF(B1275="","",IFERROR(INDEX('Animais'!$M$6:$M$1005,MATCH(B1275,'Animais'!$A$6:$A$1005,0)),"Brinco não cadastrado"))</f>
        <v/>
      </c>
    </row>
    <row r="1276">
      <c r="A1276" s="31" t="n"/>
      <c r="B1276" s="36" t="n"/>
      <c r="C1276" s="38" t="n"/>
      <c r="D1276" s="32" t="n"/>
      <c r="E1276" s="43">
        <f>IF(OR(A1276="",B1276=""),"",SUMPRODUCT(MAX(($B$6:$B$2005=B1276)*($A$6:$A$2005&lt;A1276)*$A$6:$A$2005)))</f>
        <v/>
      </c>
      <c r="F1276" s="41">
        <f>IF(OR(E1276="",E1276=0),"",IFERROR(AVERAGEIFS($C$6:$C$2005,$B$6:$B$2005,B1276,$A$6:$A$2005,E1276),""))</f>
        <v/>
      </c>
      <c r="G1276" s="34">
        <f>IF(F1276="","",A1276-E1276)</f>
        <v/>
      </c>
      <c r="H1276" s="42">
        <f>IF(OR(F1276="",C1276=""),"",IFERROR((C1276-F1276)/G1276,""))</f>
        <v/>
      </c>
      <c r="I1276" s="39">
        <f>IF(B1276="","",IFERROR(INDEX('Animais'!$M$6:$M$1005,MATCH(B1276,'Animais'!$A$6:$A$1005,0)),"Brinco não cadastrado"))</f>
        <v/>
      </c>
    </row>
    <row r="1277">
      <c r="A1277" s="31" t="n"/>
      <c r="B1277" s="36" t="n"/>
      <c r="C1277" s="38" t="n"/>
      <c r="D1277" s="32" t="n"/>
      <c r="E1277" s="43">
        <f>IF(OR(A1277="",B1277=""),"",SUMPRODUCT(MAX(($B$6:$B$2005=B1277)*($A$6:$A$2005&lt;A1277)*$A$6:$A$2005)))</f>
        <v/>
      </c>
      <c r="F1277" s="41">
        <f>IF(OR(E1277="",E1277=0),"",IFERROR(AVERAGEIFS($C$6:$C$2005,$B$6:$B$2005,B1277,$A$6:$A$2005,E1277),""))</f>
        <v/>
      </c>
      <c r="G1277" s="34">
        <f>IF(F1277="","",A1277-E1277)</f>
        <v/>
      </c>
      <c r="H1277" s="42">
        <f>IF(OR(F1277="",C1277=""),"",IFERROR((C1277-F1277)/G1277,""))</f>
        <v/>
      </c>
      <c r="I1277" s="39">
        <f>IF(B1277="","",IFERROR(INDEX('Animais'!$M$6:$M$1005,MATCH(B1277,'Animais'!$A$6:$A$1005,0)),"Brinco não cadastrado"))</f>
        <v/>
      </c>
    </row>
    <row r="1278">
      <c r="A1278" s="31" t="n"/>
      <c r="B1278" s="36" t="n"/>
      <c r="C1278" s="38" t="n"/>
      <c r="D1278" s="32" t="n"/>
      <c r="E1278" s="43">
        <f>IF(OR(A1278="",B1278=""),"",SUMPRODUCT(MAX(($B$6:$B$2005=B1278)*($A$6:$A$2005&lt;A1278)*$A$6:$A$2005)))</f>
        <v/>
      </c>
      <c r="F1278" s="41">
        <f>IF(OR(E1278="",E1278=0),"",IFERROR(AVERAGEIFS($C$6:$C$2005,$B$6:$B$2005,B1278,$A$6:$A$2005,E1278),""))</f>
        <v/>
      </c>
      <c r="G1278" s="34">
        <f>IF(F1278="","",A1278-E1278)</f>
        <v/>
      </c>
      <c r="H1278" s="42">
        <f>IF(OR(F1278="",C1278=""),"",IFERROR((C1278-F1278)/G1278,""))</f>
        <v/>
      </c>
      <c r="I1278" s="39">
        <f>IF(B1278="","",IFERROR(INDEX('Animais'!$M$6:$M$1005,MATCH(B1278,'Animais'!$A$6:$A$1005,0)),"Brinco não cadastrado"))</f>
        <v/>
      </c>
    </row>
    <row r="1279">
      <c r="A1279" s="31" t="n"/>
      <c r="B1279" s="36" t="n"/>
      <c r="C1279" s="38" t="n"/>
      <c r="D1279" s="32" t="n"/>
      <c r="E1279" s="43">
        <f>IF(OR(A1279="",B1279=""),"",SUMPRODUCT(MAX(($B$6:$B$2005=B1279)*($A$6:$A$2005&lt;A1279)*$A$6:$A$2005)))</f>
        <v/>
      </c>
      <c r="F1279" s="41">
        <f>IF(OR(E1279="",E1279=0),"",IFERROR(AVERAGEIFS($C$6:$C$2005,$B$6:$B$2005,B1279,$A$6:$A$2005,E1279),""))</f>
        <v/>
      </c>
      <c r="G1279" s="34">
        <f>IF(F1279="","",A1279-E1279)</f>
        <v/>
      </c>
      <c r="H1279" s="42">
        <f>IF(OR(F1279="",C1279=""),"",IFERROR((C1279-F1279)/G1279,""))</f>
        <v/>
      </c>
      <c r="I1279" s="39">
        <f>IF(B1279="","",IFERROR(INDEX('Animais'!$M$6:$M$1005,MATCH(B1279,'Animais'!$A$6:$A$1005,0)),"Brinco não cadastrado"))</f>
        <v/>
      </c>
    </row>
    <row r="1280">
      <c r="A1280" s="31" t="n"/>
      <c r="B1280" s="36" t="n"/>
      <c r="C1280" s="38" t="n"/>
      <c r="D1280" s="32" t="n"/>
      <c r="E1280" s="43">
        <f>IF(OR(A1280="",B1280=""),"",SUMPRODUCT(MAX(($B$6:$B$2005=B1280)*($A$6:$A$2005&lt;A1280)*$A$6:$A$2005)))</f>
        <v/>
      </c>
      <c r="F1280" s="41">
        <f>IF(OR(E1280="",E1280=0),"",IFERROR(AVERAGEIFS($C$6:$C$2005,$B$6:$B$2005,B1280,$A$6:$A$2005,E1280),""))</f>
        <v/>
      </c>
      <c r="G1280" s="34">
        <f>IF(F1280="","",A1280-E1280)</f>
        <v/>
      </c>
      <c r="H1280" s="42">
        <f>IF(OR(F1280="",C1280=""),"",IFERROR((C1280-F1280)/G1280,""))</f>
        <v/>
      </c>
      <c r="I1280" s="39">
        <f>IF(B1280="","",IFERROR(INDEX('Animais'!$M$6:$M$1005,MATCH(B1280,'Animais'!$A$6:$A$1005,0)),"Brinco não cadastrado"))</f>
        <v/>
      </c>
    </row>
    <row r="1281">
      <c r="A1281" s="31" t="n"/>
      <c r="B1281" s="36" t="n"/>
      <c r="C1281" s="38" t="n"/>
      <c r="D1281" s="32" t="n"/>
      <c r="E1281" s="43">
        <f>IF(OR(A1281="",B1281=""),"",SUMPRODUCT(MAX(($B$6:$B$2005=B1281)*($A$6:$A$2005&lt;A1281)*$A$6:$A$2005)))</f>
        <v/>
      </c>
      <c r="F1281" s="41">
        <f>IF(OR(E1281="",E1281=0),"",IFERROR(AVERAGEIFS($C$6:$C$2005,$B$6:$B$2005,B1281,$A$6:$A$2005,E1281),""))</f>
        <v/>
      </c>
      <c r="G1281" s="34">
        <f>IF(F1281="","",A1281-E1281)</f>
        <v/>
      </c>
      <c r="H1281" s="42">
        <f>IF(OR(F1281="",C1281=""),"",IFERROR((C1281-F1281)/G1281,""))</f>
        <v/>
      </c>
      <c r="I1281" s="39">
        <f>IF(B1281="","",IFERROR(INDEX('Animais'!$M$6:$M$1005,MATCH(B1281,'Animais'!$A$6:$A$1005,0)),"Brinco não cadastrado"))</f>
        <v/>
      </c>
    </row>
    <row r="1282">
      <c r="A1282" s="31" t="n"/>
      <c r="B1282" s="36" t="n"/>
      <c r="C1282" s="38" t="n"/>
      <c r="D1282" s="32" t="n"/>
      <c r="E1282" s="43">
        <f>IF(OR(A1282="",B1282=""),"",SUMPRODUCT(MAX(($B$6:$B$2005=B1282)*($A$6:$A$2005&lt;A1282)*$A$6:$A$2005)))</f>
        <v/>
      </c>
      <c r="F1282" s="41">
        <f>IF(OR(E1282="",E1282=0),"",IFERROR(AVERAGEIFS($C$6:$C$2005,$B$6:$B$2005,B1282,$A$6:$A$2005,E1282),""))</f>
        <v/>
      </c>
      <c r="G1282" s="34">
        <f>IF(F1282="","",A1282-E1282)</f>
        <v/>
      </c>
      <c r="H1282" s="42">
        <f>IF(OR(F1282="",C1282=""),"",IFERROR((C1282-F1282)/G1282,""))</f>
        <v/>
      </c>
      <c r="I1282" s="39">
        <f>IF(B1282="","",IFERROR(INDEX('Animais'!$M$6:$M$1005,MATCH(B1282,'Animais'!$A$6:$A$1005,0)),"Brinco não cadastrado"))</f>
        <v/>
      </c>
    </row>
    <row r="1283">
      <c r="A1283" s="31" t="n"/>
      <c r="B1283" s="36" t="n"/>
      <c r="C1283" s="38" t="n"/>
      <c r="D1283" s="32" t="n"/>
      <c r="E1283" s="43">
        <f>IF(OR(A1283="",B1283=""),"",SUMPRODUCT(MAX(($B$6:$B$2005=B1283)*($A$6:$A$2005&lt;A1283)*$A$6:$A$2005)))</f>
        <v/>
      </c>
      <c r="F1283" s="41">
        <f>IF(OR(E1283="",E1283=0),"",IFERROR(AVERAGEIFS($C$6:$C$2005,$B$6:$B$2005,B1283,$A$6:$A$2005,E1283),""))</f>
        <v/>
      </c>
      <c r="G1283" s="34">
        <f>IF(F1283="","",A1283-E1283)</f>
        <v/>
      </c>
      <c r="H1283" s="42">
        <f>IF(OR(F1283="",C1283=""),"",IFERROR((C1283-F1283)/G1283,""))</f>
        <v/>
      </c>
      <c r="I1283" s="39">
        <f>IF(B1283="","",IFERROR(INDEX('Animais'!$M$6:$M$1005,MATCH(B1283,'Animais'!$A$6:$A$1005,0)),"Brinco não cadastrado"))</f>
        <v/>
      </c>
    </row>
    <row r="1284">
      <c r="A1284" s="31" t="n"/>
      <c r="B1284" s="36" t="n"/>
      <c r="C1284" s="38" t="n"/>
      <c r="D1284" s="32" t="n"/>
      <c r="E1284" s="43">
        <f>IF(OR(A1284="",B1284=""),"",SUMPRODUCT(MAX(($B$6:$B$2005=B1284)*($A$6:$A$2005&lt;A1284)*$A$6:$A$2005)))</f>
        <v/>
      </c>
      <c r="F1284" s="41">
        <f>IF(OR(E1284="",E1284=0),"",IFERROR(AVERAGEIFS($C$6:$C$2005,$B$6:$B$2005,B1284,$A$6:$A$2005,E1284),""))</f>
        <v/>
      </c>
      <c r="G1284" s="34">
        <f>IF(F1284="","",A1284-E1284)</f>
        <v/>
      </c>
      <c r="H1284" s="42">
        <f>IF(OR(F1284="",C1284=""),"",IFERROR((C1284-F1284)/G1284,""))</f>
        <v/>
      </c>
      <c r="I1284" s="39">
        <f>IF(B1284="","",IFERROR(INDEX('Animais'!$M$6:$M$1005,MATCH(B1284,'Animais'!$A$6:$A$1005,0)),"Brinco não cadastrado"))</f>
        <v/>
      </c>
    </row>
    <row r="1285">
      <c r="A1285" s="31" t="n"/>
      <c r="B1285" s="36" t="n"/>
      <c r="C1285" s="38" t="n"/>
      <c r="D1285" s="32" t="n"/>
      <c r="E1285" s="43">
        <f>IF(OR(A1285="",B1285=""),"",SUMPRODUCT(MAX(($B$6:$B$2005=B1285)*($A$6:$A$2005&lt;A1285)*$A$6:$A$2005)))</f>
        <v/>
      </c>
      <c r="F1285" s="41">
        <f>IF(OR(E1285="",E1285=0),"",IFERROR(AVERAGEIFS($C$6:$C$2005,$B$6:$B$2005,B1285,$A$6:$A$2005,E1285),""))</f>
        <v/>
      </c>
      <c r="G1285" s="34">
        <f>IF(F1285="","",A1285-E1285)</f>
        <v/>
      </c>
      <c r="H1285" s="42">
        <f>IF(OR(F1285="",C1285=""),"",IFERROR((C1285-F1285)/G1285,""))</f>
        <v/>
      </c>
      <c r="I1285" s="39">
        <f>IF(B1285="","",IFERROR(INDEX('Animais'!$M$6:$M$1005,MATCH(B1285,'Animais'!$A$6:$A$1005,0)),"Brinco não cadastrado"))</f>
        <v/>
      </c>
    </row>
    <row r="1286">
      <c r="A1286" s="31" t="n"/>
      <c r="B1286" s="36" t="n"/>
      <c r="C1286" s="38" t="n"/>
      <c r="D1286" s="32" t="n"/>
      <c r="E1286" s="43">
        <f>IF(OR(A1286="",B1286=""),"",SUMPRODUCT(MAX(($B$6:$B$2005=B1286)*($A$6:$A$2005&lt;A1286)*$A$6:$A$2005)))</f>
        <v/>
      </c>
      <c r="F1286" s="41">
        <f>IF(OR(E1286="",E1286=0),"",IFERROR(AVERAGEIFS($C$6:$C$2005,$B$6:$B$2005,B1286,$A$6:$A$2005,E1286),""))</f>
        <v/>
      </c>
      <c r="G1286" s="34">
        <f>IF(F1286="","",A1286-E1286)</f>
        <v/>
      </c>
      <c r="H1286" s="42">
        <f>IF(OR(F1286="",C1286=""),"",IFERROR((C1286-F1286)/G1286,""))</f>
        <v/>
      </c>
      <c r="I1286" s="39">
        <f>IF(B1286="","",IFERROR(INDEX('Animais'!$M$6:$M$1005,MATCH(B1286,'Animais'!$A$6:$A$1005,0)),"Brinco não cadastrado"))</f>
        <v/>
      </c>
    </row>
    <row r="1287">
      <c r="A1287" s="31" t="n"/>
      <c r="B1287" s="36" t="n"/>
      <c r="C1287" s="38" t="n"/>
      <c r="D1287" s="32" t="n"/>
      <c r="E1287" s="43">
        <f>IF(OR(A1287="",B1287=""),"",SUMPRODUCT(MAX(($B$6:$B$2005=B1287)*($A$6:$A$2005&lt;A1287)*$A$6:$A$2005)))</f>
        <v/>
      </c>
      <c r="F1287" s="41">
        <f>IF(OR(E1287="",E1287=0),"",IFERROR(AVERAGEIFS($C$6:$C$2005,$B$6:$B$2005,B1287,$A$6:$A$2005,E1287),""))</f>
        <v/>
      </c>
      <c r="G1287" s="34">
        <f>IF(F1287="","",A1287-E1287)</f>
        <v/>
      </c>
      <c r="H1287" s="42">
        <f>IF(OR(F1287="",C1287=""),"",IFERROR((C1287-F1287)/G1287,""))</f>
        <v/>
      </c>
      <c r="I1287" s="39">
        <f>IF(B1287="","",IFERROR(INDEX('Animais'!$M$6:$M$1005,MATCH(B1287,'Animais'!$A$6:$A$1005,0)),"Brinco não cadastrado"))</f>
        <v/>
      </c>
    </row>
    <row r="1288">
      <c r="A1288" s="31" t="n"/>
      <c r="B1288" s="36" t="n"/>
      <c r="C1288" s="38" t="n"/>
      <c r="D1288" s="32" t="n"/>
      <c r="E1288" s="43">
        <f>IF(OR(A1288="",B1288=""),"",SUMPRODUCT(MAX(($B$6:$B$2005=B1288)*($A$6:$A$2005&lt;A1288)*$A$6:$A$2005)))</f>
        <v/>
      </c>
      <c r="F1288" s="41">
        <f>IF(OR(E1288="",E1288=0),"",IFERROR(AVERAGEIFS($C$6:$C$2005,$B$6:$B$2005,B1288,$A$6:$A$2005,E1288),""))</f>
        <v/>
      </c>
      <c r="G1288" s="34">
        <f>IF(F1288="","",A1288-E1288)</f>
        <v/>
      </c>
      <c r="H1288" s="42">
        <f>IF(OR(F1288="",C1288=""),"",IFERROR((C1288-F1288)/G1288,""))</f>
        <v/>
      </c>
      <c r="I1288" s="39">
        <f>IF(B1288="","",IFERROR(INDEX('Animais'!$M$6:$M$1005,MATCH(B1288,'Animais'!$A$6:$A$1005,0)),"Brinco não cadastrado"))</f>
        <v/>
      </c>
    </row>
    <row r="1289">
      <c r="A1289" s="31" t="n"/>
      <c r="B1289" s="36" t="n"/>
      <c r="C1289" s="38" t="n"/>
      <c r="D1289" s="32" t="n"/>
      <c r="E1289" s="43">
        <f>IF(OR(A1289="",B1289=""),"",SUMPRODUCT(MAX(($B$6:$B$2005=B1289)*($A$6:$A$2005&lt;A1289)*$A$6:$A$2005)))</f>
        <v/>
      </c>
      <c r="F1289" s="41">
        <f>IF(OR(E1289="",E1289=0),"",IFERROR(AVERAGEIFS($C$6:$C$2005,$B$6:$B$2005,B1289,$A$6:$A$2005,E1289),""))</f>
        <v/>
      </c>
      <c r="G1289" s="34">
        <f>IF(F1289="","",A1289-E1289)</f>
        <v/>
      </c>
      <c r="H1289" s="42">
        <f>IF(OR(F1289="",C1289=""),"",IFERROR((C1289-F1289)/G1289,""))</f>
        <v/>
      </c>
      <c r="I1289" s="39">
        <f>IF(B1289="","",IFERROR(INDEX('Animais'!$M$6:$M$1005,MATCH(B1289,'Animais'!$A$6:$A$1005,0)),"Brinco não cadastrado"))</f>
        <v/>
      </c>
    </row>
    <row r="1290">
      <c r="A1290" s="31" t="n"/>
      <c r="B1290" s="36" t="n"/>
      <c r="C1290" s="38" t="n"/>
      <c r="D1290" s="32" t="n"/>
      <c r="E1290" s="43">
        <f>IF(OR(A1290="",B1290=""),"",SUMPRODUCT(MAX(($B$6:$B$2005=B1290)*($A$6:$A$2005&lt;A1290)*$A$6:$A$2005)))</f>
        <v/>
      </c>
      <c r="F1290" s="41">
        <f>IF(OR(E1290="",E1290=0),"",IFERROR(AVERAGEIFS($C$6:$C$2005,$B$6:$B$2005,B1290,$A$6:$A$2005,E1290),""))</f>
        <v/>
      </c>
      <c r="G1290" s="34">
        <f>IF(F1290="","",A1290-E1290)</f>
        <v/>
      </c>
      <c r="H1290" s="42">
        <f>IF(OR(F1290="",C1290=""),"",IFERROR((C1290-F1290)/G1290,""))</f>
        <v/>
      </c>
      <c r="I1290" s="39">
        <f>IF(B1290="","",IFERROR(INDEX('Animais'!$M$6:$M$1005,MATCH(B1290,'Animais'!$A$6:$A$1005,0)),"Brinco não cadastrado"))</f>
        <v/>
      </c>
    </row>
    <row r="1291">
      <c r="A1291" s="31" t="n"/>
      <c r="B1291" s="36" t="n"/>
      <c r="C1291" s="38" t="n"/>
      <c r="D1291" s="32" t="n"/>
      <c r="E1291" s="43">
        <f>IF(OR(A1291="",B1291=""),"",SUMPRODUCT(MAX(($B$6:$B$2005=B1291)*($A$6:$A$2005&lt;A1291)*$A$6:$A$2005)))</f>
        <v/>
      </c>
      <c r="F1291" s="41">
        <f>IF(OR(E1291="",E1291=0),"",IFERROR(AVERAGEIFS($C$6:$C$2005,$B$6:$B$2005,B1291,$A$6:$A$2005,E1291),""))</f>
        <v/>
      </c>
      <c r="G1291" s="34">
        <f>IF(F1291="","",A1291-E1291)</f>
        <v/>
      </c>
      <c r="H1291" s="42">
        <f>IF(OR(F1291="",C1291=""),"",IFERROR((C1291-F1291)/G1291,""))</f>
        <v/>
      </c>
      <c r="I1291" s="39">
        <f>IF(B1291="","",IFERROR(INDEX('Animais'!$M$6:$M$1005,MATCH(B1291,'Animais'!$A$6:$A$1005,0)),"Brinco não cadastrado"))</f>
        <v/>
      </c>
    </row>
    <row r="1292">
      <c r="A1292" s="31" t="n"/>
      <c r="B1292" s="36" t="n"/>
      <c r="C1292" s="38" t="n"/>
      <c r="D1292" s="32" t="n"/>
      <c r="E1292" s="43">
        <f>IF(OR(A1292="",B1292=""),"",SUMPRODUCT(MAX(($B$6:$B$2005=B1292)*($A$6:$A$2005&lt;A1292)*$A$6:$A$2005)))</f>
        <v/>
      </c>
      <c r="F1292" s="41">
        <f>IF(OR(E1292="",E1292=0),"",IFERROR(AVERAGEIFS($C$6:$C$2005,$B$6:$B$2005,B1292,$A$6:$A$2005,E1292),""))</f>
        <v/>
      </c>
      <c r="G1292" s="34">
        <f>IF(F1292="","",A1292-E1292)</f>
        <v/>
      </c>
      <c r="H1292" s="42">
        <f>IF(OR(F1292="",C1292=""),"",IFERROR((C1292-F1292)/G1292,""))</f>
        <v/>
      </c>
      <c r="I1292" s="39">
        <f>IF(B1292="","",IFERROR(INDEX('Animais'!$M$6:$M$1005,MATCH(B1292,'Animais'!$A$6:$A$1005,0)),"Brinco não cadastrado"))</f>
        <v/>
      </c>
    </row>
    <row r="1293">
      <c r="A1293" s="31" t="n"/>
      <c r="B1293" s="36" t="n"/>
      <c r="C1293" s="38" t="n"/>
      <c r="D1293" s="32" t="n"/>
      <c r="E1293" s="43">
        <f>IF(OR(A1293="",B1293=""),"",SUMPRODUCT(MAX(($B$6:$B$2005=B1293)*($A$6:$A$2005&lt;A1293)*$A$6:$A$2005)))</f>
        <v/>
      </c>
      <c r="F1293" s="41">
        <f>IF(OR(E1293="",E1293=0),"",IFERROR(AVERAGEIFS($C$6:$C$2005,$B$6:$B$2005,B1293,$A$6:$A$2005,E1293),""))</f>
        <v/>
      </c>
      <c r="G1293" s="34">
        <f>IF(F1293="","",A1293-E1293)</f>
        <v/>
      </c>
      <c r="H1293" s="42">
        <f>IF(OR(F1293="",C1293=""),"",IFERROR((C1293-F1293)/G1293,""))</f>
        <v/>
      </c>
      <c r="I1293" s="39">
        <f>IF(B1293="","",IFERROR(INDEX('Animais'!$M$6:$M$1005,MATCH(B1293,'Animais'!$A$6:$A$1005,0)),"Brinco não cadastrado"))</f>
        <v/>
      </c>
    </row>
    <row r="1294">
      <c r="A1294" s="31" t="n"/>
      <c r="B1294" s="36" t="n"/>
      <c r="C1294" s="38" t="n"/>
      <c r="D1294" s="32" t="n"/>
      <c r="E1294" s="43">
        <f>IF(OR(A1294="",B1294=""),"",SUMPRODUCT(MAX(($B$6:$B$2005=B1294)*($A$6:$A$2005&lt;A1294)*$A$6:$A$2005)))</f>
        <v/>
      </c>
      <c r="F1294" s="41">
        <f>IF(OR(E1294="",E1294=0),"",IFERROR(AVERAGEIFS($C$6:$C$2005,$B$6:$B$2005,B1294,$A$6:$A$2005,E1294),""))</f>
        <v/>
      </c>
      <c r="G1294" s="34">
        <f>IF(F1294="","",A1294-E1294)</f>
        <v/>
      </c>
      <c r="H1294" s="42">
        <f>IF(OR(F1294="",C1294=""),"",IFERROR((C1294-F1294)/G1294,""))</f>
        <v/>
      </c>
      <c r="I1294" s="39">
        <f>IF(B1294="","",IFERROR(INDEX('Animais'!$M$6:$M$1005,MATCH(B1294,'Animais'!$A$6:$A$1005,0)),"Brinco não cadastrado"))</f>
        <v/>
      </c>
    </row>
    <row r="1295">
      <c r="A1295" s="31" t="n"/>
      <c r="B1295" s="36" t="n"/>
      <c r="C1295" s="38" t="n"/>
      <c r="D1295" s="32" t="n"/>
      <c r="E1295" s="43">
        <f>IF(OR(A1295="",B1295=""),"",SUMPRODUCT(MAX(($B$6:$B$2005=B1295)*($A$6:$A$2005&lt;A1295)*$A$6:$A$2005)))</f>
        <v/>
      </c>
      <c r="F1295" s="41">
        <f>IF(OR(E1295="",E1295=0),"",IFERROR(AVERAGEIFS($C$6:$C$2005,$B$6:$B$2005,B1295,$A$6:$A$2005,E1295),""))</f>
        <v/>
      </c>
      <c r="G1295" s="34">
        <f>IF(F1295="","",A1295-E1295)</f>
        <v/>
      </c>
      <c r="H1295" s="42">
        <f>IF(OR(F1295="",C1295=""),"",IFERROR((C1295-F1295)/G1295,""))</f>
        <v/>
      </c>
      <c r="I1295" s="39">
        <f>IF(B1295="","",IFERROR(INDEX('Animais'!$M$6:$M$1005,MATCH(B1295,'Animais'!$A$6:$A$1005,0)),"Brinco não cadastrado"))</f>
        <v/>
      </c>
    </row>
    <row r="1296">
      <c r="A1296" s="31" t="n"/>
      <c r="B1296" s="36" t="n"/>
      <c r="C1296" s="38" t="n"/>
      <c r="D1296" s="32" t="n"/>
      <c r="E1296" s="43">
        <f>IF(OR(A1296="",B1296=""),"",SUMPRODUCT(MAX(($B$6:$B$2005=B1296)*($A$6:$A$2005&lt;A1296)*$A$6:$A$2005)))</f>
        <v/>
      </c>
      <c r="F1296" s="41">
        <f>IF(OR(E1296="",E1296=0),"",IFERROR(AVERAGEIFS($C$6:$C$2005,$B$6:$B$2005,B1296,$A$6:$A$2005,E1296),""))</f>
        <v/>
      </c>
      <c r="G1296" s="34">
        <f>IF(F1296="","",A1296-E1296)</f>
        <v/>
      </c>
      <c r="H1296" s="42">
        <f>IF(OR(F1296="",C1296=""),"",IFERROR((C1296-F1296)/G1296,""))</f>
        <v/>
      </c>
      <c r="I1296" s="39">
        <f>IF(B1296="","",IFERROR(INDEX('Animais'!$M$6:$M$1005,MATCH(B1296,'Animais'!$A$6:$A$1005,0)),"Brinco não cadastrado"))</f>
        <v/>
      </c>
    </row>
    <row r="1297">
      <c r="A1297" s="31" t="n"/>
      <c r="B1297" s="36" t="n"/>
      <c r="C1297" s="38" t="n"/>
      <c r="D1297" s="32" t="n"/>
      <c r="E1297" s="43">
        <f>IF(OR(A1297="",B1297=""),"",SUMPRODUCT(MAX(($B$6:$B$2005=B1297)*($A$6:$A$2005&lt;A1297)*$A$6:$A$2005)))</f>
        <v/>
      </c>
      <c r="F1297" s="41">
        <f>IF(OR(E1297="",E1297=0),"",IFERROR(AVERAGEIFS($C$6:$C$2005,$B$6:$B$2005,B1297,$A$6:$A$2005,E1297),""))</f>
        <v/>
      </c>
      <c r="G1297" s="34">
        <f>IF(F1297="","",A1297-E1297)</f>
        <v/>
      </c>
      <c r="H1297" s="42">
        <f>IF(OR(F1297="",C1297=""),"",IFERROR((C1297-F1297)/G1297,""))</f>
        <v/>
      </c>
      <c r="I1297" s="39">
        <f>IF(B1297="","",IFERROR(INDEX('Animais'!$M$6:$M$1005,MATCH(B1297,'Animais'!$A$6:$A$1005,0)),"Brinco não cadastrado"))</f>
        <v/>
      </c>
    </row>
    <row r="1298">
      <c r="A1298" s="31" t="n"/>
      <c r="B1298" s="36" t="n"/>
      <c r="C1298" s="38" t="n"/>
      <c r="D1298" s="32" t="n"/>
      <c r="E1298" s="43">
        <f>IF(OR(A1298="",B1298=""),"",SUMPRODUCT(MAX(($B$6:$B$2005=B1298)*($A$6:$A$2005&lt;A1298)*$A$6:$A$2005)))</f>
        <v/>
      </c>
      <c r="F1298" s="41">
        <f>IF(OR(E1298="",E1298=0),"",IFERROR(AVERAGEIFS($C$6:$C$2005,$B$6:$B$2005,B1298,$A$6:$A$2005,E1298),""))</f>
        <v/>
      </c>
      <c r="G1298" s="34">
        <f>IF(F1298="","",A1298-E1298)</f>
        <v/>
      </c>
      <c r="H1298" s="42">
        <f>IF(OR(F1298="",C1298=""),"",IFERROR((C1298-F1298)/G1298,""))</f>
        <v/>
      </c>
      <c r="I1298" s="39">
        <f>IF(B1298="","",IFERROR(INDEX('Animais'!$M$6:$M$1005,MATCH(B1298,'Animais'!$A$6:$A$1005,0)),"Brinco não cadastrado"))</f>
        <v/>
      </c>
    </row>
    <row r="1299">
      <c r="A1299" s="31" t="n"/>
      <c r="B1299" s="36" t="n"/>
      <c r="C1299" s="38" t="n"/>
      <c r="D1299" s="32" t="n"/>
      <c r="E1299" s="43">
        <f>IF(OR(A1299="",B1299=""),"",SUMPRODUCT(MAX(($B$6:$B$2005=B1299)*($A$6:$A$2005&lt;A1299)*$A$6:$A$2005)))</f>
        <v/>
      </c>
      <c r="F1299" s="41">
        <f>IF(OR(E1299="",E1299=0),"",IFERROR(AVERAGEIFS($C$6:$C$2005,$B$6:$B$2005,B1299,$A$6:$A$2005,E1299),""))</f>
        <v/>
      </c>
      <c r="G1299" s="34">
        <f>IF(F1299="","",A1299-E1299)</f>
        <v/>
      </c>
      <c r="H1299" s="42">
        <f>IF(OR(F1299="",C1299=""),"",IFERROR((C1299-F1299)/G1299,""))</f>
        <v/>
      </c>
      <c r="I1299" s="39">
        <f>IF(B1299="","",IFERROR(INDEX('Animais'!$M$6:$M$1005,MATCH(B1299,'Animais'!$A$6:$A$1005,0)),"Brinco não cadastrado"))</f>
        <v/>
      </c>
    </row>
    <row r="1300">
      <c r="A1300" s="31" t="n"/>
      <c r="B1300" s="36" t="n"/>
      <c r="C1300" s="38" t="n"/>
      <c r="D1300" s="32" t="n"/>
      <c r="E1300" s="43">
        <f>IF(OR(A1300="",B1300=""),"",SUMPRODUCT(MAX(($B$6:$B$2005=B1300)*($A$6:$A$2005&lt;A1300)*$A$6:$A$2005)))</f>
        <v/>
      </c>
      <c r="F1300" s="41">
        <f>IF(OR(E1300="",E1300=0),"",IFERROR(AVERAGEIFS($C$6:$C$2005,$B$6:$B$2005,B1300,$A$6:$A$2005,E1300),""))</f>
        <v/>
      </c>
      <c r="G1300" s="34">
        <f>IF(F1300="","",A1300-E1300)</f>
        <v/>
      </c>
      <c r="H1300" s="42">
        <f>IF(OR(F1300="",C1300=""),"",IFERROR((C1300-F1300)/G1300,""))</f>
        <v/>
      </c>
      <c r="I1300" s="39">
        <f>IF(B1300="","",IFERROR(INDEX('Animais'!$M$6:$M$1005,MATCH(B1300,'Animais'!$A$6:$A$1005,0)),"Brinco não cadastrado"))</f>
        <v/>
      </c>
    </row>
    <row r="1301">
      <c r="A1301" s="31" t="n"/>
      <c r="B1301" s="36" t="n"/>
      <c r="C1301" s="38" t="n"/>
      <c r="D1301" s="32" t="n"/>
      <c r="E1301" s="43">
        <f>IF(OR(A1301="",B1301=""),"",SUMPRODUCT(MAX(($B$6:$B$2005=B1301)*($A$6:$A$2005&lt;A1301)*$A$6:$A$2005)))</f>
        <v/>
      </c>
      <c r="F1301" s="41">
        <f>IF(OR(E1301="",E1301=0),"",IFERROR(AVERAGEIFS($C$6:$C$2005,$B$6:$B$2005,B1301,$A$6:$A$2005,E1301),""))</f>
        <v/>
      </c>
      <c r="G1301" s="34">
        <f>IF(F1301="","",A1301-E1301)</f>
        <v/>
      </c>
      <c r="H1301" s="42">
        <f>IF(OR(F1301="",C1301=""),"",IFERROR((C1301-F1301)/G1301,""))</f>
        <v/>
      </c>
      <c r="I1301" s="39">
        <f>IF(B1301="","",IFERROR(INDEX('Animais'!$M$6:$M$1005,MATCH(B1301,'Animais'!$A$6:$A$1005,0)),"Brinco não cadastrado"))</f>
        <v/>
      </c>
    </row>
    <row r="1302">
      <c r="A1302" s="31" t="n"/>
      <c r="B1302" s="36" t="n"/>
      <c r="C1302" s="38" t="n"/>
      <c r="D1302" s="32" t="n"/>
      <c r="E1302" s="43">
        <f>IF(OR(A1302="",B1302=""),"",SUMPRODUCT(MAX(($B$6:$B$2005=B1302)*($A$6:$A$2005&lt;A1302)*$A$6:$A$2005)))</f>
        <v/>
      </c>
      <c r="F1302" s="41">
        <f>IF(OR(E1302="",E1302=0),"",IFERROR(AVERAGEIFS($C$6:$C$2005,$B$6:$B$2005,B1302,$A$6:$A$2005,E1302),""))</f>
        <v/>
      </c>
      <c r="G1302" s="34">
        <f>IF(F1302="","",A1302-E1302)</f>
        <v/>
      </c>
      <c r="H1302" s="42">
        <f>IF(OR(F1302="",C1302=""),"",IFERROR((C1302-F1302)/G1302,""))</f>
        <v/>
      </c>
      <c r="I1302" s="39">
        <f>IF(B1302="","",IFERROR(INDEX('Animais'!$M$6:$M$1005,MATCH(B1302,'Animais'!$A$6:$A$1005,0)),"Brinco não cadastrado"))</f>
        <v/>
      </c>
    </row>
    <row r="1303">
      <c r="A1303" s="31" t="n"/>
      <c r="B1303" s="36" t="n"/>
      <c r="C1303" s="38" t="n"/>
      <c r="D1303" s="32" t="n"/>
      <c r="E1303" s="43">
        <f>IF(OR(A1303="",B1303=""),"",SUMPRODUCT(MAX(($B$6:$B$2005=B1303)*($A$6:$A$2005&lt;A1303)*$A$6:$A$2005)))</f>
        <v/>
      </c>
      <c r="F1303" s="41">
        <f>IF(OR(E1303="",E1303=0),"",IFERROR(AVERAGEIFS($C$6:$C$2005,$B$6:$B$2005,B1303,$A$6:$A$2005,E1303),""))</f>
        <v/>
      </c>
      <c r="G1303" s="34">
        <f>IF(F1303="","",A1303-E1303)</f>
        <v/>
      </c>
      <c r="H1303" s="42">
        <f>IF(OR(F1303="",C1303=""),"",IFERROR((C1303-F1303)/G1303,""))</f>
        <v/>
      </c>
      <c r="I1303" s="39">
        <f>IF(B1303="","",IFERROR(INDEX('Animais'!$M$6:$M$1005,MATCH(B1303,'Animais'!$A$6:$A$1005,0)),"Brinco não cadastrado"))</f>
        <v/>
      </c>
    </row>
    <row r="1304">
      <c r="A1304" s="31" t="n"/>
      <c r="B1304" s="36" t="n"/>
      <c r="C1304" s="38" t="n"/>
      <c r="D1304" s="32" t="n"/>
      <c r="E1304" s="43">
        <f>IF(OR(A1304="",B1304=""),"",SUMPRODUCT(MAX(($B$6:$B$2005=B1304)*($A$6:$A$2005&lt;A1304)*$A$6:$A$2005)))</f>
        <v/>
      </c>
      <c r="F1304" s="41">
        <f>IF(OR(E1304="",E1304=0),"",IFERROR(AVERAGEIFS($C$6:$C$2005,$B$6:$B$2005,B1304,$A$6:$A$2005,E1304),""))</f>
        <v/>
      </c>
      <c r="G1304" s="34">
        <f>IF(F1304="","",A1304-E1304)</f>
        <v/>
      </c>
      <c r="H1304" s="42">
        <f>IF(OR(F1304="",C1304=""),"",IFERROR((C1304-F1304)/G1304,""))</f>
        <v/>
      </c>
      <c r="I1304" s="39">
        <f>IF(B1304="","",IFERROR(INDEX('Animais'!$M$6:$M$1005,MATCH(B1304,'Animais'!$A$6:$A$1005,0)),"Brinco não cadastrado"))</f>
        <v/>
      </c>
    </row>
    <row r="1305">
      <c r="A1305" s="31" t="n"/>
      <c r="B1305" s="36" t="n"/>
      <c r="C1305" s="38" t="n"/>
      <c r="D1305" s="32" t="n"/>
      <c r="E1305" s="43">
        <f>IF(OR(A1305="",B1305=""),"",SUMPRODUCT(MAX(($B$6:$B$2005=B1305)*($A$6:$A$2005&lt;A1305)*$A$6:$A$2005)))</f>
        <v/>
      </c>
      <c r="F1305" s="41">
        <f>IF(OR(E1305="",E1305=0),"",IFERROR(AVERAGEIFS($C$6:$C$2005,$B$6:$B$2005,B1305,$A$6:$A$2005,E1305),""))</f>
        <v/>
      </c>
      <c r="G1305" s="34">
        <f>IF(F1305="","",A1305-E1305)</f>
        <v/>
      </c>
      <c r="H1305" s="42">
        <f>IF(OR(F1305="",C1305=""),"",IFERROR((C1305-F1305)/G1305,""))</f>
        <v/>
      </c>
      <c r="I1305" s="39">
        <f>IF(B1305="","",IFERROR(INDEX('Animais'!$M$6:$M$1005,MATCH(B1305,'Animais'!$A$6:$A$1005,0)),"Brinco não cadastrado"))</f>
        <v/>
      </c>
    </row>
    <row r="1306">
      <c r="A1306" s="31" t="n"/>
      <c r="B1306" s="36" t="n"/>
      <c r="C1306" s="38" t="n"/>
      <c r="D1306" s="32" t="n"/>
      <c r="E1306" s="43">
        <f>IF(OR(A1306="",B1306=""),"",SUMPRODUCT(MAX(($B$6:$B$2005=B1306)*($A$6:$A$2005&lt;A1306)*$A$6:$A$2005)))</f>
        <v/>
      </c>
      <c r="F1306" s="41">
        <f>IF(OR(E1306="",E1306=0),"",IFERROR(AVERAGEIFS($C$6:$C$2005,$B$6:$B$2005,B1306,$A$6:$A$2005,E1306),""))</f>
        <v/>
      </c>
      <c r="G1306" s="34">
        <f>IF(F1306="","",A1306-E1306)</f>
        <v/>
      </c>
      <c r="H1306" s="42">
        <f>IF(OR(F1306="",C1306=""),"",IFERROR((C1306-F1306)/G1306,""))</f>
        <v/>
      </c>
      <c r="I1306" s="39">
        <f>IF(B1306="","",IFERROR(INDEX('Animais'!$M$6:$M$1005,MATCH(B1306,'Animais'!$A$6:$A$1005,0)),"Brinco não cadastrado"))</f>
        <v/>
      </c>
    </row>
    <row r="1307">
      <c r="A1307" s="31" t="n"/>
      <c r="B1307" s="36" t="n"/>
      <c r="C1307" s="38" t="n"/>
      <c r="D1307" s="32" t="n"/>
      <c r="E1307" s="43">
        <f>IF(OR(A1307="",B1307=""),"",SUMPRODUCT(MAX(($B$6:$B$2005=B1307)*($A$6:$A$2005&lt;A1307)*$A$6:$A$2005)))</f>
        <v/>
      </c>
      <c r="F1307" s="41">
        <f>IF(OR(E1307="",E1307=0),"",IFERROR(AVERAGEIFS($C$6:$C$2005,$B$6:$B$2005,B1307,$A$6:$A$2005,E1307),""))</f>
        <v/>
      </c>
      <c r="G1307" s="34">
        <f>IF(F1307="","",A1307-E1307)</f>
        <v/>
      </c>
      <c r="H1307" s="42">
        <f>IF(OR(F1307="",C1307=""),"",IFERROR((C1307-F1307)/G1307,""))</f>
        <v/>
      </c>
      <c r="I1307" s="39">
        <f>IF(B1307="","",IFERROR(INDEX('Animais'!$M$6:$M$1005,MATCH(B1307,'Animais'!$A$6:$A$1005,0)),"Brinco não cadastrado"))</f>
        <v/>
      </c>
    </row>
    <row r="1308">
      <c r="A1308" s="31" t="n"/>
      <c r="B1308" s="36" t="n"/>
      <c r="C1308" s="38" t="n"/>
      <c r="D1308" s="32" t="n"/>
      <c r="E1308" s="43">
        <f>IF(OR(A1308="",B1308=""),"",SUMPRODUCT(MAX(($B$6:$B$2005=B1308)*($A$6:$A$2005&lt;A1308)*$A$6:$A$2005)))</f>
        <v/>
      </c>
      <c r="F1308" s="41">
        <f>IF(OR(E1308="",E1308=0),"",IFERROR(AVERAGEIFS($C$6:$C$2005,$B$6:$B$2005,B1308,$A$6:$A$2005,E1308),""))</f>
        <v/>
      </c>
      <c r="G1308" s="34">
        <f>IF(F1308="","",A1308-E1308)</f>
        <v/>
      </c>
      <c r="H1308" s="42">
        <f>IF(OR(F1308="",C1308=""),"",IFERROR((C1308-F1308)/G1308,""))</f>
        <v/>
      </c>
      <c r="I1308" s="39">
        <f>IF(B1308="","",IFERROR(INDEX('Animais'!$M$6:$M$1005,MATCH(B1308,'Animais'!$A$6:$A$1005,0)),"Brinco não cadastrado"))</f>
        <v/>
      </c>
    </row>
    <row r="1309">
      <c r="A1309" s="31" t="n"/>
      <c r="B1309" s="36" t="n"/>
      <c r="C1309" s="38" t="n"/>
      <c r="D1309" s="32" t="n"/>
      <c r="E1309" s="43">
        <f>IF(OR(A1309="",B1309=""),"",SUMPRODUCT(MAX(($B$6:$B$2005=B1309)*($A$6:$A$2005&lt;A1309)*$A$6:$A$2005)))</f>
        <v/>
      </c>
      <c r="F1309" s="41">
        <f>IF(OR(E1309="",E1309=0),"",IFERROR(AVERAGEIFS($C$6:$C$2005,$B$6:$B$2005,B1309,$A$6:$A$2005,E1309),""))</f>
        <v/>
      </c>
      <c r="G1309" s="34">
        <f>IF(F1309="","",A1309-E1309)</f>
        <v/>
      </c>
      <c r="H1309" s="42">
        <f>IF(OR(F1309="",C1309=""),"",IFERROR((C1309-F1309)/G1309,""))</f>
        <v/>
      </c>
      <c r="I1309" s="39">
        <f>IF(B1309="","",IFERROR(INDEX('Animais'!$M$6:$M$1005,MATCH(B1309,'Animais'!$A$6:$A$1005,0)),"Brinco não cadastrado"))</f>
        <v/>
      </c>
    </row>
    <row r="1310">
      <c r="A1310" s="31" t="n"/>
      <c r="B1310" s="36" t="n"/>
      <c r="C1310" s="38" t="n"/>
      <c r="D1310" s="32" t="n"/>
      <c r="E1310" s="43">
        <f>IF(OR(A1310="",B1310=""),"",SUMPRODUCT(MAX(($B$6:$B$2005=B1310)*($A$6:$A$2005&lt;A1310)*$A$6:$A$2005)))</f>
        <v/>
      </c>
      <c r="F1310" s="41">
        <f>IF(OR(E1310="",E1310=0),"",IFERROR(AVERAGEIFS($C$6:$C$2005,$B$6:$B$2005,B1310,$A$6:$A$2005,E1310),""))</f>
        <v/>
      </c>
      <c r="G1310" s="34">
        <f>IF(F1310="","",A1310-E1310)</f>
        <v/>
      </c>
      <c r="H1310" s="42">
        <f>IF(OR(F1310="",C1310=""),"",IFERROR((C1310-F1310)/G1310,""))</f>
        <v/>
      </c>
      <c r="I1310" s="39">
        <f>IF(B1310="","",IFERROR(INDEX('Animais'!$M$6:$M$1005,MATCH(B1310,'Animais'!$A$6:$A$1005,0)),"Brinco não cadastrado"))</f>
        <v/>
      </c>
    </row>
    <row r="1311">
      <c r="A1311" s="31" t="n"/>
      <c r="B1311" s="36" t="n"/>
      <c r="C1311" s="38" t="n"/>
      <c r="D1311" s="32" t="n"/>
      <c r="E1311" s="43">
        <f>IF(OR(A1311="",B1311=""),"",SUMPRODUCT(MAX(($B$6:$B$2005=B1311)*($A$6:$A$2005&lt;A1311)*$A$6:$A$2005)))</f>
        <v/>
      </c>
      <c r="F1311" s="41">
        <f>IF(OR(E1311="",E1311=0),"",IFERROR(AVERAGEIFS($C$6:$C$2005,$B$6:$B$2005,B1311,$A$6:$A$2005,E1311),""))</f>
        <v/>
      </c>
      <c r="G1311" s="34">
        <f>IF(F1311="","",A1311-E1311)</f>
        <v/>
      </c>
      <c r="H1311" s="42">
        <f>IF(OR(F1311="",C1311=""),"",IFERROR((C1311-F1311)/G1311,""))</f>
        <v/>
      </c>
      <c r="I1311" s="39">
        <f>IF(B1311="","",IFERROR(INDEX('Animais'!$M$6:$M$1005,MATCH(B1311,'Animais'!$A$6:$A$1005,0)),"Brinco não cadastrado"))</f>
        <v/>
      </c>
    </row>
    <row r="1312">
      <c r="A1312" s="31" t="n"/>
      <c r="B1312" s="36" t="n"/>
      <c r="C1312" s="38" t="n"/>
      <c r="D1312" s="32" t="n"/>
      <c r="E1312" s="43">
        <f>IF(OR(A1312="",B1312=""),"",SUMPRODUCT(MAX(($B$6:$B$2005=B1312)*($A$6:$A$2005&lt;A1312)*$A$6:$A$2005)))</f>
        <v/>
      </c>
      <c r="F1312" s="41">
        <f>IF(OR(E1312="",E1312=0),"",IFERROR(AVERAGEIFS($C$6:$C$2005,$B$6:$B$2005,B1312,$A$6:$A$2005,E1312),""))</f>
        <v/>
      </c>
      <c r="G1312" s="34">
        <f>IF(F1312="","",A1312-E1312)</f>
        <v/>
      </c>
      <c r="H1312" s="42">
        <f>IF(OR(F1312="",C1312=""),"",IFERROR((C1312-F1312)/G1312,""))</f>
        <v/>
      </c>
      <c r="I1312" s="39">
        <f>IF(B1312="","",IFERROR(INDEX('Animais'!$M$6:$M$1005,MATCH(B1312,'Animais'!$A$6:$A$1005,0)),"Brinco não cadastrado"))</f>
        <v/>
      </c>
    </row>
    <row r="1313">
      <c r="A1313" s="31" t="n"/>
      <c r="B1313" s="36" t="n"/>
      <c r="C1313" s="38" t="n"/>
      <c r="D1313" s="32" t="n"/>
      <c r="E1313" s="43">
        <f>IF(OR(A1313="",B1313=""),"",SUMPRODUCT(MAX(($B$6:$B$2005=B1313)*($A$6:$A$2005&lt;A1313)*$A$6:$A$2005)))</f>
        <v/>
      </c>
      <c r="F1313" s="41">
        <f>IF(OR(E1313="",E1313=0),"",IFERROR(AVERAGEIFS($C$6:$C$2005,$B$6:$B$2005,B1313,$A$6:$A$2005,E1313),""))</f>
        <v/>
      </c>
      <c r="G1313" s="34">
        <f>IF(F1313="","",A1313-E1313)</f>
        <v/>
      </c>
      <c r="H1313" s="42">
        <f>IF(OR(F1313="",C1313=""),"",IFERROR((C1313-F1313)/G1313,""))</f>
        <v/>
      </c>
      <c r="I1313" s="39">
        <f>IF(B1313="","",IFERROR(INDEX('Animais'!$M$6:$M$1005,MATCH(B1313,'Animais'!$A$6:$A$1005,0)),"Brinco não cadastrado"))</f>
        <v/>
      </c>
    </row>
    <row r="1314">
      <c r="A1314" s="31" t="n"/>
      <c r="B1314" s="36" t="n"/>
      <c r="C1314" s="38" t="n"/>
      <c r="D1314" s="32" t="n"/>
      <c r="E1314" s="43">
        <f>IF(OR(A1314="",B1314=""),"",SUMPRODUCT(MAX(($B$6:$B$2005=B1314)*($A$6:$A$2005&lt;A1314)*$A$6:$A$2005)))</f>
        <v/>
      </c>
      <c r="F1314" s="41">
        <f>IF(OR(E1314="",E1314=0),"",IFERROR(AVERAGEIFS($C$6:$C$2005,$B$6:$B$2005,B1314,$A$6:$A$2005,E1314),""))</f>
        <v/>
      </c>
      <c r="G1314" s="34">
        <f>IF(F1314="","",A1314-E1314)</f>
        <v/>
      </c>
      <c r="H1314" s="42">
        <f>IF(OR(F1314="",C1314=""),"",IFERROR((C1314-F1314)/G1314,""))</f>
        <v/>
      </c>
      <c r="I1314" s="39">
        <f>IF(B1314="","",IFERROR(INDEX('Animais'!$M$6:$M$1005,MATCH(B1314,'Animais'!$A$6:$A$1005,0)),"Brinco não cadastrado"))</f>
        <v/>
      </c>
    </row>
    <row r="1315">
      <c r="A1315" s="31" t="n"/>
      <c r="B1315" s="36" t="n"/>
      <c r="C1315" s="38" t="n"/>
      <c r="D1315" s="32" t="n"/>
      <c r="E1315" s="43">
        <f>IF(OR(A1315="",B1315=""),"",SUMPRODUCT(MAX(($B$6:$B$2005=B1315)*($A$6:$A$2005&lt;A1315)*$A$6:$A$2005)))</f>
        <v/>
      </c>
      <c r="F1315" s="41">
        <f>IF(OR(E1315="",E1315=0),"",IFERROR(AVERAGEIFS($C$6:$C$2005,$B$6:$B$2005,B1315,$A$6:$A$2005,E1315),""))</f>
        <v/>
      </c>
      <c r="G1315" s="34">
        <f>IF(F1315="","",A1315-E1315)</f>
        <v/>
      </c>
      <c r="H1315" s="42">
        <f>IF(OR(F1315="",C1315=""),"",IFERROR((C1315-F1315)/G1315,""))</f>
        <v/>
      </c>
      <c r="I1315" s="39">
        <f>IF(B1315="","",IFERROR(INDEX('Animais'!$M$6:$M$1005,MATCH(B1315,'Animais'!$A$6:$A$1005,0)),"Brinco não cadastrado"))</f>
        <v/>
      </c>
    </row>
    <row r="1316">
      <c r="A1316" s="31" t="n"/>
      <c r="B1316" s="36" t="n"/>
      <c r="C1316" s="38" t="n"/>
      <c r="D1316" s="32" t="n"/>
      <c r="E1316" s="43">
        <f>IF(OR(A1316="",B1316=""),"",SUMPRODUCT(MAX(($B$6:$B$2005=B1316)*($A$6:$A$2005&lt;A1316)*$A$6:$A$2005)))</f>
        <v/>
      </c>
      <c r="F1316" s="41">
        <f>IF(OR(E1316="",E1316=0),"",IFERROR(AVERAGEIFS($C$6:$C$2005,$B$6:$B$2005,B1316,$A$6:$A$2005,E1316),""))</f>
        <v/>
      </c>
      <c r="G1316" s="34">
        <f>IF(F1316="","",A1316-E1316)</f>
        <v/>
      </c>
      <c r="H1316" s="42">
        <f>IF(OR(F1316="",C1316=""),"",IFERROR((C1316-F1316)/G1316,""))</f>
        <v/>
      </c>
      <c r="I1316" s="39">
        <f>IF(B1316="","",IFERROR(INDEX('Animais'!$M$6:$M$1005,MATCH(B1316,'Animais'!$A$6:$A$1005,0)),"Brinco não cadastrado"))</f>
        <v/>
      </c>
    </row>
    <row r="1317">
      <c r="A1317" s="31" t="n"/>
      <c r="B1317" s="36" t="n"/>
      <c r="C1317" s="38" t="n"/>
      <c r="D1317" s="32" t="n"/>
      <c r="E1317" s="43">
        <f>IF(OR(A1317="",B1317=""),"",SUMPRODUCT(MAX(($B$6:$B$2005=B1317)*($A$6:$A$2005&lt;A1317)*$A$6:$A$2005)))</f>
        <v/>
      </c>
      <c r="F1317" s="41">
        <f>IF(OR(E1317="",E1317=0),"",IFERROR(AVERAGEIFS($C$6:$C$2005,$B$6:$B$2005,B1317,$A$6:$A$2005,E1317),""))</f>
        <v/>
      </c>
      <c r="G1317" s="34">
        <f>IF(F1317="","",A1317-E1317)</f>
        <v/>
      </c>
      <c r="H1317" s="42">
        <f>IF(OR(F1317="",C1317=""),"",IFERROR((C1317-F1317)/G1317,""))</f>
        <v/>
      </c>
      <c r="I1317" s="39">
        <f>IF(B1317="","",IFERROR(INDEX('Animais'!$M$6:$M$1005,MATCH(B1317,'Animais'!$A$6:$A$1005,0)),"Brinco não cadastrado"))</f>
        <v/>
      </c>
    </row>
    <row r="1318">
      <c r="A1318" s="31" t="n"/>
      <c r="B1318" s="36" t="n"/>
      <c r="C1318" s="38" t="n"/>
      <c r="D1318" s="32" t="n"/>
      <c r="E1318" s="43">
        <f>IF(OR(A1318="",B1318=""),"",SUMPRODUCT(MAX(($B$6:$B$2005=B1318)*($A$6:$A$2005&lt;A1318)*$A$6:$A$2005)))</f>
        <v/>
      </c>
      <c r="F1318" s="41">
        <f>IF(OR(E1318="",E1318=0),"",IFERROR(AVERAGEIFS($C$6:$C$2005,$B$6:$B$2005,B1318,$A$6:$A$2005,E1318),""))</f>
        <v/>
      </c>
      <c r="G1318" s="34">
        <f>IF(F1318="","",A1318-E1318)</f>
        <v/>
      </c>
      <c r="H1318" s="42">
        <f>IF(OR(F1318="",C1318=""),"",IFERROR((C1318-F1318)/G1318,""))</f>
        <v/>
      </c>
      <c r="I1318" s="39">
        <f>IF(B1318="","",IFERROR(INDEX('Animais'!$M$6:$M$1005,MATCH(B1318,'Animais'!$A$6:$A$1005,0)),"Brinco não cadastrado"))</f>
        <v/>
      </c>
    </row>
    <row r="1319">
      <c r="A1319" s="31" t="n"/>
      <c r="B1319" s="36" t="n"/>
      <c r="C1319" s="38" t="n"/>
      <c r="D1319" s="32" t="n"/>
      <c r="E1319" s="43">
        <f>IF(OR(A1319="",B1319=""),"",SUMPRODUCT(MAX(($B$6:$B$2005=B1319)*($A$6:$A$2005&lt;A1319)*$A$6:$A$2005)))</f>
        <v/>
      </c>
      <c r="F1319" s="41">
        <f>IF(OR(E1319="",E1319=0),"",IFERROR(AVERAGEIFS($C$6:$C$2005,$B$6:$B$2005,B1319,$A$6:$A$2005,E1319),""))</f>
        <v/>
      </c>
      <c r="G1319" s="34">
        <f>IF(F1319="","",A1319-E1319)</f>
        <v/>
      </c>
      <c r="H1319" s="42">
        <f>IF(OR(F1319="",C1319=""),"",IFERROR((C1319-F1319)/G1319,""))</f>
        <v/>
      </c>
      <c r="I1319" s="39">
        <f>IF(B1319="","",IFERROR(INDEX('Animais'!$M$6:$M$1005,MATCH(B1319,'Animais'!$A$6:$A$1005,0)),"Brinco não cadastrado"))</f>
        <v/>
      </c>
    </row>
    <row r="1320">
      <c r="A1320" s="31" t="n"/>
      <c r="B1320" s="36" t="n"/>
      <c r="C1320" s="38" t="n"/>
      <c r="D1320" s="32" t="n"/>
      <c r="E1320" s="43">
        <f>IF(OR(A1320="",B1320=""),"",SUMPRODUCT(MAX(($B$6:$B$2005=B1320)*($A$6:$A$2005&lt;A1320)*$A$6:$A$2005)))</f>
        <v/>
      </c>
      <c r="F1320" s="41">
        <f>IF(OR(E1320="",E1320=0),"",IFERROR(AVERAGEIFS($C$6:$C$2005,$B$6:$B$2005,B1320,$A$6:$A$2005,E1320),""))</f>
        <v/>
      </c>
      <c r="G1320" s="34">
        <f>IF(F1320="","",A1320-E1320)</f>
        <v/>
      </c>
      <c r="H1320" s="42">
        <f>IF(OR(F1320="",C1320=""),"",IFERROR((C1320-F1320)/G1320,""))</f>
        <v/>
      </c>
      <c r="I1320" s="39">
        <f>IF(B1320="","",IFERROR(INDEX('Animais'!$M$6:$M$1005,MATCH(B1320,'Animais'!$A$6:$A$1005,0)),"Brinco não cadastrado"))</f>
        <v/>
      </c>
    </row>
    <row r="1321">
      <c r="A1321" s="31" t="n"/>
      <c r="B1321" s="36" t="n"/>
      <c r="C1321" s="38" t="n"/>
      <c r="D1321" s="32" t="n"/>
      <c r="E1321" s="43">
        <f>IF(OR(A1321="",B1321=""),"",SUMPRODUCT(MAX(($B$6:$B$2005=B1321)*($A$6:$A$2005&lt;A1321)*$A$6:$A$2005)))</f>
        <v/>
      </c>
      <c r="F1321" s="41">
        <f>IF(OR(E1321="",E1321=0),"",IFERROR(AVERAGEIFS($C$6:$C$2005,$B$6:$B$2005,B1321,$A$6:$A$2005,E1321),""))</f>
        <v/>
      </c>
      <c r="G1321" s="34">
        <f>IF(F1321="","",A1321-E1321)</f>
        <v/>
      </c>
      <c r="H1321" s="42">
        <f>IF(OR(F1321="",C1321=""),"",IFERROR((C1321-F1321)/G1321,""))</f>
        <v/>
      </c>
      <c r="I1321" s="39">
        <f>IF(B1321="","",IFERROR(INDEX('Animais'!$M$6:$M$1005,MATCH(B1321,'Animais'!$A$6:$A$1005,0)),"Brinco não cadastrado"))</f>
        <v/>
      </c>
    </row>
    <row r="1322">
      <c r="A1322" s="31" t="n"/>
      <c r="B1322" s="36" t="n"/>
      <c r="C1322" s="38" t="n"/>
      <c r="D1322" s="32" t="n"/>
      <c r="E1322" s="43">
        <f>IF(OR(A1322="",B1322=""),"",SUMPRODUCT(MAX(($B$6:$B$2005=B1322)*($A$6:$A$2005&lt;A1322)*$A$6:$A$2005)))</f>
        <v/>
      </c>
      <c r="F1322" s="41">
        <f>IF(OR(E1322="",E1322=0),"",IFERROR(AVERAGEIFS($C$6:$C$2005,$B$6:$B$2005,B1322,$A$6:$A$2005,E1322),""))</f>
        <v/>
      </c>
      <c r="G1322" s="34">
        <f>IF(F1322="","",A1322-E1322)</f>
        <v/>
      </c>
      <c r="H1322" s="42">
        <f>IF(OR(F1322="",C1322=""),"",IFERROR((C1322-F1322)/G1322,""))</f>
        <v/>
      </c>
      <c r="I1322" s="39">
        <f>IF(B1322="","",IFERROR(INDEX('Animais'!$M$6:$M$1005,MATCH(B1322,'Animais'!$A$6:$A$1005,0)),"Brinco não cadastrado"))</f>
        <v/>
      </c>
    </row>
    <row r="1323">
      <c r="A1323" s="31" t="n"/>
      <c r="B1323" s="36" t="n"/>
      <c r="C1323" s="38" t="n"/>
      <c r="D1323" s="32" t="n"/>
      <c r="E1323" s="43">
        <f>IF(OR(A1323="",B1323=""),"",SUMPRODUCT(MAX(($B$6:$B$2005=B1323)*($A$6:$A$2005&lt;A1323)*$A$6:$A$2005)))</f>
        <v/>
      </c>
      <c r="F1323" s="41">
        <f>IF(OR(E1323="",E1323=0),"",IFERROR(AVERAGEIFS($C$6:$C$2005,$B$6:$B$2005,B1323,$A$6:$A$2005,E1323),""))</f>
        <v/>
      </c>
      <c r="G1323" s="34">
        <f>IF(F1323="","",A1323-E1323)</f>
        <v/>
      </c>
      <c r="H1323" s="42">
        <f>IF(OR(F1323="",C1323=""),"",IFERROR((C1323-F1323)/G1323,""))</f>
        <v/>
      </c>
      <c r="I1323" s="39">
        <f>IF(B1323="","",IFERROR(INDEX('Animais'!$M$6:$M$1005,MATCH(B1323,'Animais'!$A$6:$A$1005,0)),"Brinco não cadastrado"))</f>
        <v/>
      </c>
    </row>
    <row r="1324">
      <c r="A1324" s="31" t="n"/>
      <c r="B1324" s="36" t="n"/>
      <c r="C1324" s="38" t="n"/>
      <c r="D1324" s="32" t="n"/>
      <c r="E1324" s="43">
        <f>IF(OR(A1324="",B1324=""),"",SUMPRODUCT(MAX(($B$6:$B$2005=B1324)*($A$6:$A$2005&lt;A1324)*$A$6:$A$2005)))</f>
        <v/>
      </c>
      <c r="F1324" s="41">
        <f>IF(OR(E1324="",E1324=0),"",IFERROR(AVERAGEIFS($C$6:$C$2005,$B$6:$B$2005,B1324,$A$6:$A$2005,E1324),""))</f>
        <v/>
      </c>
      <c r="G1324" s="34">
        <f>IF(F1324="","",A1324-E1324)</f>
        <v/>
      </c>
      <c r="H1324" s="42">
        <f>IF(OR(F1324="",C1324=""),"",IFERROR((C1324-F1324)/G1324,""))</f>
        <v/>
      </c>
      <c r="I1324" s="39">
        <f>IF(B1324="","",IFERROR(INDEX('Animais'!$M$6:$M$1005,MATCH(B1324,'Animais'!$A$6:$A$1005,0)),"Brinco não cadastrado"))</f>
        <v/>
      </c>
    </row>
    <row r="1325">
      <c r="A1325" s="31" t="n"/>
      <c r="B1325" s="36" t="n"/>
      <c r="C1325" s="38" t="n"/>
      <c r="D1325" s="32" t="n"/>
      <c r="E1325" s="43">
        <f>IF(OR(A1325="",B1325=""),"",SUMPRODUCT(MAX(($B$6:$B$2005=B1325)*($A$6:$A$2005&lt;A1325)*$A$6:$A$2005)))</f>
        <v/>
      </c>
      <c r="F1325" s="41">
        <f>IF(OR(E1325="",E1325=0),"",IFERROR(AVERAGEIFS($C$6:$C$2005,$B$6:$B$2005,B1325,$A$6:$A$2005,E1325),""))</f>
        <v/>
      </c>
      <c r="G1325" s="34">
        <f>IF(F1325="","",A1325-E1325)</f>
        <v/>
      </c>
      <c r="H1325" s="42">
        <f>IF(OR(F1325="",C1325=""),"",IFERROR((C1325-F1325)/G1325,""))</f>
        <v/>
      </c>
      <c r="I1325" s="39">
        <f>IF(B1325="","",IFERROR(INDEX('Animais'!$M$6:$M$1005,MATCH(B1325,'Animais'!$A$6:$A$1005,0)),"Brinco não cadastrado"))</f>
        <v/>
      </c>
    </row>
    <row r="1326">
      <c r="A1326" s="31" t="n"/>
      <c r="B1326" s="36" t="n"/>
      <c r="C1326" s="38" t="n"/>
      <c r="D1326" s="32" t="n"/>
      <c r="E1326" s="43">
        <f>IF(OR(A1326="",B1326=""),"",SUMPRODUCT(MAX(($B$6:$B$2005=B1326)*($A$6:$A$2005&lt;A1326)*$A$6:$A$2005)))</f>
        <v/>
      </c>
      <c r="F1326" s="41">
        <f>IF(OR(E1326="",E1326=0),"",IFERROR(AVERAGEIFS($C$6:$C$2005,$B$6:$B$2005,B1326,$A$6:$A$2005,E1326),""))</f>
        <v/>
      </c>
      <c r="G1326" s="34">
        <f>IF(F1326="","",A1326-E1326)</f>
        <v/>
      </c>
      <c r="H1326" s="42">
        <f>IF(OR(F1326="",C1326=""),"",IFERROR((C1326-F1326)/G1326,""))</f>
        <v/>
      </c>
      <c r="I1326" s="39">
        <f>IF(B1326="","",IFERROR(INDEX('Animais'!$M$6:$M$1005,MATCH(B1326,'Animais'!$A$6:$A$1005,0)),"Brinco não cadastrado"))</f>
        <v/>
      </c>
    </row>
    <row r="1327">
      <c r="A1327" s="31" t="n"/>
      <c r="B1327" s="36" t="n"/>
      <c r="C1327" s="38" t="n"/>
      <c r="D1327" s="32" t="n"/>
      <c r="E1327" s="43">
        <f>IF(OR(A1327="",B1327=""),"",SUMPRODUCT(MAX(($B$6:$B$2005=B1327)*($A$6:$A$2005&lt;A1327)*$A$6:$A$2005)))</f>
        <v/>
      </c>
      <c r="F1327" s="41">
        <f>IF(OR(E1327="",E1327=0),"",IFERROR(AVERAGEIFS($C$6:$C$2005,$B$6:$B$2005,B1327,$A$6:$A$2005,E1327),""))</f>
        <v/>
      </c>
      <c r="G1327" s="34">
        <f>IF(F1327="","",A1327-E1327)</f>
        <v/>
      </c>
      <c r="H1327" s="42">
        <f>IF(OR(F1327="",C1327=""),"",IFERROR((C1327-F1327)/G1327,""))</f>
        <v/>
      </c>
      <c r="I1327" s="39">
        <f>IF(B1327="","",IFERROR(INDEX('Animais'!$M$6:$M$1005,MATCH(B1327,'Animais'!$A$6:$A$1005,0)),"Brinco não cadastrado"))</f>
        <v/>
      </c>
    </row>
    <row r="1328">
      <c r="A1328" s="31" t="n"/>
      <c r="B1328" s="36" t="n"/>
      <c r="C1328" s="38" t="n"/>
      <c r="D1328" s="32" t="n"/>
      <c r="E1328" s="43">
        <f>IF(OR(A1328="",B1328=""),"",SUMPRODUCT(MAX(($B$6:$B$2005=B1328)*($A$6:$A$2005&lt;A1328)*$A$6:$A$2005)))</f>
        <v/>
      </c>
      <c r="F1328" s="41">
        <f>IF(OR(E1328="",E1328=0),"",IFERROR(AVERAGEIFS($C$6:$C$2005,$B$6:$B$2005,B1328,$A$6:$A$2005,E1328),""))</f>
        <v/>
      </c>
      <c r="G1328" s="34">
        <f>IF(F1328="","",A1328-E1328)</f>
        <v/>
      </c>
      <c r="H1328" s="42">
        <f>IF(OR(F1328="",C1328=""),"",IFERROR((C1328-F1328)/G1328,""))</f>
        <v/>
      </c>
      <c r="I1328" s="39">
        <f>IF(B1328="","",IFERROR(INDEX('Animais'!$M$6:$M$1005,MATCH(B1328,'Animais'!$A$6:$A$1005,0)),"Brinco não cadastrado"))</f>
        <v/>
      </c>
    </row>
    <row r="1329">
      <c r="A1329" s="31" t="n"/>
      <c r="B1329" s="36" t="n"/>
      <c r="C1329" s="38" t="n"/>
      <c r="D1329" s="32" t="n"/>
      <c r="E1329" s="43">
        <f>IF(OR(A1329="",B1329=""),"",SUMPRODUCT(MAX(($B$6:$B$2005=B1329)*($A$6:$A$2005&lt;A1329)*$A$6:$A$2005)))</f>
        <v/>
      </c>
      <c r="F1329" s="41">
        <f>IF(OR(E1329="",E1329=0),"",IFERROR(AVERAGEIFS($C$6:$C$2005,$B$6:$B$2005,B1329,$A$6:$A$2005,E1329),""))</f>
        <v/>
      </c>
      <c r="G1329" s="34">
        <f>IF(F1329="","",A1329-E1329)</f>
        <v/>
      </c>
      <c r="H1329" s="42">
        <f>IF(OR(F1329="",C1329=""),"",IFERROR((C1329-F1329)/G1329,""))</f>
        <v/>
      </c>
      <c r="I1329" s="39">
        <f>IF(B1329="","",IFERROR(INDEX('Animais'!$M$6:$M$1005,MATCH(B1329,'Animais'!$A$6:$A$1005,0)),"Brinco não cadastrado"))</f>
        <v/>
      </c>
    </row>
    <row r="1330">
      <c r="A1330" s="31" t="n"/>
      <c r="B1330" s="36" t="n"/>
      <c r="C1330" s="38" t="n"/>
      <c r="D1330" s="32" t="n"/>
      <c r="E1330" s="43">
        <f>IF(OR(A1330="",B1330=""),"",SUMPRODUCT(MAX(($B$6:$B$2005=B1330)*($A$6:$A$2005&lt;A1330)*$A$6:$A$2005)))</f>
        <v/>
      </c>
      <c r="F1330" s="41">
        <f>IF(OR(E1330="",E1330=0),"",IFERROR(AVERAGEIFS($C$6:$C$2005,$B$6:$B$2005,B1330,$A$6:$A$2005,E1330),""))</f>
        <v/>
      </c>
      <c r="G1330" s="34">
        <f>IF(F1330="","",A1330-E1330)</f>
        <v/>
      </c>
      <c r="H1330" s="42">
        <f>IF(OR(F1330="",C1330=""),"",IFERROR((C1330-F1330)/G1330,""))</f>
        <v/>
      </c>
      <c r="I1330" s="39">
        <f>IF(B1330="","",IFERROR(INDEX('Animais'!$M$6:$M$1005,MATCH(B1330,'Animais'!$A$6:$A$1005,0)),"Brinco não cadastrado"))</f>
        <v/>
      </c>
    </row>
    <row r="1331">
      <c r="A1331" s="31" t="n"/>
      <c r="B1331" s="36" t="n"/>
      <c r="C1331" s="38" t="n"/>
      <c r="D1331" s="32" t="n"/>
      <c r="E1331" s="43">
        <f>IF(OR(A1331="",B1331=""),"",SUMPRODUCT(MAX(($B$6:$B$2005=B1331)*($A$6:$A$2005&lt;A1331)*$A$6:$A$2005)))</f>
        <v/>
      </c>
      <c r="F1331" s="41">
        <f>IF(OR(E1331="",E1331=0),"",IFERROR(AVERAGEIFS($C$6:$C$2005,$B$6:$B$2005,B1331,$A$6:$A$2005,E1331),""))</f>
        <v/>
      </c>
      <c r="G1331" s="34">
        <f>IF(F1331="","",A1331-E1331)</f>
        <v/>
      </c>
      <c r="H1331" s="42">
        <f>IF(OR(F1331="",C1331=""),"",IFERROR((C1331-F1331)/G1331,""))</f>
        <v/>
      </c>
      <c r="I1331" s="39">
        <f>IF(B1331="","",IFERROR(INDEX('Animais'!$M$6:$M$1005,MATCH(B1331,'Animais'!$A$6:$A$1005,0)),"Brinco não cadastrado"))</f>
        <v/>
      </c>
    </row>
    <row r="1332">
      <c r="A1332" s="31" t="n"/>
      <c r="B1332" s="36" t="n"/>
      <c r="C1332" s="38" t="n"/>
      <c r="D1332" s="32" t="n"/>
      <c r="E1332" s="43">
        <f>IF(OR(A1332="",B1332=""),"",SUMPRODUCT(MAX(($B$6:$B$2005=B1332)*($A$6:$A$2005&lt;A1332)*$A$6:$A$2005)))</f>
        <v/>
      </c>
      <c r="F1332" s="41">
        <f>IF(OR(E1332="",E1332=0),"",IFERROR(AVERAGEIFS($C$6:$C$2005,$B$6:$B$2005,B1332,$A$6:$A$2005,E1332),""))</f>
        <v/>
      </c>
      <c r="G1332" s="34">
        <f>IF(F1332="","",A1332-E1332)</f>
        <v/>
      </c>
      <c r="H1332" s="42">
        <f>IF(OR(F1332="",C1332=""),"",IFERROR((C1332-F1332)/G1332,""))</f>
        <v/>
      </c>
      <c r="I1332" s="39">
        <f>IF(B1332="","",IFERROR(INDEX('Animais'!$M$6:$M$1005,MATCH(B1332,'Animais'!$A$6:$A$1005,0)),"Brinco não cadastrado"))</f>
        <v/>
      </c>
    </row>
    <row r="1333">
      <c r="A1333" s="31" t="n"/>
      <c r="B1333" s="36" t="n"/>
      <c r="C1333" s="38" t="n"/>
      <c r="D1333" s="32" t="n"/>
      <c r="E1333" s="43">
        <f>IF(OR(A1333="",B1333=""),"",SUMPRODUCT(MAX(($B$6:$B$2005=B1333)*($A$6:$A$2005&lt;A1333)*$A$6:$A$2005)))</f>
        <v/>
      </c>
      <c r="F1333" s="41">
        <f>IF(OR(E1333="",E1333=0),"",IFERROR(AVERAGEIFS($C$6:$C$2005,$B$6:$B$2005,B1333,$A$6:$A$2005,E1333),""))</f>
        <v/>
      </c>
      <c r="G1333" s="34">
        <f>IF(F1333="","",A1333-E1333)</f>
        <v/>
      </c>
      <c r="H1333" s="42">
        <f>IF(OR(F1333="",C1333=""),"",IFERROR((C1333-F1333)/G1333,""))</f>
        <v/>
      </c>
      <c r="I1333" s="39">
        <f>IF(B1333="","",IFERROR(INDEX('Animais'!$M$6:$M$1005,MATCH(B1333,'Animais'!$A$6:$A$1005,0)),"Brinco não cadastrado"))</f>
        <v/>
      </c>
    </row>
    <row r="1334">
      <c r="A1334" s="31" t="n"/>
      <c r="B1334" s="36" t="n"/>
      <c r="C1334" s="38" t="n"/>
      <c r="D1334" s="32" t="n"/>
      <c r="E1334" s="43">
        <f>IF(OR(A1334="",B1334=""),"",SUMPRODUCT(MAX(($B$6:$B$2005=B1334)*($A$6:$A$2005&lt;A1334)*$A$6:$A$2005)))</f>
        <v/>
      </c>
      <c r="F1334" s="41">
        <f>IF(OR(E1334="",E1334=0),"",IFERROR(AVERAGEIFS($C$6:$C$2005,$B$6:$B$2005,B1334,$A$6:$A$2005,E1334),""))</f>
        <v/>
      </c>
      <c r="G1334" s="34">
        <f>IF(F1334="","",A1334-E1334)</f>
        <v/>
      </c>
      <c r="H1334" s="42">
        <f>IF(OR(F1334="",C1334=""),"",IFERROR((C1334-F1334)/G1334,""))</f>
        <v/>
      </c>
      <c r="I1334" s="39">
        <f>IF(B1334="","",IFERROR(INDEX('Animais'!$M$6:$M$1005,MATCH(B1334,'Animais'!$A$6:$A$1005,0)),"Brinco não cadastrado"))</f>
        <v/>
      </c>
    </row>
    <row r="1335">
      <c r="A1335" s="31" t="n"/>
      <c r="B1335" s="36" t="n"/>
      <c r="C1335" s="38" t="n"/>
      <c r="D1335" s="32" t="n"/>
      <c r="E1335" s="43">
        <f>IF(OR(A1335="",B1335=""),"",SUMPRODUCT(MAX(($B$6:$B$2005=B1335)*($A$6:$A$2005&lt;A1335)*$A$6:$A$2005)))</f>
        <v/>
      </c>
      <c r="F1335" s="41">
        <f>IF(OR(E1335="",E1335=0),"",IFERROR(AVERAGEIFS($C$6:$C$2005,$B$6:$B$2005,B1335,$A$6:$A$2005,E1335),""))</f>
        <v/>
      </c>
      <c r="G1335" s="34">
        <f>IF(F1335="","",A1335-E1335)</f>
        <v/>
      </c>
      <c r="H1335" s="42">
        <f>IF(OR(F1335="",C1335=""),"",IFERROR((C1335-F1335)/G1335,""))</f>
        <v/>
      </c>
      <c r="I1335" s="39">
        <f>IF(B1335="","",IFERROR(INDEX('Animais'!$M$6:$M$1005,MATCH(B1335,'Animais'!$A$6:$A$1005,0)),"Brinco não cadastrado"))</f>
        <v/>
      </c>
    </row>
    <row r="1336">
      <c r="A1336" s="31" t="n"/>
      <c r="B1336" s="36" t="n"/>
      <c r="C1336" s="38" t="n"/>
      <c r="D1336" s="32" t="n"/>
      <c r="E1336" s="43">
        <f>IF(OR(A1336="",B1336=""),"",SUMPRODUCT(MAX(($B$6:$B$2005=B1336)*($A$6:$A$2005&lt;A1336)*$A$6:$A$2005)))</f>
        <v/>
      </c>
      <c r="F1336" s="41">
        <f>IF(OR(E1336="",E1336=0),"",IFERROR(AVERAGEIFS($C$6:$C$2005,$B$6:$B$2005,B1336,$A$6:$A$2005,E1336),""))</f>
        <v/>
      </c>
      <c r="G1336" s="34">
        <f>IF(F1336="","",A1336-E1336)</f>
        <v/>
      </c>
      <c r="H1336" s="42">
        <f>IF(OR(F1336="",C1336=""),"",IFERROR((C1336-F1336)/G1336,""))</f>
        <v/>
      </c>
      <c r="I1336" s="39">
        <f>IF(B1336="","",IFERROR(INDEX('Animais'!$M$6:$M$1005,MATCH(B1336,'Animais'!$A$6:$A$1005,0)),"Brinco não cadastrado"))</f>
        <v/>
      </c>
    </row>
    <row r="1337">
      <c r="A1337" s="31" t="n"/>
      <c r="B1337" s="36" t="n"/>
      <c r="C1337" s="38" t="n"/>
      <c r="D1337" s="32" t="n"/>
      <c r="E1337" s="43">
        <f>IF(OR(A1337="",B1337=""),"",SUMPRODUCT(MAX(($B$6:$B$2005=B1337)*($A$6:$A$2005&lt;A1337)*$A$6:$A$2005)))</f>
        <v/>
      </c>
      <c r="F1337" s="41">
        <f>IF(OR(E1337="",E1337=0),"",IFERROR(AVERAGEIFS($C$6:$C$2005,$B$6:$B$2005,B1337,$A$6:$A$2005,E1337),""))</f>
        <v/>
      </c>
      <c r="G1337" s="34">
        <f>IF(F1337="","",A1337-E1337)</f>
        <v/>
      </c>
      <c r="H1337" s="42">
        <f>IF(OR(F1337="",C1337=""),"",IFERROR((C1337-F1337)/G1337,""))</f>
        <v/>
      </c>
      <c r="I1337" s="39">
        <f>IF(B1337="","",IFERROR(INDEX('Animais'!$M$6:$M$1005,MATCH(B1337,'Animais'!$A$6:$A$1005,0)),"Brinco não cadastrado"))</f>
        <v/>
      </c>
    </row>
    <row r="1338">
      <c r="A1338" s="31" t="n"/>
      <c r="B1338" s="36" t="n"/>
      <c r="C1338" s="38" t="n"/>
      <c r="D1338" s="32" t="n"/>
      <c r="E1338" s="43">
        <f>IF(OR(A1338="",B1338=""),"",SUMPRODUCT(MAX(($B$6:$B$2005=B1338)*($A$6:$A$2005&lt;A1338)*$A$6:$A$2005)))</f>
        <v/>
      </c>
      <c r="F1338" s="41">
        <f>IF(OR(E1338="",E1338=0),"",IFERROR(AVERAGEIFS($C$6:$C$2005,$B$6:$B$2005,B1338,$A$6:$A$2005,E1338),""))</f>
        <v/>
      </c>
      <c r="G1338" s="34">
        <f>IF(F1338="","",A1338-E1338)</f>
        <v/>
      </c>
      <c r="H1338" s="42">
        <f>IF(OR(F1338="",C1338=""),"",IFERROR((C1338-F1338)/G1338,""))</f>
        <v/>
      </c>
      <c r="I1338" s="39">
        <f>IF(B1338="","",IFERROR(INDEX('Animais'!$M$6:$M$1005,MATCH(B1338,'Animais'!$A$6:$A$1005,0)),"Brinco não cadastrado"))</f>
        <v/>
      </c>
    </row>
    <row r="1339">
      <c r="A1339" s="31" t="n"/>
      <c r="B1339" s="36" t="n"/>
      <c r="C1339" s="38" t="n"/>
      <c r="D1339" s="32" t="n"/>
      <c r="E1339" s="43">
        <f>IF(OR(A1339="",B1339=""),"",SUMPRODUCT(MAX(($B$6:$B$2005=B1339)*($A$6:$A$2005&lt;A1339)*$A$6:$A$2005)))</f>
        <v/>
      </c>
      <c r="F1339" s="41">
        <f>IF(OR(E1339="",E1339=0),"",IFERROR(AVERAGEIFS($C$6:$C$2005,$B$6:$B$2005,B1339,$A$6:$A$2005,E1339),""))</f>
        <v/>
      </c>
      <c r="G1339" s="34">
        <f>IF(F1339="","",A1339-E1339)</f>
        <v/>
      </c>
      <c r="H1339" s="42">
        <f>IF(OR(F1339="",C1339=""),"",IFERROR((C1339-F1339)/G1339,""))</f>
        <v/>
      </c>
      <c r="I1339" s="39">
        <f>IF(B1339="","",IFERROR(INDEX('Animais'!$M$6:$M$1005,MATCH(B1339,'Animais'!$A$6:$A$1005,0)),"Brinco não cadastrado"))</f>
        <v/>
      </c>
    </row>
    <row r="1340">
      <c r="A1340" s="31" t="n"/>
      <c r="B1340" s="36" t="n"/>
      <c r="C1340" s="38" t="n"/>
      <c r="D1340" s="32" t="n"/>
      <c r="E1340" s="43">
        <f>IF(OR(A1340="",B1340=""),"",SUMPRODUCT(MAX(($B$6:$B$2005=B1340)*($A$6:$A$2005&lt;A1340)*$A$6:$A$2005)))</f>
        <v/>
      </c>
      <c r="F1340" s="41">
        <f>IF(OR(E1340="",E1340=0),"",IFERROR(AVERAGEIFS($C$6:$C$2005,$B$6:$B$2005,B1340,$A$6:$A$2005,E1340),""))</f>
        <v/>
      </c>
      <c r="G1340" s="34">
        <f>IF(F1340="","",A1340-E1340)</f>
        <v/>
      </c>
      <c r="H1340" s="42">
        <f>IF(OR(F1340="",C1340=""),"",IFERROR((C1340-F1340)/G1340,""))</f>
        <v/>
      </c>
      <c r="I1340" s="39">
        <f>IF(B1340="","",IFERROR(INDEX('Animais'!$M$6:$M$1005,MATCH(B1340,'Animais'!$A$6:$A$1005,0)),"Brinco não cadastrado"))</f>
        <v/>
      </c>
    </row>
    <row r="1341">
      <c r="A1341" s="31" t="n"/>
      <c r="B1341" s="36" t="n"/>
      <c r="C1341" s="38" t="n"/>
      <c r="D1341" s="32" t="n"/>
      <c r="E1341" s="43">
        <f>IF(OR(A1341="",B1341=""),"",SUMPRODUCT(MAX(($B$6:$B$2005=B1341)*($A$6:$A$2005&lt;A1341)*$A$6:$A$2005)))</f>
        <v/>
      </c>
      <c r="F1341" s="41">
        <f>IF(OR(E1341="",E1341=0),"",IFERROR(AVERAGEIFS($C$6:$C$2005,$B$6:$B$2005,B1341,$A$6:$A$2005,E1341),""))</f>
        <v/>
      </c>
      <c r="G1341" s="34">
        <f>IF(F1341="","",A1341-E1341)</f>
        <v/>
      </c>
      <c r="H1341" s="42">
        <f>IF(OR(F1341="",C1341=""),"",IFERROR((C1341-F1341)/G1341,""))</f>
        <v/>
      </c>
      <c r="I1341" s="39">
        <f>IF(B1341="","",IFERROR(INDEX('Animais'!$M$6:$M$1005,MATCH(B1341,'Animais'!$A$6:$A$1005,0)),"Brinco não cadastrado"))</f>
        <v/>
      </c>
    </row>
    <row r="1342">
      <c r="A1342" s="31" t="n"/>
      <c r="B1342" s="36" t="n"/>
      <c r="C1342" s="38" t="n"/>
      <c r="D1342" s="32" t="n"/>
      <c r="E1342" s="43">
        <f>IF(OR(A1342="",B1342=""),"",SUMPRODUCT(MAX(($B$6:$B$2005=B1342)*($A$6:$A$2005&lt;A1342)*$A$6:$A$2005)))</f>
        <v/>
      </c>
      <c r="F1342" s="41">
        <f>IF(OR(E1342="",E1342=0),"",IFERROR(AVERAGEIFS($C$6:$C$2005,$B$6:$B$2005,B1342,$A$6:$A$2005,E1342),""))</f>
        <v/>
      </c>
      <c r="G1342" s="34">
        <f>IF(F1342="","",A1342-E1342)</f>
        <v/>
      </c>
      <c r="H1342" s="42">
        <f>IF(OR(F1342="",C1342=""),"",IFERROR((C1342-F1342)/G1342,""))</f>
        <v/>
      </c>
      <c r="I1342" s="39">
        <f>IF(B1342="","",IFERROR(INDEX('Animais'!$M$6:$M$1005,MATCH(B1342,'Animais'!$A$6:$A$1005,0)),"Brinco não cadastrado"))</f>
        <v/>
      </c>
    </row>
    <row r="1343">
      <c r="A1343" s="31" t="n"/>
      <c r="B1343" s="36" t="n"/>
      <c r="C1343" s="38" t="n"/>
      <c r="D1343" s="32" t="n"/>
      <c r="E1343" s="43">
        <f>IF(OR(A1343="",B1343=""),"",SUMPRODUCT(MAX(($B$6:$B$2005=B1343)*($A$6:$A$2005&lt;A1343)*$A$6:$A$2005)))</f>
        <v/>
      </c>
      <c r="F1343" s="41">
        <f>IF(OR(E1343="",E1343=0),"",IFERROR(AVERAGEIFS($C$6:$C$2005,$B$6:$B$2005,B1343,$A$6:$A$2005,E1343),""))</f>
        <v/>
      </c>
      <c r="G1343" s="34">
        <f>IF(F1343="","",A1343-E1343)</f>
        <v/>
      </c>
      <c r="H1343" s="42">
        <f>IF(OR(F1343="",C1343=""),"",IFERROR((C1343-F1343)/G1343,""))</f>
        <v/>
      </c>
      <c r="I1343" s="39">
        <f>IF(B1343="","",IFERROR(INDEX('Animais'!$M$6:$M$1005,MATCH(B1343,'Animais'!$A$6:$A$1005,0)),"Brinco não cadastrado"))</f>
        <v/>
      </c>
    </row>
    <row r="1344">
      <c r="A1344" s="31" t="n"/>
      <c r="B1344" s="36" t="n"/>
      <c r="C1344" s="38" t="n"/>
      <c r="D1344" s="32" t="n"/>
      <c r="E1344" s="43">
        <f>IF(OR(A1344="",B1344=""),"",SUMPRODUCT(MAX(($B$6:$B$2005=B1344)*($A$6:$A$2005&lt;A1344)*$A$6:$A$2005)))</f>
        <v/>
      </c>
      <c r="F1344" s="41">
        <f>IF(OR(E1344="",E1344=0),"",IFERROR(AVERAGEIFS($C$6:$C$2005,$B$6:$B$2005,B1344,$A$6:$A$2005,E1344),""))</f>
        <v/>
      </c>
      <c r="G1344" s="34">
        <f>IF(F1344="","",A1344-E1344)</f>
        <v/>
      </c>
      <c r="H1344" s="42">
        <f>IF(OR(F1344="",C1344=""),"",IFERROR((C1344-F1344)/G1344,""))</f>
        <v/>
      </c>
      <c r="I1344" s="39">
        <f>IF(B1344="","",IFERROR(INDEX('Animais'!$M$6:$M$1005,MATCH(B1344,'Animais'!$A$6:$A$1005,0)),"Brinco não cadastrado"))</f>
        <v/>
      </c>
    </row>
    <row r="1345">
      <c r="A1345" s="31" t="n"/>
      <c r="B1345" s="36" t="n"/>
      <c r="C1345" s="38" t="n"/>
      <c r="D1345" s="32" t="n"/>
      <c r="E1345" s="43">
        <f>IF(OR(A1345="",B1345=""),"",SUMPRODUCT(MAX(($B$6:$B$2005=B1345)*($A$6:$A$2005&lt;A1345)*$A$6:$A$2005)))</f>
        <v/>
      </c>
      <c r="F1345" s="41">
        <f>IF(OR(E1345="",E1345=0),"",IFERROR(AVERAGEIFS($C$6:$C$2005,$B$6:$B$2005,B1345,$A$6:$A$2005,E1345),""))</f>
        <v/>
      </c>
      <c r="G1345" s="34">
        <f>IF(F1345="","",A1345-E1345)</f>
        <v/>
      </c>
      <c r="H1345" s="42">
        <f>IF(OR(F1345="",C1345=""),"",IFERROR((C1345-F1345)/G1345,""))</f>
        <v/>
      </c>
      <c r="I1345" s="39">
        <f>IF(B1345="","",IFERROR(INDEX('Animais'!$M$6:$M$1005,MATCH(B1345,'Animais'!$A$6:$A$1005,0)),"Brinco não cadastrado"))</f>
        <v/>
      </c>
    </row>
    <row r="1346">
      <c r="A1346" s="31" t="n"/>
      <c r="B1346" s="36" t="n"/>
      <c r="C1346" s="38" t="n"/>
      <c r="D1346" s="32" t="n"/>
      <c r="E1346" s="43">
        <f>IF(OR(A1346="",B1346=""),"",SUMPRODUCT(MAX(($B$6:$B$2005=B1346)*($A$6:$A$2005&lt;A1346)*$A$6:$A$2005)))</f>
        <v/>
      </c>
      <c r="F1346" s="41">
        <f>IF(OR(E1346="",E1346=0),"",IFERROR(AVERAGEIFS($C$6:$C$2005,$B$6:$B$2005,B1346,$A$6:$A$2005,E1346),""))</f>
        <v/>
      </c>
      <c r="G1346" s="34">
        <f>IF(F1346="","",A1346-E1346)</f>
        <v/>
      </c>
      <c r="H1346" s="42">
        <f>IF(OR(F1346="",C1346=""),"",IFERROR((C1346-F1346)/G1346,""))</f>
        <v/>
      </c>
      <c r="I1346" s="39">
        <f>IF(B1346="","",IFERROR(INDEX('Animais'!$M$6:$M$1005,MATCH(B1346,'Animais'!$A$6:$A$1005,0)),"Brinco não cadastrado"))</f>
        <v/>
      </c>
    </row>
    <row r="1347">
      <c r="A1347" s="31" t="n"/>
      <c r="B1347" s="36" t="n"/>
      <c r="C1347" s="38" t="n"/>
      <c r="D1347" s="32" t="n"/>
      <c r="E1347" s="43">
        <f>IF(OR(A1347="",B1347=""),"",SUMPRODUCT(MAX(($B$6:$B$2005=B1347)*($A$6:$A$2005&lt;A1347)*$A$6:$A$2005)))</f>
        <v/>
      </c>
      <c r="F1347" s="41">
        <f>IF(OR(E1347="",E1347=0),"",IFERROR(AVERAGEIFS($C$6:$C$2005,$B$6:$B$2005,B1347,$A$6:$A$2005,E1347),""))</f>
        <v/>
      </c>
      <c r="G1347" s="34">
        <f>IF(F1347="","",A1347-E1347)</f>
        <v/>
      </c>
      <c r="H1347" s="42">
        <f>IF(OR(F1347="",C1347=""),"",IFERROR((C1347-F1347)/G1347,""))</f>
        <v/>
      </c>
      <c r="I1347" s="39">
        <f>IF(B1347="","",IFERROR(INDEX('Animais'!$M$6:$M$1005,MATCH(B1347,'Animais'!$A$6:$A$1005,0)),"Brinco não cadastrado"))</f>
        <v/>
      </c>
    </row>
    <row r="1348">
      <c r="A1348" s="31" t="n"/>
      <c r="B1348" s="36" t="n"/>
      <c r="C1348" s="38" t="n"/>
      <c r="D1348" s="32" t="n"/>
      <c r="E1348" s="43">
        <f>IF(OR(A1348="",B1348=""),"",SUMPRODUCT(MAX(($B$6:$B$2005=B1348)*($A$6:$A$2005&lt;A1348)*$A$6:$A$2005)))</f>
        <v/>
      </c>
      <c r="F1348" s="41">
        <f>IF(OR(E1348="",E1348=0),"",IFERROR(AVERAGEIFS($C$6:$C$2005,$B$6:$B$2005,B1348,$A$6:$A$2005,E1348),""))</f>
        <v/>
      </c>
      <c r="G1348" s="34">
        <f>IF(F1348="","",A1348-E1348)</f>
        <v/>
      </c>
      <c r="H1348" s="42">
        <f>IF(OR(F1348="",C1348=""),"",IFERROR((C1348-F1348)/G1348,""))</f>
        <v/>
      </c>
      <c r="I1348" s="39">
        <f>IF(B1348="","",IFERROR(INDEX('Animais'!$M$6:$M$1005,MATCH(B1348,'Animais'!$A$6:$A$1005,0)),"Brinco não cadastrado"))</f>
        <v/>
      </c>
    </row>
    <row r="1349">
      <c r="A1349" s="31" t="n"/>
      <c r="B1349" s="36" t="n"/>
      <c r="C1349" s="38" t="n"/>
      <c r="D1349" s="32" t="n"/>
      <c r="E1349" s="43">
        <f>IF(OR(A1349="",B1349=""),"",SUMPRODUCT(MAX(($B$6:$B$2005=B1349)*($A$6:$A$2005&lt;A1349)*$A$6:$A$2005)))</f>
        <v/>
      </c>
      <c r="F1349" s="41">
        <f>IF(OR(E1349="",E1349=0),"",IFERROR(AVERAGEIFS($C$6:$C$2005,$B$6:$B$2005,B1349,$A$6:$A$2005,E1349),""))</f>
        <v/>
      </c>
      <c r="G1349" s="34">
        <f>IF(F1349="","",A1349-E1349)</f>
        <v/>
      </c>
      <c r="H1349" s="42">
        <f>IF(OR(F1349="",C1349=""),"",IFERROR((C1349-F1349)/G1349,""))</f>
        <v/>
      </c>
      <c r="I1349" s="39">
        <f>IF(B1349="","",IFERROR(INDEX('Animais'!$M$6:$M$1005,MATCH(B1349,'Animais'!$A$6:$A$1005,0)),"Brinco não cadastrado"))</f>
        <v/>
      </c>
    </row>
    <row r="1350">
      <c r="A1350" s="31" t="n"/>
      <c r="B1350" s="36" t="n"/>
      <c r="C1350" s="38" t="n"/>
      <c r="D1350" s="32" t="n"/>
      <c r="E1350" s="43">
        <f>IF(OR(A1350="",B1350=""),"",SUMPRODUCT(MAX(($B$6:$B$2005=B1350)*($A$6:$A$2005&lt;A1350)*$A$6:$A$2005)))</f>
        <v/>
      </c>
      <c r="F1350" s="41">
        <f>IF(OR(E1350="",E1350=0),"",IFERROR(AVERAGEIFS($C$6:$C$2005,$B$6:$B$2005,B1350,$A$6:$A$2005,E1350),""))</f>
        <v/>
      </c>
      <c r="G1350" s="34">
        <f>IF(F1350="","",A1350-E1350)</f>
        <v/>
      </c>
      <c r="H1350" s="42">
        <f>IF(OR(F1350="",C1350=""),"",IFERROR((C1350-F1350)/G1350,""))</f>
        <v/>
      </c>
      <c r="I1350" s="39">
        <f>IF(B1350="","",IFERROR(INDEX('Animais'!$M$6:$M$1005,MATCH(B1350,'Animais'!$A$6:$A$1005,0)),"Brinco não cadastrado"))</f>
        <v/>
      </c>
    </row>
    <row r="1351">
      <c r="A1351" s="31" t="n"/>
      <c r="B1351" s="36" t="n"/>
      <c r="C1351" s="38" t="n"/>
      <c r="D1351" s="32" t="n"/>
      <c r="E1351" s="43">
        <f>IF(OR(A1351="",B1351=""),"",SUMPRODUCT(MAX(($B$6:$B$2005=B1351)*($A$6:$A$2005&lt;A1351)*$A$6:$A$2005)))</f>
        <v/>
      </c>
      <c r="F1351" s="41">
        <f>IF(OR(E1351="",E1351=0),"",IFERROR(AVERAGEIFS($C$6:$C$2005,$B$6:$B$2005,B1351,$A$6:$A$2005,E1351),""))</f>
        <v/>
      </c>
      <c r="G1351" s="34">
        <f>IF(F1351="","",A1351-E1351)</f>
        <v/>
      </c>
      <c r="H1351" s="42">
        <f>IF(OR(F1351="",C1351=""),"",IFERROR((C1351-F1351)/G1351,""))</f>
        <v/>
      </c>
      <c r="I1351" s="39">
        <f>IF(B1351="","",IFERROR(INDEX('Animais'!$M$6:$M$1005,MATCH(B1351,'Animais'!$A$6:$A$1005,0)),"Brinco não cadastrado"))</f>
        <v/>
      </c>
    </row>
    <row r="1352">
      <c r="A1352" s="31" t="n"/>
      <c r="B1352" s="36" t="n"/>
      <c r="C1352" s="38" t="n"/>
      <c r="D1352" s="32" t="n"/>
      <c r="E1352" s="43">
        <f>IF(OR(A1352="",B1352=""),"",SUMPRODUCT(MAX(($B$6:$B$2005=B1352)*($A$6:$A$2005&lt;A1352)*$A$6:$A$2005)))</f>
        <v/>
      </c>
      <c r="F1352" s="41">
        <f>IF(OR(E1352="",E1352=0),"",IFERROR(AVERAGEIFS($C$6:$C$2005,$B$6:$B$2005,B1352,$A$6:$A$2005,E1352),""))</f>
        <v/>
      </c>
      <c r="G1352" s="34">
        <f>IF(F1352="","",A1352-E1352)</f>
        <v/>
      </c>
      <c r="H1352" s="42">
        <f>IF(OR(F1352="",C1352=""),"",IFERROR((C1352-F1352)/G1352,""))</f>
        <v/>
      </c>
      <c r="I1352" s="39">
        <f>IF(B1352="","",IFERROR(INDEX('Animais'!$M$6:$M$1005,MATCH(B1352,'Animais'!$A$6:$A$1005,0)),"Brinco não cadastrado"))</f>
        <v/>
      </c>
    </row>
    <row r="1353">
      <c r="A1353" s="31" t="n"/>
      <c r="B1353" s="36" t="n"/>
      <c r="C1353" s="38" t="n"/>
      <c r="D1353" s="32" t="n"/>
      <c r="E1353" s="43">
        <f>IF(OR(A1353="",B1353=""),"",SUMPRODUCT(MAX(($B$6:$B$2005=B1353)*($A$6:$A$2005&lt;A1353)*$A$6:$A$2005)))</f>
        <v/>
      </c>
      <c r="F1353" s="41">
        <f>IF(OR(E1353="",E1353=0),"",IFERROR(AVERAGEIFS($C$6:$C$2005,$B$6:$B$2005,B1353,$A$6:$A$2005,E1353),""))</f>
        <v/>
      </c>
      <c r="G1353" s="34">
        <f>IF(F1353="","",A1353-E1353)</f>
        <v/>
      </c>
      <c r="H1353" s="42">
        <f>IF(OR(F1353="",C1353=""),"",IFERROR((C1353-F1353)/G1353,""))</f>
        <v/>
      </c>
      <c r="I1353" s="39">
        <f>IF(B1353="","",IFERROR(INDEX('Animais'!$M$6:$M$1005,MATCH(B1353,'Animais'!$A$6:$A$1005,0)),"Brinco não cadastrado"))</f>
        <v/>
      </c>
    </row>
    <row r="1354">
      <c r="A1354" s="31" t="n"/>
      <c r="B1354" s="36" t="n"/>
      <c r="C1354" s="38" t="n"/>
      <c r="D1354" s="32" t="n"/>
      <c r="E1354" s="43">
        <f>IF(OR(A1354="",B1354=""),"",SUMPRODUCT(MAX(($B$6:$B$2005=B1354)*($A$6:$A$2005&lt;A1354)*$A$6:$A$2005)))</f>
        <v/>
      </c>
      <c r="F1354" s="41">
        <f>IF(OR(E1354="",E1354=0),"",IFERROR(AVERAGEIFS($C$6:$C$2005,$B$6:$B$2005,B1354,$A$6:$A$2005,E1354),""))</f>
        <v/>
      </c>
      <c r="G1354" s="34">
        <f>IF(F1354="","",A1354-E1354)</f>
        <v/>
      </c>
      <c r="H1354" s="42">
        <f>IF(OR(F1354="",C1354=""),"",IFERROR((C1354-F1354)/G1354,""))</f>
        <v/>
      </c>
      <c r="I1354" s="39">
        <f>IF(B1354="","",IFERROR(INDEX('Animais'!$M$6:$M$1005,MATCH(B1354,'Animais'!$A$6:$A$1005,0)),"Brinco não cadastrado"))</f>
        <v/>
      </c>
    </row>
    <row r="1355">
      <c r="A1355" s="31" t="n"/>
      <c r="B1355" s="36" t="n"/>
      <c r="C1355" s="38" t="n"/>
      <c r="D1355" s="32" t="n"/>
      <c r="E1355" s="43">
        <f>IF(OR(A1355="",B1355=""),"",SUMPRODUCT(MAX(($B$6:$B$2005=B1355)*($A$6:$A$2005&lt;A1355)*$A$6:$A$2005)))</f>
        <v/>
      </c>
      <c r="F1355" s="41">
        <f>IF(OR(E1355="",E1355=0),"",IFERROR(AVERAGEIFS($C$6:$C$2005,$B$6:$B$2005,B1355,$A$6:$A$2005,E1355),""))</f>
        <v/>
      </c>
      <c r="G1355" s="34">
        <f>IF(F1355="","",A1355-E1355)</f>
        <v/>
      </c>
      <c r="H1355" s="42">
        <f>IF(OR(F1355="",C1355=""),"",IFERROR((C1355-F1355)/G1355,""))</f>
        <v/>
      </c>
      <c r="I1355" s="39">
        <f>IF(B1355="","",IFERROR(INDEX('Animais'!$M$6:$M$1005,MATCH(B1355,'Animais'!$A$6:$A$1005,0)),"Brinco não cadastrado"))</f>
        <v/>
      </c>
    </row>
    <row r="1356">
      <c r="A1356" s="31" t="n"/>
      <c r="B1356" s="36" t="n"/>
      <c r="C1356" s="38" t="n"/>
      <c r="D1356" s="32" t="n"/>
      <c r="E1356" s="43">
        <f>IF(OR(A1356="",B1356=""),"",SUMPRODUCT(MAX(($B$6:$B$2005=B1356)*($A$6:$A$2005&lt;A1356)*$A$6:$A$2005)))</f>
        <v/>
      </c>
      <c r="F1356" s="41">
        <f>IF(OR(E1356="",E1356=0),"",IFERROR(AVERAGEIFS($C$6:$C$2005,$B$6:$B$2005,B1356,$A$6:$A$2005,E1356),""))</f>
        <v/>
      </c>
      <c r="G1356" s="34">
        <f>IF(F1356="","",A1356-E1356)</f>
        <v/>
      </c>
      <c r="H1356" s="42">
        <f>IF(OR(F1356="",C1356=""),"",IFERROR((C1356-F1356)/G1356,""))</f>
        <v/>
      </c>
      <c r="I1356" s="39">
        <f>IF(B1356="","",IFERROR(INDEX('Animais'!$M$6:$M$1005,MATCH(B1356,'Animais'!$A$6:$A$1005,0)),"Brinco não cadastrado"))</f>
        <v/>
      </c>
    </row>
    <row r="1357">
      <c r="A1357" s="31" t="n"/>
      <c r="B1357" s="36" t="n"/>
      <c r="C1357" s="38" t="n"/>
      <c r="D1357" s="32" t="n"/>
      <c r="E1357" s="43">
        <f>IF(OR(A1357="",B1357=""),"",SUMPRODUCT(MAX(($B$6:$B$2005=B1357)*($A$6:$A$2005&lt;A1357)*$A$6:$A$2005)))</f>
        <v/>
      </c>
      <c r="F1357" s="41">
        <f>IF(OR(E1357="",E1357=0),"",IFERROR(AVERAGEIFS($C$6:$C$2005,$B$6:$B$2005,B1357,$A$6:$A$2005,E1357),""))</f>
        <v/>
      </c>
      <c r="G1357" s="34">
        <f>IF(F1357="","",A1357-E1357)</f>
        <v/>
      </c>
      <c r="H1357" s="42">
        <f>IF(OR(F1357="",C1357=""),"",IFERROR((C1357-F1357)/G1357,""))</f>
        <v/>
      </c>
      <c r="I1357" s="39">
        <f>IF(B1357="","",IFERROR(INDEX('Animais'!$M$6:$M$1005,MATCH(B1357,'Animais'!$A$6:$A$1005,0)),"Brinco não cadastrado"))</f>
        <v/>
      </c>
    </row>
    <row r="1358">
      <c r="A1358" s="31" t="n"/>
      <c r="B1358" s="36" t="n"/>
      <c r="C1358" s="38" t="n"/>
      <c r="D1358" s="32" t="n"/>
      <c r="E1358" s="43">
        <f>IF(OR(A1358="",B1358=""),"",SUMPRODUCT(MAX(($B$6:$B$2005=B1358)*($A$6:$A$2005&lt;A1358)*$A$6:$A$2005)))</f>
        <v/>
      </c>
      <c r="F1358" s="41">
        <f>IF(OR(E1358="",E1358=0),"",IFERROR(AVERAGEIFS($C$6:$C$2005,$B$6:$B$2005,B1358,$A$6:$A$2005,E1358),""))</f>
        <v/>
      </c>
      <c r="G1358" s="34">
        <f>IF(F1358="","",A1358-E1358)</f>
        <v/>
      </c>
      <c r="H1358" s="42">
        <f>IF(OR(F1358="",C1358=""),"",IFERROR((C1358-F1358)/G1358,""))</f>
        <v/>
      </c>
      <c r="I1358" s="39">
        <f>IF(B1358="","",IFERROR(INDEX('Animais'!$M$6:$M$1005,MATCH(B1358,'Animais'!$A$6:$A$1005,0)),"Brinco não cadastrado"))</f>
        <v/>
      </c>
    </row>
    <row r="1359">
      <c r="A1359" s="31" t="n"/>
      <c r="B1359" s="36" t="n"/>
      <c r="C1359" s="38" t="n"/>
      <c r="D1359" s="32" t="n"/>
      <c r="E1359" s="43">
        <f>IF(OR(A1359="",B1359=""),"",SUMPRODUCT(MAX(($B$6:$B$2005=B1359)*($A$6:$A$2005&lt;A1359)*$A$6:$A$2005)))</f>
        <v/>
      </c>
      <c r="F1359" s="41">
        <f>IF(OR(E1359="",E1359=0),"",IFERROR(AVERAGEIFS($C$6:$C$2005,$B$6:$B$2005,B1359,$A$6:$A$2005,E1359),""))</f>
        <v/>
      </c>
      <c r="G1359" s="34">
        <f>IF(F1359="","",A1359-E1359)</f>
        <v/>
      </c>
      <c r="H1359" s="42">
        <f>IF(OR(F1359="",C1359=""),"",IFERROR((C1359-F1359)/G1359,""))</f>
        <v/>
      </c>
      <c r="I1359" s="39">
        <f>IF(B1359="","",IFERROR(INDEX('Animais'!$M$6:$M$1005,MATCH(B1359,'Animais'!$A$6:$A$1005,0)),"Brinco não cadastrado"))</f>
        <v/>
      </c>
    </row>
    <row r="1360">
      <c r="A1360" s="31" t="n"/>
      <c r="B1360" s="36" t="n"/>
      <c r="C1360" s="38" t="n"/>
      <c r="D1360" s="32" t="n"/>
      <c r="E1360" s="43">
        <f>IF(OR(A1360="",B1360=""),"",SUMPRODUCT(MAX(($B$6:$B$2005=B1360)*($A$6:$A$2005&lt;A1360)*$A$6:$A$2005)))</f>
        <v/>
      </c>
      <c r="F1360" s="41">
        <f>IF(OR(E1360="",E1360=0),"",IFERROR(AVERAGEIFS($C$6:$C$2005,$B$6:$B$2005,B1360,$A$6:$A$2005,E1360),""))</f>
        <v/>
      </c>
      <c r="G1360" s="34">
        <f>IF(F1360="","",A1360-E1360)</f>
        <v/>
      </c>
      <c r="H1360" s="42">
        <f>IF(OR(F1360="",C1360=""),"",IFERROR((C1360-F1360)/G1360,""))</f>
        <v/>
      </c>
      <c r="I1360" s="39">
        <f>IF(B1360="","",IFERROR(INDEX('Animais'!$M$6:$M$1005,MATCH(B1360,'Animais'!$A$6:$A$1005,0)),"Brinco não cadastrado"))</f>
        <v/>
      </c>
    </row>
    <row r="1361">
      <c r="A1361" s="31" t="n"/>
      <c r="B1361" s="36" t="n"/>
      <c r="C1361" s="38" t="n"/>
      <c r="D1361" s="32" t="n"/>
      <c r="E1361" s="43">
        <f>IF(OR(A1361="",B1361=""),"",SUMPRODUCT(MAX(($B$6:$B$2005=B1361)*($A$6:$A$2005&lt;A1361)*$A$6:$A$2005)))</f>
        <v/>
      </c>
      <c r="F1361" s="41">
        <f>IF(OR(E1361="",E1361=0),"",IFERROR(AVERAGEIFS($C$6:$C$2005,$B$6:$B$2005,B1361,$A$6:$A$2005,E1361),""))</f>
        <v/>
      </c>
      <c r="G1361" s="34">
        <f>IF(F1361="","",A1361-E1361)</f>
        <v/>
      </c>
      <c r="H1361" s="42">
        <f>IF(OR(F1361="",C1361=""),"",IFERROR((C1361-F1361)/G1361,""))</f>
        <v/>
      </c>
      <c r="I1361" s="39">
        <f>IF(B1361="","",IFERROR(INDEX('Animais'!$M$6:$M$1005,MATCH(B1361,'Animais'!$A$6:$A$1005,0)),"Brinco não cadastrado"))</f>
        <v/>
      </c>
    </row>
    <row r="1362">
      <c r="A1362" s="31" t="n"/>
      <c r="B1362" s="36" t="n"/>
      <c r="C1362" s="38" t="n"/>
      <c r="D1362" s="32" t="n"/>
      <c r="E1362" s="43">
        <f>IF(OR(A1362="",B1362=""),"",SUMPRODUCT(MAX(($B$6:$B$2005=B1362)*($A$6:$A$2005&lt;A1362)*$A$6:$A$2005)))</f>
        <v/>
      </c>
      <c r="F1362" s="41">
        <f>IF(OR(E1362="",E1362=0),"",IFERROR(AVERAGEIFS($C$6:$C$2005,$B$6:$B$2005,B1362,$A$6:$A$2005,E1362),""))</f>
        <v/>
      </c>
      <c r="G1362" s="34">
        <f>IF(F1362="","",A1362-E1362)</f>
        <v/>
      </c>
      <c r="H1362" s="42">
        <f>IF(OR(F1362="",C1362=""),"",IFERROR((C1362-F1362)/G1362,""))</f>
        <v/>
      </c>
      <c r="I1362" s="39">
        <f>IF(B1362="","",IFERROR(INDEX('Animais'!$M$6:$M$1005,MATCH(B1362,'Animais'!$A$6:$A$1005,0)),"Brinco não cadastrado"))</f>
        <v/>
      </c>
    </row>
    <row r="1363">
      <c r="A1363" s="31" t="n"/>
      <c r="B1363" s="36" t="n"/>
      <c r="C1363" s="38" t="n"/>
      <c r="D1363" s="32" t="n"/>
      <c r="E1363" s="43">
        <f>IF(OR(A1363="",B1363=""),"",SUMPRODUCT(MAX(($B$6:$B$2005=B1363)*($A$6:$A$2005&lt;A1363)*$A$6:$A$2005)))</f>
        <v/>
      </c>
      <c r="F1363" s="41">
        <f>IF(OR(E1363="",E1363=0),"",IFERROR(AVERAGEIFS($C$6:$C$2005,$B$6:$B$2005,B1363,$A$6:$A$2005,E1363),""))</f>
        <v/>
      </c>
      <c r="G1363" s="34">
        <f>IF(F1363="","",A1363-E1363)</f>
        <v/>
      </c>
      <c r="H1363" s="42">
        <f>IF(OR(F1363="",C1363=""),"",IFERROR((C1363-F1363)/G1363,""))</f>
        <v/>
      </c>
      <c r="I1363" s="39">
        <f>IF(B1363="","",IFERROR(INDEX('Animais'!$M$6:$M$1005,MATCH(B1363,'Animais'!$A$6:$A$1005,0)),"Brinco não cadastrado"))</f>
        <v/>
      </c>
    </row>
    <row r="1364">
      <c r="A1364" s="31" t="n"/>
      <c r="B1364" s="36" t="n"/>
      <c r="C1364" s="38" t="n"/>
      <c r="D1364" s="32" t="n"/>
      <c r="E1364" s="43">
        <f>IF(OR(A1364="",B1364=""),"",SUMPRODUCT(MAX(($B$6:$B$2005=B1364)*($A$6:$A$2005&lt;A1364)*$A$6:$A$2005)))</f>
        <v/>
      </c>
      <c r="F1364" s="41">
        <f>IF(OR(E1364="",E1364=0),"",IFERROR(AVERAGEIFS($C$6:$C$2005,$B$6:$B$2005,B1364,$A$6:$A$2005,E1364),""))</f>
        <v/>
      </c>
      <c r="G1364" s="34">
        <f>IF(F1364="","",A1364-E1364)</f>
        <v/>
      </c>
      <c r="H1364" s="42">
        <f>IF(OR(F1364="",C1364=""),"",IFERROR((C1364-F1364)/G1364,""))</f>
        <v/>
      </c>
      <c r="I1364" s="39">
        <f>IF(B1364="","",IFERROR(INDEX('Animais'!$M$6:$M$1005,MATCH(B1364,'Animais'!$A$6:$A$1005,0)),"Brinco não cadastrado"))</f>
        <v/>
      </c>
    </row>
    <row r="1365">
      <c r="A1365" s="31" t="n"/>
      <c r="B1365" s="36" t="n"/>
      <c r="C1365" s="38" t="n"/>
      <c r="D1365" s="32" t="n"/>
      <c r="E1365" s="43">
        <f>IF(OR(A1365="",B1365=""),"",SUMPRODUCT(MAX(($B$6:$B$2005=B1365)*($A$6:$A$2005&lt;A1365)*$A$6:$A$2005)))</f>
        <v/>
      </c>
      <c r="F1365" s="41">
        <f>IF(OR(E1365="",E1365=0),"",IFERROR(AVERAGEIFS($C$6:$C$2005,$B$6:$B$2005,B1365,$A$6:$A$2005,E1365),""))</f>
        <v/>
      </c>
      <c r="G1365" s="34">
        <f>IF(F1365="","",A1365-E1365)</f>
        <v/>
      </c>
      <c r="H1365" s="42">
        <f>IF(OR(F1365="",C1365=""),"",IFERROR((C1365-F1365)/G1365,""))</f>
        <v/>
      </c>
      <c r="I1365" s="39">
        <f>IF(B1365="","",IFERROR(INDEX('Animais'!$M$6:$M$1005,MATCH(B1365,'Animais'!$A$6:$A$1005,0)),"Brinco não cadastrado"))</f>
        <v/>
      </c>
    </row>
    <row r="1366">
      <c r="A1366" s="31" t="n"/>
      <c r="B1366" s="36" t="n"/>
      <c r="C1366" s="38" t="n"/>
      <c r="D1366" s="32" t="n"/>
      <c r="E1366" s="43">
        <f>IF(OR(A1366="",B1366=""),"",SUMPRODUCT(MAX(($B$6:$B$2005=B1366)*($A$6:$A$2005&lt;A1366)*$A$6:$A$2005)))</f>
        <v/>
      </c>
      <c r="F1366" s="41">
        <f>IF(OR(E1366="",E1366=0),"",IFERROR(AVERAGEIFS($C$6:$C$2005,$B$6:$B$2005,B1366,$A$6:$A$2005,E1366),""))</f>
        <v/>
      </c>
      <c r="G1366" s="34">
        <f>IF(F1366="","",A1366-E1366)</f>
        <v/>
      </c>
      <c r="H1366" s="42">
        <f>IF(OR(F1366="",C1366=""),"",IFERROR((C1366-F1366)/G1366,""))</f>
        <v/>
      </c>
      <c r="I1366" s="39">
        <f>IF(B1366="","",IFERROR(INDEX('Animais'!$M$6:$M$1005,MATCH(B1366,'Animais'!$A$6:$A$1005,0)),"Brinco não cadastrado"))</f>
        <v/>
      </c>
    </row>
    <row r="1367">
      <c r="A1367" s="31" t="n"/>
      <c r="B1367" s="36" t="n"/>
      <c r="C1367" s="38" t="n"/>
      <c r="D1367" s="32" t="n"/>
      <c r="E1367" s="43">
        <f>IF(OR(A1367="",B1367=""),"",SUMPRODUCT(MAX(($B$6:$B$2005=B1367)*($A$6:$A$2005&lt;A1367)*$A$6:$A$2005)))</f>
        <v/>
      </c>
      <c r="F1367" s="41">
        <f>IF(OR(E1367="",E1367=0),"",IFERROR(AVERAGEIFS($C$6:$C$2005,$B$6:$B$2005,B1367,$A$6:$A$2005,E1367),""))</f>
        <v/>
      </c>
      <c r="G1367" s="34">
        <f>IF(F1367="","",A1367-E1367)</f>
        <v/>
      </c>
      <c r="H1367" s="42">
        <f>IF(OR(F1367="",C1367=""),"",IFERROR((C1367-F1367)/G1367,""))</f>
        <v/>
      </c>
      <c r="I1367" s="39">
        <f>IF(B1367="","",IFERROR(INDEX('Animais'!$M$6:$M$1005,MATCH(B1367,'Animais'!$A$6:$A$1005,0)),"Brinco não cadastrado"))</f>
        <v/>
      </c>
    </row>
    <row r="1368">
      <c r="A1368" s="31" t="n"/>
      <c r="B1368" s="36" t="n"/>
      <c r="C1368" s="38" t="n"/>
      <c r="D1368" s="32" t="n"/>
      <c r="E1368" s="43">
        <f>IF(OR(A1368="",B1368=""),"",SUMPRODUCT(MAX(($B$6:$B$2005=B1368)*($A$6:$A$2005&lt;A1368)*$A$6:$A$2005)))</f>
        <v/>
      </c>
      <c r="F1368" s="41">
        <f>IF(OR(E1368="",E1368=0),"",IFERROR(AVERAGEIFS($C$6:$C$2005,$B$6:$B$2005,B1368,$A$6:$A$2005,E1368),""))</f>
        <v/>
      </c>
      <c r="G1368" s="34">
        <f>IF(F1368="","",A1368-E1368)</f>
        <v/>
      </c>
      <c r="H1368" s="42">
        <f>IF(OR(F1368="",C1368=""),"",IFERROR((C1368-F1368)/G1368,""))</f>
        <v/>
      </c>
      <c r="I1368" s="39">
        <f>IF(B1368="","",IFERROR(INDEX('Animais'!$M$6:$M$1005,MATCH(B1368,'Animais'!$A$6:$A$1005,0)),"Brinco não cadastrado"))</f>
        <v/>
      </c>
    </row>
    <row r="1369">
      <c r="A1369" s="31" t="n"/>
      <c r="B1369" s="36" t="n"/>
      <c r="C1369" s="38" t="n"/>
      <c r="D1369" s="32" t="n"/>
      <c r="E1369" s="43">
        <f>IF(OR(A1369="",B1369=""),"",SUMPRODUCT(MAX(($B$6:$B$2005=B1369)*($A$6:$A$2005&lt;A1369)*$A$6:$A$2005)))</f>
        <v/>
      </c>
      <c r="F1369" s="41">
        <f>IF(OR(E1369="",E1369=0),"",IFERROR(AVERAGEIFS($C$6:$C$2005,$B$6:$B$2005,B1369,$A$6:$A$2005,E1369),""))</f>
        <v/>
      </c>
      <c r="G1369" s="34">
        <f>IF(F1369="","",A1369-E1369)</f>
        <v/>
      </c>
      <c r="H1369" s="42">
        <f>IF(OR(F1369="",C1369=""),"",IFERROR((C1369-F1369)/G1369,""))</f>
        <v/>
      </c>
      <c r="I1369" s="39">
        <f>IF(B1369="","",IFERROR(INDEX('Animais'!$M$6:$M$1005,MATCH(B1369,'Animais'!$A$6:$A$1005,0)),"Brinco não cadastrado"))</f>
        <v/>
      </c>
    </row>
    <row r="1370">
      <c r="A1370" s="31" t="n"/>
      <c r="B1370" s="36" t="n"/>
      <c r="C1370" s="38" t="n"/>
      <c r="D1370" s="32" t="n"/>
      <c r="E1370" s="43">
        <f>IF(OR(A1370="",B1370=""),"",SUMPRODUCT(MAX(($B$6:$B$2005=B1370)*($A$6:$A$2005&lt;A1370)*$A$6:$A$2005)))</f>
        <v/>
      </c>
      <c r="F1370" s="41">
        <f>IF(OR(E1370="",E1370=0),"",IFERROR(AVERAGEIFS($C$6:$C$2005,$B$6:$B$2005,B1370,$A$6:$A$2005,E1370),""))</f>
        <v/>
      </c>
      <c r="G1370" s="34">
        <f>IF(F1370="","",A1370-E1370)</f>
        <v/>
      </c>
      <c r="H1370" s="42">
        <f>IF(OR(F1370="",C1370=""),"",IFERROR((C1370-F1370)/G1370,""))</f>
        <v/>
      </c>
      <c r="I1370" s="39">
        <f>IF(B1370="","",IFERROR(INDEX('Animais'!$M$6:$M$1005,MATCH(B1370,'Animais'!$A$6:$A$1005,0)),"Brinco não cadastrado"))</f>
        <v/>
      </c>
    </row>
    <row r="1371">
      <c r="A1371" s="31" t="n"/>
      <c r="B1371" s="36" t="n"/>
      <c r="C1371" s="38" t="n"/>
      <c r="D1371" s="32" t="n"/>
      <c r="E1371" s="43">
        <f>IF(OR(A1371="",B1371=""),"",SUMPRODUCT(MAX(($B$6:$B$2005=B1371)*($A$6:$A$2005&lt;A1371)*$A$6:$A$2005)))</f>
        <v/>
      </c>
      <c r="F1371" s="41">
        <f>IF(OR(E1371="",E1371=0),"",IFERROR(AVERAGEIFS($C$6:$C$2005,$B$6:$B$2005,B1371,$A$6:$A$2005,E1371),""))</f>
        <v/>
      </c>
      <c r="G1371" s="34">
        <f>IF(F1371="","",A1371-E1371)</f>
        <v/>
      </c>
      <c r="H1371" s="42">
        <f>IF(OR(F1371="",C1371=""),"",IFERROR((C1371-F1371)/G1371,""))</f>
        <v/>
      </c>
      <c r="I1371" s="39">
        <f>IF(B1371="","",IFERROR(INDEX('Animais'!$M$6:$M$1005,MATCH(B1371,'Animais'!$A$6:$A$1005,0)),"Brinco não cadastrado"))</f>
        <v/>
      </c>
    </row>
    <row r="1372">
      <c r="A1372" s="31" t="n"/>
      <c r="B1372" s="36" t="n"/>
      <c r="C1372" s="38" t="n"/>
      <c r="D1372" s="32" t="n"/>
      <c r="E1372" s="43">
        <f>IF(OR(A1372="",B1372=""),"",SUMPRODUCT(MAX(($B$6:$B$2005=B1372)*($A$6:$A$2005&lt;A1372)*$A$6:$A$2005)))</f>
        <v/>
      </c>
      <c r="F1372" s="41">
        <f>IF(OR(E1372="",E1372=0),"",IFERROR(AVERAGEIFS($C$6:$C$2005,$B$6:$B$2005,B1372,$A$6:$A$2005,E1372),""))</f>
        <v/>
      </c>
      <c r="G1372" s="34">
        <f>IF(F1372="","",A1372-E1372)</f>
        <v/>
      </c>
      <c r="H1372" s="42">
        <f>IF(OR(F1372="",C1372=""),"",IFERROR((C1372-F1372)/G1372,""))</f>
        <v/>
      </c>
      <c r="I1372" s="39">
        <f>IF(B1372="","",IFERROR(INDEX('Animais'!$M$6:$M$1005,MATCH(B1372,'Animais'!$A$6:$A$1005,0)),"Brinco não cadastrado"))</f>
        <v/>
      </c>
    </row>
    <row r="1373">
      <c r="A1373" s="31" t="n"/>
      <c r="B1373" s="36" t="n"/>
      <c r="C1373" s="38" t="n"/>
      <c r="D1373" s="32" t="n"/>
      <c r="E1373" s="43">
        <f>IF(OR(A1373="",B1373=""),"",SUMPRODUCT(MAX(($B$6:$B$2005=B1373)*($A$6:$A$2005&lt;A1373)*$A$6:$A$2005)))</f>
        <v/>
      </c>
      <c r="F1373" s="41">
        <f>IF(OR(E1373="",E1373=0),"",IFERROR(AVERAGEIFS($C$6:$C$2005,$B$6:$B$2005,B1373,$A$6:$A$2005,E1373),""))</f>
        <v/>
      </c>
      <c r="G1373" s="34">
        <f>IF(F1373="","",A1373-E1373)</f>
        <v/>
      </c>
      <c r="H1373" s="42">
        <f>IF(OR(F1373="",C1373=""),"",IFERROR((C1373-F1373)/G1373,""))</f>
        <v/>
      </c>
      <c r="I1373" s="39">
        <f>IF(B1373="","",IFERROR(INDEX('Animais'!$M$6:$M$1005,MATCH(B1373,'Animais'!$A$6:$A$1005,0)),"Brinco não cadastrado"))</f>
        <v/>
      </c>
    </row>
    <row r="1374">
      <c r="A1374" s="31" t="n"/>
      <c r="B1374" s="36" t="n"/>
      <c r="C1374" s="38" t="n"/>
      <c r="D1374" s="32" t="n"/>
      <c r="E1374" s="43">
        <f>IF(OR(A1374="",B1374=""),"",SUMPRODUCT(MAX(($B$6:$B$2005=B1374)*($A$6:$A$2005&lt;A1374)*$A$6:$A$2005)))</f>
        <v/>
      </c>
      <c r="F1374" s="41">
        <f>IF(OR(E1374="",E1374=0),"",IFERROR(AVERAGEIFS($C$6:$C$2005,$B$6:$B$2005,B1374,$A$6:$A$2005,E1374),""))</f>
        <v/>
      </c>
      <c r="G1374" s="34">
        <f>IF(F1374="","",A1374-E1374)</f>
        <v/>
      </c>
      <c r="H1374" s="42">
        <f>IF(OR(F1374="",C1374=""),"",IFERROR((C1374-F1374)/G1374,""))</f>
        <v/>
      </c>
      <c r="I1374" s="39">
        <f>IF(B1374="","",IFERROR(INDEX('Animais'!$M$6:$M$1005,MATCH(B1374,'Animais'!$A$6:$A$1005,0)),"Brinco não cadastrado"))</f>
        <v/>
      </c>
    </row>
    <row r="1375">
      <c r="A1375" s="31" t="n"/>
      <c r="B1375" s="36" t="n"/>
      <c r="C1375" s="38" t="n"/>
      <c r="D1375" s="32" t="n"/>
      <c r="E1375" s="43">
        <f>IF(OR(A1375="",B1375=""),"",SUMPRODUCT(MAX(($B$6:$B$2005=B1375)*($A$6:$A$2005&lt;A1375)*$A$6:$A$2005)))</f>
        <v/>
      </c>
      <c r="F1375" s="41">
        <f>IF(OR(E1375="",E1375=0),"",IFERROR(AVERAGEIFS($C$6:$C$2005,$B$6:$B$2005,B1375,$A$6:$A$2005,E1375),""))</f>
        <v/>
      </c>
      <c r="G1375" s="34">
        <f>IF(F1375="","",A1375-E1375)</f>
        <v/>
      </c>
      <c r="H1375" s="42">
        <f>IF(OR(F1375="",C1375=""),"",IFERROR((C1375-F1375)/G1375,""))</f>
        <v/>
      </c>
      <c r="I1375" s="39">
        <f>IF(B1375="","",IFERROR(INDEX('Animais'!$M$6:$M$1005,MATCH(B1375,'Animais'!$A$6:$A$1005,0)),"Brinco não cadastrado"))</f>
        <v/>
      </c>
    </row>
    <row r="1376">
      <c r="A1376" s="31" t="n"/>
      <c r="B1376" s="36" t="n"/>
      <c r="C1376" s="38" t="n"/>
      <c r="D1376" s="32" t="n"/>
      <c r="E1376" s="43">
        <f>IF(OR(A1376="",B1376=""),"",SUMPRODUCT(MAX(($B$6:$B$2005=B1376)*($A$6:$A$2005&lt;A1376)*$A$6:$A$2005)))</f>
        <v/>
      </c>
      <c r="F1376" s="41">
        <f>IF(OR(E1376="",E1376=0),"",IFERROR(AVERAGEIFS($C$6:$C$2005,$B$6:$B$2005,B1376,$A$6:$A$2005,E1376),""))</f>
        <v/>
      </c>
      <c r="G1376" s="34">
        <f>IF(F1376="","",A1376-E1376)</f>
        <v/>
      </c>
      <c r="H1376" s="42">
        <f>IF(OR(F1376="",C1376=""),"",IFERROR((C1376-F1376)/G1376,""))</f>
        <v/>
      </c>
      <c r="I1376" s="39">
        <f>IF(B1376="","",IFERROR(INDEX('Animais'!$M$6:$M$1005,MATCH(B1376,'Animais'!$A$6:$A$1005,0)),"Brinco não cadastrado"))</f>
        <v/>
      </c>
    </row>
    <row r="1377">
      <c r="A1377" s="31" t="n"/>
      <c r="B1377" s="36" t="n"/>
      <c r="C1377" s="38" t="n"/>
      <c r="D1377" s="32" t="n"/>
      <c r="E1377" s="43">
        <f>IF(OR(A1377="",B1377=""),"",SUMPRODUCT(MAX(($B$6:$B$2005=B1377)*($A$6:$A$2005&lt;A1377)*$A$6:$A$2005)))</f>
        <v/>
      </c>
      <c r="F1377" s="41">
        <f>IF(OR(E1377="",E1377=0),"",IFERROR(AVERAGEIFS($C$6:$C$2005,$B$6:$B$2005,B1377,$A$6:$A$2005,E1377),""))</f>
        <v/>
      </c>
      <c r="G1377" s="34">
        <f>IF(F1377="","",A1377-E1377)</f>
        <v/>
      </c>
      <c r="H1377" s="42">
        <f>IF(OR(F1377="",C1377=""),"",IFERROR((C1377-F1377)/G1377,""))</f>
        <v/>
      </c>
      <c r="I1377" s="39">
        <f>IF(B1377="","",IFERROR(INDEX('Animais'!$M$6:$M$1005,MATCH(B1377,'Animais'!$A$6:$A$1005,0)),"Brinco não cadastrado"))</f>
        <v/>
      </c>
    </row>
    <row r="1378">
      <c r="A1378" s="31" t="n"/>
      <c r="B1378" s="36" t="n"/>
      <c r="C1378" s="38" t="n"/>
      <c r="D1378" s="32" t="n"/>
      <c r="E1378" s="43">
        <f>IF(OR(A1378="",B1378=""),"",SUMPRODUCT(MAX(($B$6:$B$2005=B1378)*($A$6:$A$2005&lt;A1378)*$A$6:$A$2005)))</f>
        <v/>
      </c>
      <c r="F1378" s="41">
        <f>IF(OR(E1378="",E1378=0),"",IFERROR(AVERAGEIFS($C$6:$C$2005,$B$6:$B$2005,B1378,$A$6:$A$2005,E1378),""))</f>
        <v/>
      </c>
      <c r="G1378" s="34">
        <f>IF(F1378="","",A1378-E1378)</f>
        <v/>
      </c>
      <c r="H1378" s="42">
        <f>IF(OR(F1378="",C1378=""),"",IFERROR((C1378-F1378)/G1378,""))</f>
        <v/>
      </c>
      <c r="I1378" s="39">
        <f>IF(B1378="","",IFERROR(INDEX('Animais'!$M$6:$M$1005,MATCH(B1378,'Animais'!$A$6:$A$1005,0)),"Brinco não cadastrado"))</f>
        <v/>
      </c>
    </row>
    <row r="1379">
      <c r="A1379" s="31" t="n"/>
      <c r="B1379" s="36" t="n"/>
      <c r="C1379" s="38" t="n"/>
      <c r="D1379" s="32" t="n"/>
      <c r="E1379" s="43">
        <f>IF(OR(A1379="",B1379=""),"",SUMPRODUCT(MAX(($B$6:$B$2005=B1379)*($A$6:$A$2005&lt;A1379)*$A$6:$A$2005)))</f>
        <v/>
      </c>
      <c r="F1379" s="41">
        <f>IF(OR(E1379="",E1379=0),"",IFERROR(AVERAGEIFS($C$6:$C$2005,$B$6:$B$2005,B1379,$A$6:$A$2005,E1379),""))</f>
        <v/>
      </c>
      <c r="G1379" s="34">
        <f>IF(F1379="","",A1379-E1379)</f>
        <v/>
      </c>
      <c r="H1379" s="42">
        <f>IF(OR(F1379="",C1379=""),"",IFERROR((C1379-F1379)/G1379,""))</f>
        <v/>
      </c>
      <c r="I1379" s="39">
        <f>IF(B1379="","",IFERROR(INDEX('Animais'!$M$6:$M$1005,MATCH(B1379,'Animais'!$A$6:$A$1005,0)),"Brinco não cadastrado"))</f>
        <v/>
      </c>
    </row>
    <row r="1380">
      <c r="A1380" s="31" t="n"/>
      <c r="B1380" s="36" t="n"/>
      <c r="C1380" s="38" t="n"/>
      <c r="D1380" s="32" t="n"/>
      <c r="E1380" s="43">
        <f>IF(OR(A1380="",B1380=""),"",SUMPRODUCT(MAX(($B$6:$B$2005=B1380)*($A$6:$A$2005&lt;A1380)*$A$6:$A$2005)))</f>
        <v/>
      </c>
      <c r="F1380" s="41">
        <f>IF(OR(E1380="",E1380=0),"",IFERROR(AVERAGEIFS($C$6:$C$2005,$B$6:$B$2005,B1380,$A$6:$A$2005,E1380),""))</f>
        <v/>
      </c>
      <c r="G1380" s="34">
        <f>IF(F1380="","",A1380-E1380)</f>
        <v/>
      </c>
      <c r="H1380" s="42">
        <f>IF(OR(F1380="",C1380=""),"",IFERROR((C1380-F1380)/G1380,""))</f>
        <v/>
      </c>
      <c r="I1380" s="39">
        <f>IF(B1380="","",IFERROR(INDEX('Animais'!$M$6:$M$1005,MATCH(B1380,'Animais'!$A$6:$A$1005,0)),"Brinco não cadastrado"))</f>
        <v/>
      </c>
    </row>
    <row r="1381">
      <c r="A1381" s="31" t="n"/>
      <c r="B1381" s="36" t="n"/>
      <c r="C1381" s="38" t="n"/>
      <c r="D1381" s="32" t="n"/>
      <c r="E1381" s="43">
        <f>IF(OR(A1381="",B1381=""),"",SUMPRODUCT(MAX(($B$6:$B$2005=B1381)*($A$6:$A$2005&lt;A1381)*$A$6:$A$2005)))</f>
        <v/>
      </c>
      <c r="F1381" s="41">
        <f>IF(OR(E1381="",E1381=0),"",IFERROR(AVERAGEIFS($C$6:$C$2005,$B$6:$B$2005,B1381,$A$6:$A$2005,E1381),""))</f>
        <v/>
      </c>
      <c r="G1381" s="34">
        <f>IF(F1381="","",A1381-E1381)</f>
        <v/>
      </c>
      <c r="H1381" s="42">
        <f>IF(OR(F1381="",C1381=""),"",IFERROR((C1381-F1381)/G1381,""))</f>
        <v/>
      </c>
      <c r="I1381" s="39">
        <f>IF(B1381="","",IFERROR(INDEX('Animais'!$M$6:$M$1005,MATCH(B1381,'Animais'!$A$6:$A$1005,0)),"Brinco não cadastrado"))</f>
        <v/>
      </c>
    </row>
    <row r="1382">
      <c r="A1382" s="31" t="n"/>
      <c r="B1382" s="36" t="n"/>
      <c r="C1382" s="38" t="n"/>
      <c r="D1382" s="32" t="n"/>
      <c r="E1382" s="43">
        <f>IF(OR(A1382="",B1382=""),"",SUMPRODUCT(MAX(($B$6:$B$2005=B1382)*($A$6:$A$2005&lt;A1382)*$A$6:$A$2005)))</f>
        <v/>
      </c>
      <c r="F1382" s="41">
        <f>IF(OR(E1382="",E1382=0),"",IFERROR(AVERAGEIFS($C$6:$C$2005,$B$6:$B$2005,B1382,$A$6:$A$2005,E1382),""))</f>
        <v/>
      </c>
      <c r="G1382" s="34">
        <f>IF(F1382="","",A1382-E1382)</f>
        <v/>
      </c>
      <c r="H1382" s="42">
        <f>IF(OR(F1382="",C1382=""),"",IFERROR((C1382-F1382)/G1382,""))</f>
        <v/>
      </c>
      <c r="I1382" s="39">
        <f>IF(B1382="","",IFERROR(INDEX('Animais'!$M$6:$M$1005,MATCH(B1382,'Animais'!$A$6:$A$1005,0)),"Brinco não cadastrado"))</f>
        <v/>
      </c>
    </row>
    <row r="1383">
      <c r="A1383" s="31" t="n"/>
      <c r="B1383" s="36" t="n"/>
      <c r="C1383" s="38" t="n"/>
      <c r="D1383" s="32" t="n"/>
      <c r="E1383" s="43">
        <f>IF(OR(A1383="",B1383=""),"",SUMPRODUCT(MAX(($B$6:$B$2005=B1383)*($A$6:$A$2005&lt;A1383)*$A$6:$A$2005)))</f>
        <v/>
      </c>
      <c r="F1383" s="41">
        <f>IF(OR(E1383="",E1383=0),"",IFERROR(AVERAGEIFS($C$6:$C$2005,$B$6:$B$2005,B1383,$A$6:$A$2005,E1383),""))</f>
        <v/>
      </c>
      <c r="G1383" s="34">
        <f>IF(F1383="","",A1383-E1383)</f>
        <v/>
      </c>
      <c r="H1383" s="42">
        <f>IF(OR(F1383="",C1383=""),"",IFERROR((C1383-F1383)/G1383,""))</f>
        <v/>
      </c>
      <c r="I1383" s="39">
        <f>IF(B1383="","",IFERROR(INDEX('Animais'!$M$6:$M$1005,MATCH(B1383,'Animais'!$A$6:$A$1005,0)),"Brinco não cadastrado"))</f>
        <v/>
      </c>
    </row>
    <row r="1384">
      <c r="A1384" s="31" t="n"/>
      <c r="B1384" s="36" t="n"/>
      <c r="C1384" s="38" t="n"/>
      <c r="D1384" s="32" t="n"/>
      <c r="E1384" s="43">
        <f>IF(OR(A1384="",B1384=""),"",SUMPRODUCT(MAX(($B$6:$B$2005=B1384)*($A$6:$A$2005&lt;A1384)*$A$6:$A$2005)))</f>
        <v/>
      </c>
      <c r="F1384" s="41">
        <f>IF(OR(E1384="",E1384=0),"",IFERROR(AVERAGEIFS($C$6:$C$2005,$B$6:$B$2005,B1384,$A$6:$A$2005,E1384),""))</f>
        <v/>
      </c>
      <c r="G1384" s="34">
        <f>IF(F1384="","",A1384-E1384)</f>
        <v/>
      </c>
      <c r="H1384" s="42">
        <f>IF(OR(F1384="",C1384=""),"",IFERROR((C1384-F1384)/G1384,""))</f>
        <v/>
      </c>
      <c r="I1384" s="39">
        <f>IF(B1384="","",IFERROR(INDEX('Animais'!$M$6:$M$1005,MATCH(B1384,'Animais'!$A$6:$A$1005,0)),"Brinco não cadastrado"))</f>
        <v/>
      </c>
    </row>
    <row r="1385">
      <c r="A1385" s="31" t="n"/>
      <c r="B1385" s="36" t="n"/>
      <c r="C1385" s="38" t="n"/>
      <c r="D1385" s="32" t="n"/>
      <c r="E1385" s="43">
        <f>IF(OR(A1385="",B1385=""),"",SUMPRODUCT(MAX(($B$6:$B$2005=B1385)*($A$6:$A$2005&lt;A1385)*$A$6:$A$2005)))</f>
        <v/>
      </c>
      <c r="F1385" s="41">
        <f>IF(OR(E1385="",E1385=0),"",IFERROR(AVERAGEIFS($C$6:$C$2005,$B$6:$B$2005,B1385,$A$6:$A$2005,E1385),""))</f>
        <v/>
      </c>
      <c r="G1385" s="34">
        <f>IF(F1385="","",A1385-E1385)</f>
        <v/>
      </c>
      <c r="H1385" s="42">
        <f>IF(OR(F1385="",C1385=""),"",IFERROR((C1385-F1385)/G1385,""))</f>
        <v/>
      </c>
      <c r="I1385" s="39">
        <f>IF(B1385="","",IFERROR(INDEX('Animais'!$M$6:$M$1005,MATCH(B1385,'Animais'!$A$6:$A$1005,0)),"Brinco não cadastrado"))</f>
        <v/>
      </c>
    </row>
    <row r="1386">
      <c r="A1386" s="31" t="n"/>
      <c r="B1386" s="36" t="n"/>
      <c r="C1386" s="38" t="n"/>
      <c r="D1386" s="32" t="n"/>
      <c r="E1386" s="43">
        <f>IF(OR(A1386="",B1386=""),"",SUMPRODUCT(MAX(($B$6:$B$2005=B1386)*($A$6:$A$2005&lt;A1386)*$A$6:$A$2005)))</f>
        <v/>
      </c>
      <c r="F1386" s="41">
        <f>IF(OR(E1386="",E1386=0),"",IFERROR(AVERAGEIFS($C$6:$C$2005,$B$6:$B$2005,B1386,$A$6:$A$2005,E1386),""))</f>
        <v/>
      </c>
      <c r="G1386" s="34">
        <f>IF(F1386="","",A1386-E1386)</f>
        <v/>
      </c>
      <c r="H1386" s="42">
        <f>IF(OR(F1386="",C1386=""),"",IFERROR((C1386-F1386)/G1386,""))</f>
        <v/>
      </c>
      <c r="I1386" s="39">
        <f>IF(B1386="","",IFERROR(INDEX('Animais'!$M$6:$M$1005,MATCH(B1386,'Animais'!$A$6:$A$1005,0)),"Brinco não cadastrado"))</f>
        <v/>
      </c>
    </row>
    <row r="1387">
      <c r="A1387" s="31" t="n"/>
      <c r="B1387" s="36" t="n"/>
      <c r="C1387" s="38" t="n"/>
      <c r="D1387" s="32" t="n"/>
      <c r="E1387" s="43">
        <f>IF(OR(A1387="",B1387=""),"",SUMPRODUCT(MAX(($B$6:$B$2005=B1387)*($A$6:$A$2005&lt;A1387)*$A$6:$A$2005)))</f>
        <v/>
      </c>
      <c r="F1387" s="41">
        <f>IF(OR(E1387="",E1387=0),"",IFERROR(AVERAGEIFS($C$6:$C$2005,$B$6:$B$2005,B1387,$A$6:$A$2005,E1387),""))</f>
        <v/>
      </c>
      <c r="G1387" s="34">
        <f>IF(F1387="","",A1387-E1387)</f>
        <v/>
      </c>
      <c r="H1387" s="42">
        <f>IF(OR(F1387="",C1387=""),"",IFERROR((C1387-F1387)/G1387,""))</f>
        <v/>
      </c>
      <c r="I1387" s="39">
        <f>IF(B1387="","",IFERROR(INDEX('Animais'!$M$6:$M$1005,MATCH(B1387,'Animais'!$A$6:$A$1005,0)),"Brinco não cadastrado"))</f>
        <v/>
      </c>
    </row>
    <row r="1388">
      <c r="A1388" s="31" t="n"/>
      <c r="B1388" s="36" t="n"/>
      <c r="C1388" s="38" t="n"/>
      <c r="D1388" s="32" t="n"/>
      <c r="E1388" s="43">
        <f>IF(OR(A1388="",B1388=""),"",SUMPRODUCT(MAX(($B$6:$B$2005=B1388)*($A$6:$A$2005&lt;A1388)*$A$6:$A$2005)))</f>
        <v/>
      </c>
      <c r="F1388" s="41">
        <f>IF(OR(E1388="",E1388=0),"",IFERROR(AVERAGEIFS($C$6:$C$2005,$B$6:$B$2005,B1388,$A$6:$A$2005,E1388),""))</f>
        <v/>
      </c>
      <c r="G1388" s="34">
        <f>IF(F1388="","",A1388-E1388)</f>
        <v/>
      </c>
      <c r="H1388" s="42">
        <f>IF(OR(F1388="",C1388=""),"",IFERROR((C1388-F1388)/G1388,""))</f>
        <v/>
      </c>
      <c r="I1388" s="39">
        <f>IF(B1388="","",IFERROR(INDEX('Animais'!$M$6:$M$1005,MATCH(B1388,'Animais'!$A$6:$A$1005,0)),"Brinco não cadastrado"))</f>
        <v/>
      </c>
    </row>
    <row r="1389">
      <c r="A1389" s="31" t="n"/>
      <c r="B1389" s="36" t="n"/>
      <c r="C1389" s="38" t="n"/>
      <c r="D1389" s="32" t="n"/>
      <c r="E1389" s="43">
        <f>IF(OR(A1389="",B1389=""),"",SUMPRODUCT(MAX(($B$6:$B$2005=B1389)*($A$6:$A$2005&lt;A1389)*$A$6:$A$2005)))</f>
        <v/>
      </c>
      <c r="F1389" s="41">
        <f>IF(OR(E1389="",E1389=0),"",IFERROR(AVERAGEIFS($C$6:$C$2005,$B$6:$B$2005,B1389,$A$6:$A$2005,E1389),""))</f>
        <v/>
      </c>
      <c r="G1389" s="34">
        <f>IF(F1389="","",A1389-E1389)</f>
        <v/>
      </c>
      <c r="H1389" s="42">
        <f>IF(OR(F1389="",C1389=""),"",IFERROR((C1389-F1389)/G1389,""))</f>
        <v/>
      </c>
      <c r="I1389" s="39">
        <f>IF(B1389="","",IFERROR(INDEX('Animais'!$M$6:$M$1005,MATCH(B1389,'Animais'!$A$6:$A$1005,0)),"Brinco não cadastrado"))</f>
        <v/>
      </c>
    </row>
    <row r="1390">
      <c r="A1390" s="31" t="n"/>
      <c r="B1390" s="36" t="n"/>
      <c r="C1390" s="38" t="n"/>
      <c r="D1390" s="32" t="n"/>
      <c r="E1390" s="43">
        <f>IF(OR(A1390="",B1390=""),"",SUMPRODUCT(MAX(($B$6:$B$2005=B1390)*($A$6:$A$2005&lt;A1390)*$A$6:$A$2005)))</f>
        <v/>
      </c>
      <c r="F1390" s="41">
        <f>IF(OR(E1390="",E1390=0),"",IFERROR(AVERAGEIFS($C$6:$C$2005,$B$6:$B$2005,B1390,$A$6:$A$2005,E1390),""))</f>
        <v/>
      </c>
      <c r="G1390" s="34">
        <f>IF(F1390="","",A1390-E1390)</f>
        <v/>
      </c>
      <c r="H1390" s="42">
        <f>IF(OR(F1390="",C1390=""),"",IFERROR((C1390-F1390)/G1390,""))</f>
        <v/>
      </c>
      <c r="I1390" s="39">
        <f>IF(B1390="","",IFERROR(INDEX('Animais'!$M$6:$M$1005,MATCH(B1390,'Animais'!$A$6:$A$1005,0)),"Brinco não cadastrado"))</f>
        <v/>
      </c>
    </row>
    <row r="1391">
      <c r="A1391" s="31" t="n"/>
      <c r="B1391" s="36" t="n"/>
      <c r="C1391" s="38" t="n"/>
      <c r="D1391" s="32" t="n"/>
      <c r="E1391" s="43">
        <f>IF(OR(A1391="",B1391=""),"",SUMPRODUCT(MAX(($B$6:$B$2005=B1391)*($A$6:$A$2005&lt;A1391)*$A$6:$A$2005)))</f>
        <v/>
      </c>
      <c r="F1391" s="41">
        <f>IF(OR(E1391="",E1391=0),"",IFERROR(AVERAGEIFS($C$6:$C$2005,$B$6:$B$2005,B1391,$A$6:$A$2005,E1391),""))</f>
        <v/>
      </c>
      <c r="G1391" s="34">
        <f>IF(F1391="","",A1391-E1391)</f>
        <v/>
      </c>
      <c r="H1391" s="42">
        <f>IF(OR(F1391="",C1391=""),"",IFERROR((C1391-F1391)/G1391,""))</f>
        <v/>
      </c>
      <c r="I1391" s="39">
        <f>IF(B1391="","",IFERROR(INDEX('Animais'!$M$6:$M$1005,MATCH(B1391,'Animais'!$A$6:$A$1005,0)),"Brinco não cadastrado"))</f>
        <v/>
      </c>
    </row>
    <row r="1392">
      <c r="A1392" s="31" t="n"/>
      <c r="B1392" s="36" t="n"/>
      <c r="C1392" s="38" t="n"/>
      <c r="D1392" s="32" t="n"/>
      <c r="E1392" s="43">
        <f>IF(OR(A1392="",B1392=""),"",SUMPRODUCT(MAX(($B$6:$B$2005=B1392)*($A$6:$A$2005&lt;A1392)*$A$6:$A$2005)))</f>
        <v/>
      </c>
      <c r="F1392" s="41">
        <f>IF(OR(E1392="",E1392=0),"",IFERROR(AVERAGEIFS($C$6:$C$2005,$B$6:$B$2005,B1392,$A$6:$A$2005,E1392),""))</f>
        <v/>
      </c>
      <c r="G1392" s="34">
        <f>IF(F1392="","",A1392-E1392)</f>
        <v/>
      </c>
      <c r="H1392" s="42">
        <f>IF(OR(F1392="",C1392=""),"",IFERROR((C1392-F1392)/G1392,""))</f>
        <v/>
      </c>
      <c r="I1392" s="39">
        <f>IF(B1392="","",IFERROR(INDEX('Animais'!$M$6:$M$1005,MATCH(B1392,'Animais'!$A$6:$A$1005,0)),"Brinco não cadastrado"))</f>
        <v/>
      </c>
    </row>
    <row r="1393">
      <c r="A1393" s="31" t="n"/>
      <c r="B1393" s="36" t="n"/>
      <c r="C1393" s="38" t="n"/>
      <c r="D1393" s="32" t="n"/>
      <c r="E1393" s="43">
        <f>IF(OR(A1393="",B1393=""),"",SUMPRODUCT(MAX(($B$6:$B$2005=B1393)*($A$6:$A$2005&lt;A1393)*$A$6:$A$2005)))</f>
        <v/>
      </c>
      <c r="F1393" s="41">
        <f>IF(OR(E1393="",E1393=0),"",IFERROR(AVERAGEIFS($C$6:$C$2005,$B$6:$B$2005,B1393,$A$6:$A$2005,E1393),""))</f>
        <v/>
      </c>
      <c r="G1393" s="34">
        <f>IF(F1393="","",A1393-E1393)</f>
        <v/>
      </c>
      <c r="H1393" s="42">
        <f>IF(OR(F1393="",C1393=""),"",IFERROR((C1393-F1393)/G1393,""))</f>
        <v/>
      </c>
      <c r="I1393" s="39">
        <f>IF(B1393="","",IFERROR(INDEX('Animais'!$M$6:$M$1005,MATCH(B1393,'Animais'!$A$6:$A$1005,0)),"Brinco não cadastrado"))</f>
        <v/>
      </c>
    </row>
    <row r="1394">
      <c r="A1394" s="31" t="n"/>
      <c r="B1394" s="36" t="n"/>
      <c r="C1394" s="38" t="n"/>
      <c r="D1394" s="32" t="n"/>
      <c r="E1394" s="43">
        <f>IF(OR(A1394="",B1394=""),"",SUMPRODUCT(MAX(($B$6:$B$2005=B1394)*($A$6:$A$2005&lt;A1394)*$A$6:$A$2005)))</f>
        <v/>
      </c>
      <c r="F1394" s="41">
        <f>IF(OR(E1394="",E1394=0),"",IFERROR(AVERAGEIFS($C$6:$C$2005,$B$6:$B$2005,B1394,$A$6:$A$2005,E1394),""))</f>
        <v/>
      </c>
      <c r="G1394" s="34">
        <f>IF(F1394="","",A1394-E1394)</f>
        <v/>
      </c>
      <c r="H1394" s="42">
        <f>IF(OR(F1394="",C1394=""),"",IFERROR((C1394-F1394)/G1394,""))</f>
        <v/>
      </c>
      <c r="I1394" s="39">
        <f>IF(B1394="","",IFERROR(INDEX('Animais'!$M$6:$M$1005,MATCH(B1394,'Animais'!$A$6:$A$1005,0)),"Brinco não cadastrado"))</f>
        <v/>
      </c>
    </row>
    <row r="1395">
      <c r="A1395" s="31" t="n"/>
      <c r="B1395" s="36" t="n"/>
      <c r="C1395" s="38" t="n"/>
      <c r="D1395" s="32" t="n"/>
      <c r="E1395" s="43">
        <f>IF(OR(A1395="",B1395=""),"",SUMPRODUCT(MAX(($B$6:$B$2005=B1395)*($A$6:$A$2005&lt;A1395)*$A$6:$A$2005)))</f>
        <v/>
      </c>
      <c r="F1395" s="41">
        <f>IF(OR(E1395="",E1395=0),"",IFERROR(AVERAGEIFS($C$6:$C$2005,$B$6:$B$2005,B1395,$A$6:$A$2005,E1395),""))</f>
        <v/>
      </c>
      <c r="G1395" s="34">
        <f>IF(F1395="","",A1395-E1395)</f>
        <v/>
      </c>
      <c r="H1395" s="42">
        <f>IF(OR(F1395="",C1395=""),"",IFERROR((C1395-F1395)/G1395,""))</f>
        <v/>
      </c>
      <c r="I1395" s="39">
        <f>IF(B1395="","",IFERROR(INDEX('Animais'!$M$6:$M$1005,MATCH(B1395,'Animais'!$A$6:$A$1005,0)),"Brinco não cadastrado"))</f>
        <v/>
      </c>
    </row>
    <row r="1396">
      <c r="A1396" s="31" t="n"/>
      <c r="B1396" s="36" t="n"/>
      <c r="C1396" s="38" t="n"/>
      <c r="D1396" s="32" t="n"/>
      <c r="E1396" s="43">
        <f>IF(OR(A1396="",B1396=""),"",SUMPRODUCT(MAX(($B$6:$B$2005=B1396)*($A$6:$A$2005&lt;A1396)*$A$6:$A$2005)))</f>
        <v/>
      </c>
      <c r="F1396" s="41">
        <f>IF(OR(E1396="",E1396=0),"",IFERROR(AVERAGEIFS($C$6:$C$2005,$B$6:$B$2005,B1396,$A$6:$A$2005,E1396),""))</f>
        <v/>
      </c>
      <c r="G1396" s="34">
        <f>IF(F1396="","",A1396-E1396)</f>
        <v/>
      </c>
      <c r="H1396" s="42">
        <f>IF(OR(F1396="",C1396=""),"",IFERROR((C1396-F1396)/G1396,""))</f>
        <v/>
      </c>
      <c r="I1396" s="39">
        <f>IF(B1396="","",IFERROR(INDEX('Animais'!$M$6:$M$1005,MATCH(B1396,'Animais'!$A$6:$A$1005,0)),"Brinco não cadastrado"))</f>
        <v/>
      </c>
    </row>
    <row r="1397">
      <c r="A1397" s="31" t="n"/>
      <c r="B1397" s="36" t="n"/>
      <c r="C1397" s="38" t="n"/>
      <c r="D1397" s="32" t="n"/>
      <c r="E1397" s="43">
        <f>IF(OR(A1397="",B1397=""),"",SUMPRODUCT(MAX(($B$6:$B$2005=B1397)*($A$6:$A$2005&lt;A1397)*$A$6:$A$2005)))</f>
        <v/>
      </c>
      <c r="F1397" s="41">
        <f>IF(OR(E1397="",E1397=0),"",IFERROR(AVERAGEIFS($C$6:$C$2005,$B$6:$B$2005,B1397,$A$6:$A$2005,E1397),""))</f>
        <v/>
      </c>
      <c r="G1397" s="34">
        <f>IF(F1397="","",A1397-E1397)</f>
        <v/>
      </c>
      <c r="H1397" s="42">
        <f>IF(OR(F1397="",C1397=""),"",IFERROR((C1397-F1397)/G1397,""))</f>
        <v/>
      </c>
      <c r="I1397" s="39">
        <f>IF(B1397="","",IFERROR(INDEX('Animais'!$M$6:$M$1005,MATCH(B1397,'Animais'!$A$6:$A$1005,0)),"Brinco não cadastrado"))</f>
        <v/>
      </c>
    </row>
    <row r="1398">
      <c r="A1398" s="31" t="n"/>
      <c r="B1398" s="36" t="n"/>
      <c r="C1398" s="38" t="n"/>
      <c r="D1398" s="32" t="n"/>
      <c r="E1398" s="43">
        <f>IF(OR(A1398="",B1398=""),"",SUMPRODUCT(MAX(($B$6:$B$2005=B1398)*($A$6:$A$2005&lt;A1398)*$A$6:$A$2005)))</f>
        <v/>
      </c>
      <c r="F1398" s="41">
        <f>IF(OR(E1398="",E1398=0),"",IFERROR(AVERAGEIFS($C$6:$C$2005,$B$6:$B$2005,B1398,$A$6:$A$2005,E1398),""))</f>
        <v/>
      </c>
      <c r="G1398" s="34">
        <f>IF(F1398="","",A1398-E1398)</f>
        <v/>
      </c>
      <c r="H1398" s="42">
        <f>IF(OR(F1398="",C1398=""),"",IFERROR((C1398-F1398)/G1398,""))</f>
        <v/>
      </c>
      <c r="I1398" s="39">
        <f>IF(B1398="","",IFERROR(INDEX('Animais'!$M$6:$M$1005,MATCH(B1398,'Animais'!$A$6:$A$1005,0)),"Brinco não cadastrado"))</f>
        <v/>
      </c>
    </row>
    <row r="1399">
      <c r="A1399" s="31" t="n"/>
      <c r="B1399" s="36" t="n"/>
      <c r="C1399" s="38" t="n"/>
      <c r="D1399" s="32" t="n"/>
      <c r="E1399" s="43">
        <f>IF(OR(A1399="",B1399=""),"",SUMPRODUCT(MAX(($B$6:$B$2005=B1399)*($A$6:$A$2005&lt;A1399)*$A$6:$A$2005)))</f>
        <v/>
      </c>
      <c r="F1399" s="41">
        <f>IF(OR(E1399="",E1399=0),"",IFERROR(AVERAGEIFS($C$6:$C$2005,$B$6:$B$2005,B1399,$A$6:$A$2005,E1399),""))</f>
        <v/>
      </c>
      <c r="G1399" s="34">
        <f>IF(F1399="","",A1399-E1399)</f>
        <v/>
      </c>
      <c r="H1399" s="42">
        <f>IF(OR(F1399="",C1399=""),"",IFERROR((C1399-F1399)/G1399,""))</f>
        <v/>
      </c>
      <c r="I1399" s="39">
        <f>IF(B1399="","",IFERROR(INDEX('Animais'!$M$6:$M$1005,MATCH(B1399,'Animais'!$A$6:$A$1005,0)),"Brinco não cadastrado"))</f>
        <v/>
      </c>
    </row>
    <row r="1400">
      <c r="A1400" s="31" t="n"/>
      <c r="B1400" s="36" t="n"/>
      <c r="C1400" s="38" t="n"/>
      <c r="D1400" s="32" t="n"/>
      <c r="E1400" s="43">
        <f>IF(OR(A1400="",B1400=""),"",SUMPRODUCT(MAX(($B$6:$B$2005=B1400)*($A$6:$A$2005&lt;A1400)*$A$6:$A$2005)))</f>
        <v/>
      </c>
      <c r="F1400" s="41">
        <f>IF(OR(E1400="",E1400=0),"",IFERROR(AVERAGEIFS($C$6:$C$2005,$B$6:$B$2005,B1400,$A$6:$A$2005,E1400),""))</f>
        <v/>
      </c>
      <c r="G1400" s="34">
        <f>IF(F1400="","",A1400-E1400)</f>
        <v/>
      </c>
      <c r="H1400" s="42">
        <f>IF(OR(F1400="",C1400=""),"",IFERROR((C1400-F1400)/G1400,""))</f>
        <v/>
      </c>
      <c r="I1400" s="39">
        <f>IF(B1400="","",IFERROR(INDEX('Animais'!$M$6:$M$1005,MATCH(B1400,'Animais'!$A$6:$A$1005,0)),"Brinco não cadastrado"))</f>
        <v/>
      </c>
    </row>
    <row r="1401">
      <c r="A1401" s="31" t="n"/>
      <c r="B1401" s="36" t="n"/>
      <c r="C1401" s="38" t="n"/>
      <c r="D1401" s="32" t="n"/>
      <c r="E1401" s="43">
        <f>IF(OR(A1401="",B1401=""),"",SUMPRODUCT(MAX(($B$6:$B$2005=B1401)*($A$6:$A$2005&lt;A1401)*$A$6:$A$2005)))</f>
        <v/>
      </c>
      <c r="F1401" s="41">
        <f>IF(OR(E1401="",E1401=0),"",IFERROR(AVERAGEIFS($C$6:$C$2005,$B$6:$B$2005,B1401,$A$6:$A$2005,E1401),""))</f>
        <v/>
      </c>
      <c r="G1401" s="34">
        <f>IF(F1401="","",A1401-E1401)</f>
        <v/>
      </c>
      <c r="H1401" s="42">
        <f>IF(OR(F1401="",C1401=""),"",IFERROR((C1401-F1401)/G1401,""))</f>
        <v/>
      </c>
      <c r="I1401" s="39">
        <f>IF(B1401="","",IFERROR(INDEX('Animais'!$M$6:$M$1005,MATCH(B1401,'Animais'!$A$6:$A$1005,0)),"Brinco não cadastrado"))</f>
        <v/>
      </c>
    </row>
    <row r="1402">
      <c r="A1402" s="31" t="n"/>
      <c r="B1402" s="36" t="n"/>
      <c r="C1402" s="38" t="n"/>
      <c r="D1402" s="32" t="n"/>
      <c r="E1402" s="43">
        <f>IF(OR(A1402="",B1402=""),"",SUMPRODUCT(MAX(($B$6:$B$2005=B1402)*($A$6:$A$2005&lt;A1402)*$A$6:$A$2005)))</f>
        <v/>
      </c>
      <c r="F1402" s="41">
        <f>IF(OR(E1402="",E1402=0),"",IFERROR(AVERAGEIFS($C$6:$C$2005,$B$6:$B$2005,B1402,$A$6:$A$2005,E1402),""))</f>
        <v/>
      </c>
      <c r="G1402" s="34">
        <f>IF(F1402="","",A1402-E1402)</f>
        <v/>
      </c>
      <c r="H1402" s="42">
        <f>IF(OR(F1402="",C1402=""),"",IFERROR((C1402-F1402)/G1402,""))</f>
        <v/>
      </c>
      <c r="I1402" s="39">
        <f>IF(B1402="","",IFERROR(INDEX('Animais'!$M$6:$M$1005,MATCH(B1402,'Animais'!$A$6:$A$1005,0)),"Brinco não cadastrado"))</f>
        <v/>
      </c>
    </row>
    <row r="1403">
      <c r="A1403" s="31" t="n"/>
      <c r="B1403" s="36" t="n"/>
      <c r="C1403" s="38" t="n"/>
      <c r="D1403" s="32" t="n"/>
      <c r="E1403" s="43">
        <f>IF(OR(A1403="",B1403=""),"",SUMPRODUCT(MAX(($B$6:$B$2005=B1403)*($A$6:$A$2005&lt;A1403)*$A$6:$A$2005)))</f>
        <v/>
      </c>
      <c r="F1403" s="41">
        <f>IF(OR(E1403="",E1403=0),"",IFERROR(AVERAGEIFS($C$6:$C$2005,$B$6:$B$2005,B1403,$A$6:$A$2005,E1403),""))</f>
        <v/>
      </c>
      <c r="G1403" s="34">
        <f>IF(F1403="","",A1403-E1403)</f>
        <v/>
      </c>
      <c r="H1403" s="42">
        <f>IF(OR(F1403="",C1403=""),"",IFERROR((C1403-F1403)/G1403,""))</f>
        <v/>
      </c>
      <c r="I1403" s="39">
        <f>IF(B1403="","",IFERROR(INDEX('Animais'!$M$6:$M$1005,MATCH(B1403,'Animais'!$A$6:$A$1005,0)),"Brinco não cadastrado"))</f>
        <v/>
      </c>
    </row>
    <row r="1404">
      <c r="A1404" s="31" t="n"/>
      <c r="B1404" s="36" t="n"/>
      <c r="C1404" s="38" t="n"/>
      <c r="D1404" s="32" t="n"/>
      <c r="E1404" s="43">
        <f>IF(OR(A1404="",B1404=""),"",SUMPRODUCT(MAX(($B$6:$B$2005=B1404)*($A$6:$A$2005&lt;A1404)*$A$6:$A$2005)))</f>
        <v/>
      </c>
      <c r="F1404" s="41">
        <f>IF(OR(E1404="",E1404=0),"",IFERROR(AVERAGEIFS($C$6:$C$2005,$B$6:$B$2005,B1404,$A$6:$A$2005,E1404),""))</f>
        <v/>
      </c>
      <c r="G1404" s="34">
        <f>IF(F1404="","",A1404-E1404)</f>
        <v/>
      </c>
      <c r="H1404" s="42">
        <f>IF(OR(F1404="",C1404=""),"",IFERROR((C1404-F1404)/G1404,""))</f>
        <v/>
      </c>
      <c r="I1404" s="39">
        <f>IF(B1404="","",IFERROR(INDEX('Animais'!$M$6:$M$1005,MATCH(B1404,'Animais'!$A$6:$A$1005,0)),"Brinco não cadastrado"))</f>
        <v/>
      </c>
    </row>
    <row r="1405">
      <c r="A1405" s="31" t="n"/>
      <c r="B1405" s="36" t="n"/>
      <c r="C1405" s="38" t="n"/>
      <c r="D1405" s="32" t="n"/>
      <c r="E1405" s="43">
        <f>IF(OR(A1405="",B1405=""),"",SUMPRODUCT(MAX(($B$6:$B$2005=B1405)*($A$6:$A$2005&lt;A1405)*$A$6:$A$2005)))</f>
        <v/>
      </c>
      <c r="F1405" s="41">
        <f>IF(OR(E1405="",E1405=0),"",IFERROR(AVERAGEIFS($C$6:$C$2005,$B$6:$B$2005,B1405,$A$6:$A$2005,E1405),""))</f>
        <v/>
      </c>
      <c r="G1405" s="34">
        <f>IF(F1405="","",A1405-E1405)</f>
        <v/>
      </c>
      <c r="H1405" s="42">
        <f>IF(OR(F1405="",C1405=""),"",IFERROR((C1405-F1405)/G1405,""))</f>
        <v/>
      </c>
      <c r="I1405" s="39">
        <f>IF(B1405="","",IFERROR(INDEX('Animais'!$M$6:$M$1005,MATCH(B1405,'Animais'!$A$6:$A$1005,0)),"Brinco não cadastrado"))</f>
        <v/>
      </c>
    </row>
    <row r="1406">
      <c r="A1406" s="31" t="n"/>
      <c r="B1406" s="36" t="n"/>
      <c r="C1406" s="38" t="n"/>
      <c r="D1406" s="32" t="n"/>
      <c r="E1406" s="43">
        <f>IF(OR(A1406="",B1406=""),"",SUMPRODUCT(MAX(($B$6:$B$2005=B1406)*($A$6:$A$2005&lt;A1406)*$A$6:$A$2005)))</f>
        <v/>
      </c>
      <c r="F1406" s="41">
        <f>IF(OR(E1406="",E1406=0),"",IFERROR(AVERAGEIFS($C$6:$C$2005,$B$6:$B$2005,B1406,$A$6:$A$2005,E1406),""))</f>
        <v/>
      </c>
      <c r="G1406" s="34">
        <f>IF(F1406="","",A1406-E1406)</f>
        <v/>
      </c>
      <c r="H1406" s="42">
        <f>IF(OR(F1406="",C1406=""),"",IFERROR((C1406-F1406)/G1406,""))</f>
        <v/>
      </c>
      <c r="I1406" s="39">
        <f>IF(B1406="","",IFERROR(INDEX('Animais'!$M$6:$M$1005,MATCH(B1406,'Animais'!$A$6:$A$1005,0)),"Brinco não cadastrado"))</f>
        <v/>
      </c>
    </row>
    <row r="1407">
      <c r="A1407" s="31" t="n"/>
      <c r="B1407" s="36" t="n"/>
      <c r="C1407" s="38" t="n"/>
      <c r="D1407" s="32" t="n"/>
      <c r="E1407" s="43">
        <f>IF(OR(A1407="",B1407=""),"",SUMPRODUCT(MAX(($B$6:$B$2005=B1407)*($A$6:$A$2005&lt;A1407)*$A$6:$A$2005)))</f>
        <v/>
      </c>
      <c r="F1407" s="41">
        <f>IF(OR(E1407="",E1407=0),"",IFERROR(AVERAGEIFS($C$6:$C$2005,$B$6:$B$2005,B1407,$A$6:$A$2005,E1407),""))</f>
        <v/>
      </c>
      <c r="G1407" s="34">
        <f>IF(F1407="","",A1407-E1407)</f>
        <v/>
      </c>
      <c r="H1407" s="42">
        <f>IF(OR(F1407="",C1407=""),"",IFERROR((C1407-F1407)/G1407,""))</f>
        <v/>
      </c>
      <c r="I1407" s="39">
        <f>IF(B1407="","",IFERROR(INDEX('Animais'!$M$6:$M$1005,MATCH(B1407,'Animais'!$A$6:$A$1005,0)),"Brinco não cadastrado"))</f>
        <v/>
      </c>
    </row>
    <row r="1408">
      <c r="A1408" s="31" t="n"/>
      <c r="B1408" s="36" t="n"/>
      <c r="C1408" s="38" t="n"/>
      <c r="D1408" s="32" t="n"/>
      <c r="E1408" s="43">
        <f>IF(OR(A1408="",B1408=""),"",SUMPRODUCT(MAX(($B$6:$B$2005=B1408)*($A$6:$A$2005&lt;A1408)*$A$6:$A$2005)))</f>
        <v/>
      </c>
      <c r="F1408" s="41">
        <f>IF(OR(E1408="",E1408=0),"",IFERROR(AVERAGEIFS($C$6:$C$2005,$B$6:$B$2005,B1408,$A$6:$A$2005,E1408),""))</f>
        <v/>
      </c>
      <c r="G1408" s="34">
        <f>IF(F1408="","",A1408-E1408)</f>
        <v/>
      </c>
      <c r="H1408" s="42">
        <f>IF(OR(F1408="",C1408=""),"",IFERROR((C1408-F1408)/G1408,""))</f>
        <v/>
      </c>
      <c r="I1408" s="39">
        <f>IF(B1408="","",IFERROR(INDEX('Animais'!$M$6:$M$1005,MATCH(B1408,'Animais'!$A$6:$A$1005,0)),"Brinco não cadastrado"))</f>
        <v/>
      </c>
    </row>
    <row r="1409">
      <c r="A1409" s="31" t="n"/>
      <c r="B1409" s="36" t="n"/>
      <c r="C1409" s="38" t="n"/>
      <c r="D1409" s="32" t="n"/>
      <c r="E1409" s="43">
        <f>IF(OR(A1409="",B1409=""),"",SUMPRODUCT(MAX(($B$6:$B$2005=B1409)*($A$6:$A$2005&lt;A1409)*$A$6:$A$2005)))</f>
        <v/>
      </c>
      <c r="F1409" s="41">
        <f>IF(OR(E1409="",E1409=0),"",IFERROR(AVERAGEIFS($C$6:$C$2005,$B$6:$B$2005,B1409,$A$6:$A$2005,E1409),""))</f>
        <v/>
      </c>
      <c r="G1409" s="34">
        <f>IF(F1409="","",A1409-E1409)</f>
        <v/>
      </c>
      <c r="H1409" s="42">
        <f>IF(OR(F1409="",C1409=""),"",IFERROR((C1409-F1409)/G1409,""))</f>
        <v/>
      </c>
      <c r="I1409" s="39">
        <f>IF(B1409="","",IFERROR(INDEX('Animais'!$M$6:$M$1005,MATCH(B1409,'Animais'!$A$6:$A$1005,0)),"Brinco não cadastrado"))</f>
        <v/>
      </c>
    </row>
    <row r="1410">
      <c r="A1410" s="31" t="n"/>
      <c r="B1410" s="36" t="n"/>
      <c r="C1410" s="38" t="n"/>
      <c r="D1410" s="32" t="n"/>
      <c r="E1410" s="43">
        <f>IF(OR(A1410="",B1410=""),"",SUMPRODUCT(MAX(($B$6:$B$2005=B1410)*($A$6:$A$2005&lt;A1410)*$A$6:$A$2005)))</f>
        <v/>
      </c>
      <c r="F1410" s="41">
        <f>IF(OR(E1410="",E1410=0),"",IFERROR(AVERAGEIFS($C$6:$C$2005,$B$6:$B$2005,B1410,$A$6:$A$2005,E1410),""))</f>
        <v/>
      </c>
      <c r="G1410" s="34">
        <f>IF(F1410="","",A1410-E1410)</f>
        <v/>
      </c>
      <c r="H1410" s="42">
        <f>IF(OR(F1410="",C1410=""),"",IFERROR((C1410-F1410)/G1410,""))</f>
        <v/>
      </c>
      <c r="I1410" s="39">
        <f>IF(B1410="","",IFERROR(INDEX('Animais'!$M$6:$M$1005,MATCH(B1410,'Animais'!$A$6:$A$1005,0)),"Brinco não cadastrado"))</f>
        <v/>
      </c>
    </row>
    <row r="1411">
      <c r="A1411" s="31" t="n"/>
      <c r="B1411" s="36" t="n"/>
      <c r="C1411" s="38" t="n"/>
      <c r="D1411" s="32" t="n"/>
      <c r="E1411" s="43">
        <f>IF(OR(A1411="",B1411=""),"",SUMPRODUCT(MAX(($B$6:$B$2005=B1411)*($A$6:$A$2005&lt;A1411)*$A$6:$A$2005)))</f>
        <v/>
      </c>
      <c r="F1411" s="41">
        <f>IF(OR(E1411="",E1411=0),"",IFERROR(AVERAGEIFS($C$6:$C$2005,$B$6:$B$2005,B1411,$A$6:$A$2005,E1411),""))</f>
        <v/>
      </c>
      <c r="G1411" s="34">
        <f>IF(F1411="","",A1411-E1411)</f>
        <v/>
      </c>
      <c r="H1411" s="42">
        <f>IF(OR(F1411="",C1411=""),"",IFERROR((C1411-F1411)/G1411,""))</f>
        <v/>
      </c>
      <c r="I1411" s="39">
        <f>IF(B1411="","",IFERROR(INDEX('Animais'!$M$6:$M$1005,MATCH(B1411,'Animais'!$A$6:$A$1005,0)),"Brinco não cadastrado"))</f>
        <v/>
      </c>
    </row>
    <row r="1412">
      <c r="A1412" s="31" t="n"/>
      <c r="B1412" s="36" t="n"/>
      <c r="C1412" s="38" t="n"/>
      <c r="D1412" s="32" t="n"/>
      <c r="E1412" s="43">
        <f>IF(OR(A1412="",B1412=""),"",SUMPRODUCT(MAX(($B$6:$B$2005=B1412)*($A$6:$A$2005&lt;A1412)*$A$6:$A$2005)))</f>
        <v/>
      </c>
      <c r="F1412" s="41">
        <f>IF(OR(E1412="",E1412=0),"",IFERROR(AVERAGEIFS($C$6:$C$2005,$B$6:$B$2005,B1412,$A$6:$A$2005,E1412),""))</f>
        <v/>
      </c>
      <c r="G1412" s="34">
        <f>IF(F1412="","",A1412-E1412)</f>
        <v/>
      </c>
      <c r="H1412" s="42">
        <f>IF(OR(F1412="",C1412=""),"",IFERROR((C1412-F1412)/G1412,""))</f>
        <v/>
      </c>
      <c r="I1412" s="39">
        <f>IF(B1412="","",IFERROR(INDEX('Animais'!$M$6:$M$1005,MATCH(B1412,'Animais'!$A$6:$A$1005,0)),"Brinco não cadastrado"))</f>
        <v/>
      </c>
    </row>
    <row r="1413">
      <c r="A1413" s="31" t="n"/>
      <c r="B1413" s="36" t="n"/>
      <c r="C1413" s="38" t="n"/>
      <c r="D1413" s="32" t="n"/>
      <c r="E1413" s="43">
        <f>IF(OR(A1413="",B1413=""),"",SUMPRODUCT(MAX(($B$6:$B$2005=B1413)*($A$6:$A$2005&lt;A1413)*$A$6:$A$2005)))</f>
        <v/>
      </c>
      <c r="F1413" s="41">
        <f>IF(OR(E1413="",E1413=0),"",IFERROR(AVERAGEIFS($C$6:$C$2005,$B$6:$B$2005,B1413,$A$6:$A$2005,E1413),""))</f>
        <v/>
      </c>
      <c r="G1413" s="34">
        <f>IF(F1413="","",A1413-E1413)</f>
        <v/>
      </c>
      <c r="H1413" s="42">
        <f>IF(OR(F1413="",C1413=""),"",IFERROR((C1413-F1413)/G1413,""))</f>
        <v/>
      </c>
      <c r="I1413" s="39">
        <f>IF(B1413="","",IFERROR(INDEX('Animais'!$M$6:$M$1005,MATCH(B1413,'Animais'!$A$6:$A$1005,0)),"Brinco não cadastrado"))</f>
        <v/>
      </c>
    </row>
    <row r="1414">
      <c r="A1414" s="31" t="n"/>
      <c r="B1414" s="36" t="n"/>
      <c r="C1414" s="38" t="n"/>
      <c r="D1414" s="32" t="n"/>
      <c r="E1414" s="43">
        <f>IF(OR(A1414="",B1414=""),"",SUMPRODUCT(MAX(($B$6:$B$2005=B1414)*($A$6:$A$2005&lt;A1414)*$A$6:$A$2005)))</f>
        <v/>
      </c>
      <c r="F1414" s="41">
        <f>IF(OR(E1414="",E1414=0),"",IFERROR(AVERAGEIFS($C$6:$C$2005,$B$6:$B$2005,B1414,$A$6:$A$2005,E1414),""))</f>
        <v/>
      </c>
      <c r="G1414" s="34">
        <f>IF(F1414="","",A1414-E1414)</f>
        <v/>
      </c>
      <c r="H1414" s="42">
        <f>IF(OR(F1414="",C1414=""),"",IFERROR((C1414-F1414)/G1414,""))</f>
        <v/>
      </c>
      <c r="I1414" s="39">
        <f>IF(B1414="","",IFERROR(INDEX('Animais'!$M$6:$M$1005,MATCH(B1414,'Animais'!$A$6:$A$1005,0)),"Brinco não cadastrado"))</f>
        <v/>
      </c>
    </row>
    <row r="1415">
      <c r="A1415" s="31" t="n"/>
      <c r="B1415" s="36" t="n"/>
      <c r="C1415" s="38" t="n"/>
      <c r="D1415" s="32" t="n"/>
      <c r="E1415" s="43">
        <f>IF(OR(A1415="",B1415=""),"",SUMPRODUCT(MAX(($B$6:$B$2005=B1415)*($A$6:$A$2005&lt;A1415)*$A$6:$A$2005)))</f>
        <v/>
      </c>
      <c r="F1415" s="41">
        <f>IF(OR(E1415="",E1415=0),"",IFERROR(AVERAGEIFS($C$6:$C$2005,$B$6:$B$2005,B1415,$A$6:$A$2005,E1415),""))</f>
        <v/>
      </c>
      <c r="G1415" s="34">
        <f>IF(F1415="","",A1415-E1415)</f>
        <v/>
      </c>
      <c r="H1415" s="42">
        <f>IF(OR(F1415="",C1415=""),"",IFERROR((C1415-F1415)/G1415,""))</f>
        <v/>
      </c>
      <c r="I1415" s="39">
        <f>IF(B1415="","",IFERROR(INDEX('Animais'!$M$6:$M$1005,MATCH(B1415,'Animais'!$A$6:$A$1005,0)),"Brinco não cadastrado"))</f>
        <v/>
      </c>
    </row>
    <row r="1416">
      <c r="A1416" s="31" t="n"/>
      <c r="B1416" s="36" t="n"/>
      <c r="C1416" s="38" t="n"/>
      <c r="D1416" s="32" t="n"/>
      <c r="E1416" s="43">
        <f>IF(OR(A1416="",B1416=""),"",SUMPRODUCT(MAX(($B$6:$B$2005=B1416)*($A$6:$A$2005&lt;A1416)*$A$6:$A$2005)))</f>
        <v/>
      </c>
      <c r="F1416" s="41">
        <f>IF(OR(E1416="",E1416=0),"",IFERROR(AVERAGEIFS($C$6:$C$2005,$B$6:$B$2005,B1416,$A$6:$A$2005,E1416),""))</f>
        <v/>
      </c>
      <c r="G1416" s="34">
        <f>IF(F1416="","",A1416-E1416)</f>
        <v/>
      </c>
      <c r="H1416" s="42">
        <f>IF(OR(F1416="",C1416=""),"",IFERROR((C1416-F1416)/G1416,""))</f>
        <v/>
      </c>
      <c r="I1416" s="39">
        <f>IF(B1416="","",IFERROR(INDEX('Animais'!$M$6:$M$1005,MATCH(B1416,'Animais'!$A$6:$A$1005,0)),"Brinco não cadastrado"))</f>
        <v/>
      </c>
    </row>
    <row r="1417">
      <c r="A1417" s="31" t="n"/>
      <c r="B1417" s="36" t="n"/>
      <c r="C1417" s="38" t="n"/>
      <c r="D1417" s="32" t="n"/>
      <c r="E1417" s="43">
        <f>IF(OR(A1417="",B1417=""),"",SUMPRODUCT(MAX(($B$6:$B$2005=B1417)*($A$6:$A$2005&lt;A1417)*$A$6:$A$2005)))</f>
        <v/>
      </c>
      <c r="F1417" s="41">
        <f>IF(OR(E1417="",E1417=0),"",IFERROR(AVERAGEIFS($C$6:$C$2005,$B$6:$B$2005,B1417,$A$6:$A$2005,E1417),""))</f>
        <v/>
      </c>
      <c r="G1417" s="34">
        <f>IF(F1417="","",A1417-E1417)</f>
        <v/>
      </c>
      <c r="H1417" s="42">
        <f>IF(OR(F1417="",C1417=""),"",IFERROR((C1417-F1417)/G1417,""))</f>
        <v/>
      </c>
      <c r="I1417" s="39">
        <f>IF(B1417="","",IFERROR(INDEX('Animais'!$M$6:$M$1005,MATCH(B1417,'Animais'!$A$6:$A$1005,0)),"Brinco não cadastrado"))</f>
        <v/>
      </c>
    </row>
    <row r="1418">
      <c r="A1418" s="31" t="n"/>
      <c r="B1418" s="36" t="n"/>
      <c r="C1418" s="38" t="n"/>
      <c r="D1418" s="32" t="n"/>
      <c r="E1418" s="43">
        <f>IF(OR(A1418="",B1418=""),"",SUMPRODUCT(MAX(($B$6:$B$2005=B1418)*($A$6:$A$2005&lt;A1418)*$A$6:$A$2005)))</f>
        <v/>
      </c>
      <c r="F1418" s="41">
        <f>IF(OR(E1418="",E1418=0),"",IFERROR(AVERAGEIFS($C$6:$C$2005,$B$6:$B$2005,B1418,$A$6:$A$2005,E1418),""))</f>
        <v/>
      </c>
      <c r="G1418" s="34">
        <f>IF(F1418="","",A1418-E1418)</f>
        <v/>
      </c>
      <c r="H1418" s="42">
        <f>IF(OR(F1418="",C1418=""),"",IFERROR((C1418-F1418)/G1418,""))</f>
        <v/>
      </c>
      <c r="I1418" s="39">
        <f>IF(B1418="","",IFERROR(INDEX('Animais'!$M$6:$M$1005,MATCH(B1418,'Animais'!$A$6:$A$1005,0)),"Brinco não cadastrado"))</f>
        <v/>
      </c>
    </row>
    <row r="1419">
      <c r="A1419" s="31" t="n"/>
      <c r="B1419" s="36" t="n"/>
      <c r="C1419" s="38" t="n"/>
      <c r="D1419" s="32" t="n"/>
      <c r="E1419" s="43">
        <f>IF(OR(A1419="",B1419=""),"",SUMPRODUCT(MAX(($B$6:$B$2005=B1419)*($A$6:$A$2005&lt;A1419)*$A$6:$A$2005)))</f>
        <v/>
      </c>
      <c r="F1419" s="41">
        <f>IF(OR(E1419="",E1419=0),"",IFERROR(AVERAGEIFS($C$6:$C$2005,$B$6:$B$2005,B1419,$A$6:$A$2005,E1419),""))</f>
        <v/>
      </c>
      <c r="G1419" s="34">
        <f>IF(F1419="","",A1419-E1419)</f>
        <v/>
      </c>
      <c r="H1419" s="42">
        <f>IF(OR(F1419="",C1419=""),"",IFERROR((C1419-F1419)/G1419,""))</f>
        <v/>
      </c>
      <c r="I1419" s="39">
        <f>IF(B1419="","",IFERROR(INDEX('Animais'!$M$6:$M$1005,MATCH(B1419,'Animais'!$A$6:$A$1005,0)),"Brinco não cadastrado"))</f>
        <v/>
      </c>
    </row>
    <row r="1420">
      <c r="A1420" s="31" t="n"/>
      <c r="B1420" s="36" t="n"/>
      <c r="C1420" s="38" t="n"/>
      <c r="D1420" s="32" t="n"/>
      <c r="E1420" s="43">
        <f>IF(OR(A1420="",B1420=""),"",SUMPRODUCT(MAX(($B$6:$B$2005=B1420)*($A$6:$A$2005&lt;A1420)*$A$6:$A$2005)))</f>
        <v/>
      </c>
      <c r="F1420" s="41">
        <f>IF(OR(E1420="",E1420=0),"",IFERROR(AVERAGEIFS($C$6:$C$2005,$B$6:$B$2005,B1420,$A$6:$A$2005,E1420),""))</f>
        <v/>
      </c>
      <c r="G1420" s="34">
        <f>IF(F1420="","",A1420-E1420)</f>
        <v/>
      </c>
      <c r="H1420" s="42">
        <f>IF(OR(F1420="",C1420=""),"",IFERROR((C1420-F1420)/G1420,""))</f>
        <v/>
      </c>
      <c r="I1420" s="39">
        <f>IF(B1420="","",IFERROR(INDEX('Animais'!$M$6:$M$1005,MATCH(B1420,'Animais'!$A$6:$A$1005,0)),"Brinco não cadastrado"))</f>
        <v/>
      </c>
    </row>
    <row r="1421">
      <c r="A1421" s="31" t="n"/>
      <c r="B1421" s="36" t="n"/>
      <c r="C1421" s="38" t="n"/>
      <c r="D1421" s="32" t="n"/>
      <c r="E1421" s="43">
        <f>IF(OR(A1421="",B1421=""),"",SUMPRODUCT(MAX(($B$6:$B$2005=B1421)*($A$6:$A$2005&lt;A1421)*$A$6:$A$2005)))</f>
        <v/>
      </c>
      <c r="F1421" s="41">
        <f>IF(OR(E1421="",E1421=0),"",IFERROR(AVERAGEIFS($C$6:$C$2005,$B$6:$B$2005,B1421,$A$6:$A$2005,E1421),""))</f>
        <v/>
      </c>
      <c r="G1421" s="34">
        <f>IF(F1421="","",A1421-E1421)</f>
        <v/>
      </c>
      <c r="H1421" s="42">
        <f>IF(OR(F1421="",C1421=""),"",IFERROR((C1421-F1421)/G1421,""))</f>
        <v/>
      </c>
      <c r="I1421" s="39">
        <f>IF(B1421="","",IFERROR(INDEX('Animais'!$M$6:$M$1005,MATCH(B1421,'Animais'!$A$6:$A$1005,0)),"Brinco não cadastrado"))</f>
        <v/>
      </c>
    </row>
    <row r="1422">
      <c r="A1422" s="31" t="n"/>
      <c r="B1422" s="36" t="n"/>
      <c r="C1422" s="38" t="n"/>
      <c r="D1422" s="32" t="n"/>
      <c r="E1422" s="43">
        <f>IF(OR(A1422="",B1422=""),"",SUMPRODUCT(MAX(($B$6:$B$2005=B1422)*($A$6:$A$2005&lt;A1422)*$A$6:$A$2005)))</f>
        <v/>
      </c>
      <c r="F1422" s="41">
        <f>IF(OR(E1422="",E1422=0),"",IFERROR(AVERAGEIFS($C$6:$C$2005,$B$6:$B$2005,B1422,$A$6:$A$2005,E1422),""))</f>
        <v/>
      </c>
      <c r="G1422" s="34">
        <f>IF(F1422="","",A1422-E1422)</f>
        <v/>
      </c>
      <c r="H1422" s="42">
        <f>IF(OR(F1422="",C1422=""),"",IFERROR((C1422-F1422)/G1422,""))</f>
        <v/>
      </c>
      <c r="I1422" s="39">
        <f>IF(B1422="","",IFERROR(INDEX('Animais'!$M$6:$M$1005,MATCH(B1422,'Animais'!$A$6:$A$1005,0)),"Brinco não cadastrado"))</f>
        <v/>
      </c>
    </row>
    <row r="1423">
      <c r="A1423" s="31" t="n"/>
      <c r="B1423" s="36" t="n"/>
      <c r="C1423" s="38" t="n"/>
      <c r="D1423" s="32" t="n"/>
      <c r="E1423" s="43">
        <f>IF(OR(A1423="",B1423=""),"",SUMPRODUCT(MAX(($B$6:$B$2005=B1423)*($A$6:$A$2005&lt;A1423)*$A$6:$A$2005)))</f>
        <v/>
      </c>
      <c r="F1423" s="41">
        <f>IF(OR(E1423="",E1423=0),"",IFERROR(AVERAGEIFS($C$6:$C$2005,$B$6:$B$2005,B1423,$A$6:$A$2005,E1423),""))</f>
        <v/>
      </c>
      <c r="G1423" s="34">
        <f>IF(F1423="","",A1423-E1423)</f>
        <v/>
      </c>
      <c r="H1423" s="42">
        <f>IF(OR(F1423="",C1423=""),"",IFERROR((C1423-F1423)/G1423,""))</f>
        <v/>
      </c>
      <c r="I1423" s="39">
        <f>IF(B1423="","",IFERROR(INDEX('Animais'!$M$6:$M$1005,MATCH(B1423,'Animais'!$A$6:$A$1005,0)),"Brinco não cadastrado"))</f>
        <v/>
      </c>
    </row>
    <row r="1424">
      <c r="A1424" s="31" t="n"/>
      <c r="B1424" s="36" t="n"/>
      <c r="C1424" s="38" t="n"/>
      <c r="D1424" s="32" t="n"/>
      <c r="E1424" s="43">
        <f>IF(OR(A1424="",B1424=""),"",SUMPRODUCT(MAX(($B$6:$B$2005=B1424)*($A$6:$A$2005&lt;A1424)*$A$6:$A$2005)))</f>
        <v/>
      </c>
      <c r="F1424" s="41">
        <f>IF(OR(E1424="",E1424=0),"",IFERROR(AVERAGEIFS($C$6:$C$2005,$B$6:$B$2005,B1424,$A$6:$A$2005,E1424),""))</f>
        <v/>
      </c>
      <c r="G1424" s="34">
        <f>IF(F1424="","",A1424-E1424)</f>
        <v/>
      </c>
      <c r="H1424" s="42">
        <f>IF(OR(F1424="",C1424=""),"",IFERROR((C1424-F1424)/G1424,""))</f>
        <v/>
      </c>
      <c r="I1424" s="39">
        <f>IF(B1424="","",IFERROR(INDEX('Animais'!$M$6:$M$1005,MATCH(B1424,'Animais'!$A$6:$A$1005,0)),"Brinco não cadastrado"))</f>
        <v/>
      </c>
    </row>
    <row r="1425">
      <c r="A1425" s="31" t="n"/>
      <c r="B1425" s="36" t="n"/>
      <c r="C1425" s="38" t="n"/>
      <c r="D1425" s="32" t="n"/>
      <c r="E1425" s="43">
        <f>IF(OR(A1425="",B1425=""),"",SUMPRODUCT(MAX(($B$6:$B$2005=B1425)*($A$6:$A$2005&lt;A1425)*$A$6:$A$2005)))</f>
        <v/>
      </c>
      <c r="F1425" s="41">
        <f>IF(OR(E1425="",E1425=0),"",IFERROR(AVERAGEIFS($C$6:$C$2005,$B$6:$B$2005,B1425,$A$6:$A$2005,E1425),""))</f>
        <v/>
      </c>
      <c r="G1425" s="34">
        <f>IF(F1425="","",A1425-E1425)</f>
        <v/>
      </c>
      <c r="H1425" s="42">
        <f>IF(OR(F1425="",C1425=""),"",IFERROR((C1425-F1425)/G1425,""))</f>
        <v/>
      </c>
      <c r="I1425" s="39">
        <f>IF(B1425="","",IFERROR(INDEX('Animais'!$M$6:$M$1005,MATCH(B1425,'Animais'!$A$6:$A$1005,0)),"Brinco não cadastrado"))</f>
        <v/>
      </c>
    </row>
    <row r="1426">
      <c r="A1426" s="31" t="n"/>
      <c r="B1426" s="36" t="n"/>
      <c r="C1426" s="38" t="n"/>
      <c r="D1426" s="32" t="n"/>
      <c r="E1426" s="43">
        <f>IF(OR(A1426="",B1426=""),"",SUMPRODUCT(MAX(($B$6:$B$2005=B1426)*($A$6:$A$2005&lt;A1426)*$A$6:$A$2005)))</f>
        <v/>
      </c>
      <c r="F1426" s="41">
        <f>IF(OR(E1426="",E1426=0),"",IFERROR(AVERAGEIFS($C$6:$C$2005,$B$6:$B$2005,B1426,$A$6:$A$2005,E1426),""))</f>
        <v/>
      </c>
      <c r="G1426" s="34">
        <f>IF(F1426="","",A1426-E1426)</f>
        <v/>
      </c>
      <c r="H1426" s="42">
        <f>IF(OR(F1426="",C1426=""),"",IFERROR((C1426-F1426)/G1426,""))</f>
        <v/>
      </c>
      <c r="I1426" s="39">
        <f>IF(B1426="","",IFERROR(INDEX('Animais'!$M$6:$M$1005,MATCH(B1426,'Animais'!$A$6:$A$1005,0)),"Brinco não cadastrado"))</f>
        <v/>
      </c>
    </row>
    <row r="1427">
      <c r="A1427" s="31" t="n"/>
      <c r="B1427" s="36" t="n"/>
      <c r="C1427" s="38" t="n"/>
      <c r="D1427" s="32" t="n"/>
      <c r="E1427" s="43">
        <f>IF(OR(A1427="",B1427=""),"",SUMPRODUCT(MAX(($B$6:$B$2005=B1427)*($A$6:$A$2005&lt;A1427)*$A$6:$A$2005)))</f>
        <v/>
      </c>
      <c r="F1427" s="41">
        <f>IF(OR(E1427="",E1427=0),"",IFERROR(AVERAGEIFS($C$6:$C$2005,$B$6:$B$2005,B1427,$A$6:$A$2005,E1427),""))</f>
        <v/>
      </c>
      <c r="G1427" s="34">
        <f>IF(F1427="","",A1427-E1427)</f>
        <v/>
      </c>
      <c r="H1427" s="42">
        <f>IF(OR(F1427="",C1427=""),"",IFERROR((C1427-F1427)/G1427,""))</f>
        <v/>
      </c>
      <c r="I1427" s="39">
        <f>IF(B1427="","",IFERROR(INDEX('Animais'!$M$6:$M$1005,MATCH(B1427,'Animais'!$A$6:$A$1005,0)),"Brinco não cadastrado"))</f>
        <v/>
      </c>
    </row>
    <row r="1428">
      <c r="A1428" s="31" t="n"/>
      <c r="B1428" s="36" t="n"/>
      <c r="C1428" s="38" t="n"/>
      <c r="D1428" s="32" t="n"/>
      <c r="E1428" s="43">
        <f>IF(OR(A1428="",B1428=""),"",SUMPRODUCT(MAX(($B$6:$B$2005=B1428)*($A$6:$A$2005&lt;A1428)*$A$6:$A$2005)))</f>
        <v/>
      </c>
      <c r="F1428" s="41">
        <f>IF(OR(E1428="",E1428=0),"",IFERROR(AVERAGEIFS($C$6:$C$2005,$B$6:$B$2005,B1428,$A$6:$A$2005,E1428),""))</f>
        <v/>
      </c>
      <c r="G1428" s="34">
        <f>IF(F1428="","",A1428-E1428)</f>
        <v/>
      </c>
      <c r="H1428" s="42">
        <f>IF(OR(F1428="",C1428=""),"",IFERROR((C1428-F1428)/G1428,""))</f>
        <v/>
      </c>
      <c r="I1428" s="39">
        <f>IF(B1428="","",IFERROR(INDEX('Animais'!$M$6:$M$1005,MATCH(B1428,'Animais'!$A$6:$A$1005,0)),"Brinco não cadastrado"))</f>
        <v/>
      </c>
    </row>
    <row r="1429">
      <c r="A1429" s="31" t="n"/>
      <c r="B1429" s="36" t="n"/>
      <c r="C1429" s="38" t="n"/>
      <c r="D1429" s="32" t="n"/>
      <c r="E1429" s="43">
        <f>IF(OR(A1429="",B1429=""),"",SUMPRODUCT(MAX(($B$6:$B$2005=B1429)*($A$6:$A$2005&lt;A1429)*$A$6:$A$2005)))</f>
        <v/>
      </c>
      <c r="F1429" s="41">
        <f>IF(OR(E1429="",E1429=0),"",IFERROR(AVERAGEIFS($C$6:$C$2005,$B$6:$B$2005,B1429,$A$6:$A$2005,E1429),""))</f>
        <v/>
      </c>
      <c r="G1429" s="34">
        <f>IF(F1429="","",A1429-E1429)</f>
        <v/>
      </c>
      <c r="H1429" s="42">
        <f>IF(OR(F1429="",C1429=""),"",IFERROR((C1429-F1429)/G1429,""))</f>
        <v/>
      </c>
      <c r="I1429" s="39">
        <f>IF(B1429="","",IFERROR(INDEX('Animais'!$M$6:$M$1005,MATCH(B1429,'Animais'!$A$6:$A$1005,0)),"Brinco não cadastrado"))</f>
        <v/>
      </c>
    </row>
    <row r="1430">
      <c r="A1430" s="31" t="n"/>
      <c r="B1430" s="36" t="n"/>
      <c r="C1430" s="38" t="n"/>
      <c r="D1430" s="32" t="n"/>
      <c r="E1430" s="43">
        <f>IF(OR(A1430="",B1430=""),"",SUMPRODUCT(MAX(($B$6:$B$2005=B1430)*($A$6:$A$2005&lt;A1430)*$A$6:$A$2005)))</f>
        <v/>
      </c>
      <c r="F1430" s="41">
        <f>IF(OR(E1430="",E1430=0),"",IFERROR(AVERAGEIFS($C$6:$C$2005,$B$6:$B$2005,B1430,$A$6:$A$2005,E1430),""))</f>
        <v/>
      </c>
      <c r="G1430" s="34">
        <f>IF(F1430="","",A1430-E1430)</f>
        <v/>
      </c>
      <c r="H1430" s="42">
        <f>IF(OR(F1430="",C1430=""),"",IFERROR((C1430-F1430)/G1430,""))</f>
        <v/>
      </c>
      <c r="I1430" s="39">
        <f>IF(B1430="","",IFERROR(INDEX('Animais'!$M$6:$M$1005,MATCH(B1430,'Animais'!$A$6:$A$1005,0)),"Brinco não cadastrado"))</f>
        <v/>
      </c>
    </row>
    <row r="1431">
      <c r="A1431" s="31" t="n"/>
      <c r="B1431" s="36" t="n"/>
      <c r="C1431" s="38" t="n"/>
      <c r="D1431" s="32" t="n"/>
      <c r="E1431" s="43">
        <f>IF(OR(A1431="",B1431=""),"",SUMPRODUCT(MAX(($B$6:$B$2005=B1431)*($A$6:$A$2005&lt;A1431)*$A$6:$A$2005)))</f>
        <v/>
      </c>
      <c r="F1431" s="41">
        <f>IF(OR(E1431="",E1431=0),"",IFERROR(AVERAGEIFS($C$6:$C$2005,$B$6:$B$2005,B1431,$A$6:$A$2005,E1431),""))</f>
        <v/>
      </c>
      <c r="G1431" s="34">
        <f>IF(F1431="","",A1431-E1431)</f>
        <v/>
      </c>
      <c r="H1431" s="42">
        <f>IF(OR(F1431="",C1431=""),"",IFERROR((C1431-F1431)/G1431,""))</f>
        <v/>
      </c>
      <c r="I1431" s="39">
        <f>IF(B1431="","",IFERROR(INDEX('Animais'!$M$6:$M$1005,MATCH(B1431,'Animais'!$A$6:$A$1005,0)),"Brinco não cadastrado"))</f>
        <v/>
      </c>
    </row>
    <row r="1432">
      <c r="A1432" s="31" t="n"/>
      <c r="B1432" s="36" t="n"/>
      <c r="C1432" s="38" t="n"/>
      <c r="D1432" s="32" t="n"/>
      <c r="E1432" s="43">
        <f>IF(OR(A1432="",B1432=""),"",SUMPRODUCT(MAX(($B$6:$B$2005=B1432)*($A$6:$A$2005&lt;A1432)*$A$6:$A$2005)))</f>
        <v/>
      </c>
      <c r="F1432" s="41">
        <f>IF(OR(E1432="",E1432=0),"",IFERROR(AVERAGEIFS($C$6:$C$2005,$B$6:$B$2005,B1432,$A$6:$A$2005,E1432),""))</f>
        <v/>
      </c>
      <c r="G1432" s="34">
        <f>IF(F1432="","",A1432-E1432)</f>
        <v/>
      </c>
      <c r="H1432" s="42">
        <f>IF(OR(F1432="",C1432=""),"",IFERROR((C1432-F1432)/G1432,""))</f>
        <v/>
      </c>
      <c r="I1432" s="39">
        <f>IF(B1432="","",IFERROR(INDEX('Animais'!$M$6:$M$1005,MATCH(B1432,'Animais'!$A$6:$A$1005,0)),"Brinco não cadastrado"))</f>
        <v/>
      </c>
    </row>
    <row r="1433">
      <c r="A1433" s="31" t="n"/>
      <c r="B1433" s="36" t="n"/>
      <c r="C1433" s="38" t="n"/>
      <c r="D1433" s="32" t="n"/>
      <c r="E1433" s="43">
        <f>IF(OR(A1433="",B1433=""),"",SUMPRODUCT(MAX(($B$6:$B$2005=B1433)*($A$6:$A$2005&lt;A1433)*$A$6:$A$2005)))</f>
        <v/>
      </c>
      <c r="F1433" s="41">
        <f>IF(OR(E1433="",E1433=0),"",IFERROR(AVERAGEIFS($C$6:$C$2005,$B$6:$B$2005,B1433,$A$6:$A$2005,E1433),""))</f>
        <v/>
      </c>
      <c r="G1433" s="34">
        <f>IF(F1433="","",A1433-E1433)</f>
        <v/>
      </c>
      <c r="H1433" s="42">
        <f>IF(OR(F1433="",C1433=""),"",IFERROR((C1433-F1433)/G1433,""))</f>
        <v/>
      </c>
      <c r="I1433" s="39">
        <f>IF(B1433="","",IFERROR(INDEX('Animais'!$M$6:$M$1005,MATCH(B1433,'Animais'!$A$6:$A$1005,0)),"Brinco não cadastrado"))</f>
        <v/>
      </c>
    </row>
    <row r="1434">
      <c r="A1434" s="31" t="n"/>
      <c r="B1434" s="36" t="n"/>
      <c r="C1434" s="38" t="n"/>
      <c r="D1434" s="32" t="n"/>
      <c r="E1434" s="43">
        <f>IF(OR(A1434="",B1434=""),"",SUMPRODUCT(MAX(($B$6:$B$2005=B1434)*($A$6:$A$2005&lt;A1434)*$A$6:$A$2005)))</f>
        <v/>
      </c>
      <c r="F1434" s="41">
        <f>IF(OR(E1434="",E1434=0),"",IFERROR(AVERAGEIFS($C$6:$C$2005,$B$6:$B$2005,B1434,$A$6:$A$2005,E1434),""))</f>
        <v/>
      </c>
      <c r="G1434" s="34">
        <f>IF(F1434="","",A1434-E1434)</f>
        <v/>
      </c>
      <c r="H1434" s="42">
        <f>IF(OR(F1434="",C1434=""),"",IFERROR((C1434-F1434)/G1434,""))</f>
        <v/>
      </c>
      <c r="I1434" s="39">
        <f>IF(B1434="","",IFERROR(INDEX('Animais'!$M$6:$M$1005,MATCH(B1434,'Animais'!$A$6:$A$1005,0)),"Brinco não cadastrado"))</f>
        <v/>
      </c>
    </row>
    <row r="1435">
      <c r="A1435" s="31" t="n"/>
      <c r="B1435" s="36" t="n"/>
      <c r="C1435" s="38" t="n"/>
      <c r="D1435" s="32" t="n"/>
      <c r="E1435" s="43">
        <f>IF(OR(A1435="",B1435=""),"",SUMPRODUCT(MAX(($B$6:$B$2005=B1435)*($A$6:$A$2005&lt;A1435)*$A$6:$A$2005)))</f>
        <v/>
      </c>
      <c r="F1435" s="41">
        <f>IF(OR(E1435="",E1435=0),"",IFERROR(AVERAGEIFS($C$6:$C$2005,$B$6:$B$2005,B1435,$A$6:$A$2005,E1435),""))</f>
        <v/>
      </c>
      <c r="G1435" s="34">
        <f>IF(F1435="","",A1435-E1435)</f>
        <v/>
      </c>
      <c r="H1435" s="42">
        <f>IF(OR(F1435="",C1435=""),"",IFERROR((C1435-F1435)/G1435,""))</f>
        <v/>
      </c>
      <c r="I1435" s="39">
        <f>IF(B1435="","",IFERROR(INDEX('Animais'!$M$6:$M$1005,MATCH(B1435,'Animais'!$A$6:$A$1005,0)),"Brinco não cadastrado"))</f>
        <v/>
      </c>
    </row>
    <row r="1436">
      <c r="A1436" s="31" t="n"/>
      <c r="B1436" s="36" t="n"/>
      <c r="C1436" s="38" t="n"/>
      <c r="D1436" s="32" t="n"/>
      <c r="E1436" s="43">
        <f>IF(OR(A1436="",B1436=""),"",SUMPRODUCT(MAX(($B$6:$B$2005=B1436)*($A$6:$A$2005&lt;A1436)*$A$6:$A$2005)))</f>
        <v/>
      </c>
      <c r="F1436" s="41">
        <f>IF(OR(E1436="",E1436=0),"",IFERROR(AVERAGEIFS($C$6:$C$2005,$B$6:$B$2005,B1436,$A$6:$A$2005,E1436),""))</f>
        <v/>
      </c>
      <c r="G1436" s="34">
        <f>IF(F1436="","",A1436-E1436)</f>
        <v/>
      </c>
      <c r="H1436" s="42">
        <f>IF(OR(F1436="",C1436=""),"",IFERROR((C1436-F1436)/G1436,""))</f>
        <v/>
      </c>
      <c r="I1436" s="39">
        <f>IF(B1436="","",IFERROR(INDEX('Animais'!$M$6:$M$1005,MATCH(B1436,'Animais'!$A$6:$A$1005,0)),"Brinco não cadastrado"))</f>
        <v/>
      </c>
    </row>
    <row r="1437">
      <c r="A1437" s="31" t="n"/>
      <c r="B1437" s="36" t="n"/>
      <c r="C1437" s="38" t="n"/>
      <c r="D1437" s="32" t="n"/>
      <c r="E1437" s="43">
        <f>IF(OR(A1437="",B1437=""),"",SUMPRODUCT(MAX(($B$6:$B$2005=B1437)*($A$6:$A$2005&lt;A1437)*$A$6:$A$2005)))</f>
        <v/>
      </c>
      <c r="F1437" s="41">
        <f>IF(OR(E1437="",E1437=0),"",IFERROR(AVERAGEIFS($C$6:$C$2005,$B$6:$B$2005,B1437,$A$6:$A$2005,E1437),""))</f>
        <v/>
      </c>
      <c r="G1437" s="34">
        <f>IF(F1437="","",A1437-E1437)</f>
        <v/>
      </c>
      <c r="H1437" s="42">
        <f>IF(OR(F1437="",C1437=""),"",IFERROR((C1437-F1437)/G1437,""))</f>
        <v/>
      </c>
      <c r="I1437" s="39">
        <f>IF(B1437="","",IFERROR(INDEX('Animais'!$M$6:$M$1005,MATCH(B1437,'Animais'!$A$6:$A$1005,0)),"Brinco não cadastrado"))</f>
        <v/>
      </c>
    </row>
    <row r="1438">
      <c r="A1438" s="31" t="n"/>
      <c r="B1438" s="36" t="n"/>
      <c r="C1438" s="38" t="n"/>
      <c r="D1438" s="32" t="n"/>
      <c r="E1438" s="43">
        <f>IF(OR(A1438="",B1438=""),"",SUMPRODUCT(MAX(($B$6:$B$2005=B1438)*($A$6:$A$2005&lt;A1438)*$A$6:$A$2005)))</f>
        <v/>
      </c>
      <c r="F1438" s="41">
        <f>IF(OR(E1438="",E1438=0),"",IFERROR(AVERAGEIFS($C$6:$C$2005,$B$6:$B$2005,B1438,$A$6:$A$2005,E1438),""))</f>
        <v/>
      </c>
      <c r="G1438" s="34">
        <f>IF(F1438="","",A1438-E1438)</f>
        <v/>
      </c>
      <c r="H1438" s="42">
        <f>IF(OR(F1438="",C1438=""),"",IFERROR((C1438-F1438)/G1438,""))</f>
        <v/>
      </c>
      <c r="I1438" s="39">
        <f>IF(B1438="","",IFERROR(INDEX('Animais'!$M$6:$M$1005,MATCH(B1438,'Animais'!$A$6:$A$1005,0)),"Brinco não cadastrado"))</f>
        <v/>
      </c>
    </row>
    <row r="1439">
      <c r="A1439" s="31" t="n"/>
      <c r="B1439" s="36" t="n"/>
      <c r="C1439" s="38" t="n"/>
      <c r="D1439" s="32" t="n"/>
      <c r="E1439" s="43">
        <f>IF(OR(A1439="",B1439=""),"",SUMPRODUCT(MAX(($B$6:$B$2005=B1439)*($A$6:$A$2005&lt;A1439)*$A$6:$A$2005)))</f>
        <v/>
      </c>
      <c r="F1439" s="41">
        <f>IF(OR(E1439="",E1439=0),"",IFERROR(AVERAGEIFS($C$6:$C$2005,$B$6:$B$2005,B1439,$A$6:$A$2005,E1439),""))</f>
        <v/>
      </c>
      <c r="G1439" s="34">
        <f>IF(F1439="","",A1439-E1439)</f>
        <v/>
      </c>
      <c r="H1439" s="42">
        <f>IF(OR(F1439="",C1439=""),"",IFERROR((C1439-F1439)/G1439,""))</f>
        <v/>
      </c>
      <c r="I1439" s="39">
        <f>IF(B1439="","",IFERROR(INDEX('Animais'!$M$6:$M$1005,MATCH(B1439,'Animais'!$A$6:$A$1005,0)),"Brinco não cadastrado"))</f>
        <v/>
      </c>
    </row>
    <row r="1440">
      <c r="A1440" s="31" t="n"/>
      <c r="B1440" s="36" t="n"/>
      <c r="C1440" s="38" t="n"/>
      <c r="D1440" s="32" t="n"/>
      <c r="E1440" s="43">
        <f>IF(OR(A1440="",B1440=""),"",SUMPRODUCT(MAX(($B$6:$B$2005=B1440)*($A$6:$A$2005&lt;A1440)*$A$6:$A$2005)))</f>
        <v/>
      </c>
      <c r="F1440" s="41">
        <f>IF(OR(E1440="",E1440=0),"",IFERROR(AVERAGEIFS($C$6:$C$2005,$B$6:$B$2005,B1440,$A$6:$A$2005,E1440),""))</f>
        <v/>
      </c>
      <c r="G1440" s="34">
        <f>IF(F1440="","",A1440-E1440)</f>
        <v/>
      </c>
      <c r="H1440" s="42">
        <f>IF(OR(F1440="",C1440=""),"",IFERROR((C1440-F1440)/G1440,""))</f>
        <v/>
      </c>
      <c r="I1440" s="39">
        <f>IF(B1440="","",IFERROR(INDEX('Animais'!$M$6:$M$1005,MATCH(B1440,'Animais'!$A$6:$A$1005,0)),"Brinco não cadastrado"))</f>
        <v/>
      </c>
    </row>
    <row r="1441">
      <c r="A1441" s="31" t="n"/>
      <c r="B1441" s="36" t="n"/>
      <c r="C1441" s="38" t="n"/>
      <c r="D1441" s="32" t="n"/>
      <c r="E1441" s="43">
        <f>IF(OR(A1441="",B1441=""),"",SUMPRODUCT(MAX(($B$6:$B$2005=B1441)*($A$6:$A$2005&lt;A1441)*$A$6:$A$2005)))</f>
        <v/>
      </c>
      <c r="F1441" s="41">
        <f>IF(OR(E1441="",E1441=0),"",IFERROR(AVERAGEIFS($C$6:$C$2005,$B$6:$B$2005,B1441,$A$6:$A$2005,E1441),""))</f>
        <v/>
      </c>
      <c r="G1441" s="34">
        <f>IF(F1441="","",A1441-E1441)</f>
        <v/>
      </c>
      <c r="H1441" s="42">
        <f>IF(OR(F1441="",C1441=""),"",IFERROR((C1441-F1441)/G1441,""))</f>
        <v/>
      </c>
      <c r="I1441" s="39">
        <f>IF(B1441="","",IFERROR(INDEX('Animais'!$M$6:$M$1005,MATCH(B1441,'Animais'!$A$6:$A$1005,0)),"Brinco não cadastrado"))</f>
        <v/>
      </c>
    </row>
    <row r="1442">
      <c r="A1442" s="31" t="n"/>
      <c r="B1442" s="36" t="n"/>
      <c r="C1442" s="38" t="n"/>
      <c r="D1442" s="32" t="n"/>
      <c r="E1442" s="43">
        <f>IF(OR(A1442="",B1442=""),"",SUMPRODUCT(MAX(($B$6:$B$2005=B1442)*($A$6:$A$2005&lt;A1442)*$A$6:$A$2005)))</f>
        <v/>
      </c>
      <c r="F1442" s="41">
        <f>IF(OR(E1442="",E1442=0),"",IFERROR(AVERAGEIFS($C$6:$C$2005,$B$6:$B$2005,B1442,$A$6:$A$2005,E1442),""))</f>
        <v/>
      </c>
      <c r="G1442" s="34">
        <f>IF(F1442="","",A1442-E1442)</f>
        <v/>
      </c>
      <c r="H1442" s="42">
        <f>IF(OR(F1442="",C1442=""),"",IFERROR((C1442-F1442)/G1442,""))</f>
        <v/>
      </c>
      <c r="I1442" s="39">
        <f>IF(B1442="","",IFERROR(INDEX('Animais'!$M$6:$M$1005,MATCH(B1442,'Animais'!$A$6:$A$1005,0)),"Brinco não cadastrado"))</f>
        <v/>
      </c>
    </row>
    <row r="1443">
      <c r="A1443" s="31" t="n"/>
      <c r="B1443" s="36" t="n"/>
      <c r="C1443" s="38" t="n"/>
      <c r="D1443" s="32" t="n"/>
      <c r="E1443" s="43">
        <f>IF(OR(A1443="",B1443=""),"",SUMPRODUCT(MAX(($B$6:$B$2005=B1443)*($A$6:$A$2005&lt;A1443)*$A$6:$A$2005)))</f>
        <v/>
      </c>
      <c r="F1443" s="41">
        <f>IF(OR(E1443="",E1443=0),"",IFERROR(AVERAGEIFS($C$6:$C$2005,$B$6:$B$2005,B1443,$A$6:$A$2005,E1443),""))</f>
        <v/>
      </c>
      <c r="G1443" s="34">
        <f>IF(F1443="","",A1443-E1443)</f>
        <v/>
      </c>
      <c r="H1443" s="42">
        <f>IF(OR(F1443="",C1443=""),"",IFERROR((C1443-F1443)/G1443,""))</f>
        <v/>
      </c>
      <c r="I1443" s="39">
        <f>IF(B1443="","",IFERROR(INDEX('Animais'!$M$6:$M$1005,MATCH(B1443,'Animais'!$A$6:$A$1005,0)),"Brinco não cadastrado"))</f>
        <v/>
      </c>
    </row>
    <row r="1444">
      <c r="A1444" s="31" t="n"/>
      <c r="B1444" s="36" t="n"/>
      <c r="C1444" s="38" t="n"/>
      <c r="D1444" s="32" t="n"/>
      <c r="E1444" s="43">
        <f>IF(OR(A1444="",B1444=""),"",SUMPRODUCT(MAX(($B$6:$B$2005=B1444)*($A$6:$A$2005&lt;A1444)*$A$6:$A$2005)))</f>
        <v/>
      </c>
      <c r="F1444" s="41">
        <f>IF(OR(E1444="",E1444=0),"",IFERROR(AVERAGEIFS($C$6:$C$2005,$B$6:$B$2005,B1444,$A$6:$A$2005,E1444),""))</f>
        <v/>
      </c>
      <c r="G1444" s="34">
        <f>IF(F1444="","",A1444-E1444)</f>
        <v/>
      </c>
      <c r="H1444" s="42">
        <f>IF(OR(F1444="",C1444=""),"",IFERROR((C1444-F1444)/G1444,""))</f>
        <v/>
      </c>
      <c r="I1444" s="39">
        <f>IF(B1444="","",IFERROR(INDEX('Animais'!$M$6:$M$1005,MATCH(B1444,'Animais'!$A$6:$A$1005,0)),"Brinco não cadastrado"))</f>
        <v/>
      </c>
    </row>
    <row r="1445">
      <c r="A1445" s="31" t="n"/>
      <c r="B1445" s="36" t="n"/>
      <c r="C1445" s="38" t="n"/>
      <c r="D1445" s="32" t="n"/>
      <c r="E1445" s="43">
        <f>IF(OR(A1445="",B1445=""),"",SUMPRODUCT(MAX(($B$6:$B$2005=B1445)*($A$6:$A$2005&lt;A1445)*$A$6:$A$2005)))</f>
        <v/>
      </c>
      <c r="F1445" s="41">
        <f>IF(OR(E1445="",E1445=0),"",IFERROR(AVERAGEIFS($C$6:$C$2005,$B$6:$B$2005,B1445,$A$6:$A$2005,E1445),""))</f>
        <v/>
      </c>
      <c r="G1445" s="34">
        <f>IF(F1445="","",A1445-E1445)</f>
        <v/>
      </c>
      <c r="H1445" s="42">
        <f>IF(OR(F1445="",C1445=""),"",IFERROR((C1445-F1445)/G1445,""))</f>
        <v/>
      </c>
      <c r="I1445" s="39">
        <f>IF(B1445="","",IFERROR(INDEX('Animais'!$M$6:$M$1005,MATCH(B1445,'Animais'!$A$6:$A$1005,0)),"Brinco não cadastrado"))</f>
        <v/>
      </c>
    </row>
    <row r="1446">
      <c r="A1446" s="31" t="n"/>
      <c r="B1446" s="36" t="n"/>
      <c r="C1446" s="38" t="n"/>
      <c r="D1446" s="32" t="n"/>
      <c r="E1446" s="43">
        <f>IF(OR(A1446="",B1446=""),"",SUMPRODUCT(MAX(($B$6:$B$2005=B1446)*($A$6:$A$2005&lt;A1446)*$A$6:$A$2005)))</f>
        <v/>
      </c>
      <c r="F1446" s="41">
        <f>IF(OR(E1446="",E1446=0),"",IFERROR(AVERAGEIFS($C$6:$C$2005,$B$6:$B$2005,B1446,$A$6:$A$2005,E1446),""))</f>
        <v/>
      </c>
      <c r="G1446" s="34">
        <f>IF(F1446="","",A1446-E1446)</f>
        <v/>
      </c>
      <c r="H1446" s="42">
        <f>IF(OR(F1446="",C1446=""),"",IFERROR((C1446-F1446)/G1446,""))</f>
        <v/>
      </c>
      <c r="I1446" s="39">
        <f>IF(B1446="","",IFERROR(INDEX('Animais'!$M$6:$M$1005,MATCH(B1446,'Animais'!$A$6:$A$1005,0)),"Brinco não cadastrado"))</f>
        <v/>
      </c>
    </row>
    <row r="1447">
      <c r="A1447" s="31" t="n"/>
      <c r="B1447" s="36" t="n"/>
      <c r="C1447" s="38" t="n"/>
      <c r="D1447" s="32" t="n"/>
      <c r="E1447" s="43">
        <f>IF(OR(A1447="",B1447=""),"",SUMPRODUCT(MAX(($B$6:$B$2005=B1447)*($A$6:$A$2005&lt;A1447)*$A$6:$A$2005)))</f>
        <v/>
      </c>
      <c r="F1447" s="41">
        <f>IF(OR(E1447="",E1447=0),"",IFERROR(AVERAGEIFS($C$6:$C$2005,$B$6:$B$2005,B1447,$A$6:$A$2005,E1447),""))</f>
        <v/>
      </c>
      <c r="G1447" s="34">
        <f>IF(F1447="","",A1447-E1447)</f>
        <v/>
      </c>
      <c r="H1447" s="42">
        <f>IF(OR(F1447="",C1447=""),"",IFERROR((C1447-F1447)/G1447,""))</f>
        <v/>
      </c>
      <c r="I1447" s="39">
        <f>IF(B1447="","",IFERROR(INDEX('Animais'!$M$6:$M$1005,MATCH(B1447,'Animais'!$A$6:$A$1005,0)),"Brinco não cadastrado"))</f>
        <v/>
      </c>
    </row>
    <row r="1448">
      <c r="A1448" s="31" t="n"/>
      <c r="B1448" s="36" t="n"/>
      <c r="C1448" s="38" t="n"/>
      <c r="D1448" s="32" t="n"/>
      <c r="E1448" s="43">
        <f>IF(OR(A1448="",B1448=""),"",SUMPRODUCT(MAX(($B$6:$B$2005=B1448)*($A$6:$A$2005&lt;A1448)*$A$6:$A$2005)))</f>
        <v/>
      </c>
      <c r="F1448" s="41">
        <f>IF(OR(E1448="",E1448=0),"",IFERROR(AVERAGEIFS($C$6:$C$2005,$B$6:$B$2005,B1448,$A$6:$A$2005,E1448),""))</f>
        <v/>
      </c>
      <c r="G1448" s="34">
        <f>IF(F1448="","",A1448-E1448)</f>
        <v/>
      </c>
      <c r="H1448" s="42">
        <f>IF(OR(F1448="",C1448=""),"",IFERROR((C1448-F1448)/G1448,""))</f>
        <v/>
      </c>
      <c r="I1448" s="39">
        <f>IF(B1448="","",IFERROR(INDEX('Animais'!$M$6:$M$1005,MATCH(B1448,'Animais'!$A$6:$A$1005,0)),"Brinco não cadastrado"))</f>
        <v/>
      </c>
    </row>
    <row r="1449">
      <c r="A1449" s="31" t="n"/>
      <c r="B1449" s="36" t="n"/>
      <c r="C1449" s="38" t="n"/>
      <c r="D1449" s="32" t="n"/>
      <c r="E1449" s="43">
        <f>IF(OR(A1449="",B1449=""),"",SUMPRODUCT(MAX(($B$6:$B$2005=B1449)*($A$6:$A$2005&lt;A1449)*$A$6:$A$2005)))</f>
        <v/>
      </c>
      <c r="F1449" s="41">
        <f>IF(OR(E1449="",E1449=0),"",IFERROR(AVERAGEIFS($C$6:$C$2005,$B$6:$B$2005,B1449,$A$6:$A$2005,E1449),""))</f>
        <v/>
      </c>
      <c r="G1449" s="34">
        <f>IF(F1449="","",A1449-E1449)</f>
        <v/>
      </c>
      <c r="H1449" s="42">
        <f>IF(OR(F1449="",C1449=""),"",IFERROR((C1449-F1449)/G1449,""))</f>
        <v/>
      </c>
      <c r="I1449" s="39">
        <f>IF(B1449="","",IFERROR(INDEX('Animais'!$M$6:$M$1005,MATCH(B1449,'Animais'!$A$6:$A$1005,0)),"Brinco não cadastrado"))</f>
        <v/>
      </c>
    </row>
    <row r="1450">
      <c r="A1450" s="31" t="n"/>
      <c r="B1450" s="36" t="n"/>
      <c r="C1450" s="38" t="n"/>
      <c r="D1450" s="32" t="n"/>
      <c r="E1450" s="43">
        <f>IF(OR(A1450="",B1450=""),"",SUMPRODUCT(MAX(($B$6:$B$2005=B1450)*($A$6:$A$2005&lt;A1450)*$A$6:$A$2005)))</f>
        <v/>
      </c>
      <c r="F1450" s="41">
        <f>IF(OR(E1450="",E1450=0),"",IFERROR(AVERAGEIFS($C$6:$C$2005,$B$6:$B$2005,B1450,$A$6:$A$2005,E1450),""))</f>
        <v/>
      </c>
      <c r="G1450" s="34">
        <f>IF(F1450="","",A1450-E1450)</f>
        <v/>
      </c>
      <c r="H1450" s="42">
        <f>IF(OR(F1450="",C1450=""),"",IFERROR((C1450-F1450)/G1450,""))</f>
        <v/>
      </c>
      <c r="I1450" s="39">
        <f>IF(B1450="","",IFERROR(INDEX('Animais'!$M$6:$M$1005,MATCH(B1450,'Animais'!$A$6:$A$1005,0)),"Brinco não cadastrado"))</f>
        <v/>
      </c>
    </row>
    <row r="1451">
      <c r="A1451" s="31" t="n"/>
      <c r="B1451" s="36" t="n"/>
      <c r="C1451" s="38" t="n"/>
      <c r="D1451" s="32" t="n"/>
      <c r="E1451" s="43">
        <f>IF(OR(A1451="",B1451=""),"",SUMPRODUCT(MAX(($B$6:$B$2005=B1451)*($A$6:$A$2005&lt;A1451)*$A$6:$A$2005)))</f>
        <v/>
      </c>
      <c r="F1451" s="41">
        <f>IF(OR(E1451="",E1451=0),"",IFERROR(AVERAGEIFS($C$6:$C$2005,$B$6:$B$2005,B1451,$A$6:$A$2005,E1451),""))</f>
        <v/>
      </c>
      <c r="G1451" s="34">
        <f>IF(F1451="","",A1451-E1451)</f>
        <v/>
      </c>
      <c r="H1451" s="42">
        <f>IF(OR(F1451="",C1451=""),"",IFERROR((C1451-F1451)/G1451,""))</f>
        <v/>
      </c>
      <c r="I1451" s="39">
        <f>IF(B1451="","",IFERROR(INDEX('Animais'!$M$6:$M$1005,MATCH(B1451,'Animais'!$A$6:$A$1005,0)),"Brinco não cadastrado"))</f>
        <v/>
      </c>
    </row>
    <row r="1452">
      <c r="A1452" s="31" t="n"/>
      <c r="B1452" s="36" t="n"/>
      <c r="C1452" s="38" t="n"/>
      <c r="D1452" s="32" t="n"/>
      <c r="E1452" s="43">
        <f>IF(OR(A1452="",B1452=""),"",SUMPRODUCT(MAX(($B$6:$B$2005=B1452)*($A$6:$A$2005&lt;A1452)*$A$6:$A$2005)))</f>
        <v/>
      </c>
      <c r="F1452" s="41">
        <f>IF(OR(E1452="",E1452=0),"",IFERROR(AVERAGEIFS($C$6:$C$2005,$B$6:$B$2005,B1452,$A$6:$A$2005,E1452),""))</f>
        <v/>
      </c>
      <c r="G1452" s="34">
        <f>IF(F1452="","",A1452-E1452)</f>
        <v/>
      </c>
      <c r="H1452" s="42">
        <f>IF(OR(F1452="",C1452=""),"",IFERROR((C1452-F1452)/G1452,""))</f>
        <v/>
      </c>
      <c r="I1452" s="39">
        <f>IF(B1452="","",IFERROR(INDEX('Animais'!$M$6:$M$1005,MATCH(B1452,'Animais'!$A$6:$A$1005,0)),"Brinco não cadastrado"))</f>
        <v/>
      </c>
    </row>
    <row r="1453">
      <c r="A1453" s="31" t="n"/>
      <c r="B1453" s="36" t="n"/>
      <c r="C1453" s="38" t="n"/>
      <c r="D1453" s="32" t="n"/>
      <c r="E1453" s="43">
        <f>IF(OR(A1453="",B1453=""),"",SUMPRODUCT(MAX(($B$6:$B$2005=B1453)*($A$6:$A$2005&lt;A1453)*$A$6:$A$2005)))</f>
        <v/>
      </c>
      <c r="F1453" s="41">
        <f>IF(OR(E1453="",E1453=0),"",IFERROR(AVERAGEIFS($C$6:$C$2005,$B$6:$B$2005,B1453,$A$6:$A$2005,E1453),""))</f>
        <v/>
      </c>
      <c r="G1453" s="34">
        <f>IF(F1453="","",A1453-E1453)</f>
        <v/>
      </c>
      <c r="H1453" s="42">
        <f>IF(OR(F1453="",C1453=""),"",IFERROR((C1453-F1453)/G1453,""))</f>
        <v/>
      </c>
      <c r="I1453" s="39">
        <f>IF(B1453="","",IFERROR(INDEX('Animais'!$M$6:$M$1005,MATCH(B1453,'Animais'!$A$6:$A$1005,0)),"Brinco não cadastrado"))</f>
        <v/>
      </c>
    </row>
    <row r="1454">
      <c r="A1454" s="31" t="n"/>
      <c r="B1454" s="36" t="n"/>
      <c r="C1454" s="38" t="n"/>
      <c r="D1454" s="32" t="n"/>
      <c r="E1454" s="43">
        <f>IF(OR(A1454="",B1454=""),"",SUMPRODUCT(MAX(($B$6:$B$2005=B1454)*($A$6:$A$2005&lt;A1454)*$A$6:$A$2005)))</f>
        <v/>
      </c>
      <c r="F1454" s="41">
        <f>IF(OR(E1454="",E1454=0),"",IFERROR(AVERAGEIFS($C$6:$C$2005,$B$6:$B$2005,B1454,$A$6:$A$2005,E1454),""))</f>
        <v/>
      </c>
      <c r="G1454" s="34">
        <f>IF(F1454="","",A1454-E1454)</f>
        <v/>
      </c>
      <c r="H1454" s="42">
        <f>IF(OR(F1454="",C1454=""),"",IFERROR((C1454-F1454)/G1454,""))</f>
        <v/>
      </c>
      <c r="I1454" s="39">
        <f>IF(B1454="","",IFERROR(INDEX('Animais'!$M$6:$M$1005,MATCH(B1454,'Animais'!$A$6:$A$1005,0)),"Brinco não cadastrado"))</f>
        <v/>
      </c>
    </row>
    <row r="1455">
      <c r="A1455" s="31" t="n"/>
      <c r="B1455" s="36" t="n"/>
      <c r="C1455" s="38" t="n"/>
      <c r="D1455" s="32" t="n"/>
      <c r="E1455" s="43">
        <f>IF(OR(A1455="",B1455=""),"",SUMPRODUCT(MAX(($B$6:$B$2005=B1455)*($A$6:$A$2005&lt;A1455)*$A$6:$A$2005)))</f>
        <v/>
      </c>
      <c r="F1455" s="41">
        <f>IF(OR(E1455="",E1455=0),"",IFERROR(AVERAGEIFS($C$6:$C$2005,$B$6:$B$2005,B1455,$A$6:$A$2005,E1455),""))</f>
        <v/>
      </c>
      <c r="G1455" s="34">
        <f>IF(F1455="","",A1455-E1455)</f>
        <v/>
      </c>
      <c r="H1455" s="42">
        <f>IF(OR(F1455="",C1455=""),"",IFERROR((C1455-F1455)/G1455,""))</f>
        <v/>
      </c>
      <c r="I1455" s="39">
        <f>IF(B1455="","",IFERROR(INDEX('Animais'!$M$6:$M$1005,MATCH(B1455,'Animais'!$A$6:$A$1005,0)),"Brinco não cadastrado"))</f>
        <v/>
      </c>
    </row>
    <row r="1456">
      <c r="A1456" s="31" t="n"/>
      <c r="B1456" s="36" t="n"/>
      <c r="C1456" s="38" t="n"/>
      <c r="D1456" s="32" t="n"/>
      <c r="E1456" s="43">
        <f>IF(OR(A1456="",B1456=""),"",SUMPRODUCT(MAX(($B$6:$B$2005=B1456)*($A$6:$A$2005&lt;A1456)*$A$6:$A$2005)))</f>
        <v/>
      </c>
      <c r="F1456" s="41">
        <f>IF(OR(E1456="",E1456=0),"",IFERROR(AVERAGEIFS($C$6:$C$2005,$B$6:$B$2005,B1456,$A$6:$A$2005,E1456),""))</f>
        <v/>
      </c>
      <c r="G1456" s="34">
        <f>IF(F1456="","",A1456-E1456)</f>
        <v/>
      </c>
      <c r="H1456" s="42">
        <f>IF(OR(F1456="",C1456=""),"",IFERROR((C1456-F1456)/G1456,""))</f>
        <v/>
      </c>
      <c r="I1456" s="39">
        <f>IF(B1456="","",IFERROR(INDEX('Animais'!$M$6:$M$1005,MATCH(B1456,'Animais'!$A$6:$A$1005,0)),"Brinco não cadastrado"))</f>
        <v/>
      </c>
    </row>
    <row r="1457">
      <c r="A1457" s="31" t="n"/>
      <c r="B1457" s="36" t="n"/>
      <c r="C1457" s="38" t="n"/>
      <c r="D1457" s="32" t="n"/>
      <c r="E1457" s="43">
        <f>IF(OR(A1457="",B1457=""),"",SUMPRODUCT(MAX(($B$6:$B$2005=B1457)*($A$6:$A$2005&lt;A1457)*$A$6:$A$2005)))</f>
        <v/>
      </c>
      <c r="F1457" s="41">
        <f>IF(OR(E1457="",E1457=0),"",IFERROR(AVERAGEIFS($C$6:$C$2005,$B$6:$B$2005,B1457,$A$6:$A$2005,E1457),""))</f>
        <v/>
      </c>
      <c r="G1457" s="34">
        <f>IF(F1457="","",A1457-E1457)</f>
        <v/>
      </c>
      <c r="H1457" s="42">
        <f>IF(OR(F1457="",C1457=""),"",IFERROR((C1457-F1457)/G1457,""))</f>
        <v/>
      </c>
      <c r="I1457" s="39">
        <f>IF(B1457="","",IFERROR(INDEX('Animais'!$M$6:$M$1005,MATCH(B1457,'Animais'!$A$6:$A$1005,0)),"Brinco não cadastrado"))</f>
        <v/>
      </c>
    </row>
    <row r="1458">
      <c r="A1458" s="31" t="n"/>
      <c r="B1458" s="36" t="n"/>
      <c r="C1458" s="38" t="n"/>
      <c r="D1458" s="32" t="n"/>
      <c r="E1458" s="43">
        <f>IF(OR(A1458="",B1458=""),"",SUMPRODUCT(MAX(($B$6:$B$2005=B1458)*($A$6:$A$2005&lt;A1458)*$A$6:$A$2005)))</f>
        <v/>
      </c>
      <c r="F1458" s="41">
        <f>IF(OR(E1458="",E1458=0),"",IFERROR(AVERAGEIFS($C$6:$C$2005,$B$6:$B$2005,B1458,$A$6:$A$2005,E1458),""))</f>
        <v/>
      </c>
      <c r="G1458" s="34">
        <f>IF(F1458="","",A1458-E1458)</f>
        <v/>
      </c>
      <c r="H1458" s="42">
        <f>IF(OR(F1458="",C1458=""),"",IFERROR((C1458-F1458)/G1458,""))</f>
        <v/>
      </c>
      <c r="I1458" s="39">
        <f>IF(B1458="","",IFERROR(INDEX('Animais'!$M$6:$M$1005,MATCH(B1458,'Animais'!$A$6:$A$1005,0)),"Brinco não cadastrado"))</f>
        <v/>
      </c>
    </row>
    <row r="1459">
      <c r="A1459" s="31" t="n"/>
      <c r="B1459" s="36" t="n"/>
      <c r="C1459" s="38" t="n"/>
      <c r="D1459" s="32" t="n"/>
      <c r="E1459" s="43">
        <f>IF(OR(A1459="",B1459=""),"",SUMPRODUCT(MAX(($B$6:$B$2005=B1459)*($A$6:$A$2005&lt;A1459)*$A$6:$A$2005)))</f>
        <v/>
      </c>
      <c r="F1459" s="41">
        <f>IF(OR(E1459="",E1459=0),"",IFERROR(AVERAGEIFS($C$6:$C$2005,$B$6:$B$2005,B1459,$A$6:$A$2005,E1459),""))</f>
        <v/>
      </c>
      <c r="G1459" s="34">
        <f>IF(F1459="","",A1459-E1459)</f>
        <v/>
      </c>
      <c r="H1459" s="42">
        <f>IF(OR(F1459="",C1459=""),"",IFERROR((C1459-F1459)/G1459,""))</f>
        <v/>
      </c>
      <c r="I1459" s="39">
        <f>IF(B1459="","",IFERROR(INDEX('Animais'!$M$6:$M$1005,MATCH(B1459,'Animais'!$A$6:$A$1005,0)),"Brinco não cadastrado"))</f>
        <v/>
      </c>
    </row>
    <row r="1460">
      <c r="A1460" s="31" t="n"/>
      <c r="B1460" s="36" t="n"/>
      <c r="C1460" s="38" t="n"/>
      <c r="D1460" s="32" t="n"/>
      <c r="E1460" s="43">
        <f>IF(OR(A1460="",B1460=""),"",SUMPRODUCT(MAX(($B$6:$B$2005=B1460)*($A$6:$A$2005&lt;A1460)*$A$6:$A$2005)))</f>
        <v/>
      </c>
      <c r="F1460" s="41">
        <f>IF(OR(E1460="",E1460=0),"",IFERROR(AVERAGEIFS($C$6:$C$2005,$B$6:$B$2005,B1460,$A$6:$A$2005,E1460),""))</f>
        <v/>
      </c>
      <c r="G1460" s="34">
        <f>IF(F1460="","",A1460-E1460)</f>
        <v/>
      </c>
      <c r="H1460" s="42">
        <f>IF(OR(F1460="",C1460=""),"",IFERROR((C1460-F1460)/G1460,""))</f>
        <v/>
      </c>
      <c r="I1460" s="39">
        <f>IF(B1460="","",IFERROR(INDEX('Animais'!$M$6:$M$1005,MATCH(B1460,'Animais'!$A$6:$A$1005,0)),"Brinco não cadastrado"))</f>
        <v/>
      </c>
    </row>
    <row r="1461">
      <c r="A1461" s="31" t="n"/>
      <c r="B1461" s="36" t="n"/>
      <c r="C1461" s="38" t="n"/>
      <c r="D1461" s="32" t="n"/>
      <c r="E1461" s="43">
        <f>IF(OR(A1461="",B1461=""),"",SUMPRODUCT(MAX(($B$6:$B$2005=B1461)*($A$6:$A$2005&lt;A1461)*$A$6:$A$2005)))</f>
        <v/>
      </c>
      <c r="F1461" s="41">
        <f>IF(OR(E1461="",E1461=0),"",IFERROR(AVERAGEIFS($C$6:$C$2005,$B$6:$B$2005,B1461,$A$6:$A$2005,E1461),""))</f>
        <v/>
      </c>
      <c r="G1461" s="34">
        <f>IF(F1461="","",A1461-E1461)</f>
        <v/>
      </c>
      <c r="H1461" s="42">
        <f>IF(OR(F1461="",C1461=""),"",IFERROR((C1461-F1461)/G1461,""))</f>
        <v/>
      </c>
      <c r="I1461" s="39">
        <f>IF(B1461="","",IFERROR(INDEX('Animais'!$M$6:$M$1005,MATCH(B1461,'Animais'!$A$6:$A$1005,0)),"Brinco não cadastrado"))</f>
        <v/>
      </c>
    </row>
    <row r="1462">
      <c r="A1462" s="31" t="n"/>
      <c r="B1462" s="36" t="n"/>
      <c r="C1462" s="38" t="n"/>
      <c r="D1462" s="32" t="n"/>
      <c r="E1462" s="43">
        <f>IF(OR(A1462="",B1462=""),"",SUMPRODUCT(MAX(($B$6:$B$2005=B1462)*($A$6:$A$2005&lt;A1462)*$A$6:$A$2005)))</f>
        <v/>
      </c>
      <c r="F1462" s="41">
        <f>IF(OR(E1462="",E1462=0),"",IFERROR(AVERAGEIFS($C$6:$C$2005,$B$6:$B$2005,B1462,$A$6:$A$2005,E1462),""))</f>
        <v/>
      </c>
      <c r="G1462" s="34">
        <f>IF(F1462="","",A1462-E1462)</f>
        <v/>
      </c>
      <c r="H1462" s="42">
        <f>IF(OR(F1462="",C1462=""),"",IFERROR((C1462-F1462)/G1462,""))</f>
        <v/>
      </c>
      <c r="I1462" s="39">
        <f>IF(B1462="","",IFERROR(INDEX('Animais'!$M$6:$M$1005,MATCH(B1462,'Animais'!$A$6:$A$1005,0)),"Brinco não cadastrado"))</f>
        <v/>
      </c>
    </row>
    <row r="1463">
      <c r="A1463" s="31" t="n"/>
      <c r="B1463" s="36" t="n"/>
      <c r="C1463" s="38" t="n"/>
      <c r="D1463" s="32" t="n"/>
      <c r="E1463" s="43">
        <f>IF(OR(A1463="",B1463=""),"",SUMPRODUCT(MAX(($B$6:$B$2005=B1463)*($A$6:$A$2005&lt;A1463)*$A$6:$A$2005)))</f>
        <v/>
      </c>
      <c r="F1463" s="41">
        <f>IF(OR(E1463="",E1463=0),"",IFERROR(AVERAGEIFS($C$6:$C$2005,$B$6:$B$2005,B1463,$A$6:$A$2005,E1463),""))</f>
        <v/>
      </c>
      <c r="G1463" s="34">
        <f>IF(F1463="","",A1463-E1463)</f>
        <v/>
      </c>
      <c r="H1463" s="42">
        <f>IF(OR(F1463="",C1463=""),"",IFERROR((C1463-F1463)/G1463,""))</f>
        <v/>
      </c>
      <c r="I1463" s="39">
        <f>IF(B1463="","",IFERROR(INDEX('Animais'!$M$6:$M$1005,MATCH(B1463,'Animais'!$A$6:$A$1005,0)),"Brinco não cadastrado"))</f>
        <v/>
      </c>
    </row>
    <row r="1464">
      <c r="A1464" s="31" t="n"/>
      <c r="B1464" s="36" t="n"/>
      <c r="C1464" s="38" t="n"/>
      <c r="D1464" s="32" t="n"/>
      <c r="E1464" s="43">
        <f>IF(OR(A1464="",B1464=""),"",SUMPRODUCT(MAX(($B$6:$B$2005=B1464)*($A$6:$A$2005&lt;A1464)*$A$6:$A$2005)))</f>
        <v/>
      </c>
      <c r="F1464" s="41">
        <f>IF(OR(E1464="",E1464=0),"",IFERROR(AVERAGEIFS($C$6:$C$2005,$B$6:$B$2005,B1464,$A$6:$A$2005,E1464),""))</f>
        <v/>
      </c>
      <c r="G1464" s="34">
        <f>IF(F1464="","",A1464-E1464)</f>
        <v/>
      </c>
      <c r="H1464" s="42">
        <f>IF(OR(F1464="",C1464=""),"",IFERROR((C1464-F1464)/G1464,""))</f>
        <v/>
      </c>
      <c r="I1464" s="39">
        <f>IF(B1464="","",IFERROR(INDEX('Animais'!$M$6:$M$1005,MATCH(B1464,'Animais'!$A$6:$A$1005,0)),"Brinco não cadastrado"))</f>
        <v/>
      </c>
    </row>
    <row r="1465">
      <c r="A1465" s="31" t="n"/>
      <c r="B1465" s="36" t="n"/>
      <c r="C1465" s="38" t="n"/>
      <c r="D1465" s="32" t="n"/>
      <c r="E1465" s="43">
        <f>IF(OR(A1465="",B1465=""),"",SUMPRODUCT(MAX(($B$6:$B$2005=B1465)*($A$6:$A$2005&lt;A1465)*$A$6:$A$2005)))</f>
        <v/>
      </c>
      <c r="F1465" s="41">
        <f>IF(OR(E1465="",E1465=0),"",IFERROR(AVERAGEIFS($C$6:$C$2005,$B$6:$B$2005,B1465,$A$6:$A$2005,E1465),""))</f>
        <v/>
      </c>
      <c r="G1465" s="34">
        <f>IF(F1465="","",A1465-E1465)</f>
        <v/>
      </c>
      <c r="H1465" s="42">
        <f>IF(OR(F1465="",C1465=""),"",IFERROR((C1465-F1465)/G1465,""))</f>
        <v/>
      </c>
      <c r="I1465" s="39">
        <f>IF(B1465="","",IFERROR(INDEX('Animais'!$M$6:$M$1005,MATCH(B1465,'Animais'!$A$6:$A$1005,0)),"Brinco não cadastrado"))</f>
        <v/>
      </c>
    </row>
    <row r="1466">
      <c r="A1466" s="31" t="n"/>
      <c r="B1466" s="36" t="n"/>
      <c r="C1466" s="38" t="n"/>
      <c r="D1466" s="32" t="n"/>
      <c r="E1466" s="43">
        <f>IF(OR(A1466="",B1466=""),"",SUMPRODUCT(MAX(($B$6:$B$2005=B1466)*($A$6:$A$2005&lt;A1466)*$A$6:$A$2005)))</f>
        <v/>
      </c>
      <c r="F1466" s="41">
        <f>IF(OR(E1466="",E1466=0),"",IFERROR(AVERAGEIFS($C$6:$C$2005,$B$6:$B$2005,B1466,$A$6:$A$2005,E1466),""))</f>
        <v/>
      </c>
      <c r="G1466" s="34">
        <f>IF(F1466="","",A1466-E1466)</f>
        <v/>
      </c>
      <c r="H1466" s="42">
        <f>IF(OR(F1466="",C1466=""),"",IFERROR((C1466-F1466)/G1466,""))</f>
        <v/>
      </c>
      <c r="I1466" s="39">
        <f>IF(B1466="","",IFERROR(INDEX('Animais'!$M$6:$M$1005,MATCH(B1466,'Animais'!$A$6:$A$1005,0)),"Brinco não cadastrado"))</f>
        <v/>
      </c>
    </row>
    <row r="1467">
      <c r="A1467" s="31" t="n"/>
      <c r="B1467" s="36" t="n"/>
      <c r="C1467" s="38" t="n"/>
      <c r="D1467" s="32" t="n"/>
      <c r="E1467" s="43">
        <f>IF(OR(A1467="",B1467=""),"",SUMPRODUCT(MAX(($B$6:$B$2005=B1467)*($A$6:$A$2005&lt;A1467)*$A$6:$A$2005)))</f>
        <v/>
      </c>
      <c r="F1467" s="41">
        <f>IF(OR(E1467="",E1467=0),"",IFERROR(AVERAGEIFS($C$6:$C$2005,$B$6:$B$2005,B1467,$A$6:$A$2005,E1467),""))</f>
        <v/>
      </c>
      <c r="G1467" s="34">
        <f>IF(F1467="","",A1467-E1467)</f>
        <v/>
      </c>
      <c r="H1467" s="42">
        <f>IF(OR(F1467="",C1467=""),"",IFERROR((C1467-F1467)/G1467,""))</f>
        <v/>
      </c>
      <c r="I1467" s="39">
        <f>IF(B1467="","",IFERROR(INDEX('Animais'!$M$6:$M$1005,MATCH(B1467,'Animais'!$A$6:$A$1005,0)),"Brinco não cadastrado"))</f>
        <v/>
      </c>
    </row>
    <row r="1468">
      <c r="A1468" s="31" t="n"/>
      <c r="B1468" s="36" t="n"/>
      <c r="C1468" s="38" t="n"/>
      <c r="D1468" s="32" t="n"/>
      <c r="E1468" s="43">
        <f>IF(OR(A1468="",B1468=""),"",SUMPRODUCT(MAX(($B$6:$B$2005=B1468)*($A$6:$A$2005&lt;A1468)*$A$6:$A$2005)))</f>
        <v/>
      </c>
      <c r="F1468" s="41">
        <f>IF(OR(E1468="",E1468=0),"",IFERROR(AVERAGEIFS($C$6:$C$2005,$B$6:$B$2005,B1468,$A$6:$A$2005,E1468),""))</f>
        <v/>
      </c>
      <c r="G1468" s="34">
        <f>IF(F1468="","",A1468-E1468)</f>
        <v/>
      </c>
      <c r="H1468" s="42">
        <f>IF(OR(F1468="",C1468=""),"",IFERROR((C1468-F1468)/G1468,""))</f>
        <v/>
      </c>
      <c r="I1468" s="39">
        <f>IF(B1468="","",IFERROR(INDEX('Animais'!$M$6:$M$1005,MATCH(B1468,'Animais'!$A$6:$A$1005,0)),"Brinco não cadastrado"))</f>
        <v/>
      </c>
    </row>
    <row r="1469">
      <c r="A1469" s="31" t="n"/>
      <c r="B1469" s="36" t="n"/>
      <c r="C1469" s="38" t="n"/>
      <c r="D1469" s="32" t="n"/>
      <c r="E1469" s="43">
        <f>IF(OR(A1469="",B1469=""),"",SUMPRODUCT(MAX(($B$6:$B$2005=B1469)*($A$6:$A$2005&lt;A1469)*$A$6:$A$2005)))</f>
        <v/>
      </c>
      <c r="F1469" s="41">
        <f>IF(OR(E1469="",E1469=0),"",IFERROR(AVERAGEIFS($C$6:$C$2005,$B$6:$B$2005,B1469,$A$6:$A$2005,E1469),""))</f>
        <v/>
      </c>
      <c r="G1469" s="34">
        <f>IF(F1469="","",A1469-E1469)</f>
        <v/>
      </c>
      <c r="H1469" s="42">
        <f>IF(OR(F1469="",C1469=""),"",IFERROR((C1469-F1469)/G1469,""))</f>
        <v/>
      </c>
      <c r="I1469" s="39">
        <f>IF(B1469="","",IFERROR(INDEX('Animais'!$M$6:$M$1005,MATCH(B1469,'Animais'!$A$6:$A$1005,0)),"Brinco não cadastrado"))</f>
        <v/>
      </c>
    </row>
    <row r="1470">
      <c r="A1470" s="31" t="n"/>
      <c r="B1470" s="36" t="n"/>
      <c r="C1470" s="38" t="n"/>
      <c r="D1470" s="32" t="n"/>
      <c r="E1470" s="43">
        <f>IF(OR(A1470="",B1470=""),"",SUMPRODUCT(MAX(($B$6:$B$2005=B1470)*($A$6:$A$2005&lt;A1470)*$A$6:$A$2005)))</f>
        <v/>
      </c>
      <c r="F1470" s="41">
        <f>IF(OR(E1470="",E1470=0),"",IFERROR(AVERAGEIFS($C$6:$C$2005,$B$6:$B$2005,B1470,$A$6:$A$2005,E1470),""))</f>
        <v/>
      </c>
      <c r="G1470" s="34">
        <f>IF(F1470="","",A1470-E1470)</f>
        <v/>
      </c>
      <c r="H1470" s="42">
        <f>IF(OR(F1470="",C1470=""),"",IFERROR((C1470-F1470)/G1470,""))</f>
        <v/>
      </c>
      <c r="I1470" s="39">
        <f>IF(B1470="","",IFERROR(INDEX('Animais'!$M$6:$M$1005,MATCH(B1470,'Animais'!$A$6:$A$1005,0)),"Brinco não cadastrado"))</f>
        <v/>
      </c>
    </row>
    <row r="1471">
      <c r="A1471" s="31" t="n"/>
      <c r="B1471" s="36" t="n"/>
      <c r="C1471" s="38" t="n"/>
      <c r="D1471" s="32" t="n"/>
      <c r="E1471" s="43">
        <f>IF(OR(A1471="",B1471=""),"",SUMPRODUCT(MAX(($B$6:$B$2005=B1471)*($A$6:$A$2005&lt;A1471)*$A$6:$A$2005)))</f>
        <v/>
      </c>
      <c r="F1471" s="41">
        <f>IF(OR(E1471="",E1471=0),"",IFERROR(AVERAGEIFS($C$6:$C$2005,$B$6:$B$2005,B1471,$A$6:$A$2005,E1471),""))</f>
        <v/>
      </c>
      <c r="G1471" s="34">
        <f>IF(F1471="","",A1471-E1471)</f>
        <v/>
      </c>
      <c r="H1471" s="42">
        <f>IF(OR(F1471="",C1471=""),"",IFERROR((C1471-F1471)/G1471,""))</f>
        <v/>
      </c>
      <c r="I1471" s="39">
        <f>IF(B1471="","",IFERROR(INDEX('Animais'!$M$6:$M$1005,MATCH(B1471,'Animais'!$A$6:$A$1005,0)),"Brinco não cadastrado"))</f>
        <v/>
      </c>
    </row>
    <row r="1472">
      <c r="A1472" s="31" t="n"/>
      <c r="B1472" s="36" t="n"/>
      <c r="C1472" s="38" t="n"/>
      <c r="D1472" s="32" t="n"/>
      <c r="E1472" s="43">
        <f>IF(OR(A1472="",B1472=""),"",SUMPRODUCT(MAX(($B$6:$B$2005=B1472)*($A$6:$A$2005&lt;A1472)*$A$6:$A$2005)))</f>
        <v/>
      </c>
      <c r="F1472" s="41">
        <f>IF(OR(E1472="",E1472=0),"",IFERROR(AVERAGEIFS($C$6:$C$2005,$B$6:$B$2005,B1472,$A$6:$A$2005,E1472),""))</f>
        <v/>
      </c>
      <c r="G1472" s="34">
        <f>IF(F1472="","",A1472-E1472)</f>
        <v/>
      </c>
      <c r="H1472" s="42">
        <f>IF(OR(F1472="",C1472=""),"",IFERROR((C1472-F1472)/G1472,""))</f>
        <v/>
      </c>
      <c r="I1472" s="39">
        <f>IF(B1472="","",IFERROR(INDEX('Animais'!$M$6:$M$1005,MATCH(B1472,'Animais'!$A$6:$A$1005,0)),"Brinco não cadastrado"))</f>
        <v/>
      </c>
    </row>
    <row r="1473">
      <c r="A1473" s="31" t="n"/>
      <c r="B1473" s="36" t="n"/>
      <c r="C1473" s="38" t="n"/>
      <c r="D1473" s="32" t="n"/>
      <c r="E1473" s="43">
        <f>IF(OR(A1473="",B1473=""),"",SUMPRODUCT(MAX(($B$6:$B$2005=B1473)*($A$6:$A$2005&lt;A1473)*$A$6:$A$2005)))</f>
        <v/>
      </c>
      <c r="F1473" s="41">
        <f>IF(OR(E1473="",E1473=0),"",IFERROR(AVERAGEIFS($C$6:$C$2005,$B$6:$B$2005,B1473,$A$6:$A$2005,E1473),""))</f>
        <v/>
      </c>
      <c r="G1473" s="34">
        <f>IF(F1473="","",A1473-E1473)</f>
        <v/>
      </c>
      <c r="H1473" s="42">
        <f>IF(OR(F1473="",C1473=""),"",IFERROR((C1473-F1473)/G1473,""))</f>
        <v/>
      </c>
      <c r="I1473" s="39">
        <f>IF(B1473="","",IFERROR(INDEX('Animais'!$M$6:$M$1005,MATCH(B1473,'Animais'!$A$6:$A$1005,0)),"Brinco não cadastrado"))</f>
        <v/>
      </c>
    </row>
    <row r="1474">
      <c r="A1474" s="31" t="n"/>
      <c r="B1474" s="36" t="n"/>
      <c r="C1474" s="38" t="n"/>
      <c r="D1474" s="32" t="n"/>
      <c r="E1474" s="43">
        <f>IF(OR(A1474="",B1474=""),"",SUMPRODUCT(MAX(($B$6:$B$2005=B1474)*($A$6:$A$2005&lt;A1474)*$A$6:$A$2005)))</f>
        <v/>
      </c>
      <c r="F1474" s="41">
        <f>IF(OR(E1474="",E1474=0),"",IFERROR(AVERAGEIFS($C$6:$C$2005,$B$6:$B$2005,B1474,$A$6:$A$2005,E1474),""))</f>
        <v/>
      </c>
      <c r="G1474" s="34">
        <f>IF(F1474="","",A1474-E1474)</f>
        <v/>
      </c>
      <c r="H1474" s="42">
        <f>IF(OR(F1474="",C1474=""),"",IFERROR((C1474-F1474)/G1474,""))</f>
        <v/>
      </c>
      <c r="I1474" s="39">
        <f>IF(B1474="","",IFERROR(INDEX('Animais'!$M$6:$M$1005,MATCH(B1474,'Animais'!$A$6:$A$1005,0)),"Brinco não cadastrado"))</f>
        <v/>
      </c>
    </row>
    <row r="1475">
      <c r="A1475" s="31" t="n"/>
      <c r="B1475" s="36" t="n"/>
      <c r="C1475" s="38" t="n"/>
      <c r="D1475" s="32" t="n"/>
      <c r="E1475" s="43">
        <f>IF(OR(A1475="",B1475=""),"",SUMPRODUCT(MAX(($B$6:$B$2005=B1475)*($A$6:$A$2005&lt;A1475)*$A$6:$A$2005)))</f>
        <v/>
      </c>
      <c r="F1475" s="41">
        <f>IF(OR(E1475="",E1475=0),"",IFERROR(AVERAGEIFS($C$6:$C$2005,$B$6:$B$2005,B1475,$A$6:$A$2005,E1475),""))</f>
        <v/>
      </c>
      <c r="G1475" s="34">
        <f>IF(F1475="","",A1475-E1475)</f>
        <v/>
      </c>
      <c r="H1475" s="42">
        <f>IF(OR(F1475="",C1475=""),"",IFERROR((C1475-F1475)/G1475,""))</f>
        <v/>
      </c>
      <c r="I1475" s="39">
        <f>IF(B1475="","",IFERROR(INDEX('Animais'!$M$6:$M$1005,MATCH(B1475,'Animais'!$A$6:$A$1005,0)),"Brinco não cadastrado"))</f>
        <v/>
      </c>
    </row>
    <row r="1476">
      <c r="A1476" s="31" t="n"/>
      <c r="B1476" s="36" t="n"/>
      <c r="C1476" s="38" t="n"/>
      <c r="D1476" s="32" t="n"/>
      <c r="E1476" s="43">
        <f>IF(OR(A1476="",B1476=""),"",SUMPRODUCT(MAX(($B$6:$B$2005=B1476)*($A$6:$A$2005&lt;A1476)*$A$6:$A$2005)))</f>
        <v/>
      </c>
      <c r="F1476" s="41">
        <f>IF(OR(E1476="",E1476=0),"",IFERROR(AVERAGEIFS($C$6:$C$2005,$B$6:$B$2005,B1476,$A$6:$A$2005,E1476),""))</f>
        <v/>
      </c>
      <c r="G1476" s="34">
        <f>IF(F1476="","",A1476-E1476)</f>
        <v/>
      </c>
      <c r="H1476" s="42">
        <f>IF(OR(F1476="",C1476=""),"",IFERROR((C1476-F1476)/G1476,""))</f>
        <v/>
      </c>
      <c r="I1476" s="39">
        <f>IF(B1476="","",IFERROR(INDEX('Animais'!$M$6:$M$1005,MATCH(B1476,'Animais'!$A$6:$A$1005,0)),"Brinco não cadastrado"))</f>
        <v/>
      </c>
    </row>
    <row r="1477">
      <c r="A1477" s="31" t="n"/>
      <c r="B1477" s="36" t="n"/>
      <c r="C1477" s="38" t="n"/>
      <c r="D1477" s="32" t="n"/>
      <c r="E1477" s="43">
        <f>IF(OR(A1477="",B1477=""),"",SUMPRODUCT(MAX(($B$6:$B$2005=B1477)*($A$6:$A$2005&lt;A1477)*$A$6:$A$2005)))</f>
        <v/>
      </c>
      <c r="F1477" s="41">
        <f>IF(OR(E1477="",E1477=0),"",IFERROR(AVERAGEIFS($C$6:$C$2005,$B$6:$B$2005,B1477,$A$6:$A$2005,E1477),""))</f>
        <v/>
      </c>
      <c r="G1477" s="34">
        <f>IF(F1477="","",A1477-E1477)</f>
        <v/>
      </c>
      <c r="H1477" s="42">
        <f>IF(OR(F1477="",C1477=""),"",IFERROR((C1477-F1477)/G1477,""))</f>
        <v/>
      </c>
      <c r="I1477" s="39">
        <f>IF(B1477="","",IFERROR(INDEX('Animais'!$M$6:$M$1005,MATCH(B1477,'Animais'!$A$6:$A$1005,0)),"Brinco não cadastrado"))</f>
        <v/>
      </c>
    </row>
    <row r="1478">
      <c r="A1478" s="31" t="n"/>
      <c r="B1478" s="36" t="n"/>
      <c r="C1478" s="38" t="n"/>
      <c r="D1478" s="32" t="n"/>
      <c r="E1478" s="43">
        <f>IF(OR(A1478="",B1478=""),"",SUMPRODUCT(MAX(($B$6:$B$2005=B1478)*($A$6:$A$2005&lt;A1478)*$A$6:$A$2005)))</f>
        <v/>
      </c>
      <c r="F1478" s="41">
        <f>IF(OR(E1478="",E1478=0),"",IFERROR(AVERAGEIFS($C$6:$C$2005,$B$6:$B$2005,B1478,$A$6:$A$2005,E1478),""))</f>
        <v/>
      </c>
      <c r="G1478" s="34">
        <f>IF(F1478="","",A1478-E1478)</f>
        <v/>
      </c>
      <c r="H1478" s="42">
        <f>IF(OR(F1478="",C1478=""),"",IFERROR((C1478-F1478)/G1478,""))</f>
        <v/>
      </c>
      <c r="I1478" s="39">
        <f>IF(B1478="","",IFERROR(INDEX('Animais'!$M$6:$M$1005,MATCH(B1478,'Animais'!$A$6:$A$1005,0)),"Brinco não cadastrado"))</f>
        <v/>
      </c>
    </row>
    <row r="1479">
      <c r="A1479" s="31" t="n"/>
      <c r="B1479" s="36" t="n"/>
      <c r="C1479" s="38" t="n"/>
      <c r="D1479" s="32" t="n"/>
      <c r="E1479" s="43">
        <f>IF(OR(A1479="",B1479=""),"",SUMPRODUCT(MAX(($B$6:$B$2005=B1479)*($A$6:$A$2005&lt;A1479)*$A$6:$A$2005)))</f>
        <v/>
      </c>
      <c r="F1479" s="41">
        <f>IF(OR(E1479="",E1479=0),"",IFERROR(AVERAGEIFS($C$6:$C$2005,$B$6:$B$2005,B1479,$A$6:$A$2005,E1479),""))</f>
        <v/>
      </c>
      <c r="G1479" s="34">
        <f>IF(F1479="","",A1479-E1479)</f>
        <v/>
      </c>
      <c r="H1479" s="42">
        <f>IF(OR(F1479="",C1479=""),"",IFERROR((C1479-F1479)/G1479,""))</f>
        <v/>
      </c>
      <c r="I1479" s="39">
        <f>IF(B1479="","",IFERROR(INDEX('Animais'!$M$6:$M$1005,MATCH(B1479,'Animais'!$A$6:$A$1005,0)),"Brinco não cadastrado"))</f>
        <v/>
      </c>
    </row>
    <row r="1480">
      <c r="A1480" s="31" t="n"/>
      <c r="B1480" s="36" t="n"/>
      <c r="C1480" s="38" t="n"/>
      <c r="D1480" s="32" t="n"/>
      <c r="E1480" s="43">
        <f>IF(OR(A1480="",B1480=""),"",SUMPRODUCT(MAX(($B$6:$B$2005=B1480)*($A$6:$A$2005&lt;A1480)*$A$6:$A$2005)))</f>
        <v/>
      </c>
      <c r="F1480" s="41">
        <f>IF(OR(E1480="",E1480=0),"",IFERROR(AVERAGEIFS($C$6:$C$2005,$B$6:$B$2005,B1480,$A$6:$A$2005,E1480),""))</f>
        <v/>
      </c>
      <c r="G1480" s="34">
        <f>IF(F1480="","",A1480-E1480)</f>
        <v/>
      </c>
      <c r="H1480" s="42">
        <f>IF(OR(F1480="",C1480=""),"",IFERROR((C1480-F1480)/G1480,""))</f>
        <v/>
      </c>
      <c r="I1480" s="39">
        <f>IF(B1480="","",IFERROR(INDEX('Animais'!$M$6:$M$1005,MATCH(B1480,'Animais'!$A$6:$A$1005,0)),"Brinco não cadastrado"))</f>
        <v/>
      </c>
    </row>
    <row r="1481">
      <c r="A1481" s="31" t="n"/>
      <c r="B1481" s="36" t="n"/>
      <c r="C1481" s="38" t="n"/>
      <c r="D1481" s="32" t="n"/>
      <c r="E1481" s="43">
        <f>IF(OR(A1481="",B1481=""),"",SUMPRODUCT(MAX(($B$6:$B$2005=B1481)*($A$6:$A$2005&lt;A1481)*$A$6:$A$2005)))</f>
        <v/>
      </c>
      <c r="F1481" s="41">
        <f>IF(OR(E1481="",E1481=0),"",IFERROR(AVERAGEIFS($C$6:$C$2005,$B$6:$B$2005,B1481,$A$6:$A$2005,E1481),""))</f>
        <v/>
      </c>
      <c r="G1481" s="34">
        <f>IF(F1481="","",A1481-E1481)</f>
        <v/>
      </c>
      <c r="H1481" s="42">
        <f>IF(OR(F1481="",C1481=""),"",IFERROR((C1481-F1481)/G1481,""))</f>
        <v/>
      </c>
      <c r="I1481" s="39">
        <f>IF(B1481="","",IFERROR(INDEX('Animais'!$M$6:$M$1005,MATCH(B1481,'Animais'!$A$6:$A$1005,0)),"Brinco não cadastrado"))</f>
        <v/>
      </c>
    </row>
    <row r="1482">
      <c r="A1482" s="31" t="n"/>
      <c r="B1482" s="36" t="n"/>
      <c r="C1482" s="38" t="n"/>
      <c r="D1482" s="32" t="n"/>
      <c r="E1482" s="43">
        <f>IF(OR(A1482="",B1482=""),"",SUMPRODUCT(MAX(($B$6:$B$2005=B1482)*($A$6:$A$2005&lt;A1482)*$A$6:$A$2005)))</f>
        <v/>
      </c>
      <c r="F1482" s="41">
        <f>IF(OR(E1482="",E1482=0),"",IFERROR(AVERAGEIFS($C$6:$C$2005,$B$6:$B$2005,B1482,$A$6:$A$2005,E1482),""))</f>
        <v/>
      </c>
      <c r="G1482" s="34">
        <f>IF(F1482="","",A1482-E1482)</f>
        <v/>
      </c>
      <c r="H1482" s="42">
        <f>IF(OR(F1482="",C1482=""),"",IFERROR((C1482-F1482)/G1482,""))</f>
        <v/>
      </c>
      <c r="I1482" s="39">
        <f>IF(B1482="","",IFERROR(INDEX('Animais'!$M$6:$M$1005,MATCH(B1482,'Animais'!$A$6:$A$1005,0)),"Brinco não cadastrado"))</f>
        <v/>
      </c>
    </row>
    <row r="1483">
      <c r="A1483" s="31" t="n"/>
      <c r="B1483" s="36" t="n"/>
      <c r="C1483" s="38" t="n"/>
      <c r="D1483" s="32" t="n"/>
      <c r="E1483" s="43">
        <f>IF(OR(A1483="",B1483=""),"",SUMPRODUCT(MAX(($B$6:$B$2005=B1483)*($A$6:$A$2005&lt;A1483)*$A$6:$A$2005)))</f>
        <v/>
      </c>
      <c r="F1483" s="41">
        <f>IF(OR(E1483="",E1483=0),"",IFERROR(AVERAGEIFS($C$6:$C$2005,$B$6:$B$2005,B1483,$A$6:$A$2005,E1483),""))</f>
        <v/>
      </c>
      <c r="G1483" s="34">
        <f>IF(F1483="","",A1483-E1483)</f>
        <v/>
      </c>
      <c r="H1483" s="42">
        <f>IF(OR(F1483="",C1483=""),"",IFERROR((C1483-F1483)/G1483,""))</f>
        <v/>
      </c>
      <c r="I1483" s="39">
        <f>IF(B1483="","",IFERROR(INDEX('Animais'!$M$6:$M$1005,MATCH(B1483,'Animais'!$A$6:$A$1005,0)),"Brinco não cadastrado"))</f>
        <v/>
      </c>
    </row>
    <row r="1484">
      <c r="A1484" s="31" t="n"/>
      <c r="B1484" s="36" t="n"/>
      <c r="C1484" s="38" t="n"/>
      <c r="D1484" s="32" t="n"/>
      <c r="E1484" s="43">
        <f>IF(OR(A1484="",B1484=""),"",SUMPRODUCT(MAX(($B$6:$B$2005=B1484)*($A$6:$A$2005&lt;A1484)*$A$6:$A$2005)))</f>
        <v/>
      </c>
      <c r="F1484" s="41">
        <f>IF(OR(E1484="",E1484=0),"",IFERROR(AVERAGEIFS($C$6:$C$2005,$B$6:$B$2005,B1484,$A$6:$A$2005,E1484),""))</f>
        <v/>
      </c>
      <c r="G1484" s="34">
        <f>IF(F1484="","",A1484-E1484)</f>
        <v/>
      </c>
      <c r="H1484" s="42">
        <f>IF(OR(F1484="",C1484=""),"",IFERROR((C1484-F1484)/G1484,""))</f>
        <v/>
      </c>
      <c r="I1484" s="39">
        <f>IF(B1484="","",IFERROR(INDEX('Animais'!$M$6:$M$1005,MATCH(B1484,'Animais'!$A$6:$A$1005,0)),"Brinco não cadastrado"))</f>
        <v/>
      </c>
    </row>
    <row r="1485">
      <c r="A1485" s="31" t="n"/>
      <c r="B1485" s="36" t="n"/>
      <c r="C1485" s="38" t="n"/>
      <c r="D1485" s="32" t="n"/>
      <c r="E1485" s="43">
        <f>IF(OR(A1485="",B1485=""),"",SUMPRODUCT(MAX(($B$6:$B$2005=B1485)*($A$6:$A$2005&lt;A1485)*$A$6:$A$2005)))</f>
        <v/>
      </c>
      <c r="F1485" s="41">
        <f>IF(OR(E1485="",E1485=0),"",IFERROR(AVERAGEIFS($C$6:$C$2005,$B$6:$B$2005,B1485,$A$6:$A$2005,E1485),""))</f>
        <v/>
      </c>
      <c r="G1485" s="34">
        <f>IF(F1485="","",A1485-E1485)</f>
        <v/>
      </c>
      <c r="H1485" s="42">
        <f>IF(OR(F1485="",C1485=""),"",IFERROR((C1485-F1485)/G1485,""))</f>
        <v/>
      </c>
      <c r="I1485" s="39">
        <f>IF(B1485="","",IFERROR(INDEX('Animais'!$M$6:$M$1005,MATCH(B1485,'Animais'!$A$6:$A$1005,0)),"Brinco não cadastrado"))</f>
        <v/>
      </c>
    </row>
    <row r="1486">
      <c r="A1486" s="31" t="n"/>
      <c r="B1486" s="36" t="n"/>
      <c r="C1486" s="38" t="n"/>
      <c r="D1486" s="32" t="n"/>
      <c r="E1486" s="43">
        <f>IF(OR(A1486="",B1486=""),"",SUMPRODUCT(MAX(($B$6:$B$2005=B1486)*($A$6:$A$2005&lt;A1486)*$A$6:$A$2005)))</f>
        <v/>
      </c>
      <c r="F1486" s="41">
        <f>IF(OR(E1486="",E1486=0),"",IFERROR(AVERAGEIFS($C$6:$C$2005,$B$6:$B$2005,B1486,$A$6:$A$2005,E1486),""))</f>
        <v/>
      </c>
      <c r="G1486" s="34">
        <f>IF(F1486="","",A1486-E1486)</f>
        <v/>
      </c>
      <c r="H1486" s="42">
        <f>IF(OR(F1486="",C1486=""),"",IFERROR((C1486-F1486)/G1486,""))</f>
        <v/>
      </c>
      <c r="I1486" s="39">
        <f>IF(B1486="","",IFERROR(INDEX('Animais'!$M$6:$M$1005,MATCH(B1486,'Animais'!$A$6:$A$1005,0)),"Brinco não cadastrado"))</f>
        <v/>
      </c>
    </row>
    <row r="1487">
      <c r="A1487" s="31" t="n"/>
      <c r="B1487" s="36" t="n"/>
      <c r="C1487" s="38" t="n"/>
      <c r="D1487" s="32" t="n"/>
      <c r="E1487" s="43">
        <f>IF(OR(A1487="",B1487=""),"",SUMPRODUCT(MAX(($B$6:$B$2005=B1487)*($A$6:$A$2005&lt;A1487)*$A$6:$A$2005)))</f>
        <v/>
      </c>
      <c r="F1487" s="41">
        <f>IF(OR(E1487="",E1487=0),"",IFERROR(AVERAGEIFS($C$6:$C$2005,$B$6:$B$2005,B1487,$A$6:$A$2005,E1487),""))</f>
        <v/>
      </c>
      <c r="G1487" s="34">
        <f>IF(F1487="","",A1487-E1487)</f>
        <v/>
      </c>
      <c r="H1487" s="42">
        <f>IF(OR(F1487="",C1487=""),"",IFERROR((C1487-F1487)/G1487,""))</f>
        <v/>
      </c>
      <c r="I1487" s="39">
        <f>IF(B1487="","",IFERROR(INDEX('Animais'!$M$6:$M$1005,MATCH(B1487,'Animais'!$A$6:$A$1005,0)),"Brinco não cadastrado"))</f>
        <v/>
      </c>
    </row>
    <row r="1488">
      <c r="A1488" s="31" t="n"/>
      <c r="B1488" s="36" t="n"/>
      <c r="C1488" s="38" t="n"/>
      <c r="D1488" s="32" t="n"/>
      <c r="E1488" s="43">
        <f>IF(OR(A1488="",B1488=""),"",SUMPRODUCT(MAX(($B$6:$B$2005=B1488)*($A$6:$A$2005&lt;A1488)*$A$6:$A$2005)))</f>
        <v/>
      </c>
      <c r="F1488" s="41">
        <f>IF(OR(E1488="",E1488=0),"",IFERROR(AVERAGEIFS($C$6:$C$2005,$B$6:$B$2005,B1488,$A$6:$A$2005,E1488),""))</f>
        <v/>
      </c>
      <c r="G1488" s="34">
        <f>IF(F1488="","",A1488-E1488)</f>
        <v/>
      </c>
      <c r="H1488" s="42">
        <f>IF(OR(F1488="",C1488=""),"",IFERROR((C1488-F1488)/G1488,""))</f>
        <v/>
      </c>
      <c r="I1488" s="39">
        <f>IF(B1488="","",IFERROR(INDEX('Animais'!$M$6:$M$1005,MATCH(B1488,'Animais'!$A$6:$A$1005,0)),"Brinco não cadastrado"))</f>
        <v/>
      </c>
    </row>
    <row r="1489">
      <c r="A1489" s="31" t="n"/>
      <c r="B1489" s="36" t="n"/>
      <c r="C1489" s="38" t="n"/>
      <c r="D1489" s="32" t="n"/>
      <c r="E1489" s="43">
        <f>IF(OR(A1489="",B1489=""),"",SUMPRODUCT(MAX(($B$6:$B$2005=B1489)*($A$6:$A$2005&lt;A1489)*$A$6:$A$2005)))</f>
        <v/>
      </c>
      <c r="F1489" s="41">
        <f>IF(OR(E1489="",E1489=0),"",IFERROR(AVERAGEIFS($C$6:$C$2005,$B$6:$B$2005,B1489,$A$6:$A$2005,E1489),""))</f>
        <v/>
      </c>
      <c r="G1489" s="34">
        <f>IF(F1489="","",A1489-E1489)</f>
        <v/>
      </c>
      <c r="H1489" s="42">
        <f>IF(OR(F1489="",C1489=""),"",IFERROR((C1489-F1489)/G1489,""))</f>
        <v/>
      </c>
      <c r="I1489" s="39">
        <f>IF(B1489="","",IFERROR(INDEX('Animais'!$M$6:$M$1005,MATCH(B1489,'Animais'!$A$6:$A$1005,0)),"Brinco não cadastrado"))</f>
        <v/>
      </c>
    </row>
    <row r="1490">
      <c r="A1490" s="31" t="n"/>
      <c r="B1490" s="36" t="n"/>
      <c r="C1490" s="38" t="n"/>
      <c r="D1490" s="32" t="n"/>
      <c r="E1490" s="43">
        <f>IF(OR(A1490="",B1490=""),"",SUMPRODUCT(MAX(($B$6:$B$2005=B1490)*($A$6:$A$2005&lt;A1490)*$A$6:$A$2005)))</f>
        <v/>
      </c>
      <c r="F1490" s="41">
        <f>IF(OR(E1490="",E1490=0),"",IFERROR(AVERAGEIFS($C$6:$C$2005,$B$6:$B$2005,B1490,$A$6:$A$2005,E1490),""))</f>
        <v/>
      </c>
      <c r="G1490" s="34">
        <f>IF(F1490="","",A1490-E1490)</f>
        <v/>
      </c>
      <c r="H1490" s="42">
        <f>IF(OR(F1490="",C1490=""),"",IFERROR((C1490-F1490)/G1490,""))</f>
        <v/>
      </c>
      <c r="I1490" s="39">
        <f>IF(B1490="","",IFERROR(INDEX('Animais'!$M$6:$M$1005,MATCH(B1490,'Animais'!$A$6:$A$1005,0)),"Brinco não cadastrado"))</f>
        <v/>
      </c>
    </row>
    <row r="1491">
      <c r="A1491" s="31" t="n"/>
      <c r="B1491" s="36" t="n"/>
      <c r="C1491" s="38" t="n"/>
      <c r="D1491" s="32" t="n"/>
      <c r="E1491" s="43">
        <f>IF(OR(A1491="",B1491=""),"",SUMPRODUCT(MAX(($B$6:$B$2005=B1491)*($A$6:$A$2005&lt;A1491)*$A$6:$A$2005)))</f>
        <v/>
      </c>
      <c r="F1491" s="41">
        <f>IF(OR(E1491="",E1491=0),"",IFERROR(AVERAGEIFS($C$6:$C$2005,$B$6:$B$2005,B1491,$A$6:$A$2005,E1491),""))</f>
        <v/>
      </c>
      <c r="G1491" s="34">
        <f>IF(F1491="","",A1491-E1491)</f>
        <v/>
      </c>
      <c r="H1491" s="42">
        <f>IF(OR(F1491="",C1491=""),"",IFERROR((C1491-F1491)/G1491,""))</f>
        <v/>
      </c>
      <c r="I1491" s="39">
        <f>IF(B1491="","",IFERROR(INDEX('Animais'!$M$6:$M$1005,MATCH(B1491,'Animais'!$A$6:$A$1005,0)),"Brinco não cadastrado"))</f>
        <v/>
      </c>
    </row>
    <row r="1492">
      <c r="A1492" s="31" t="n"/>
      <c r="B1492" s="36" t="n"/>
      <c r="C1492" s="38" t="n"/>
      <c r="D1492" s="32" t="n"/>
      <c r="E1492" s="43">
        <f>IF(OR(A1492="",B1492=""),"",SUMPRODUCT(MAX(($B$6:$B$2005=B1492)*($A$6:$A$2005&lt;A1492)*$A$6:$A$2005)))</f>
        <v/>
      </c>
      <c r="F1492" s="41">
        <f>IF(OR(E1492="",E1492=0),"",IFERROR(AVERAGEIFS($C$6:$C$2005,$B$6:$B$2005,B1492,$A$6:$A$2005,E1492),""))</f>
        <v/>
      </c>
      <c r="G1492" s="34">
        <f>IF(F1492="","",A1492-E1492)</f>
        <v/>
      </c>
      <c r="H1492" s="42">
        <f>IF(OR(F1492="",C1492=""),"",IFERROR((C1492-F1492)/G1492,""))</f>
        <v/>
      </c>
      <c r="I1492" s="39">
        <f>IF(B1492="","",IFERROR(INDEX('Animais'!$M$6:$M$1005,MATCH(B1492,'Animais'!$A$6:$A$1005,0)),"Brinco não cadastrado"))</f>
        <v/>
      </c>
    </row>
    <row r="1493">
      <c r="A1493" s="31" t="n"/>
      <c r="B1493" s="36" t="n"/>
      <c r="C1493" s="38" t="n"/>
      <c r="D1493" s="32" t="n"/>
      <c r="E1493" s="43">
        <f>IF(OR(A1493="",B1493=""),"",SUMPRODUCT(MAX(($B$6:$B$2005=B1493)*($A$6:$A$2005&lt;A1493)*$A$6:$A$2005)))</f>
        <v/>
      </c>
      <c r="F1493" s="41">
        <f>IF(OR(E1493="",E1493=0),"",IFERROR(AVERAGEIFS($C$6:$C$2005,$B$6:$B$2005,B1493,$A$6:$A$2005,E1493),""))</f>
        <v/>
      </c>
      <c r="G1493" s="34">
        <f>IF(F1493="","",A1493-E1493)</f>
        <v/>
      </c>
      <c r="H1493" s="42">
        <f>IF(OR(F1493="",C1493=""),"",IFERROR((C1493-F1493)/G1493,""))</f>
        <v/>
      </c>
      <c r="I1493" s="39">
        <f>IF(B1493="","",IFERROR(INDEX('Animais'!$M$6:$M$1005,MATCH(B1493,'Animais'!$A$6:$A$1005,0)),"Brinco não cadastrado"))</f>
        <v/>
      </c>
    </row>
    <row r="1494">
      <c r="A1494" s="31" t="n"/>
      <c r="B1494" s="36" t="n"/>
      <c r="C1494" s="38" t="n"/>
      <c r="D1494" s="32" t="n"/>
      <c r="E1494" s="43">
        <f>IF(OR(A1494="",B1494=""),"",SUMPRODUCT(MAX(($B$6:$B$2005=B1494)*($A$6:$A$2005&lt;A1494)*$A$6:$A$2005)))</f>
        <v/>
      </c>
      <c r="F1494" s="41">
        <f>IF(OR(E1494="",E1494=0),"",IFERROR(AVERAGEIFS($C$6:$C$2005,$B$6:$B$2005,B1494,$A$6:$A$2005,E1494),""))</f>
        <v/>
      </c>
      <c r="G1494" s="34">
        <f>IF(F1494="","",A1494-E1494)</f>
        <v/>
      </c>
      <c r="H1494" s="42">
        <f>IF(OR(F1494="",C1494=""),"",IFERROR((C1494-F1494)/G1494,""))</f>
        <v/>
      </c>
      <c r="I1494" s="39">
        <f>IF(B1494="","",IFERROR(INDEX('Animais'!$M$6:$M$1005,MATCH(B1494,'Animais'!$A$6:$A$1005,0)),"Brinco não cadastrado"))</f>
        <v/>
      </c>
    </row>
    <row r="1495">
      <c r="A1495" s="31" t="n"/>
      <c r="B1495" s="36" t="n"/>
      <c r="C1495" s="38" t="n"/>
      <c r="D1495" s="32" t="n"/>
      <c r="E1495" s="43">
        <f>IF(OR(A1495="",B1495=""),"",SUMPRODUCT(MAX(($B$6:$B$2005=B1495)*($A$6:$A$2005&lt;A1495)*$A$6:$A$2005)))</f>
        <v/>
      </c>
      <c r="F1495" s="41">
        <f>IF(OR(E1495="",E1495=0),"",IFERROR(AVERAGEIFS($C$6:$C$2005,$B$6:$B$2005,B1495,$A$6:$A$2005,E1495),""))</f>
        <v/>
      </c>
      <c r="G1495" s="34">
        <f>IF(F1495="","",A1495-E1495)</f>
        <v/>
      </c>
      <c r="H1495" s="42">
        <f>IF(OR(F1495="",C1495=""),"",IFERROR((C1495-F1495)/G1495,""))</f>
        <v/>
      </c>
      <c r="I1495" s="39">
        <f>IF(B1495="","",IFERROR(INDEX('Animais'!$M$6:$M$1005,MATCH(B1495,'Animais'!$A$6:$A$1005,0)),"Brinco não cadastrado"))</f>
        <v/>
      </c>
    </row>
    <row r="1496">
      <c r="A1496" s="31" t="n"/>
      <c r="B1496" s="36" t="n"/>
      <c r="C1496" s="38" t="n"/>
      <c r="D1496" s="32" t="n"/>
      <c r="E1496" s="43">
        <f>IF(OR(A1496="",B1496=""),"",SUMPRODUCT(MAX(($B$6:$B$2005=B1496)*($A$6:$A$2005&lt;A1496)*$A$6:$A$2005)))</f>
        <v/>
      </c>
      <c r="F1496" s="41">
        <f>IF(OR(E1496="",E1496=0),"",IFERROR(AVERAGEIFS($C$6:$C$2005,$B$6:$B$2005,B1496,$A$6:$A$2005,E1496),""))</f>
        <v/>
      </c>
      <c r="G1496" s="34">
        <f>IF(F1496="","",A1496-E1496)</f>
        <v/>
      </c>
      <c r="H1496" s="42">
        <f>IF(OR(F1496="",C1496=""),"",IFERROR((C1496-F1496)/G1496,""))</f>
        <v/>
      </c>
      <c r="I1496" s="39">
        <f>IF(B1496="","",IFERROR(INDEX('Animais'!$M$6:$M$1005,MATCH(B1496,'Animais'!$A$6:$A$1005,0)),"Brinco não cadastrado"))</f>
        <v/>
      </c>
    </row>
    <row r="1497">
      <c r="A1497" s="31" t="n"/>
      <c r="B1497" s="36" t="n"/>
      <c r="C1497" s="38" t="n"/>
      <c r="D1497" s="32" t="n"/>
      <c r="E1497" s="43">
        <f>IF(OR(A1497="",B1497=""),"",SUMPRODUCT(MAX(($B$6:$B$2005=B1497)*($A$6:$A$2005&lt;A1497)*$A$6:$A$2005)))</f>
        <v/>
      </c>
      <c r="F1497" s="41">
        <f>IF(OR(E1497="",E1497=0),"",IFERROR(AVERAGEIFS($C$6:$C$2005,$B$6:$B$2005,B1497,$A$6:$A$2005,E1497),""))</f>
        <v/>
      </c>
      <c r="G1497" s="34">
        <f>IF(F1497="","",A1497-E1497)</f>
        <v/>
      </c>
      <c r="H1497" s="42">
        <f>IF(OR(F1497="",C1497=""),"",IFERROR((C1497-F1497)/G1497,""))</f>
        <v/>
      </c>
      <c r="I1497" s="39">
        <f>IF(B1497="","",IFERROR(INDEX('Animais'!$M$6:$M$1005,MATCH(B1497,'Animais'!$A$6:$A$1005,0)),"Brinco não cadastrado"))</f>
        <v/>
      </c>
    </row>
    <row r="1498">
      <c r="A1498" s="31" t="n"/>
      <c r="B1498" s="36" t="n"/>
      <c r="C1498" s="38" t="n"/>
      <c r="D1498" s="32" t="n"/>
      <c r="E1498" s="43">
        <f>IF(OR(A1498="",B1498=""),"",SUMPRODUCT(MAX(($B$6:$B$2005=B1498)*($A$6:$A$2005&lt;A1498)*$A$6:$A$2005)))</f>
        <v/>
      </c>
      <c r="F1498" s="41">
        <f>IF(OR(E1498="",E1498=0),"",IFERROR(AVERAGEIFS($C$6:$C$2005,$B$6:$B$2005,B1498,$A$6:$A$2005,E1498),""))</f>
        <v/>
      </c>
      <c r="G1498" s="34">
        <f>IF(F1498="","",A1498-E1498)</f>
        <v/>
      </c>
      <c r="H1498" s="42">
        <f>IF(OR(F1498="",C1498=""),"",IFERROR((C1498-F1498)/G1498,""))</f>
        <v/>
      </c>
      <c r="I1498" s="39">
        <f>IF(B1498="","",IFERROR(INDEX('Animais'!$M$6:$M$1005,MATCH(B1498,'Animais'!$A$6:$A$1005,0)),"Brinco não cadastrado"))</f>
        <v/>
      </c>
    </row>
    <row r="1499">
      <c r="A1499" s="31" t="n"/>
      <c r="B1499" s="36" t="n"/>
      <c r="C1499" s="38" t="n"/>
      <c r="D1499" s="32" t="n"/>
      <c r="E1499" s="43">
        <f>IF(OR(A1499="",B1499=""),"",SUMPRODUCT(MAX(($B$6:$B$2005=B1499)*($A$6:$A$2005&lt;A1499)*$A$6:$A$2005)))</f>
        <v/>
      </c>
      <c r="F1499" s="41">
        <f>IF(OR(E1499="",E1499=0),"",IFERROR(AVERAGEIFS($C$6:$C$2005,$B$6:$B$2005,B1499,$A$6:$A$2005,E1499),""))</f>
        <v/>
      </c>
      <c r="G1499" s="34">
        <f>IF(F1499="","",A1499-E1499)</f>
        <v/>
      </c>
      <c r="H1499" s="42">
        <f>IF(OR(F1499="",C1499=""),"",IFERROR((C1499-F1499)/G1499,""))</f>
        <v/>
      </c>
      <c r="I1499" s="39">
        <f>IF(B1499="","",IFERROR(INDEX('Animais'!$M$6:$M$1005,MATCH(B1499,'Animais'!$A$6:$A$1005,0)),"Brinco não cadastrado"))</f>
        <v/>
      </c>
    </row>
    <row r="1500">
      <c r="A1500" s="31" t="n"/>
      <c r="B1500" s="36" t="n"/>
      <c r="C1500" s="38" t="n"/>
      <c r="D1500" s="32" t="n"/>
      <c r="E1500" s="43">
        <f>IF(OR(A1500="",B1500=""),"",SUMPRODUCT(MAX(($B$6:$B$2005=B1500)*($A$6:$A$2005&lt;A1500)*$A$6:$A$2005)))</f>
        <v/>
      </c>
      <c r="F1500" s="41">
        <f>IF(OR(E1500="",E1500=0),"",IFERROR(AVERAGEIFS($C$6:$C$2005,$B$6:$B$2005,B1500,$A$6:$A$2005,E1500),""))</f>
        <v/>
      </c>
      <c r="G1500" s="34">
        <f>IF(F1500="","",A1500-E1500)</f>
        <v/>
      </c>
      <c r="H1500" s="42">
        <f>IF(OR(F1500="",C1500=""),"",IFERROR((C1500-F1500)/G1500,""))</f>
        <v/>
      </c>
      <c r="I1500" s="39">
        <f>IF(B1500="","",IFERROR(INDEX('Animais'!$M$6:$M$1005,MATCH(B1500,'Animais'!$A$6:$A$1005,0)),"Brinco não cadastrado"))</f>
        <v/>
      </c>
    </row>
    <row r="1501">
      <c r="A1501" s="31" t="n"/>
      <c r="B1501" s="36" t="n"/>
      <c r="C1501" s="38" t="n"/>
      <c r="D1501" s="32" t="n"/>
      <c r="E1501" s="43">
        <f>IF(OR(A1501="",B1501=""),"",SUMPRODUCT(MAX(($B$6:$B$2005=B1501)*($A$6:$A$2005&lt;A1501)*$A$6:$A$2005)))</f>
        <v/>
      </c>
      <c r="F1501" s="41">
        <f>IF(OR(E1501="",E1501=0),"",IFERROR(AVERAGEIFS($C$6:$C$2005,$B$6:$B$2005,B1501,$A$6:$A$2005,E1501),""))</f>
        <v/>
      </c>
      <c r="G1501" s="34">
        <f>IF(F1501="","",A1501-E1501)</f>
        <v/>
      </c>
      <c r="H1501" s="42">
        <f>IF(OR(F1501="",C1501=""),"",IFERROR((C1501-F1501)/G1501,""))</f>
        <v/>
      </c>
      <c r="I1501" s="39">
        <f>IF(B1501="","",IFERROR(INDEX('Animais'!$M$6:$M$1005,MATCH(B1501,'Animais'!$A$6:$A$1005,0)),"Brinco não cadastrado"))</f>
        <v/>
      </c>
    </row>
    <row r="1502">
      <c r="A1502" s="31" t="n"/>
      <c r="B1502" s="36" t="n"/>
      <c r="C1502" s="38" t="n"/>
      <c r="D1502" s="32" t="n"/>
      <c r="E1502" s="43">
        <f>IF(OR(A1502="",B1502=""),"",SUMPRODUCT(MAX(($B$6:$B$2005=B1502)*($A$6:$A$2005&lt;A1502)*$A$6:$A$2005)))</f>
        <v/>
      </c>
      <c r="F1502" s="41">
        <f>IF(OR(E1502="",E1502=0),"",IFERROR(AVERAGEIFS($C$6:$C$2005,$B$6:$B$2005,B1502,$A$6:$A$2005,E1502),""))</f>
        <v/>
      </c>
      <c r="G1502" s="34">
        <f>IF(F1502="","",A1502-E1502)</f>
        <v/>
      </c>
      <c r="H1502" s="42">
        <f>IF(OR(F1502="",C1502=""),"",IFERROR((C1502-F1502)/G1502,""))</f>
        <v/>
      </c>
      <c r="I1502" s="39">
        <f>IF(B1502="","",IFERROR(INDEX('Animais'!$M$6:$M$1005,MATCH(B1502,'Animais'!$A$6:$A$1005,0)),"Brinco não cadastrado"))</f>
        <v/>
      </c>
    </row>
    <row r="1503">
      <c r="A1503" s="31" t="n"/>
      <c r="B1503" s="36" t="n"/>
      <c r="C1503" s="38" t="n"/>
      <c r="D1503" s="32" t="n"/>
      <c r="E1503" s="43">
        <f>IF(OR(A1503="",B1503=""),"",SUMPRODUCT(MAX(($B$6:$B$2005=B1503)*($A$6:$A$2005&lt;A1503)*$A$6:$A$2005)))</f>
        <v/>
      </c>
      <c r="F1503" s="41">
        <f>IF(OR(E1503="",E1503=0),"",IFERROR(AVERAGEIFS($C$6:$C$2005,$B$6:$B$2005,B1503,$A$6:$A$2005,E1503),""))</f>
        <v/>
      </c>
      <c r="G1503" s="34">
        <f>IF(F1503="","",A1503-E1503)</f>
        <v/>
      </c>
      <c r="H1503" s="42">
        <f>IF(OR(F1503="",C1503=""),"",IFERROR((C1503-F1503)/G1503,""))</f>
        <v/>
      </c>
      <c r="I1503" s="39">
        <f>IF(B1503="","",IFERROR(INDEX('Animais'!$M$6:$M$1005,MATCH(B1503,'Animais'!$A$6:$A$1005,0)),"Brinco não cadastrado"))</f>
        <v/>
      </c>
    </row>
    <row r="1504">
      <c r="A1504" s="31" t="n"/>
      <c r="B1504" s="36" t="n"/>
      <c r="C1504" s="38" t="n"/>
      <c r="D1504" s="32" t="n"/>
      <c r="E1504" s="43">
        <f>IF(OR(A1504="",B1504=""),"",SUMPRODUCT(MAX(($B$6:$B$2005=B1504)*($A$6:$A$2005&lt;A1504)*$A$6:$A$2005)))</f>
        <v/>
      </c>
      <c r="F1504" s="41">
        <f>IF(OR(E1504="",E1504=0),"",IFERROR(AVERAGEIFS($C$6:$C$2005,$B$6:$B$2005,B1504,$A$6:$A$2005,E1504),""))</f>
        <v/>
      </c>
      <c r="G1504" s="34">
        <f>IF(F1504="","",A1504-E1504)</f>
        <v/>
      </c>
      <c r="H1504" s="42">
        <f>IF(OR(F1504="",C1504=""),"",IFERROR((C1504-F1504)/G1504,""))</f>
        <v/>
      </c>
      <c r="I1504" s="39">
        <f>IF(B1504="","",IFERROR(INDEX('Animais'!$M$6:$M$1005,MATCH(B1504,'Animais'!$A$6:$A$1005,0)),"Brinco não cadastrado"))</f>
        <v/>
      </c>
    </row>
    <row r="1505">
      <c r="A1505" s="31" t="n"/>
      <c r="B1505" s="36" t="n"/>
      <c r="C1505" s="38" t="n"/>
      <c r="D1505" s="32" t="n"/>
      <c r="E1505" s="43">
        <f>IF(OR(A1505="",B1505=""),"",SUMPRODUCT(MAX(($B$6:$B$2005=B1505)*($A$6:$A$2005&lt;A1505)*$A$6:$A$2005)))</f>
        <v/>
      </c>
      <c r="F1505" s="41">
        <f>IF(OR(E1505="",E1505=0),"",IFERROR(AVERAGEIFS($C$6:$C$2005,$B$6:$B$2005,B1505,$A$6:$A$2005,E1505),""))</f>
        <v/>
      </c>
      <c r="G1505" s="34">
        <f>IF(F1505="","",A1505-E1505)</f>
        <v/>
      </c>
      <c r="H1505" s="42">
        <f>IF(OR(F1505="",C1505=""),"",IFERROR((C1505-F1505)/G1505,""))</f>
        <v/>
      </c>
      <c r="I1505" s="39">
        <f>IF(B1505="","",IFERROR(INDEX('Animais'!$M$6:$M$1005,MATCH(B1505,'Animais'!$A$6:$A$1005,0)),"Brinco não cadastrado"))</f>
        <v/>
      </c>
    </row>
    <row r="1506">
      <c r="A1506" s="31" t="n"/>
      <c r="B1506" s="36" t="n"/>
      <c r="C1506" s="38" t="n"/>
      <c r="D1506" s="32" t="n"/>
      <c r="E1506" s="43">
        <f>IF(OR(A1506="",B1506=""),"",SUMPRODUCT(MAX(($B$6:$B$2005=B1506)*($A$6:$A$2005&lt;A1506)*$A$6:$A$2005)))</f>
        <v/>
      </c>
      <c r="F1506" s="41">
        <f>IF(OR(E1506="",E1506=0),"",IFERROR(AVERAGEIFS($C$6:$C$2005,$B$6:$B$2005,B1506,$A$6:$A$2005,E1506),""))</f>
        <v/>
      </c>
      <c r="G1506" s="34">
        <f>IF(F1506="","",A1506-E1506)</f>
        <v/>
      </c>
      <c r="H1506" s="42">
        <f>IF(OR(F1506="",C1506=""),"",IFERROR((C1506-F1506)/G1506,""))</f>
        <v/>
      </c>
      <c r="I1506" s="39">
        <f>IF(B1506="","",IFERROR(INDEX('Animais'!$M$6:$M$1005,MATCH(B1506,'Animais'!$A$6:$A$1005,0)),"Brinco não cadastrado"))</f>
        <v/>
      </c>
    </row>
    <row r="1507">
      <c r="A1507" s="31" t="n"/>
      <c r="B1507" s="36" t="n"/>
      <c r="C1507" s="38" t="n"/>
      <c r="D1507" s="32" t="n"/>
      <c r="E1507" s="43">
        <f>IF(OR(A1507="",B1507=""),"",SUMPRODUCT(MAX(($B$6:$B$2005=B1507)*($A$6:$A$2005&lt;A1507)*$A$6:$A$2005)))</f>
        <v/>
      </c>
      <c r="F1507" s="41">
        <f>IF(OR(E1507="",E1507=0),"",IFERROR(AVERAGEIFS($C$6:$C$2005,$B$6:$B$2005,B1507,$A$6:$A$2005,E1507),""))</f>
        <v/>
      </c>
      <c r="G1507" s="34">
        <f>IF(F1507="","",A1507-E1507)</f>
        <v/>
      </c>
      <c r="H1507" s="42">
        <f>IF(OR(F1507="",C1507=""),"",IFERROR((C1507-F1507)/G1507,""))</f>
        <v/>
      </c>
      <c r="I1507" s="39">
        <f>IF(B1507="","",IFERROR(INDEX('Animais'!$M$6:$M$1005,MATCH(B1507,'Animais'!$A$6:$A$1005,0)),"Brinco não cadastrado"))</f>
        <v/>
      </c>
    </row>
    <row r="1508">
      <c r="A1508" s="31" t="n"/>
      <c r="B1508" s="36" t="n"/>
      <c r="C1508" s="38" t="n"/>
      <c r="D1508" s="32" t="n"/>
      <c r="E1508" s="43">
        <f>IF(OR(A1508="",B1508=""),"",SUMPRODUCT(MAX(($B$6:$B$2005=B1508)*($A$6:$A$2005&lt;A1508)*$A$6:$A$2005)))</f>
        <v/>
      </c>
      <c r="F1508" s="41">
        <f>IF(OR(E1508="",E1508=0),"",IFERROR(AVERAGEIFS($C$6:$C$2005,$B$6:$B$2005,B1508,$A$6:$A$2005,E1508),""))</f>
        <v/>
      </c>
      <c r="G1508" s="34">
        <f>IF(F1508="","",A1508-E1508)</f>
        <v/>
      </c>
      <c r="H1508" s="42">
        <f>IF(OR(F1508="",C1508=""),"",IFERROR((C1508-F1508)/G1508,""))</f>
        <v/>
      </c>
      <c r="I1508" s="39">
        <f>IF(B1508="","",IFERROR(INDEX('Animais'!$M$6:$M$1005,MATCH(B1508,'Animais'!$A$6:$A$1005,0)),"Brinco não cadastrado"))</f>
        <v/>
      </c>
    </row>
    <row r="1509">
      <c r="A1509" s="31" t="n"/>
      <c r="B1509" s="36" t="n"/>
      <c r="C1509" s="38" t="n"/>
      <c r="D1509" s="32" t="n"/>
      <c r="E1509" s="43">
        <f>IF(OR(A1509="",B1509=""),"",SUMPRODUCT(MAX(($B$6:$B$2005=B1509)*($A$6:$A$2005&lt;A1509)*$A$6:$A$2005)))</f>
        <v/>
      </c>
      <c r="F1509" s="41">
        <f>IF(OR(E1509="",E1509=0),"",IFERROR(AVERAGEIFS($C$6:$C$2005,$B$6:$B$2005,B1509,$A$6:$A$2005,E1509),""))</f>
        <v/>
      </c>
      <c r="G1509" s="34">
        <f>IF(F1509="","",A1509-E1509)</f>
        <v/>
      </c>
      <c r="H1509" s="42">
        <f>IF(OR(F1509="",C1509=""),"",IFERROR((C1509-F1509)/G1509,""))</f>
        <v/>
      </c>
      <c r="I1509" s="39">
        <f>IF(B1509="","",IFERROR(INDEX('Animais'!$M$6:$M$1005,MATCH(B1509,'Animais'!$A$6:$A$1005,0)),"Brinco não cadastrado"))</f>
        <v/>
      </c>
    </row>
    <row r="1510">
      <c r="A1510" s="31" t="n"/>
      <c r="B1510" s="36" t="n"/>
      <c r="C1510" s="38" t="n"/>
      <c r="D1510" s="32" t="n"/>
      <c r="E1510" s="43">
        <f>IF(OR(A1510="",B1510=""),"",SUMPRODUCT(MAX(($B$6:$B$2005=B1510)*($A$6:$A$2005&lt;A1510)*$A$6:$A$2005)))</f>
        <v/>
      </c>
      <c r="F1510" s="41">
        <f>IF(OR(E1510="",E1510=0),"",IFERROR(AVERAGEIFS($C$6:$C$2005,$B$6:$B$2005,B1510,$A$6:$A$2005,E1510),""))</f>
        <v/>
      </c>
      <c r="G1510" s="34">
        <f>IF(F1510="","",A1510-E1510)</f>
        <v/>
      </c>
      <c r="H1510" s="42">
        <f>IF(OR(F1510="",C1510=""),"",IFERROR((C1510-F1510)/G1510,""))</f>
        <v/>
      </c>
      <c r="I1510" s="39">
        <f>IF(B1510="","",IFERROR(INDEX('Animais'!$M$6:$M$1005,MATCH(B1510,'Animais'!$A$6:$A$1005,0)),"Brinco não cadastrado"))</f>
        <v/>
      </c>
    </row>
    <row r="1511">
      <c r="A1511" s="31" t="n"/>
      <c r="B1511" s="36" t="n"/>
      <c r="C1511" s="38" t="n"/>
      <c r="D1511" s="32" t="n"/>
      <c r="E1511" s="43">
        <f>IF(OR(A1511="",B1511=""),"",SUMPRODUCT(MAX(($B$6:$B$2005=B1511)*($A$6:$A$2005&lt;A1511)*$A$6:$A$2005)))</f>
        <v/>
      </c>
      <c r="F1511" s="41">
        <f>IF(OR(E1511="",E1511=0),"",IFERROR(AVERAGEIFS($C$6:$C$2005,$B$6:$B$2005,B1511,$A$6:$A$2005,E1511),""))</f>
        <v/>
      </c>
      <c r="G1511" s="34">
        <f>IF(F1511="","",A1511-E1511)</f>
        <v/>
      </c>
      <c r="H1511" s="42">
        <f>IF(OR(F1511="",C1511=""),"",IFERROR((C1511-F1511)/G1511,""))</f>
        <v/>
      </c>
      <c r="I1511" s="39">
        <f>IF(B1511="","",IFERROR(INDEX('Animais'!$M$6:$M$1005,MATCH(B1511,'Animais'!$A$6:$A$1005,0)),"Brinco não cadastrado"))</f>
        <v/>
      </c>
    </row>
    <row r="1512">
      <c r="A1512" s="31" t="n"/>
      <c r="B1512" s="36" t="n"/>
      <c r="C1512" s="38" t="n"/>
      <c r="D1512" s="32" t="n"/>
      <c r="E1512" s="43">
        <f>IF(OR(A1512="",B1512=""),"",SUMPRODUCT(MAX(($B$6:$B$2005=B1512)*($A$6:$A$2005&lt;A1512)*$A$6:$A$2005)))</f>
        <v/>
      </c>
      <c r="F1512" s="41">
        <f>IF(OR(E1512="",E1512=0),"",IFERROR(AVERAGEIFS($C$6:$C$2005,$B$6:$B$2005,B1512,$A$6:$A$2005,E1512),""))</f>
        <v/>
      </c>
      <c r="G1512" s="34">
        <f>IF(F1512="","",A1512-E1512)</f>
        <v/>
      </c>
      <c r="H1512" s="42">
        <f>IF(OR(F1512="",C1512=""),"",IFERROR((C1512-F1512)/G1512,""))</f>
        <v/>
      </c>
      <c r="I1512" s="39">
        <f>IF(B1512="","",IFERROR(INDEX('Animais'!$M$6:$M$1005,MATCH(B1512,'Animais'!$A$6:$A$1005,0)),"Brinco não cadastrado"))</f>
        <v/>
      </c>
    </row>
    <row r="1513">
      <c r="A1513" s="31" t="n"/>
      <c r="B1513" s="36" t="n"/>
      <c r="C1513" s="38" t="n"/>
      <c r="D1513" s="32" t="n"/>
      <c r="E1513" s="43">
        <f>IF(OR(A1513="",B1513=""),"",SUMPRODUCT(MAX(($B$6:$B$2005=B1513)*($A$6:$A$2005&lt;A1513)*$A$6:$A$2005)))</f>
        <v/>
      </c>
      <c r="F1513" s="41">
        <f>IF(OR(E1513="",E1513=0),"",IFERROR(AVERAGEIFS($C$6:$C$2005,$B$6:$B$2005,B1513,$A$6:$A$2005,E1513),""))</f>
        <v/>
      </c>
      <c r="G1513" s="34">
        <f>IF(F1513="","",A1513-E1513)</f>
        <v/>
      </c>
      <c r="H1513" s="42">
        <f>IF(OR(F1513="",C1513=""),"",IFERROR((C1513-F1513)/G1513,""))</f>
        <v/>
      </c>
      <c r="I1513" s="39">
        <f>IF(B1513="","",IFERROR(INDEX('Animais'!$M$6:$M$1005,MATCH(B1513,'Animais'!$A$6:$A$1005,0)),"Brinco não cadastrado"))</f>
        <v/>
      </c>
    </row>
    <row r="1514">
      <c r="A1514" s="31" t="n"/>
      <c r="B1514" s="36" t="n"/>
      <c r="C1514" s="38" t="n"/>
      <c r="D1514" s="32" t="n"/>
      <c r="E1514" s="43">
        <f>IF(OR(A1514="",B1514=""),"",SUMPRODUCT(MAX(($B$6:$B$2005=B1514)*($A$6:$A$2005&lt;A1514)*$A$6:$A$2005)))</f>
        <v/>
      </c>
      <c r="F1514" s="41">
        <f>IF(OR(E1514="",E1514=0),"",IFERROR(AVERAGEIFS($C$6:$C$2005,$B$6:$B$2005,B1514,$A$6:$A$2005,E1514),""))</f>
        <v/>
      </c>
      <c r="G1514" s="34">
        <f>IF(F1514="","",A1514-E1514)</f>
        <v/>
      </c>
      <c r="H1514" s="42">
        <f>IF(OR(F1514="",C1514=""),"",IFERROR((C1514-F1514)/G1514,""))</f>
        <v/>
      </c>
      <c r="I1514" s="39">
        <f>IF(B1514="","",IFERROR(INDEX('Animais'!$M$6:$M$1005,MATCH(B1514,'Animais'!$A$6:$A$1005,0)),"Brinco não cadastrado"))</f>
        <v/>
      </c>
    </row>
    <row r="1515">
      <c r="A1515" s="31" t="n"/>
      <c r="B1515" s="36" t="n"/>
      <c r="C1515" s="38" t="n"/>
      <c r="D1515" s="32" t="n"/>
      <c r="E1515" s="43">
        <f>IF(OR(A1515="",B1515=""),"",SUMPRODUCT(MAX(($B$6:$B$2005=B1515)*($A$6:$A$2005&lt;A1515)*$A$6:$A$2005)))</f>
        <v/>
      </c>
      <c r="F1515" s="41">
        <f>IF(OR(E1515="",E1515=0),"",IFERROR(AVERAGEIFS($C$6:$C$2005,$B$6:$B$2005,B1515,$A$6:$A$2005,E1515),""))</f>
        <v/>
      </c>
      <c r="G1515" s="34">
        <f>IF(F1515="","",A1515-E1515)</f>
        <v/>
      </c>
      <c r="H1515" s="42">
        <f>IF(OR(F1515="",C1515=""),"",IFERROR((C1515-F1515)/G1515,""))</f>
        <v/>
      </c>
      <c r="I1515" s="39">
        <f>IF(B1515="","",IFERROR(INDEX('Animais'!$M$6:$M$1005,MATCH(B1515,'Animais'!$A$6:$A$1005,0)),"Brinco não cadastrado"))</f>
        <v/>
      </c>
    </row>
    <row r="1516">
      <c r="A1516" s="31" t="n"/>
      <c r="B1516" s="36" t="n"/>
      <c r="C1516" s="38" t="n"/>
      <c r="D1516" s="32" t="n"/>
      <c r="E1516" s="43">
        <f>IF(OR(A1516="",B1516=""),"",SUMPRODUCT(MAX(($B$6:$B$2005=B1516)*($A$6:$A$2005&lt;A1516)*$A$6:$A$2005)))</f>
        <v/>
      </c>
      <c r="F1516" s="41">
        <f>IF(OR(E1516="",E1516=0),"",IFERROR(AVERAGEIFS($C$6:$C$2005,$B$6:$B$2005,B1516,$A$6:$A$2005,E1516),""))</f>
        <v/>
      </c>
      <c r="G1516" s="34">
        <f>IF(F1516="","",A1516-E1516)</f>
        <v/>
      </c>
      <c r="H1516" s="42">
        <f>IF(OR(F1516="",C1516=""),"",IFERROR((C1516-F1516)/G1516,""))</f>
        <v/>
      </c>
      <c r="I1516" s="39">
        <f>IF(B1516="","",IFERROR(INDEX('Animais'!$M$6:$M$1005,MATCH(B1516,'Animais'!$A$6:$A$1005,0)),"Brinco não cadastrado"))</f>
        <v/>
      </c>
    </row>
    <row r="1517">
      <c r="A1517" s="31" t="n"/>
      <c r="B1517" s="36" t="n"/>
      <c r="C1517" s="38" t="n"/>
      <c r="D1517" s="32" t="n"/>
      <c r="E1517" s="43">
        <f>IF(OR(A1517="",B1517=""),"",SUMPRODUCT(MAX(($B$6:$B$2005=B1517)*($A$6:$A$2005&lt;A1517)*$A$6:$A$2005)))</f>
        <v/>
      </c>
      <c r="F1517" s="41">
        <f>IF(OR(E1517="",E1517=0),"",IFERROR(AVERAGEIFS($C$6:$C$2005,$B$6:$B$2005,B1517,$A$6:$A$2005,E1517),""))</f>
        <v/>
      </c>
      <c r="G1517" s="34">
        <f>IF(F1517="","",A1517-E1517)</f>
        <v/>
      </c>
      <c r="H1517" s="42">
        <f>IF(OR(F1517="",C1517=""),"",IFERROR((C1517-F1517)/G1517,""))</f>
        <v/>
      </c>
      <c r="I1517" s="39">
        <f>IF(B1517="","",IFERROR(INDEX('Animais'!$M$6:$M$1005,MATCH(B1517,'Animais'!$A$6:$A$1005,0)),"Brinco não cadastrado"))</f>
        <v/>
      </c>
    </row>
    <row r="1518">
      <c r="A1518" s="31" t="n"/>
      <c r="B1518" s="36" t="n"/>
      <c r="C1518" s="38" t="n"/>
      <c r="D1518" s="32" t="n"/>
      <c r="E1518" s="43">
        <f>IF(OR(A1518="",B1518=""),"",SUMPRODUCT(MAX(($B$6:$B$2005=B1518)*($A$6:$A$2005&lt;A1518)*$A$6:$A$2005)))</f>
        <v/>
      </c>
      <c r="F1518" s="41">
        <f>IF(OR(E1518="",E1518=0),"",IFERROR(AVERAGEIFS($C$6:$C$2005,$B$6:$B$2005,B1518,$A$6:$A$2005,E1518),""))</f>
        <v/>
      </c>
      <c r="G1518" s="34">
        <f>IF(F1518="","",A1518-E1518)</f>
        <v/>
      </c>
      <c r="H1518" s="42">
        <f>IF(OR(F1518="",C1518=""),"",IFERROR((C1518-F1518)/G1518,""))</f>
        <v/>
      </c>
      <c r="I1518" s="39">
        <f>IF(B1518="","",IFERROR(INDEX('Animais'!$M$6:$M$1005,MATCH(B1518,'Animais'!$A$6:$A$1005,0)),"Brinco não cadastrado"))</f>
        <v/>
      </c>
    </row>
    <row r="1519">
      <c r="A1519" s="31" t="n"/>
      <c r="B1519" s="36" t="n"/>
      <c r="C1519" s="38" t="n"/>
      <c r="D1519" s="32" t="n"/>
      <c r="E1519" s="43">
        <f>IF(OR(A1519="",B1519=""),"",SUMPRODUCT(MAX(($B$6:$B$2005=B1519)*($A$6:$A$2005&lt;A1519)*$A$6:$A$2005)))</f>
        <v/>
      </c>
      <c r="F1519" s="41">
        <f>IF(OR(E1519="",E1519=0),"",IFERROR(AVERAGEIFS($C$6:$C$2005,$B$6:$B$2005,B1519,$A$6:$A$2005,E1519),""))</f>
        <v/>
      </c>
      <c r="G1519" s="34">
        <f>IF(F1519="","",A1519-E1519)</f>
        <v/>
      </c>
      <c r="H1519" s="42">
        <f>IF(OR(F1519="",C1519=""),"",IFERROR((C1519-F1519)/G1519,""))</f>
        <v/>
      </c>
      <c r="I1519" s="39">
        <f>IF(B1519="","",IFERROR(INDEX('Animais'!$M$6:$M$1005,MATCH(B1519,'Animais'!$A$6:$A$1005,0)),"Brinco não cadastrado"))</f>
        <v/>
      </c>
    </row>
    <row r="1520">
      <c r="A1520" s="31" t="n"/>
      <c r="B1520" s="36" t="n"/>
      <c r="C1520" s="38" t="n"/>
      <c r="D1520" s="32" t="n"/>
      <c r="E1520" s="43">
        <f>IF(OR(A1520="",B1520=""),"",SUMPRODUCT(MAX(($B$6:$B$2005=B1520)*($A$6:$A$2005&lt;A1520)*$A$6:$A$2005)))</f>
        <v/>
      </c>
      <c r="F1520" s="41">
        <f>IF(OR(E1520="",E1520=0),"",IFERROR(AVERAGEIFS($C$6:$C$2005,$B$6:$B$2005,B1520,$A$6:$A$2005,E1520),""))</f>
        <v/>
      </c>
      <c r="G1520" s="34">
        <f>IF(F1520="","",A1520-E1520)</f>
        <v/>
      </c>
      <c r="H1520" s="42">
        <f>IF(OR(F1520="",C1520=""),"",IFERROR((C1520-F1520)/G1520,""))</f>
        <v/>
      </c>
      <c r="I1520" s="39">
        <f>IF(B1520="","",IFERROR(INDEX('Animais'!$M$6:$M$1005,MATCH(B1520,'Animais'!$A$6:$A$1005,0)),"Brinco não cadastrado"))</f>
        <v/>
      </c>
    </row>
    <row r="1521">
      <c r="A1521" s="31" t="n"/>
      <c r="B1521" s="36" t="n"/>
      <c r="C1521" s="38" t="n"/>
      <c r="D1521" s="32" t="n"/>
      <c r="E1521" s="43">
        <f>IF(OR(A1521="",B1521=""),"",SUMPRODUCT(MAX(($B$6:$B$2005=B1521)*($A$6:$A$2005&lt;A1521)*$A$6:$A$2005)))</f>
        <v/>
      </c>
      <c r="F1521" s="41">
        <f>IF(OR(E1521="",E1521=0),"",IFERROR(AVERAGEIFS($C$6:$C$2005,$B$6:$B$2005,B1521,$A$6:$A$2005,E1521),""))</f>
        <v/>
      </c>
      <c r="G1521" s="34">
        <f>IF(F1521="","",A1521-E1521)</f>
        <v/>
      </c>
      <c r="H1521" s="42">
        <f>IF(OR(F1521="",C1521=""),"",IFERROR((C1521-F1521)/G1521,""))</f>
        <v/>
      </c>
      <c r="I1521" s="39">
        <f>IF(B1521="","",IFERROR(INDEX('Animais'!$M$6:$M$1005,MATCH(B1521,'Animais'!$A$6:$A$1005,0)),"Brinco não cadastrado"))</f>
        <v/>
      </c>
    </row>
    <row r="1522">
      <c r="A1522" s="31" t="n"/>
      <c r="B1522" s="36" t="n"/>
      <c r="C1522" s="38" t="n"/>
      <c r="D1522" s="32" t="n"/>
      <c r="E1522" s="43">
        <f>IF(OR(A1522="",B1522=""),"",SUMPRODUCT(MAX(($B$6:$B$2005=B1522)*($A$6:$A$2005&lt;A1522)*$A$6:$A$2005)))</f>
        <v/>
      </c>
      <c r="F1522" s="41">
        <f>IF(OR(E1522="",E1522=0),"",IFERROR(AVERAGEIFS($C$6:$C$2005,$B$6:$B$2005,B1522,$A$6:$A$2005,E1522),""))</f>
        <v/>
      </c>
      <c r="G1522" s="34">
        <f>IF(F1522="","",A1522-E1522)</f>
        <v/>
      </c>
      <c r="H1522" s="42">
        <f>IF(OR(F1522="",C1522=""),"",IFERROR((C1522-F1522)/G1522,""))</f>
        <v/>
      </c>
      <c r="I1522" s="39">
        <f>IF(B1522="","",IFERROR(INDEX('Animais'!$M$6:$M$1005,MATCH(B1522,'Animais'!$A$6:$A$1005,0)),"Brinco não cadastrado"))</f>
        <v/>
      </c>
    </row>
    <row r="1523">
      <c r="A1523" s="31" t="n"/>
      <c r="B1523" s="36" t="n"/>
      <c r="C1523" s="38" t="n"/>
      <c r="D1523" s="32" t="n"/>
      <c r="E1523" s="43">
        <f>IF(OR(A1523="",B1523=""),"",SUMPRODUCT(MAX(($B$6:$B$2005=B1523)*($A$6:$A$2005&lt;A1523)*$A$6:$A$2005)))</f>
        <v/>
      </c>
      <c r="F1523" s="41">
        <f>IF(OR(E1523="",E1523=0),"",IFERROR(AVERAGEIFS($C$6:$C$2005,$B$6:$B$2005,B1523,$A$6:$A$2005,E1523),""))</f>
        <v/>
      </c>
      <c r="G1523" s="34">
        <f>IF(F1523="","",A1523-E1523)</f>
        <v/>
      </c>
      <c r="H1523" s="42">
        <f>IF(OR(F1523="",C1523=""),"",IFERROR((C1523-F1523)/G1523,""))</f>
        <v/>
      </c>
      <c r="I1523" s="39">
        <f>IF(B1523="","",IFERROR(INDEX('Animais'!$M$6:$M$1005,MATCH(B1523,'Animais'!$A$6:$A$1005,0)),"Brinco não cadastrado"))</f>
        <v/>
      </c>
    </row>
    <row r="1524">
      <c r="A1524" s="31" t="n"/>
      <c r="B1524" s="36" t="n"/>
      <c r="C1524" s="38" t="n"/>
      <c r="D1524" s="32" t="n"/>
      <c r="E1524" s="43">
        <f>IF(OR(A1524="",B1524=""),"",SUMPRODUCT(MAX(($B$6:$B$2005=B1524)*($A$6:$A$2005&lt;A1524)*$A$6:$A$2005)))</f>
        <v/>
      </c>
      <c r="F1524" s="41">
        <f>IF(OR(E1524="",E1524=0),"",IFERROR(AVERAGEIFS($C$6:$C$2005,$B$6:$B$2005,B1524,$A$6:$A$2005,E1524),""))</f>
        <v/>
      </c>
      <c r="G1524" s="34">
        <f>IF(F1524="","",A1524-E1524)</f>
        <v/>
      </c>
      <c r="H1524" s="42">
        <f>IF(OR(F1524="",C1524=""),"",IFERROR((C1524-F1524)/G1524,""))</f>
        <v/>
      </c>
      <c r="I1524" s="39">
        <f>IF(B1524="","",IFERROR(INDEX('Animais'!$M$6:$M$1005,MATCH(B1524,'Animais'!$A$6:$A$1005,0)),"Brinco não cadastrado"))</f>
        <v/>
      </c>
    </row>
    <row r="1525">
      <c r="A1525" s="31" t="n"/>
      <c r="B1525" s="36" t="n"/>
      <c r="C1525" s="38" t="n"/>
      <c r="D1525" s="32" t="n"/>
      <c r="E1525" s="43">
        <f>IF(OR(A1525="",B1525=""),"",SUMPRODUCT(MAX(($B$6:$B$2005=B1525)*($A$6:$A$2005&lt;A1525)*$A$6:$A$2005)))</f>
        <v/>
      </c>
      <c r="F1525" s="41">
        <f>IF(OR(E1525="",E1525=0),"",IFERROR(AVERAGEIFS($C$6:$C$2005,$B$6:$B$2005,B1525,$A$6:$A$2005,E1525),""))</f>
        <v/>
      </c>
      <c r="G1525" s="34">
        <f>IF(F1525="","",A1525-E1525)</f>
        <v/>
      </c>
      <c r="H1525" s="42">
        <f>IF(OR(F1525="",C1525=""),"",IFERROR((C1525-F1525)/G1525,""))</f>
        <v/>
      </c>
      <c r="I1525" s="39">
        <f>IF(B1525="","",IFERROR(INDEX('Animais'!$M$6:$M$1005,MATCH(B1525,'Animais'!$A$6:$A$1005,0)),"Brinco não cadastrado"))</f>
        <v/>
      </c>
    </row>
    <row r="1526">
      <c r="A1526" s="31" t="n"/>
      <c r="B1526" s="36" t="n"/>
      <c r="C1526" s="38" t="n"/>
      <c r="D1526" s="32" t="n"/>
      <c r="E1526" s="43">
        <f>IF(OR(A1526="",B1526=""),"",SUMPRODUCT(MAX(($B$6:$B$2005=B1526)*($A$6:$A$2005&lt;A1526)*$A$6:$A$2005)))</f>
        <v/>
      </c>
      <c r="F1526" s="41">
        <f>IF(OR(E1526="",E1526=0),"",IFERROR(AVERAGEIFS($C$6:$C$2005,$B$6:$B$2005,B1526,$A$6:$A$2005,E1526),""))</f>
        <v/>
      </c>
      <c r="G1526" s="34">
        <f>IF(F1526="","",A1526-E1526)</f>
        <v/>
      </c>
      <c r="H1526" s="42">
        <f>IF(OR(F1526="",C1526=""),"",IFERROR((C1526-F1526)/G1526,""))</f>
        <v/>
      </c>
      <c r="I1526" s="39">
        <f>IF(B1526="","",IFERROR(INDEX('Animais'!$M$6:$M$1005,MATCH(B1526,'Animais'!$A$6:$A$1005,0)),"Brinco não cadastrado"))</f>
        <v/>
      </c>
    </row>
    <row r="1527">
      <c r="A1527" s="31" t="n"/>
      <c r="B1527" s="36" t="n"/>
      <c r="C1527" s="38" t="n"/>
      <c r="D1527" s="32" t="n"/>
      <c r="E1527" s="43">
        <f>IF(OR(A1527="",B1527=""),"",SUMPRODUCT(MAX(($B$6:$B$2005=B1527)*($A$6:$A$2005&lt;A1527)*$A$6:$A$2005)))</f>
        <v/>
      </c>
      <c r="F1527" s="41">
        <f>IF(OR(E1527="",E1527=0),"",IFERROR(AVERAGEIFS($C$6:$C$2005,$B$6:$B$2005,B1527,$A$6:$A$2005,E1527),""))</f>
        <v/>
      </c>
      <c r="G1527" s="34">
        <f>IF(F1527="","",A1527-E1527)</f>
        <v/>
      </c>
      <c r="H1527" s="42">
        <f>IF(OR(F1527="",C1527=""),"",IFERROR((C1527-F1527)/G1527,""))</f>
        <v/>
      </c>
      <c r="I1527" s="39">
        <f>IF(B1527="","",IFERROR(INDEX('Animais'!$M$6:$M$1005,MATCH(B1527,'Animais'!$A$6:$A$1005,0)),"Brinco não cadastrado"))</f>
        <v/>
      </c>
    </row>
    <row r="1528">
      <c r="A1528" s="31" t="n"/>
      <c r="B1528" s="36" t="n"/>
      <c r="C1528" s="38" t="n"/>
      <c r="D1528" s="32" t="n"/>
      <c r="E1528" s="43">
        <f>IF(OR(A1528="",B1528=""),"",SUMPRODUCT(MAX(($B$6:$B$2005=B1528)*($A$6:$A$2005&lt;A1528)*$A$6:$A$2005)))</f>
        <v/>
      </c>
      <c r="F1528" s="41">
        <f>IF(OR(E1528="",E1528=0),"",IFERROR(AVERAGEIFS($C$6:$C$2005,$B$6:$B$2005,B1528,$A$6:$A$2005,E1528),""))</f>
        <v/>
      </c>
      <c r="G1528" s="34">
        <f>IF(F1528="","",A1528-E1528)</f>
        <v/>
      </c>
      <c r="H1528" s="42">
        <f>IF(OR(F1528="",C1528=""),"",IFERROR((C1528-F1528)/G1528,""))</f>
        <v/>
      </c>
      <c r="I1528" s="39">
        <f>IF(B1528="","",IFERROR(INDEX('Animais'!$M$6:$M$1005,MATCH(B1528,'Animais'!$A$6:$A$1005,0)),"Brinco não cadastrado"))</f>
        <v/>
      </c>
    </row>
    <row r="1529">
      <c r="A1529" s="31" t="n"/>
      <c r="B1529" s="36" t="n"/>
      <c r="C1529" s="38" t="n"/>
      <c r="D1529" s="32" t="n"/>
      <c r="E1529" s="43">
        <f>IF(OR(A1529="",B1529=""),"",SUMPRODUCT(MAX(($B$6:$B$2005=B1529)*($A$6:$A$2005&lt;A1529)*$A$6:$A$2005)))</f>
        <v/>
      </c>
      <c r="F1529" s="41">
        <f>IF(OR(E1529="",E1529=0),"",IFERROR(AVERAGEIFS($C$6:$C$2005,$B$6:$B$2005,B1529,$A$6:$A$2005,E1529),""))</f>
        <v/>
      </c>
      <c r="G1529" s="34">
        <f>IF(F1529="","",A1529-E1529)</f>
        <v/>
      </c>
      <c r="H1529" s="42">
        <f>IF(OR(F1529="",C1529=""),"",IFERROR((C1529-F1529)/G1529,""))</f>
        <v/>
      </c>
      <c r="I1529" s="39">
        <f>IF(B1529="","",IFERROR(INDEX('Animais'!$M$6:$M$1005,MATCH(B1529,'Animais'!$A$6:$A$1005,0)),"Brinco não cadastrado"))</f>
        <v/>
      </c>
    </row>
    <row r="1530">
      <c r="A1530" s="31" t="n"/>
      <c r="B1530" s="36" t="n"/>
      <c r="C1530" s="38" t="n"/>
      <c r="D1530" s="32" t="n"/>
      <c r="E1530" s="43">
        <f>IF(OR(A1530="",B1530=""),"",SUMPRODUCT(MAX(($B$6:$B$2005=B1530)*($A$6:$A$2005&lt;A1530)*$A$6:$A$2005)))</f>
        <v/>
      </c>
      <c r="F1530" s="41">
        <f>IF(OR(E1530="",E1530=0),"",IFERROR(AVERAGEIFS($C$6:$C$2005,$B$6:$B$2005,B1530,$A$6:$A$2005,E1530),""))</f>
        <v/>
      </c>
      <c r="G1530" s="34">
        <f>IF(F1530="","",A1530-E1530)</f>
        <v/>
      </c>
      <c r="H1530" s="42">
        <f>IF(OR(F1530="",C1530=""),"",IFERROR((C1530-F1530)/G1530,""))</f>
        <v/>
      </c>
      <c r="I1530" s="39">
        <f>IF(B1530="","",IFERROR(INDEX('Animais'!$M$6:$M$1005,MATCH(B1530,'Animais'!$A$6:$A$1005,0)),"Brinco não cadastrado"))</f>
        <v/>
      </c>
    </row>
    <row r="1531">
      <c r="A1531" s="31" t="n"/>
      <c r="B1531" s="36" t="n"/>
      <c r="C1531" s="38" t="n"/>
      <c r="D1531" s="32" t="n"/>
      <c r="E1531" s="43">
        <f>IF(OR(A1531="",B1531=""),"",SUMPRODUCT(MAX(($B$6:$B$2005=B1531)*($A$6:$A$2005&lt;A1531)*$A$6:$A$2005)))</f>
        <v/>
      </c>
      <c r="F1531" s="41">
        <f>IF(OR(E1531="",E1531=0),"",IFERROR(AVERAGEIFS($C$6:$C$2005,$B$6:$B$2005,B1531,$A$6:$A$2005,E1531),""))</f>
        <v/>
      </c>
      <c r="G1531" s="34">
        <f>IF(F1531="","",A1531-E1531)</f>
        <v/>
      </c>
      <c r="H1531" s="42">
        <f>IF(OR(F1531="",C1531=""),"",IFERROR((C1531-F1531)/G1531,""))</f>
        <v/>
      </c>
      <c r="I1531" s="39">
        <f>IF(B1531="","",IFERROR(INDEX('Animais'!$M$6:$M$1005,MATCH(B1531,'Animais'!$A$6:$A$1005,0)),"Brinco não cadastrado"))</f>
        <v/>
      </c>
    </row>
    <row r="1532">
      <c r="A1532" s="31" t="n"/>
      <c r="B1532" s="36" t="n"/>
      <c r="C1532" s="38" t="n"/>
      <c r="D1532" s="32" t="n"/>
      <c r="E1532" s="43">
        <f>IF(OR(A1532="",B1532=""),"",SUMPRODUCT(MAX(($B$6:$B$2005=B1532)*($A$6:$A$2005&lt;A1532)*$A$6:$A$2005)))</f>
        <v/>
      </c>
      <c r="F1532" s="41">
        <f>IF(OR(E1532="",E1532=0),"",IFERROR(AVERAGEIFS($C$6:$C$2005,$B$6:$B$2005,B1532,$A$6:$A$2005,E1532),""))</f>
        <v/>
      </c>
      <c r="G1532" s="34">
        <f>IF(F1532="","",A1532-E1532)</f>
        <v/>
      </c>
      <c r="H1532" s="42">
        <f>IF(OR(F1532="",C1532=""),"",IFERROR((C1532-F1532)/G1532,""))</f>
        <v/>
      </c>
      <c r="I1532" s="39">
        <f>IF(B1532="","",IFERROR(INDEX('Animais'!$M$6:$M$1005,MATCH(B1532,'Animais'!$A$6:$A$1005,0)),"Brinco não cadastrado"))</f>
        <v/>
      </c>
    </row>
    <row r="1533">
      <c r="A1533" s="31" t="n"/>
      <c r="B1533" s="36" t="n"/>
      <c r="C1533" s="38" t="n"/>
      <c r="D1533" s="32" t="n"/>
      <c r="E1533" s="43">
        <f>IF(OR(A1533="",B1533=""),"",SUMPRODUCT(MAX(($B$6:$B$2005=B1533)*($A$6:$A$2005&lt;A1533)*$A$6:$A$2005)))</f>
        <v/>
      </c>
      <c r="F1533" s="41">
        <f>IF(OR(E1533="",E1533=0),"",IFERROR(AVERAGEIFS($C$6:$C$2005,$B$6:$B$2005,B1533,$A$6:$A$2005,E1533),""))</f>
        <v/>
      </c>
      <c r="G1533" s="34">
        <f>IF(F1533="","",A1533-E1533)</f>
        <v/>
      </c>
      <c r="H1533" s="42">
        <f>IF(OR(F1533="",C1533=""),"",IFERROR((C1533-F1533)/G1533,""))</f>
        <v/>
      </c>
      <c r="I1533" s="39">
        <f>IF(B1533="","",IFERROR(INDEX('Animais'!$M$6:$M$1005,MATCH(B1533,'Animais'!$A$6:$A$1005,0)),"Brinco não cadastrado"))</f>
        <v/>
      </c>
    </row>
    <row r="1534">
      <c r="A1534" s="31" t="n"/>
      <c r="B1534" s="36" t="n"/>
      <c r="C1534" s="38" t="n"/>
      <c r="D1534" s="32" t="n"/>
      <c r="E1534" s="43">
        <f>IF(OR(A1534="",B1534=""),"",SUMPRODUCT(MAX(($B$6:$B$2005=B1534)*($A$6:$A$2005&lt;A1534)*$A$6:$A$2005)))</f>
        <v/>
      </c>
      <c r="F1534" s="41">
        <f>IF(OR(E1534="",E1534=0),"",IFERROR(AVERAGEIFS($C$6:$C$2005,$B$6:$B$2005,B1534,$A$6:$A$2005,E1534),""))</f>
        <v/>
      </c>
      <c r="G1534" s="34">
        <f>IF(F1534="","",A1534-E1534)</f>
        <v/>
      </c>
      <c r="H1534" s="42">
        <f>IF(OR(F1534="",C1534=""),"",IFERROR((C1534-F1534)/G1534,""))</f>
        <v/>
      </c>
      <c r="I1534" s="39">
        <f>IF(B1534="","",IFERROR(INDEX('Animais'!$M$6:$M$1005,MATCH(B1534,'Animais'!$A$6:$A$1005,0)),"Brinco não cadastrado"))</f>
        <v/>
      </c>
    </row>
    <row r="1535">
      <c r="A1535" s="31" t="n"/>
      <c r="B1535" s="36" t="n"/>
      <c r="C1535" s="38" t="n"/>
      <c r="D1535" s="32" t="n"/>
      <c r="E1535" s="43">
        <f>IF(OR(A1535="",B1535=""),"",SUMPRODUCT(MAX(($B$6:$B$2005=B1535)*($A$6:$A$2005&lt;A1535)*$A$6:$A$2005)))</f>
        <v/>
      </c>
      <c r="F1535" s="41">
        <f>IF(OR(E1535="",E1535=0),"",IFERROR(AVERAGEIFS($C$6:$C$2005,$B$6:$B$2005,B1535,$A$6:$A$2005,E1535),""))</f>
        <v/>
      </c>
      <c r="G1535" s="34">
        <f>IF(F1535="","",A1535-E1535)</f>
        <v/>
      </c>
      <c r="H1535" s="42">
        <f>IF(OR(F1535="",C1535=""),"",IFERROR((C1535-F1535)/G1535,""))</f>
        <v/>
      </c>
      <c r="I1535" s="39">
        <f>IF(B1535="","",IFERROR(INDEX('Animais'!$M$6:$M$1005,MATCH(B1535,'Animais'!$A$6:$A$1005,0)),"Brinco não cadastrado"))</f>
        <v/>
      </c>
    </row>
    <row r="1536">
      <c r="A1536" s="31" t="n"/>
      <c r="B1536" s="36" t="n"/>
      <c r="C1536" s="38" t="n"/>
      <c r="D1536" s="32" t="n"/>
      <c r="E1536" s="43">
        <f>IF(OR(A1536="",B1536=""),"",SUMPRODUCT(MAX(($B$6:$B$2005=B1536)*($A$6:$A$2005&lt;A1536)*$A$6:$A$2005)))</f>
        <v/>
      </c>
      <c r="F1536" s="41">
        <f>IF(OR(E1536="",E1536=0),"",IFERROR(AVERAGEIFS($C$6:$C$2005,$B$6:$B$2005,B1536,$A$6:$A$2005,E1536),""))</f>
        <v/>
      </c>
      <c r="G1536" s="34">
        <f>IF(F1536="","",A1536-E1536)</f>
        <v/>
      </c>
      <c r="H1536" s="42">
        <f>IF(OR(F1536="",C1536=""),"",IFERROR((C1536-F1536)/G1536,""))</f>
        <v/>
      </c>
      <c r="I1536" s="39">
        <f>IF(B1536="","",IFERROR(INDEX('Animais'!$M$6:$M$1005,MATCH(B1536,'Animais'!$A$6:$A$1005,0)),"Brinco não cadastrado"))</f>
        <v/>
      </c>
    </row>
    <row r="1537">
      <c r="A1537" s="31" t="n"/>
      <c r="B1537" s="36" t="n"/>
      <c r="C1537" s="38" t="n"/>
      <c r="D1537" s="32" t="n"/>
      <c r="E1537" s="43">
        <f>IF(OR(A1537="",B1537=""),"",SUMPRODUCT(MAX(($B$6:$B$2005=B1537)*($A$6:$A$2005&lt;A1537)*$A$6:$A$2005)))</f>
        <v/>
      </c>
      <c r="F1537" s="41">
        <f>IF(OR(E1537="",E1537=0),"",IFERROR(AVERAGEIFS($C$6:$C$2005,$B$6:$B$2005,B1537,$A$6:$A$2005,E1537),""))</f>
        <v/>
      </c>
      <c r="G1537" s="34">
        <f>IF(F1537="","",A1537-E1537)</f>
        <v/>
      </c>
      <c r="H1537" s="42">
        <f>IF(OR(F1537="",C1537=""),"",IFERROR((C1537-F1537)/G1537,""))</f>
        <v/>
      </c>
      <c r="I1537" s="39">
        <f>IF(B1537="","",IFERROR(INDEX('Animais'!$M$6:$M$1005,MATCH(B1537,'Animais'!$A$6:$A$1005,0)),"Brinco não cadastrado"))</f>
        <v/>
      </c>
    </row>
    <row r="1538">
      <c r="A1538" s="31" t="n"/>
      <c r="B1538" s="36" t="n"/>
      <c r="C1538" s="38" t="n"/>
      <c r="D1538" s="32" t="n"/>
      <c r="E1538" s="43">
        <f>IF(OR(A1538="",B1538=""),"",SUMPRODUCT(MAX(($B$6:$B$2005=B1538)*($A$6:$A$2005&lt;A1538)*$A$6:$A$2005)))</f>
        <v/>
      </c>
      <c r="F1538" s="41">
        <f>IF(OR(E1538="",E1538=0),"",IFERROR(AVERAGEIFS($C$6:$C$2005,$B$6:$B$2005,B1538,$A$6:$A$2005,E1538),""))</f>
        <v/>
      </c>
      <c r="G1538" s="34">
        <f>IF(F1538="","",A1538-E1538)</f>
        <v/>
      </c>
      <c r="H1538" s="42">
        <f>IF(OR(F1538="",C1538=""),"",IFERROR((C1538-F1538)/G1538,""))</f>
        <v/>
      </c>
      <c r="I1538" s="39">
        <f>IF(B1538="","",IFERROR(INDEX('Animais'!$M$6:$M$1005,MATCH(B1538,'Animais'!$A$6:$A$1005,0)),"Brinco não cadastrado"))</f>
        <v/>
      </c>
    </row>
    <row r="1539">
      <c r="A1539" s="31" t="n"/>
      <c r="B1539" s="36" t="n"/>
      <c r="C1539" s="38" t="n"/>
      <c r="D1539" s="32" t="n"/>
      <c r="E1539" s="43">
        <f>IF(OR(A1539="",B1539=""),"",SUMPRODUCT(MAX(($B$6:$B$2005=B1539)*($A$6:$A$2005&lt;A1539)*$A$6:$A$2005)))</f>
        <v/>
      </c>
      <c r="F1539" s="41">
        <f>IF(OR(E1539="",E1539=0),"",IFERROR(AVERAGEIFS($C$6:$C$2005,$B$6:$B$2005,B1539,$A$6:$A$2005,E1539),""))</f>
        <v/>
      </c>
      <c r="G1539" s="34">
        <f>IF(F1539="","",A1539-E1539)</f>
        <v/>
      </c>
      <c r="H1539" s="42">
        <f>IF(OR(F1539="",C1539=""),"",IFERROR((C1539-F1539)/G1539,""))</f>
        <v/>
      </c>
      <c r="I1539" s="39">
        <f>IF(B1539="","",IFERROR(INDEX('Animais'!$M$6:$M$1005,MATCH(B1539,'Animais'!$A$6:$A$1005,0)),"Brinco não cadastrado"))</f>
        <v/>
      </c>
    </row>
    <row r="1540">
      <c r="A1540" s="31" t="n"/>
      <c r="B1540" s="36" t="n"/>
      <c r="C1540" s="38" t="n"/>
      <c r="D1540" s="32" t="n"/>
      <c r="E1540" s="43">
        <f>IF(OR(A1540="",B1540=""),"",SUMPRODUCT(MAX(($B$6:$B$2005=B1540)*($A$6:$A$2005&lt;A1540)*$A$6:$A$2005)))</f>
        <v/>
      </c>
      <c r="F1540" s="41">
        <f>IF(OR(E1540="",E1540=0),"",IFERROR(AVERAGEIFS($C$6:$C$2005,$B$6:$B$2005,B1540,$A$6:$A$2005,E1540),""))</f>
        <v/>
      </c>
      <c r="G1540" s="34">
        <f>IF(F1540="","",A1540-E1540)</f>
        <v/>
      </c>
      <c r="H1540" s="42">
        <f>IF(OR(F1540="",C1540=""),"",IFERROR((C1540-F1540)/G1540,""))</f>
        <v/>
      </c>
      <c r="I1540" s="39">
        <f>IF(B1540="","",IFERROR(INDEX('Animais'!$M$6:$M$1005,MATCH(B1540,'Animais'!$A$6:$A$1005,0)),"Brinco não cadastrado"))</f>
        <v/>
      </c>
    </row>
    <row r="1541">
      <c r="A1541" s="31" t="n"/>
      <c r="B1541" s="36" t="n"/>
      <c r="C1541" s="38" t="n"/>
      <c r="D1541" s="32" t="n"/>
      <c r="E1541" s="43">
        <f>IF(OR(A1541="",B1541=""),"",SUMPRODUCT(MAX(($B$6:$B$2005=B1541)*($A$6:$A$2005&lt;A1541)*$A$6:$A$2005)))</f>
        <v/>
      </c>
      <c r="F1541" s="41">
        <f>IF(OR(E1541="",E1541=0),"",IFERROR(AVERAGEIFS($C$6:$C$2005,$B$6:$B$2005,B1541,$A$6:$A$2005,E1541),""))</f>
        <v/>
      </c>
      <c r="G1541" s="34">
        <f>IF(F1541="","",A1541-E1541)</f>
        <v/>
      </c>
      <c r="H1541" s="42">
        <f>IF(OR(F1541="",C1541=""),"",IFERROR((C1541-F1541)/G1541,""))</f>
        <v/>
      </c>
      <c r="I1541" s="39">
        <f>IF(B1541="","",IFERROR(INDEX('Animais'!$M$6:$M$1005,MATCH(B1541,'Animais'!$A$6:$A$1005,0)),"Brinco não cadastrado"))</f>
        <v/>
      </c>
    </row>
    <row r="1542">
      <c r="A1542" s="31" t="n"/>
      <c r="B1542" s="36" t="n"/>
      <c r="C1542" s="38" t="n"/>
      <c r="D1542" s="32" t="n"/>
      <c r="E1542" s="43">
        <f>IF(OR(A1542="",B1542=""),"",SUMPRODUCT(MAX(($B$6:$B$2005=B1542)*($A$6:$A$2005&lt;A1542)*$A$6:$A$2005)))</f>
        <v/>
      </c>
      <c r="F1542" s="41">
        <f>IF(OR(E1542="",E1542=0),"",IFERROR(AVERAGEIFS($C$6:$C$2005,$B$6:$B$2005,B1542,$A$6:$A$2005,E1542),""))</f>
        <v/>
      </c>
      <c r="G1542" s="34">
        <f>IF(F1542="","",A1542-E1542)</f>
        <v/>
      </c>
      <c r="H1542" s="42">
        <f>IF(OR(F1542="",C1542=""),"",IFERROR((C1542-F1542)/G1542,""))</f>
        <v/>
      </c>
      <c r="I1542" s="39">
        <f>IF(B1542="","",IFERROR(INDEX('Animais'!$M$6:$M$1005,MATCH(B1542,'Animais'!$A$6:$A$1005,0)),"Brinco não cadastrado"))</f>
        <v/>
      </c>
    </row>
    <row r="1543">
      <c r="A1543" s="31" t="n"/>
      <c r="B1543" s="36" t="n"/>
      <c r="C1543" s="38" t="n"/>
      <c r="D1543" s="32" t="n"/>
      <c r="E1543" s="43">
        <f>IF(OR(A1543="",B1543=""),"",SUMPRODUCT(MAX(($B$6:$B$2005=B1543)*($A$6:$A$2005&lt;A1543)*$A$6:$A$2005)))</f>
        <v/>
      </c>
      <c r="F1543" s="41">
        <f>IF(OR(E1543="",E1543=0),"",IFERROR(AVERAGEIFS($C$6:$C$2005,$B$6:$B$2005,B1543,$A$6:$A$2005,E1543),""))</f>
        <v/>
      </c>
      <c r="G1543" s="34">
        <f>IF(F1543="","",A1543-E1543)</f>
        <v/>
      </c>
      <c r="H1543" s="42">
        <f>IF(OR(F1543="",C1543=""),"",IFERROR((C1543-F1543)/G1543,""))</f>
        <v/>
      </c>
      <c r="I1543" s="39">
        <f>IF(B1543="","",IFERROR(INDEX('Animais'!$M$6:$M$1005,MATCH(B1543,'Animais'!$A$6:$A$1005,0)),"Brinco não cadastrado"))</f>
        <v/>
      </c>
    </row>
    <row r="1544">
      <c r="A1544" s="31" t="n"/>
      <c r="B1544" s="36" t="n"/>
      <c r="C1544" s="38" t="n"/>
      <c r="D1544" s="32" t="n"/>
      <c r="E1544" s="43">
        <f>IF(OR(A1544="",B1544=""),"",SUMPRODUCT(MAX(($B$6:$B$2005=B1544)*($A$6:$A$2005&lt;A1544)*$A$6:$A$2005)))</f>
        <v/>
      </c>
      <c r="F1544" s="41">
        <f>IF(OR(E1544="",E1544=0),"",IFERROR(AVERAGEIFS($C$6:$C$2005,$B$6:$B$2005,B1544,$A$6:$A$2005,E1544),""))</f>
        <v/>
      </c>
      <c r="G1544" s="34">
        <f>IF(F1544="","",A1544-E1544)</f>
        <v/>
      </c>
      <c r="H1544" s="42">
        <f>IF(OR(F1544="",C1544=""),"",IFERROR((C1544-F1544)/G1544,""))</f>
        <v/>
      </c>
      <c r="I1544" s="39">
        <f>IF(B1544="","",IFERROR(INDEX('Animais'!$M$6:$M$1005,MATCH(B1544,'Animais'!$A$6:$A$1005,0)),"Brinco não cadastrado"))</f>
        <v/>
      </c>
    </row>
    <row r="1545">
      <c r="A1545" s="31" t="n"/>
      <c r="B1545" s="36" t="n"/>
      <c r="C1545" s="38" t="n"/>
      <c r="D1545" s="32" t="n"/>
      <c r="E1545" s="43">
        <f>IF(OR(A1545="",B1545=""),"",SUMPRODUCT(MAX(($B$6:$B$2005=B1545)*($A$6:$A$2005&lt;A1545)*$A$6:$A$2005)))</f>
        <v/>
      </c>
      <c r="F1545" s="41">
        <f>IF(OR(E1545="",E1545=0),"",IFERROR(AVERAGEIFS($C$6:$C$2005,$B$6:$B$2005,B1545,$A$6:$A$2005,E1545),""))</f>
        <v/>
      </c>
      <c r="G1545" s="34">
        <f>IF(F1545="","",A1545-E1545)</f>
        <v/>
      </c>
      <c r="H1545" s="42">
        <f>IF(OR(F1545="",C1545=""),"",IFERROR((C1545-F1545)/G1545,""))</f>
        <v/>
      </c>
      <c r="I1545" s="39">
        <f>IF(B1545="","",IFERROR(INDEX('Animais'!$M$6:$M$1005,MATCH(B1545,'Animais'!$A$6:$A$1005,0)),"Brinco não cadastrado"))</f>
        <v/>
      </c>
    </row>
    <row r="1546">
      <c r="A1546" s="31" t="n"/>
      <c r="B1546" s="36" t="n"/>
      <c r="C1546" s="38" t="n"/>
      <c r="D1546" s="32" t="n"/>
      <c r="E1546" s="43">
        <f>IF(OR(A1546="",B1546=""),"",SUMPRODUCT(MAX(($B$6:$B$2005=B1546)*($A$6:$A$2005&lt;A1546)*$A$6:$A$2005)))</f>
        <v/>
      </c>
      <c r="F1546" s="41">
        <f>IF(OR(E1546="",E1546=0),"",IFERROR(AVERAGEIFS($C$6:$C$2005,$B$6:$B$2005,B1546,$A$6:$A$2005,E1546),""))</f>
        <v/>
      </c>
      <c r="G1546" s="34">
        <f>IF(F1546="","",A1546-E1546)</f>
        <v/>
      </c>
      <c r="H1546" s="42">
        <f>IF(OR(F1546="",C1546=""),"",IFERROR((C1546-F1546)/G1546,""))</f>
        <v/>
      </c>
      <c r="I1546" s="39">
        <f>IF(B1546="","",IFERROR(INDEX('Animais'!$M$6:$M$1005,MATCH(B1546,'Animais'!$A$6:$A$1005,0)),"Brinco não cadastrado"))</f>
        <v/>
      </c>
    </row>
    <row r="1547">
      <c r="A1547" s="31" t="n"/>
      <c r="B1547" s="36" t="n"/>
      <c r="C1547" s="38" t="n"/>
      <c r="D1547" s="32" t="n"/>
      <c r="E1547" s="43">
        <f>IF(OR(A1547="",B1547=""),"",SUMPRODUCT(MAX(($B$6:$B$2005=B1547)*($A$6:$A$2005&lt;A1547)*$A$6:$A$2005)))</f>
        <v/>
      </c>
      <c r="F1547" s="41">
        <f>IF(OR(E1547="",E1547=0),"",IFERROR(AVERAGEIFS($C$6:$C$2005,$B$6:$B$2005,B1547,$A$6:$A$2005,E1547),""))</f>
        <v/>
      </c>
      <c r="G1547" s="34">
        <f>IF(F1547="","",A1547-E1547)</f>
        <v/>
      </c>
      <c r="H1547" s="42">
        <f>IF(OR(F1547="",C1547=""),"",IFERROR((C1547-F1547)/G1547,""))</f>
        <v/>
      </c>
      <c r="I1547" s="39">
        <f>IF(B1547="","",IFERROR(INDEX('Animais'!$M$6:$M$1005,MATCH(B1547,'Animais'!$A$6:$A$1005,0)),"Brinco não cadastrado"))</f>
        <v/>
      </c>
    </row>
    <row r="1548">
      <c r="A1548" s="31" t="n"/>
      <c r="B1548" s="36" t="n"/>
      <c r="C1548" s="38" t="n"/>
      <c r="D1548" s="32" t="n"/>
      <c r="E1548" s="43">
        <f>IF(OR(A1548="",B1548=""),"",SUMPRODUCT(MAX(($B$6:$B$2005=B1548)*($A$6:$A$2005&lt;A1548)*$A$6:$A$2005)))</f>
        <v/>
      </c>
      <c r="F1548" s="41">
        <f>IF(OR(E1548="",E1548=0),"",IFERROR(AVERAGEIFS($C$6:$C$2005,$B$6:$B$2005,B1548,$A$6:$A$2005,E1548),""))</f>
        <v/>
      </c>
      <c r="G1548" s="34">
        <f>IF(F1548="","",A1548-E1548)</f>
        <v/>
      </c>
      <c r="H1548" s="42">
        <f>IF(OR(F1548="",C1548=""),"",IFERROR((C1548-F1548)/G1548,""))</f>
        <v/>
      </c>
      <c r="I1548" s="39">
        <f>IF(B1548="","",IFERROR(INDEX('Animais'!$M$6:$M$1005,MATCH(B1548,'Animais'!$A$6:$A$1005,0)),"Brinco não cadastrado"))</f>
        <v/>
      </c>
    </row>
    <row r="1549">
      <c r="A1549" s="31" t="n"/>
      <c r="B1549" s="36" t="n"/>
      <c r="C1549" s="38" t="n"/>
      <c r="D1549" s="32" t="n"/>
      <c r="E1549" s="43">
        <f>IF(OR(A1549="",B1549=""),"",SUMPRODUCT(MAX(($B$6:$B$2005=B1549)*($A$6:$A$2005&lt;A1549)*$A$6:$A$2005)))</f>
        <v/>
      </c>
      <c r="F1549" s="41">
        <f>IF(OR(E1549="",E1549=0),"",IFERROR(AVERAGEIFS($C$6:$C$2005,$B$6:$B$2005,B1549,$A$6:$A$2005,E1549),""))</f>
        <v/>
      </c>
      <c r="G1549" s="34">
        <f>IF(F1549="","",A1549-E1549)</f>
        <v/>
      </c>
      <c r="H1549" s="42">
        <f>IF(OR(F1549="",C1549=""),"",IFERROR((C1549-F1549)/G1549,""))</f>
        <v/>
      </c>
      <c r="I1549" s="39">
        <f>IF(B1549="","",IFERROR(INDEX('Animais'!$M$6:$M$1005,MATCH(B1549,'Animais'!$A$6:$A$1005,0)),"Brinco não cadastrado"))</f>
        <v/>
      </c>
    </row>
    <row r="1550">
      <c r="A1550" s="31" t="n"/>
      <c r="B1550" s="36" t="n"/>
      <c r="C1550" s="38" t="n"/>
      <c r="D1550" s="32" t="n"/>
      <c r="E1550" s="43">
        <f>IF(OR(A1550="",B1550=""),"",SUMPRODUCT(MAX(($B$6:$B$2005=B1550)*($A$6:$A$2005&lt;A1550)*$A$6:$A$2005)))</f>
        <v/>
      </c>
      <c r="F1550" s="41">
        <f>IF(OR(E1550="",E1550=0),"",IFERROR(AVERAGEIFS($C$6:$C$2005,$B$6:$B$2005,B1550,$A$6:$A$2005,E1550),""))</f>
        <v/>
      </c>
      <c r="G1550" s="34">
        <f>IF(F1550="","",A1550-E1550)</f>
        <v/>
      </c>
      <c r="H1550" s="42">
        <f>IF(OR(F1550="",C1550=""),"",IFERROR((C1550-F1550)/G1550,""))</f>
        <v/>
      </c>
      <c r="I1550" s="39">
        <f>IF(B1550="","",IFERROR(INDEX('Animais'!$M$6:$M$1005,MATCH(B1550,'Animais'!$A$6:$A$1005,0)),"Brinco não cadastrado"))</f>
        <v/>
      </c>
    </row>
    <row r="1551">
      <c r="A1551" s="31" t="n"/>
      <c r="B1551" s="36" t="n"/>
      <c r="C1551" s="38" t="n"/>
      <c r="D1551" s="32" t="n"/>
      <c r="E1551" s="43">
        <f>IF(OR(A1551="",B1551=""),"",SUMPRODUCT(MAX(($B$6:$B$2005=B1551)*($A$6:$A$2005&lt;A1551)*$A$6:$A$2005)))</f>
        <v/>
      </c>
      <c r="F1551" s="41">
        <f>IF(OR(E1551="",E1551=0),"",IFERROR(AVERAGEIFS($C$6:$C$2005,$B$6:$B$2005,B1551,$A$6:$A$2005,E1551),""))</f>
        <v/>
      </c>
      <c r="G1551" s="34">
        <f>IF(F1551="","",A1551-E1551)</f>
        <v/>
      </c>
      <c r="H1551" s="42">
        <f>IF(OR(F1551="",C1551=""),"",IFERROR((C1551-F1551)/G1551,""))</f>
        <v/>
      </c>
      <c r="I1551" s="39">
        <f>IF(B1551="","",IFERROR(INDEX('Animais'!$M$6:$M$1005,MATCH(B1551,'Animais'!$A$6:$A$1005,0)),"Brinco não cadastrado"))</f>
        <v/>
      </c>
    </row>
    <row r="1552">
      <c r="A1552" s="31" t="n"/>
      <c r="B1552" s="36" t="n"/>
      <c r="C1552" s="38" t="n"/>
      <c r="D1552" s="32" t="n"/>
      <c r="E1552" s="43">
        <f>IF(OR(A1552="",B1552=""),"",SUMPRODUCT(MAX(($B$6:$B$2005=B1552)*($A$6:$A$2005&lt;A1552)*$A$6:$A$2005)))</f>
        <v/>
      </c>
      <c r="F1552" s="41">
        <f>IF(OR(E1552="",E1552=0),"",IFERROR(AVERAGEIFS($C$6:$C$2005,$B$6:$B$2005,B1552,$A$6:$A$2005,E1552),""))</f>
        <v/>
      </c>
      <c r="G1552" s="34">
        <f>IF(F1552="","",A1552-E1552)</f>
        <v/>
      </c>
      <c r="H1552" s="42">
        <f>IF(OR(F1552="",C1552=""),"",IFERROR((C1552-F1552)/G1552,""))</f>
        <v/>
      </c>
      <c r="I1552" s="39">
        <f>IF(B1552="","",IFERROR(INDEX('Animais'!$M$6:$M$1005,MATCH(B1552,'Animais'!$A$6:$A$1005,0)),"Brinco não cadastrado"))</f>
        <v/>
      </c>
    </row>
    <row r="1553">
      <c r="A1553" s="31" t="n"/>
      <c r="B1553" s="36" t="n"/>
      <c r="C1553" s="38" t="n"/>
      <c r="D1553" s="32" t="n"/>
      <c r="E1553" s="43">
        <f>IF(OR(A1553="",B1553=""),"",SUMPRODUCT(MAX(($B$6:$B$2005=B1553)*($A$6:$A$2005&lt;A1553)*$A$6:$A$2005)))</f>
        <v/>
      </c>
      <c r="F1553" s="41">
        <f>IF(OR(E1553="",E1553=0),"",IFERROR(AVERAGEIFS($C$6:$C$2005,$B$6:$B$2005,B1553,$A$6:$A$2005,E1553),""))</f>
        <v/>
      </c>
      <c r="G1553" s="34">
        <f>IF(F1553="","",A1553-E1553)</f>
        <v/>
      </c>
      <c r="H1553" s="42">
        <f>IF(OR(F1553="",C1553=""),"",IFERROR((C1553-F1553)/G1553,""))</f>
        <v/>
      </c>
      <c r="I1553" s="39">
        <f>IF(B1553="","",IFERROR(INDEX('Animais'!$M$6:$M$1005,MATCH(B1553,'Animais'!$A$6:$A$1005,0)),"Brinco não cadastrado"))</f>
        <v/>
      </c>
    </row>
    <row r="1554">
      <c r="A1554" s="31" t="n"/>
      <c r="B1554" s="36" t="n"/>
      <c r="C1554" s="38" t="n"/>
      <c r="D1554" s="32" t="n"/>
      <c r="E1554" s="43">
        <f>IF(OR(A1554="",B1554=""),"",SUMPRODUCT(MAX(($B$6:$B$2005=B1554)*($A$6:$A$2005&lt;A1554)*$A$6:$A$2005)))</f>
        <v/>
      </c>
      <c r="F1554" s="41">
        <f>IF(OR(E1554="",E1554=0),"",IFERROR(AVERAGEIFS($C$6:$C$2005,$B$6:$B$2005,B1554,$A$6:$A$2005,E1554),""))</f>
        <v/>
      </c>
      <c r="G1554" s="34">
        <f>IF(F1554="","",A1554-E1554)</f>
        <v/>
      </c>
      <c r="H1554" s="42">
        <f>IF(OR(F1554="",C1554=""),"",IFERROR((C1554-F1554)/G1554,""))</f>
        <v/>
      </c>
      <c r="I1554" s="39">
        <f>IF(B1554="","",IFERROR(INDEX('Animais'!$M$6:$M$1005,MATCH(B1554,'Animais'!$A$6:$A$1005,0)),"Brinco não cadastrado"))</f>
        <v/>
      </c>
    </row>
    <row r="1555">
      <c r="A1555" s="31" t="n"/>
      <c r="B1555" s="36" t="n"/>
      <c r="C1555" s="38" t="n"/>
      <c r="D1555" s="32" t="n"/>
      <c r="E1555" s="43">
        <f>IF(OR(A1555="",B1555=""),"",SUMPRODUCT(MAX(($B$6:$B$2005=B1555)*($A$6:$A$2005&lt;A1555)*$A$6:$A$2005)))</f>
        <v/>
      </c>
      <c r="F1555" s="41">
        <f>IF(OR(E1555="",E1555=0),"",IFERROR(AVERAGEIFS($C$6:$C$2005,$B$6:$B$2005,B1555,$A$6:$A$2005,E1555),""))</f>
        <v/>
      </c>
      <c r="G1555" s="34">
        <f>IF(F1555="","",A1555-E1555)</f>
        <v/>
      </c>
      <c r="H1555" s="42">
        <f>IF(OR(F1555="",C1555=""),"",IFERROR((C1555-F1555)/G1555,""))</f>
        <v/>
      </c>
      <c r="I1555" s="39">
        <f>IF(B1555="","",IFERROR(INDEX('Animais'!$M$6:$M$1005,MATCH(B1555,'Animais'!$A$6:$A$1005,0)),"Brinco não cadastrado"))</f>
        <v/>
      </c>
    </row>
    <row r="1556">
      <c r="A1556" s="31" t="n"/>
      <c r="B1556" s="36" t="n"/>
      <c r="C1556" s="38" t="n"/>
      <c r="D1556" s="32" t="n"/>
      <c r="E1556" s="43">
        <f>IF(OR(A1556="",B1556=""),"",SUMPRODUCT(MAX(($B$6:$B$2005=B1556)*($A$6:$A$2005&lt;A1556)*$A$6:$A$2005)))</f>
        <v/>
      </c>
      <c r="F1556" s="41">
        <f>IF(OR(E1556="",E1556=0),"",IFERROR(AVERAGEIFS($C$6:$C$2005,$B$6:$B$2005,B1556,$A$6:$A$2005,E1556),""))</f>
        <v/>
      </c>
      <c r="G1556" s="34">
        <f>IF(F1556="","",A1556-E1556)</f>
        <v/>
      </c>
      <c r="H1556" s="42">
        <f>IF(OR(F1556="",C1556=""),"",IFERROR((C1556-F1556)/G1556,""))</f>
        <v/>
      </c>
      <c r="I1556" s="39">
        <f>IF(B1556="","",IFERROR(INDEX('Animais'!$M$6:$M$1005,MATCH(B1556,'Animais'!$A$6:$A$1005,0)),"Brinco não cadastrado"))</f>
        <v/>
      </c>
    </row>
    <row r="1557">
      <c r="A1557" s="31" t="n"/>
      <c r="B1557" s="36" t="n"/>
      <c r="C1557" s="38" t="n"/>
      <c r="D1557" s="32" t="n"/>
      <c r="E1557" s="43">
        <f>IF(OR(A1557="",B1557=""),"",SUMPRODUCT(MAX(($B$6:$B$2005=B1557)*($A$6:$A$2005&lt;A1557)*$A$6:$A$2005)))</f>
        <v/>
      </c>
      <c r="F1557" s="41">
        <f>IF(OR(E1557="",E1557=0),"",IFERROR(AVERAGEIFS($C$6:$C$2005,$B$6:$B$2005,B1557,$A$6:$A$2005,E1557),""))</f>
        <v/>
      </c>
      <c r="G1557" s="34">
        <f>IF(F1557="","",A1557-E1557)</f>
        <v/>
      </c>
      <c r="H1557" s="42">
        <f>IF(OR(F1557="",C1557=""),"",IFERROR((C1557-F1557)/G1557,""))</f>
        <v/>
      </c>
      <c r="I1557" s="39">
        <f>IF(B1557="","",IFERROR(INDEX('Animais'!$M$6:$M$1005,MATCH(B1557,'Animais'!$A$6:$A$1005,0)),"Brinco não cadastrado"))</f>
        <v/>
      </c>
    </row>
    <row r="1558">
      <c r="A1558" s="31" t="n"/>
      <c r="B1558" s="36" t="n"/>
      <c r="C1558" s="38" t="n"/>
      <c r="D1558" s="32" t="n"/>
      <c r="E1558" s="43">
        <f>IF(OR(A1558="",B1558=""),"",SUMPRODUCT(MAX(($B$6:$B$2005=B1558)*($A$6:$A$2005&lt;A1558)*$A$6:$A$2005)))</f>
        <v/>
      </c>
      <c r="F1558" s="41">
        <f>IF(OR(E1558="",E1558=0),"",IFERROR(AVERAGEIFS($C$6:$C$2005,$B$6:$B$2005,B1558,$A$6:$A$2005,E1558),""))</f>
        <v/>
      </c>
      <c r="G1558" s="34">
        <f>IF(F1558="","",A1558-E1558)</f>
        <v/>
      </c>
      <c r="H1558" s="42">
        <f>IF(OR(F1558="",C1558=""),"",IFERROR((C1558-F1558)/G1558,""))</f>
        <v/>
      </c>
      <c r="I1558" s="39">
        <f>IF(B1558="","",IFERROR(INDEX('Animais'!$M$6:$M$1005,MATCH(B1558,'Animais'!$A$6:$A$1005,0)),"Brinco não cadastrado"))</f>
        <v/>
      </c>
    </row>
    <row r="1559">
      <c r="A1559" s="31" t="n"/>
      <c r="B1559" s="36" t="n"/>
      <c r="C1559" s="38" t="n"/>
      <c r="D1559" s="32" t="n"/>
      <c r="E1559" s="43">
        <f>IF(OR(A1559="",B1559=""),"",SUMPRODUCT(MAX(($B$6:$B$2005=B1559)*($A$6:$A$2005&lt;A1559)*$A$6:$A$2005)))</f>
        <v/>
      </c>
      <c r="F1559" s="41">
        <f>IF(OR(E1559="",E1559=0),"",IFERROR(AVERAGEIFS($C$6:$C$2005,$B$6:$B$2005,B1559,$A$6:$A$2005,E1559),""))</f>
        <v/>
      </c>
      <c r="G1559" s="34">
        <f>IF(F1559="","",A1559-E1559)</f>
        <v/>
      </c>
      <c r="H1559" s="42">
        <f>IF(OR(F1559="",C1559=""),"",IFERROR((C1559-F1559)/G1559,""))</f>
        <v/>
      </c>
      <c r="I1559" s="39">
        <f>IF(B1559="","",IFERROR(INDEX('Animais'!$M$6:$M$1005,MATCH(B1559,'Animais'!$A$6:$A$1005,0)),"Brinco não cadastrado"))</f>
        <v/>
      </c>
    </row>
    <row r="1560">
      <c r="A1560" s="31" t="n"/>
      <c r="B1560" s="36" t="n"/>
      <c r="C1560" s="38" t="n"/>
      <c r="D1560" s="32" t="n"/>
      <c r="E1560" s="43">
        <f>IF(OR(A1560="",B1560=""),"",SUMPRODUCT(MAX(($B$6:$B$2005=B1560)*($A$6:$A$2005&lt;A1560)*$A$6:$A$2005)))</f>
        <v/>
      </c>
      <c r="F1560" s="41">
        <f>IF(OR(E1560="",E1560=0),"",IFERROR(AVERAGEIFS($C$6:$C$2005,$B$6:$B$2005,B1560,$A$6:$A$2005,E1560),""))</f>
        <v/>
      </c>
      <c r="G1560" s="34">
        <f>IF(F1560="","",A1560-E1560)</f>
        <v/>
      </c>
      <c r="H1560" s="42">
        <f>IF(OR(F1560="",C1560=""),"",IFERROR((C1560-F1560)/G1560,""))</f>
        <v/>
      </c>
      <c r="I1560" s="39">
        <f>IF(B1560="","",IFERROR(INDEX('Animais'!$M$6:$M$1005,MATCH(B1560,'Animais'!$A$6:$A$1005,0)),"Brinco não cadastrado"))</f>
        <v/>
      </c>
    </row>
    <row r="1561">
      <c r="A1561" s="31" t="n"/>
      <c r="B1561" s="36" t="n"/>
      <c r="C1561" s="38" t="n"/>
      <c r="D1561" s="32" t="n"/>
      <c r="E1561" s="43">
        <f>IF(OR(A1561="",B1561=""),"",SUMPRODUCT(MAX(($B$6:$B$2005=B1561)*($A$6:$A$2005&lt;A1561)*$A$6:$A$2005)))</f>
        <v/>
      </c>
      <c r="F1561" s="41">
        <f>IF(OR(E1561="",E1561=0),"",IFERROR(AVERAGEIFS($C$6:$C$2005,$B$6:$B$2005,B1561,$A$6:$A$2005,E1561),""))</f>
        <v/>
      </c>
      <c r="G1561" s="34">
        <f>IF(F1561="","",A1561-E1561)</f>
        <v/>
      </c>
      <c r="H1561" s="42">
        <f>IF(OR(F1561="",C1561=""),"",IFERROR((C1561-F1561)/G1561,""))</f>
        <v/>
      </c>
      <c r="I1561" s="39">
        <f>IF(B1561="","",IFERROR(INDEX('Animais'!$M$6:$M$1005,MATCH(B1561,'Animais'!$A$6:$A$1005,0)),"Brinco não cadastrado"))</f>
        <v/>
      </c>
    </row>
    <row r="1562">
      <c r="A1562" s="31" t="n"/>
      <c r="B1562" s="36" t="n"/>
      <c r="C1562" s="38" t="n"/>
      <c r="D1562" s="32" t="n"/>
      <c r="E1562" s="43">
        <f>IF(OR(A1562="",B1562=""),"",SUMPRODUCT(MAX(($B$6:$B$2005=B1562)*($A$6:$A$2005&lt;A1562)*$A$6:$A$2005)))</f>
        <v/>
      </c>
      <c r="F1562" s="41">
        <f>IF(OR(E1562="",E1562=0),"",IFERROR(AVERAGEIFS($C$6:$C$2005,$B$6:$B$2005,B1562,$A$6:$A$2005,E1562),""))</f>
        <v/>
      </c>
      <c r="G1562" s="34">
        <f>IF(F1562="","",A1562-E1562)</f>
        <v/>
      </c>
      <c r="H1562" s="42">
        <f>IF(OR(F1562="",C1562=""),"",IFERROR((C1562-F1562)/G1562,""))</f>
        <v/>
      </c>
      <c r="I1562" s="39">
        <f>IF(B1562="","",IFERROR(INDEX('Animais'!$M$6:$M$1005,MATCH(B1562,'Animais'!$A$6:$A$1005,0)),"Brinco não cadastrado"))</f>
        <v/>
      </c>
    </row>
    <row r="1563">
      <c r="A1563" s="31" t="n"/>
      <c r="B1563" s="36" t="n"/>
      <c r="C1563" s="38" t="n"/>
      <c r="D1563" s="32" t="n"/>
      <c r="E1563" s="43">
        <f>IF(OR(A1563="",B1563=""),"",SUMPRODUCT(MAX(($B$6:$B$2005=B1563)*($A$6:$A$2005&lt;A1563)*$A$6:$A$2005)))</f>
        <v/>
      </c>
      <c r="F1563" s="41">
        <f>IF(OR(E1563="",E1563=0),"",IFERROR(AVERAGEIFS($C$6:$C$2005,$B$6:$B$2005,B1563,$A$6:$A$2005,E1563),""))</f>
        <v/>
      </c>
      <c r="G1563" s="34">
        <f>IF(F1563="","",A1563-E1563)</f>
        <v/>
      </c>
      <c r="H1563" s="42">
        <f>IF(OR(F1563="",C1563=""),"",IFERROR((C1563-F1563)/G1563,""))</f>
        <v/>
      </c>
      <c r="I1563" s="39">
        <f>IF(B1563="","",IFERROR(INDEX('Animais'!$M$6:$M$1005,MATCH(B1563,'Animais'!$A$6:$A$1005,0)),"Brinco não cadastrado"))</f>
        <v/>
      </c>
    </row>
    <row r="1564">
      <c r="A1564" s="31" t="n"/>
      <c r="B1564" s="36" t="n"/>
      <c r="C1564" s="38" t="n"/>
      <c r="D1564" s="32" t="n"/>
      <c r="E1564" s="43">
        <f>IF(OR(A1564="",B1564=""),"",SUMPRODUCT(MAX(($B$6:$B$2005=B1564)*($A$6:$A$2005&lt;A1564)*$A$6:$A$2005)))</f>
        <v/>
      </c>
      <c r="F1564" s="41">
        <f>IF(OR(E1564="",E1564=0),"",IFERROR(AVERAGEIFS($C$6:$C$2005,$B$6:$B$2005,B1564,$A$6:$A$2005,E1564),""))</f>
        <v/>
      </c>
      <c r="G1564" s="34">
        <f>IF(F1564="","",A1564-E1564)</f>
        <v/>
      </c>
      <c r="H1564" s="42">
        <f>IF(OR(F1564="",C1564=""),"",IFERROR((C1564-F1564)/G1564,""))</f>
        <v/>
      </c>
      <c r="I1564" s="39">
        <f>IF(B1564="","",IFERROR(INDEX('Animais'!$M$6:$M$1005,MATCH(B1564,'Animais'!$A$6:$A$1005,0)),"Brinco não cadastrado"))</f>
        <v/>
      </c>
    </row>
    <row r="1565">
      <c r="A1565" s="31" t="n"/>
      <c r="B1565" s="36" t="n"/>
      <c r="C1565" s="38" t="n"/>
      <c r="D1565" s="32" t="n"/>
      <c r="E1565" s="43">
        <f>IF(OR(A1565="",B1565=""),"",SUMPRODUCT(MAX(($B$6:$B$2005=B1565)*($A$6:$A$2005&lt;A1565)*$A$6:$A$2005)))</f>
        <v/>
      </c>
      <c r="F1565" s="41">
        <f>IF(OR(E1565="",E1565=0),"",IFERROR(AVERAGEIFS($C$6:$C$2005,$B$6:$B$2005,B1565,$A$6:$A$2005,E1565),""))</f>
        <v/>
      </c>
      <c r="G1565" s="34">
        <f>IF(F1565="","",A1565-E1565)</f>
        <v/>
      </c>
      <c r="H1565" s="42">
        <f>IF(OR(F1565="",C1565=""),"",IFERROR((C1565-F1565)/G1565,""))</f>
        <v/>
      </c>
      <c r="I1565" s="39">
        <f>IF(B1565="","",IFERROR(INDEX('Animais'!$M$6:$M$1005,MATCH(B1565,'Animais'!$A$6:$A$1005,0)),"Brinco não cadastrado"))</f>
        <v/>
      </c>
    </row>
    <row r="1566">
      <c r="A1566" s="31" t="n"/>
      <c r="B1566" s="36" t="n"/>
      <c r="C1566" s="38" t="n"/>
      <c r="D1566" s="32" t="n"/>
      <c r="E1566" s="43">
        <f>IF(OR(A1566="",B1566=""),"",SUMPRODUCT(MAX(($B$6:$B$2005=B1566)*($A$6:$A$2005&lt;A1566)*$A$6:$A$2005)))</f>
        <v/>
      </c>
      <c r="F1566" s="41">
        <f>IF(OR(E1566="",E1566=0),"",IFERROR(AVERAGEIFS($C$6:$C$2005,$B$6:$B$2005,B1566,$A$6:$A$2005,E1566),""))</f>
        <v/>
      </c>
      <c r="G1566" s="34">
        <f>IF(F1566="","",A1566-E1566)</f>
        <v/>
      </c>
      <c r="H1566" s="42">
        <f>IF(OR(F1566="",C1566=""),"",IFERROR((C1566-F1566)/G1566,""))</f>
        <v/>
      </c>
      <c r="I1566" s="39">
        <f>IF(B1566="","",IFERROR(INDEX('Animais'!$M$6:$M$1005,MATCH(B1566,'Animais'!$A$6:$A$1005,0)),"Brinco não cadastrado"))</f>
        <v/>
      </c>
    </row>
    <row r="1567">
      <c r="A1567" s="31" t="n"/>
      <c r="B1567" s="36" t="n"/>
      <c r="C1567" s="38" t="n"/>
      <c r="D1567" s="32" t="n"/>
      <c r="E1567" s="43">
        <f>IF(OR(A1567="",B1567=""),"",SUMPRODUCT(MAX(($B$6:$B$2005=B1567)*($A$6:$A$2005&lt;A1567)*$A$6:$A$2005)))</f>
        <v/>
      </c>
      <c r="F1567" s="41">
        <f>IF(OR(E1567="",E1567=0),"",IFERROR(AVERAGEIFS($C$6:$C$2005,$B$6:$B$2005,B1567,$A$6:$A$2005,E1567),""))</f>
        <v/>
      </c>
      <c r="G1567" s="34">
        <f>IF(F1567="","",A1567-E1567)</f>
        <v/>
      </c>
      <c r="H1567" s="42">
        <f>IF(OR(F1567="",C1567=""),"",IFERROR((C1567-F1567)/G1567,""))</f>
        <v/>
      </c>
      <c r="I1567" s="39">
        <f>IF(B1567="","",IFERROR(INDEX('Animais'!$M$6:$M$1005,MATCH(B1567,'Animais'!$A$6:$A$1005,0)),"Brinco não cadastrado"))</f>
        <v/>
      </c>
    </row>
    <row r="1568">
      <c r="A1568" s="31" t="n"/>
      <c r="B1568" s="36" t="n"/>
      <c r="C1568" s="38" t="n"/>
      <c r="D1568" s="32" t="n"/>
      <c r="E1568" s="43">
        <f>IF(OR(A1568="",B1568=""),"",SUMPRODUCT(MAX(($B$6:$B$2005=B1568)*($A$6:$A$2005&lt;A1568)*$A$6:$A$2005)))</f>
        <v/>
      </c>
      <c r="F1568" s="41">
        <f>IF(OR(E1568="",E1568=0),"",IFERROR(AVERAGEIFS($C$6:$C$2005,$B$6:$B$2005,B1568,$A$6:$A$2005,E1568),""))</f>
        <v/>
      </c>
      <c r="G1568" s="34">
        <f>IF(F1568="","",A1568-E1568)</f>
        <v/>
      </c>
      <c r="H1568" s="42">
        <f>IF(OR(F1568="",C1568=""),"",IFERROR((C1568-F1568)/G1568,""))</f>
        <v/>
      </c>
      <c r="I1568" s="39">
        <f>IF(B1568="","",IFERROR(INDEX('Animais'!$M$6:$M$1005,MATCH(B1568,'Animais'!$A$6:$A$1005,0)),"Brinco não cadastrado"))</f>
        <v/>
      </c>
    </row>
    <row r="1569">
      <c r="A1569" s="31" t="n"/>
      <c r="B1569" s="36" t="n"/>
      <c r="C1569" s="38" t="n"/>
      <c r="D1569" s="32" t="n"/>
      <c r="E1569" s="43">
        <f>IF(OR(A1569="",B1569=""),"",SUMPRODUCT(MAX(($B$6:$B$2005=B1569)*($A$6:$A$2005&lt;A1569)*$A$6:$A$2005)))</f>
        <v/>
      </c>
      <c r="F1569" s="41">
        <f>IF(OR(E1569="",E1569=0),"",IFERROR(AVERAGEIFS($C$6:$C$2005,$B$6:$B$2005,B1569,$A$6:$A$2005,E1569),""))</f>
        <v/>
      </c>
      <c r="G1569" s="34">
        <f>IF(F1569="","",A1569-E1569)</f>
        <v/>
      </c>
      <c r="H1569" s="42">
        <f>IF(OR(F1569="",C1569=""),"",IFERROR((C1569-F1569)/G1569,""))</f>
        <v/>
      </c>
      <c r="I1569" s="39">
        <f>IF(B1569="","",IFERROR(INDEX('Animais'!$M$6:$M$1005,MATCH(B1569,'Animais'!$A$6:$A$1005,0)),"Brinco não cadastrado"))</f>
        <v/>
      </c>
    </row>
    <row r="1570">
      <c r="A1570" s="31" t="n"/>
      <c r="B1570" s="36" t="n"/>
      <c r="C1570" s="38" t="n"/>
      <c r="D1570" s="32" t="n"/>
      <c r="E1570" s="43">
        <f>IF(OR(A1570="",B1570=""),"",SUMPRODUCT(MAX(($B$6:$B$2005=B1570)*($A$6:$A$2005&lt;A1570)*$A$6:$A$2005)))</f>
        <v/>
      </c>
      <c r="F1570" s="41">
        <f>IF(OR(E1570="",E1570=0),"",IFERROR(AVERAGEIFS($C$6:$C$2005,$B$6:$B$2005,B1570,$A$6:$A$2005,E1570),""))</f>
        <v/>
      </c>
      <c r="G1570" s="34">
        <f>IF(F1570="","",A1570-E1570)</f>
        <v/>
      </c>
      <c r="H1570" s="42">
        <f>IF(OR(F1570="",C1570=""),"",IFERROR((C1570-F1570)/G1570,""))</f>
        <v/>
      </c>
      <c r="I1570" s="39">
        <f>IF(B1570="","",IFERROR(INDEX('Animais'!$M$6:$M$1005,MATCH(B1570,'Animais'!$A$6:$A$1005,0)),"Brinco não cadastrado"))</f>
        <v/>
      </c>
    </row>
    <row r="1571">
      <c r="A1571" s="31" t="n"/>
      <c r="B1571" s="36" t="n"/>
      <c r="C1571" s="38" t="n"/>
      <c r="D1571" s="32" t="n"/>
      <c r="E1571" s="43">
        <f>IF(OR(A1571="",B1571=""),"",SUMPRODUCT(MAX(($B$6:$B$2005=B1571)*($A$6:$A$2005&lt;A1571)*$A$6:$A$2005)))</f>
        <v/>
      </c>
      <c r="F1571" s="41">
        <f>IF(OR(E1571="",E1571=0),"",IFERROR(AVERAGEIFS($C$6:$C$2005,$B$6:$B$2005,B1571,$A$6:$A$2005,E1571),""))</f>
        <v/>
      </c>
      <c r="G1571" s="34">
        <f>IF(F1571="","",A1571-E1571)</f>
        <v/>
      </c>
      <c r="H1571" s="42">
        <f>IF(OR(F1571="",C1571=""),"",IFERROR((C1571-F1571)/G1571,""))</f>
        <v/>
      </c>
      <c r="I1571" s="39">
        <f>IF(B1571="","",IFERROR(INDEX('Animais'!$M$6:$M$1005,MATCH(B1571,'Animais'!$A$6:$A$1005,0)),"Brinco não cadastrado"))</f>
        <v/>
      </c>
    </row>
    <row r="1572">
      <c r="A1572" s="31" t="n"/>
      <c r="B1572" s="36" t="n"/>
      <c r="C1572" s="38" t="n"/>
      <c r="D1572" s="32" t="n"/>
      <c r="E1572" s="43">
        <f>IF(OR(A1572="",B1572=""),"",SUMPRODUCT(MAX(($B$6:$B$2005=B1572)*($A$6:$A$2005&lt;A1572)*$A$6:$A$2005)))</f>
        <v/>
      </c>
      <c r="F1572" s="41">
        <f>IF(OR(E1572="",E1572=0),"",IFERROR(AVERAGEIFS($C$6:$C$2005,$B$6:$B$2005,B1572,$A$6:$A$2005,E1572),""))</f>
        <v/>
      </c>
      <c r="G1572" s="34">
        <f>IF(F1572="","",A1572-E1572)</f>
        <v/>
      </c>
      <c r="H1572" s="42">
        <f>IF(OR(F1572="",C1572=""),"",IFERROR((C1572-F1572)/G1572,""))</f>
        <v/>
      </c>
      <c r="I1572" s="39">
        <f>IF(B1572="","",IFERROR(INDEX('Animais'!$M$6:$M$1005,MATCH(B1572,'Animais'!$A$6:$A$1005,0)),"Brinco não cadastrado"))</f>
        <v/>
      </c>
    </row>
    <row r="1573">
      <c r="A1573" s="31" t="n"/>
      <c r="B1573" s="36" t="n"/>
      <c r="C1573" s="38" t="n"/>
      <c r="D1573" s="32" t="n"/>
      <c r="E1573" s="43">
        <f>IF(OR(A1573="",B1573=""),"",SUMPRODUCT(MAX(($B$6:$B$2005=B1573)*($A$6:$A$2005&lt;A1573)*$A$6:$A$2005)))</f>
        <v/>
      </c>
      <c r="F1573" s="41">
        <f>IF(OR(E1573="",E1573=0),"",IFERROR(AVERAGEIFS($C$6:$C$2005,$B$6:$B$2005,B1573,$A$6:$A$2005,E1573),""))</f>
        <v/>
      </c>
      <c r="G1573" s="34">
        <f>IF(F1573="","",A1573-E1573)</f>
        <v/>
      </c>
      <c r="H1573" s="42">
        <f>IF(OR(F1573="",C1573=""),"",IFERROR((C1573-F1573)/G1573,""))</f>
        <v/>
      </c>
      <c r="I1573" s="39">
        <f>IF(B1573="","",IFERROR(INDEX('Animais'!$M$6:$M$1005,MATCH(B1573,'Animais'!$A$6:$A$1005,0)),"Brinco não cadastrado"))</f>
        <v/>
      </c>
    </row>
    <row r="1574">
      <c r="A1574" s="31" t="n"/>
      <c r="B1574" s="36" t="n"/>
      <c r="C1574" s="38" t="n"/>
      <c r="D1574" s="32" t="n"/>
      <c r="E1574" s="43">
        <f>IF(OR(A1574="",B1574=""),"",SUMPRODUCT(MAX(($B$6:$B$2005=B1574)*($A$6:$A$2005&lt;A1574)*$A$6:$A$2005)))</f>
        <v/>
      </c>
      <c r="F1574" s="41">
        <f>IF(OR(E1574="",E1574=0),"",IFERROR(AVERAGEIFS($C$6:$C$2005,$B$6:$B$2005,B1574,$A$6:$A$2005,E1574),""))</f>
        <v/>
      </c>
      <c r="G1574" s="34">
        <f>IF(F1574="","",A1574-E1574)</f>
        <v/>
      </c>
      <c r="H1574" s="42">
        <f>IF(OR(F1574="",C1574=""),"",IFERROR((C1574-F1574)/G1574,""))</f>
        <v/>
      </c>
      <c r="I1574" s="39">
        <f>IF(B1574="","",IFERROR(INDEX('Animais'!$M$6:$M$1005,MATCH(B1574,'Animais'!$A$6:$A$1005,0)),"Brinco não cadastrado"))</f>
        <v/>
      </c>
    </row>
    <row r="1575">
      <c r="A1575" s="31" t="n"/>
      <c r="B1575" s="36" t="n"/>
      <c r="C1575" s="38" t="n"/>
      <c r="D1575" s="32" t="n"/>
      <c r="E1575" s="43">
        <f>IF(OR(A1575="",B1575=""),"",SUMPRODUCT(MAX(($B$6:$B$2005=B1575)*($A$6:$A$2005&lt;A1575)*$A$6:$A$2005)))</f>
        <v/>
      </c>
      <c r="F1575" s="41">
        <f>IF(OR(E1575="",E1575=0),"",IFERROR(AVERAGEIFS($C$6:$C$2005,$B$6:$B$2005,B1575,$A$6:$A$2005,E1575),""))</f>
        <v/>
      </c>
      <c r="G1575" s="34">
        <f>IF(F1575="","",A1575-E1575)</f>
        <v/>
      </c>
      <c r="H1575" s="42">
        <f>IF(OR(F1575="",C1575=""),"",IFERROR((C1575-F1575)/G1575,""))</f>
        <v/>
      </c>
      <c r="I1575" s="39">
        <f>IF(B1575="","",IFERROR(INDEX('Animais'!$M$6:$M$1005,MATCH(B1575,'Animais'!$A$6:$A$1005,0)),"Brinco não cadastrado"))</f>
        <v/>
      </c>
    </row>
    <row r="1576">
      <c r="A1576" s="31" t="n"/>
      <c r="B1576" s="36" t="n"/>
      <c r="C1576" s="38" t="n"/>
      <c r="D1576" s="32" t="n"/>
      <c r="E1576" s="43">
        <f>IF(OR(A1576="",B1576=""),"",SUMPRODUCT(MAX(($B$6:$B$2005=B1576)*($A$6:$A$2005&lt;A1576)*$A$6:$A$2005)))</f>
        <v/>
      </c>
      <c r="F1576" s="41">
        <f>IF(OR(E1576="",E1576=0),"",IFERROR(AVERAGEIFS($C$6:$C$2005,$B$6:$B$2005,B1576,$A$6:$A$2005,E1576),""))</f>
        <v/>
      </c>
      <c r="G1576" s="34">
        <f>IF(F1576="","",A1576-E1576)</f>
        <v/>
      </c>
      <c r="H1576" s="42">
        <f>IF(OR(F1576="",C1576=""),"",IFERROR((C1576-F1576)/G1576,""))</f>
        <v/>
      </c>
      <c r="I1576" s="39">
        <f>IF(B1576="","",IFERROR(INDEX('Animais'!$M$6:$M$1005,MATCH(B1576,'Animais'!$A$6:$A$1005,0)),"Brinco não cadastrado"))</f>
        <v/>
      </c>
    </row>
    <row r="1577">
      <c r="A1577" s="31" t="n"/>
      <c r="B1577" s="36" t="n"/>
      <c r="C1577" s="38" t="n"/>
      <c r="D1577" s="32" t="n"/>
      <c r="E1577" s="43">
        <f>IF(OR(A1577="",B1577=""),"",SUMPRODUCT(MAX(($B$6:$B$2005=B1577)*($A$6:$A$2005&lt;A1577)*$A$6:$A$2005)))</f>
        <v/>
      </c>
      <c r="F1577" s="41">
        <f>IF(OR(E1577="",E1577=0),"",IFERROR(AVERAGEIFS($C$6:$C$2005,$B$6:$B$2005,B1577,$A$6:$A$2005,E1577),""))</f>
        <v/>
      </c>
      <c r="G1577" s="34">
        <f>IF(F1577="","",A1577-E1577)</f>
        <v/>
      </c>
      <c r="H1577" s="42">
        <f>IF(OR(F1577="",C1577=""),"",IFERROR((C1577-F1577)/G1577,""))</f>
        <v/>
      </c>
      <c r="I1577" s="39">
        <f>IF(B1577="","",IFERROR(INDEX('Animais'!$M$6:$M$1005,MATCH(B1577,'Animais'!$A$6:$A$1005,0)),"Brinco não cadastrado"))</f>
        <v/>
      </c>
    </row>
    <row r="1578">
      <c r="A1578" s="31" t="n"/>
      <c r="B1578" s="36" t="n"/>
      <c r="C1578" s="38" t="n"/>
      <c r="D1578" s="32" t="n"/>
      <c r="E1578" s="43">
        <f>IF(OR(A1578="",B1578=""),"",SUMPRODUCT(MAX(($B$6:$B$2005=B1578)*($A$6:$A$2005&lt;A1578)*$A$6:$A$2005)))</f>
        <v/>
      </c>
      <c r="F1578" s="41">
        <f>IF(OR(E1578="",E1578=0),"",IFERROR(AVERAGEIFS($C$6:$C$2005,$B$6:$B$2005,B1578,$A$6:$A$2005,E1578),""))</f>
        <v/>
      </c>
      <c r="G1578" s="34">
        <f>IF(F1578="","",A1578-E1578)</f>
        <v/>
      </c>
      <c r="H1578" s="42">
        <f>IF(OR(F1578="",C1578=""),"",IFERROR((C1578-F1578)/G1578,""))</f>
        <v/>
      </c>
      <c r="I1578" s="39">
        <f>IF(B1578="","",IFERROR(INDEX('Animais'!$M$6:$M$1005,MATCH(B1578,'Animais'!$A$6:$A$1005,0)),"Brinco não cadastrado"))</f>
        <v/>
      </c>
    </row>
    <row r="1579">
      <c r="A1579" s="31" t="n"/>
      <c r="B1579" s="36" t="n"/>
      <c r="C1579" s="38" t="n"/>
      <c r="D1579" s="32" t="n"/>
      <c r="E1579" s="43">
        <f>IF(OR(A1579="",B1579=""),"",SUMPRODUCT(MAX(($B$6:$B$2005=B1579)*($A$6:$A$2005&lt;A1579)*$A$6:$A$2005)))</f>
        <v/>
      </c>
      <c r="F1579" s="41">
        <f>IF(OR(E1579="",E1579=0),"",IFERROR(AVERAGEIFS($C$6:$C$2005,$B$6:$B$2005,B1579,$A$6:$A$2005,E1579),""))</f>
        <v/>
      </c>
      <c r="G1579" s="34">
        <f>IF(F1579="","",A1579-E1579)</f>
        <v/>
      </c>
      <c r="H1579" s="42">
        <f>IF(OR(F1579="",C1579=""),"",IFERROR((C1579-F1579)/G1579,""))</f>
        <v/>
      </c>
      <c r="I1579" s="39">
        <f>IF(B1579="","",IFERROR(INDEX('Animais'!$M$6:$M$1005,MATCH(B1579,'Animais'!$A$6:$A$1005,0)),"Brinco não cadastrado"))</f>
        <v/>
      </c>
    </row>
    <row r="1580">
      <c r="A1580" s="31" t="n"/>
      <c r="B1580" s="36" t="n"/>
      <c r="C1580" s="38" t="n"/>
      <c r="D1580" s="32" t="n"/>
      <c r="E1580" s="43">
        <f>IF(OR(A1580="",B1580=""),"",SUMPRODUCT(MAX(($B$6:$B$2005=B1580)*($A$6:$A$2005&lt;A1580)*$A$6:$A$2005)))</f>
        <v/>
      </c>
      <c r="F1580" s="41">
        <f>IF(OR(E1580="",E1580=0),"",IFERROR(AVERAGEIFS($C$6:$C$2005,$B$6:$B$2005,B1580,$A$6:$A$2005,E1580),""))</f>
        <v/>
      </c>
      <c r="G1580" s="34">
        <f>IF(F1580="","",A1580-E1580)</f>
        <v/>
      </c>
      <c r="H1580" s="42">
        <f>IF(OR(F1580="",C1580=""),"",IFERROR((C1580-F1580)/G1580,""))</f>
        <v/>
      </c>
      <c r="I1580" s="39">
        <f>IF(B1580="","",IFERROR(INDEX('Animais'!$M$6:$M$1005,MATCH(B1580,'Animais'!$A$6:$A$1005,0)),"Brinco não cadastrado"))</f>
        <v/>
      </c>
    </row>
    <row r="1581">
      <c r="A1581" s="31" t="n"/>
      <c r="B1581" s="36" t="n"/>
      <c r="C1581" s="38" t="n"/>
      <c r="D1581" s="32" t="n"/>
      <c r="E1581" s="43">
        <f>IF(OR(A1581="",B1581=""),"",SUMPRODUCT(MAX(($B$6:$B$2005=B1581)*($A$6:$A$2005&lt;A1581)*$A$6:$A$2005)))</f>
        <v/>
      </c>
      <c r="F1581" s="41">
        <f>IF(OR(E1581="",E1581=0),"",IFERROR(AVERAGEIFS($C$6:$C$2005,$B$6:$B$2005,B1581,$A$6:$A$2005,E1581),""))</f>
        <v/>
      </c>
      <c r="G1581" s="34">
        <f>IF(F1581="","",A1581-E1581)</f>
        <v/>
      </c>
      <c r="H1581" s="42">
        <f>IF(OR(F1581="",C1581=""),"",IFERROR((C1581-F1581)/G1581,""))</f>
        <v/>
      </c>
      <c r="I1581" s="39">
        <f>IF(B1581="","",IFERROR(INDEX('Animais'!$M$6:$M$1005,MATCH(B1581,'Animais'!$A$6:$A$1005,0)),"Brinco não cadastrado"))</f>
        <v/>
      </c>
    </row>
    <row r="1582">
      <c r="A1582" s="31" t="n"/>
      <c r="B1582" s="36" t="n"/>
      <c r="C1582" s="38" t="n"/>
      <c r="D1582" s="32" t="n"/>
      <c r="E1582" s="43">
        <f>IF(OR(A1582="",B1582=""),"",SUMPRODUCT(MAX(($B$6:$B$2005=B1582)*($A$6:$A$2005&lt;A1582)*$A$6:$A$2005)))</f>
        <v/>
      </c>
      <c r="F1582" s="41">
        <f>IF(OR(E1582="",E1582=0),"",IFERROR(AVERAGEIFS($C$6:$C$2005,$B$6:$B$2005,B1582,$A$6:$A$2005,E1582),""))</f>
        <v/>
      </c>
      <c r="G1582" s="34">
        <f>IF(F1582="","",A1582-E1582)</f>
        <v/>
      </c>
      <c r="H1582" s="42">
        <f>IF(OR(F1582="",C1582=""),"",IFERROR((C1582-F1582)/G1582,""))</f>
        <v/>
      </c>
      <c r="I1582" s="39">
        <f>IF(B1582="","",IFERROR(INDEX('Animais'!$M$6:$M$1005,MATCH(B1582,'Animais'!$A$6:$A$1005,0)),"Brinco não cadastrado"))</f>
        <v/>
      </c>
    </row>
    <row r="1583">
      <c r="A1583" s="31" t="n"/>
      <c r="B1583" s="36" t="n"/>
      <c r="C1583" s="38" t="n"/>
      <c r="D1583" s="32" t="n"/>
      <c r="E1583" s="43">
        <f>IF(OR(A1583="",B1583=""),"",SUMPRODUCT(MAX(($B$6:$B$2005=B1583)*($A$6:$A$2005&lt;A1583)*$A$6:$A$2005)))</f>
        <v/>
      </c>
      <c r="F1583" s="41">
        <f>IF(OR(E1583="",E1583=0),"",IFERROR(AVERAGEIFS($C$6:$C$2005,$B$6:$B$2005,B1583,$A$6:$A$2005,E1583),""))</f>
        <v/>
      </c>
      <c r="G1583" s="34">
        <f>IF(F1583="","",A1583-E1583)</f>
        <v/>
      </c>
      <c r="H1583" s="42">
        <f>IF(OR(F1583="",C1583=""),"",IFERROR((C1583-F1583)/G1583,""))</f>
        <v/>
      </c>
      <c r="I1583" s="39">
        <f>IF(B1583="","",IFERROR(INDEX('Animais'!$M$6:$M$1005,MATCH(B1583,'Animais'!$A$6:$A$1005,0)),"Brinco não cadastrado"))</f>
        <v/>
      </c>
    </row>
    <row r="1584">
      <c r="A1584" s="31" t="n"/>
      <c r="B1584" s="36" t="n"/>
      <c r="C1584" s="38" t="n"/>
      <c r="D1584" s="32" t="n"/>
      <c r="E1584" s="43">
        <f>IF(OR(A1584="",B1584=""),"",SUMPRODUCT(MAX(($B$6:$B$2005=B1584)*($A$6:$A$2005&lt;A1584)*$A$6:$A$2005)))</f>
        <v/>
      </c>
      <c r="F1584" s="41">
        <f>IF(OR(E1584="",E1584=0),"",IFERROR(AVERAGEIFS($C$6:$C$2005,$B$6:$B$2005,B1584,$A$6:$A$2005,E1584),""))</f>
        <v/>
      </c>
      <c r="G1584" s="34">
        <f>IF(F1584="","",A1584-E1584)</f>
        <v/>
      </c>
      <c r="H1584" s="42">
        <f>IF(OR(F1584="",C1584=""),"",IFERROR((C1584-F1584)/G1584,""))</f>
        <v/>
      </c>
      <c r="I1584" s="39">
        <f>IF(B1584="","",IFERROR(INDEX('Animais'!$M$6:$M$1005,MATCH(B1584,'Animais'!$A$6:$A$1005,0)),"Brinco não cadastrado"))</f>
        <v/>
      </c>
    </row>
    <row r="1585">
      <c r="A1585" s="31" t="n"/>
      <c r="B1585" s="36" t="n"/>
      <c r="C1585" s="38" t="n"/>
      <c r="D1585" s="32" t="n"/>
      <c r="E1585" s="43">
        <f>IF(OR(A1585="",B1585=""),"",SUMPRODUCT(MAX(($B$6:$B$2005=B1585)*($A$6:$A$2005&lt;A1585)*$A$6:$A$2005)))</f>
        <v/>
      </c>
      <c r="F1585" s="41">
        <f>IF(OR(E1585="",E1585=0),"",IFERROR(AVERAGEIFS($C$6:$C$2005,$B$6:$B$2005,B1585,$A$6:$A$2005,E1585),""))</f>
        <v/>
      </c>
      <c r="G1585" s="34">
        <f>IF(F1585="","",A1585-E1585)</f>
        <v/>
      </c>
      <c r="H1585" s="42">
        <f>IF(OR(F1585="",C1585=""),"",IFERROR((C1585-F1585)/G1585,""))</f>
        <v/>
      </c>
      <c r="I1585" s="39">
        <f>IF(B1585="","",IFERROR(INDEX('Animais'!$M$6:$M$1005,MATCH(B1585,'Animais'!$A$6:$A$1005,0)),"Brinco não cadastrado"))</f>
        <v/>
      </c>
    </row>
    <row r="1586">
      <c r="A1586" s="31" t="n"/>
      <c r="B1586" s="36" t="n"/>
      <c r="C1586" s="38" t="n"/>
      <c r="D1586" s="32" t="n"/>
      <c r="E1586" s="43">
        <f>IF(OR(A1586="",B1586=""),"",SUMPRODUCT(MAX(($B$6:$B$2005=B1586)*($A$6:$A$2005&lt;A1586)*$A$6:$A$2005)))</f>
        <v/>
      </c>
      <c r="F1586" s="41">
        <f>IF(OR(E1586="",E1586=0),"",IFERROR(AVERAGEIFS($C$6:$C$2005,$B$6:$B$2005,B1586,$A$6:$A$2005,E1586),""))</f>
        <v/>
      </c>
      <c r="G1586" s="34">
        <f>IF(F1586="","",A1586-E1586)</f>
        <v/>
      </c>
      <c r="H1586" s="42">
        <f>IF(OR(F1586="",C1586=""),"",IFERROR((C1586-F1586)/G1586,""))</f>
        <v/>
      </c>
      <c r="I1586" s="39">
        <f>IF(B1586="","",IFERROR(INDEX('Animais'!$M$6:$M$1005,MATCH(B1586,'Animais'!$A$6:$A$1005,0)),"Brinco não cadastrado"))</f>
        <v/>
      </c>
    </row>
    <row r="1587">
      <c r="A1587" s="31" t="n"/>
      <c r="B1587" s="36" t="n"/>
      <c r="C1587" s="38" t="n"/>
      <c r="D1587" s="32" t="n"/>
      <c r="E1587" s="43">
        <f>IF(OR(A1587="",B1587=""),"",SUMPRODUCT(MAX(($B$6:$B$2005=B1587)*($A$6:$A$2005&lt;A1587)*$A$6:$A$2005)))</f>
        <v/>
      </c>
      <c r="F1587" s="41">
        <f>IF(OR(E1587="",E1587=0),"",IFERROR(AVERAGEIFS($C$6:$C$2005,$B$6:$B$2005,B1587,$A$6:$A$2005,E1587),""))</f>
        <v/>
      </c>
      <c r="G1587" s="34">
        <f>IF(F1587="","",A1587-E1587)</f>
        <v/>
      </c>
      <c r="H1587" s="42">
        <f>IF(OR(F1587="",C1587=""),"",IFERROR((C1587-F1587)/G1587,""))</f>
        <v/>
      </c>
      <c r="I1587" s="39">
        <f>IF(B1587="","",IFERROR(INDEX('Animais'!$M$6:$M$1005,MATCH(B1587,'Animais'!$A$6:$A$1005,0)),"Brinco não cadastrado"))</f>
        <v/>
      </c>
    </row>
    <row r="1588">
      <c r="A1588" s="31" t="n"/>
      <c r="B1588" s="36" t="n"/>
      <c r="C1588" s="38" t="n"/>
      <c r="D1588" s="32" t="n"/>
      <c r="E1588" s="43">
        <f>IF(OR(A1588="",B1588=""),"",SUMPRODUCT(MAX(($B$6:$B$2005=B1588)*($A$6:$A$2005&lt;A1588)*$A$6:$A$2005)))</f>
        <v/>
      </c>
      <c r="F1588" s="41">
        <f>IF(OR(E1588="",E1588=0),"",IFERROR(AVERAGEIFS($C$6:$C$2005,$B$6:$B$2005,B1588,$A$6:$A$2005,E1588),""))</f>
        <v/>
      </c>
      <c r="G1588" s="34">
        <f>IF(F1588="","",A1588-E1588)</f>
        <v/>
      </c>
      <c r="H1588" s="42">
        <f>IF(OR(F1588="",C1588=""),"",IFERROR((C1588-F1588)/G1588,""))</f>
        <v/>
      </c>
      <c r="I1588" s="39">
        <f>IF(B1588="","",IFERROR(INDEX('Animais'!$M$6:$M$1005,MATCH(B1588,'Animais'!$A$6:$A$1005,0)),"Brinco não cadastrado"))</f>
        <v/>
      </c>
    </row>
    <row r="1589">
      <c r="A1589" s="31" t="n"/>
      <c r="B1589" s="36" t="n"/>
      <c r="C1589" s="38" t="n"/>
      <c r="D1589" s="32" t="n"/>
      <c r="E1589" s="43">
        <f>IF(OR(A1589="",B1589=""),"",SUMPRODUCT(MAX(($B$6:$B$2005=B1589)*($A$6:$A$2005&lt;A1589)*$A$6:$A$2005)))</f>
        <v/>
      </c>
      <c r="F1589" s="41">
        <f>IF(OR(E1589="",E1589=0),"",IFERROR(AVERAGEIFS($C$6:$C$2005,$B$6:$B$2005,B1589,$A$6:$A$2005,E1589),""))</f>
        <v/>
      </c>
      <c r="G1589" s="34">
        <f>IF(F1589="","",A1589-E1589)</f>
        <v/>
      </c>
      <c r="H1589" s="42">
        <f>IF(OR(F1589="",C1589=""),"",IFERROR((C1589-F1589)/G1589,""))</f>
        <v/>
      </c>
      <c r="I1589" s="39">
        <f>IF(B1589="","",IFERROR(INDEX('Animais'!$M$6:$M$1005,MATCH(B1589,'Animais'!$A$6:$A$1005,0)),"Brinco não cadastrado"))</f>
        <v/>
      </c>
    </row>
    <row r="1590">
      <c r="A1590" s="31" t="n"/>
      <c r="B1590" s="36" t="n"/>
      <c r="C1590" s="38" t="n"/>
      <c r="D1590" s="32" t="n"/>
      <c r="E1590" s="43">
        <f>IF(OR(A1590="",B1590=""),"",SUMPRODUCT(MAX(($B$6:$B$2005=B1590)*($A$6:$A$2005&lt;A1590)*$A$6:$A$2005)))</f>
        <v/>
      </c>
      <c r="F1590" s="41">
        <f>IF(OR(E1590="",E1590=0),"",IFERROR(AVERAGEIFS($C$6:$C$2005,$B$6:$B$2005,B1590,$A$6:$A$2005,E1590),""))</f>
        <v/>
      </c>
      <c r="G1590" s="34">
        <f>IF(F1590="","",A1590-E1590)</f>
        <v/>
      </c>
      <c r="H1590" s="42">
        <f>IF(OR(F1590="",C1590=""),"",IFERROR((C1590-F1590)/G1590,""))</f>
        <v/>
      </c>
      <c r="I1590" s="39">
        <f>IF(B1590="","",IFERROR(INDEX('Animais'!$M$6:$M$1005,MATCH(B1590,'Animais'!$A$6:$A$1005,0)),"Brinco não cadastrado"))</f>
        <v/>
      </c>
    </row>
    <row r="1591">
      <c r="A1591" s="31" t="n"/>
      <c r="B1591" s="36" t="n"/>
      <c r="C1591" s="38" t="n"/>
      <c r="D1591" s="32" t="n"/>
      <c r="E1591" s="43">
        <f>IF(OR(A1591="",B1591=""),"",SUMPRODUCT(MAX(($B$6:$B$2005=B1591)*($A$6:$A$2005&lt;A1591)*$A$6:$A$2005)))</f>
        <v/>
      </c>
      <c r="F1591" s="41">
        <f>IF(OR(E1591="",E1591=0),"",IFERROR(AVERAGEIFS($C$6:$C$2005,$B$6:$B$2005,B1591,$A$6:$A$2005,E1591),""))</f>
        <v/>
      </c>
      <c r="G1591" s="34">
        <f>IF(F1591="","",A1591-E1591)</f>
        <v/>
      </c>
      <c r="H1591" s="42">
        <f>IF(OR(F1591="",C1591=""),"",IFERROR((C1591-F1591)/G1591,""))</f>
        <v/>
      </c>
      <c r="I1591" s="39">
        <f>IF(B1591="","",IFERROR(INDEX('Animais'!$M$6:$M$1005,MATCH(B1591,'Animais'!$A$6:$A$1005,0)),"Brinco não cadastrado"))</f>
        <v/>
      </c>
    </row>
    <row r="1592">
      <c r="A1592" s="31" t="n"/>
      <c r="B1592" s="36" t="n"/>
      <c r="C1592" s="38" t="n"/>
      <c r="D1592" s="32" t="n"/>
      <c r="E1592" s="43">
        <f>IF(OR(A1592="",B1592=""),"",SUMPRODUCT(MAX(($B$6:$B$2005=B1592)*($A$6:$A$2005&lt;A1592)*$A$6:$A$2005)))</f>
        <v/>
      </c>
      <c r="F1592" s="41">
        <f>IF(OR(E1592="",E1592=0),"",IFERROR(AVERAGEIFS($C$6:$C$2005,$B$6:$B$2005,B1592,$A$6:$A$2005,E1592),""))</f>
        <v/>
      </c>
      <c r="G1592" s="34">
        <f>IF(F1592="","",A1592-E1592)</f>
        <v/>
      </c>
      <c r="H1592" s="42">
        <f>IF(OR(F1592="",C1592=""),"",IFERROR((C1592-F1592)/G1592,""))</f>
        <v/>
      </c>
      <c r="I1592" s="39">
        <f>IF(B1592="","",IFERROR(INDEX('Animais'!$M$6:$M$1005,MATCH(B1592,'Animais'!$A$6:$A$1005,0)),"Brinco não cadastrado"))</f>
        <v/>
      </c>
    </row>
    <row r="1593">
      <c r="A1593" s="31" t="n"/>
      <c r="B1593" s="36" t="n"/>
      <c r="C1593" s="38" t="n"/>
      <c r="D1593" s="32" t="n"/>
      <c r="E1593" s="43">
        <f>IF(OR(A1593="",B1593=""),"",SUMPRODUCT(MAX(($B$6:$B$2005=B1593)*($A$6:$A$2005&lt;A1593)*$A$6:$A$2005)))</f>
        <v/>
      </c>
      <c r="F1593" s="41">
        <f>IF(OR(E1593="",E1593=0),"",IFERROR(AVERAGEIFS($C$6:$C$2005,$B$6:$B$2005,B1593,$A$6:$A$2005,E1593),""))</f>
        <v/>
      </c>
      <c r="G1593" s="34">
        <f>IF(F1593="","",A1593-E1593)</f>
        <v/>
      </c>
      <c r="H1593" s="42">
        <f>IF(OR(F1593="",C1593=""),"",IFERROR((C1593-F1593)/G1593,""))</f>
        <v/>
      </c>
      <c r="I1593" s="39">
        <f>IF(B1593="","",IFERROR(INDEX('Animais'!$M$6:$M$1005,MATCH(B1593,'Animais'!$A$6:$A$1005,0)),"Brinco não cadastrado"))</f>
        <v/>
      </c>
    </row>
    <row r="1594">
      <c r="A1594" s="31" t="n"/>
      <c r="B1594" s="36" t="n"/>
      <c r="C1594" s="38" t="n"/>
      <c r="D1594" s="32" t="n"/>
      <c r="E1594" s="43">
        <f>IF(OR(A1594="",B1594=""),"",SUMPRODUCT(MAX(($B$6:$B$2005=B1594)*($A$6:$A$2005&lt;A1594)*$A$6:$A$2005)))</f>
        <v/>
      </c>
      <c r="F1594" s="41">
        <f>IF(OR(E1594="",E1594=0),"",IFERROR(AVERAGEIFS($C$6:$C$2005,$B$6:$B$2005,B1594,$A$6:$A$2005,E1594),""))</f>
        <v/>
      </c>
      <c r="G1594" s="34">
        <f>IF(F1594="","",A1594-E1594)</f>
        <v/>
      </c>
      <c r="H1594" s="42">
        <f>IF(OR(F1594="",C1594=""),"",IFERROR((C1594-F1594)/G1594,""))</f>
        <v/>
      </c>
      <c r="I1594" s="39">
        <f>IF(B1594="","",IFERROR(INDEX('Animais'!$M$6:$M$1005,MATCH(B1594,'Animais'!$A$6:$A$1005,0)),"Brinco não cadastrado"))</f>
        <v/>
      </c>
    </row>
    <row r="1595">
      <c r="A1595" s="31" t="n"/>
      <c r="B1595" s="36" t="n"/>
      <c r="C1595" s="38" t="n"/>
      <c r="D1595" s="32" t="n"/>
      <c r="E1595" s="43">
        <f>IF(OR(A1595="",B1595=""),"",SUMPRODUCT(MAX(($B$6:$B$2005=B1595)*($A$6:$A$2005&lt;A1595)*$A$6:$A$2005)))</f>
        <v/>
      </c>
      <c r="F1595" s="41">
        <f>IF(OR(E1595="",E1595=0),"",IFERROR(AVERAGEIFS($C$6:$C$2005,$B$6:$B$2005,B1595,$A$6:$A$2005,E1595),""))</f>
        <v/>
      </c>
      <c r="G1595" s="34">
        <f>IF(F1595="","",A1595-E1595)</f>
        <v/>
      </c>
      <c r="H1595" s="42">
        <f>IF(OR(F1595="",C1595=""),"",IFERROR((C1595-F1595)/G1595,""))</f>
        <v/>
      </c>
      <c r="I1595" s="39">
        <f>IF(B1595="","",IFERROR(INDEX('Animais'!$M$6:$M$1005,MATCH(B1595,'Animais'!$A$6:$A$1005,0)),"Brinco não cadastrado"))</f>
        <v/>
      </c>
    </row>
    <row r="1596">
      <c r="A1596" s="31" t="n"/>
      <c r="B1596" s="36" t="n"/>
      <c r="C1596" s="38" t="n"/>
      <c r="D1596" s="32" t="n"/>
      <c r="E1596" s="43">
        <f>IF(OR(A1596="",B1596=""),"",SUMPRODUCT(MAX(($B$6:$B$2005=B1596)*($A$6:$A$2005&lt;A1596)*$A$6:$A$2005)))</f>
        <v/>
      </c>
      <c r="F1596" s="41">
        <f>IF(OR(E1596="",E1596=0),"",IFERROR(AVERAGEIFS($C$6:$C$2005,$B$6:$B$2005,B1596,$A$6:$A$2005,E1596),""))</f>
        <v/>
      </c>
      <c r="G1596" s="34">
        <f>IF(F1596="","",A1596-E1596)</f>
        <v/>
      </c>
      <c r="H1596" s="42">
        <f>IF(OR(F1596="",C1596=""),"",IFERROR((C1596-F1596)/G1596,""))</f>
        <v/>
      </c>
      <c r="I1596" s="39">
        <f>IF(B1596="","",IFERROR(INDEX('Animais'!$M$6:$M$1005,MATCH(B1596,'Animais'!$A$6:$A$1005,0)),"Brinco não cadastrado"))</f>
        <v/>
      </c>
    </row>
    <row r="1597">
      <c r="A1597" s="31" t="n"/>
      <c r="B1597" s="36" t="n"/>
      <c r="C1597" s="38" t="n"/>
      <c r="D1597" s="32" t="n"/>
      <c r="E1597" s="43">
        <f>IF(OR(A1597="",B1597=""),"",SUMPRODUCT(MAX(($B$6:$B$2005=B1597)*($A$6:$A$2005&lt;A1597)*$A$6:$A$2005)))</f>
        <v/>
      </c>
      <c r="F1597" s="41">
        <f>IF(OR(E1597="",E1597=0),"",IFERROR(AVERAGEIFS($C$6:$C$2005,$B$6:$B$2005,B1597,$A$6:$A$2005,E1597),""))</f>
        <v/>
      </c>
      <c r="G1597" s="34">
        <f>IF(F1597="","",A1597-E1597)</f>
        <v/>
      </c>
      <c r="H1597" s="42">
        <f>IF(OR(F1597="",C1597=""),"",IFERROR((C1597-F1597)/G1597,""))</f>
        <v/>
      </c>
      <c r="I1597" s="39">
        <f>IF(B1597="","",IFERROR(INDEX('Animais'!$M$6:$M$1005,MATCH(B1597,'Animais'!$A$6:$A$1005,0)),"Brinco não cadastrado"))</f>
        <v/>
      </c>
    </row>
    <row r="1598">
      <c r="A1598" s="31" t="n"/>
      <c r="B1598" s="36" t="n"/>
      <c r="C1598" s="38" t="n"/>
      <c r="D1598" s="32" t="n"/>
      <c r="E1598" s="43">
        <f>IF(OR(A1598="",B1598=""),"",SUMPRODUCT(MAX(($B$6:$B$2005=B1598)*($A$6:$A$2005&lt;A1598)*$A$6:$A$2005)))</f>
        <v/>
      </c>
      <c r="F1598" s="41">
        <f>IF(OR(E1598="",E1598=0),"",IFERROR(AVERAGEIFS($C$6:$C$2005,$B$6:$B$2005,B1598,$A$6:$A$2005,E1598),""))</f>
        <v/>
      </c>
      <c r="G1598" s="34">
        <f>IF(F1598="","",A1598-E1598)</f>
        <v/>
      </c>
      <c r="H1598" s="42">
        <f>IF(OR(F1598="",C1598=""),"",IFERROR((C1598-F1598)/G1598,""))</f>
        <v/>
      </c>
      <c r="I1598" s="39">
        <f>IF(B1598="","",IFERROR(INDEX('Animais'!$M$6:$M$1005,MATCH(B1598,'Animais'!$A$6:$A$1005,0)),"Brinco não cadastrado"))</f>
        <v/>
      </c>
    </row>
    <row r="1599">
      <c r="A1599" s="31" t="n"/>
      <c r="B1599" s="36" t="n"/>
      <c r="C1599" s="38" t="n"/>
      <c r="D1599" s="32" t="n"/>
      <c r="E1599" s="43">
        <f>IF(OR(A1599="",B1599=""),"",SUMPRODUCT(MAX(($B$6:$B$2005=B1599)*($A$6:$A$2005&lt;A1599)*$A$6:$A$2005)))</f>
        <v/>
      </c>
      <c r="F1599" s="41">
        <f>IF(OR(E1599="",E1599=0),"",IFERROR(AVERAGEIFS($C$6:$C$2005,$B$6:$B$2005,B1599,$A$6:$A$2005,E1599),""))</f>
        <v/>
      </c>
      <c r="G1599" s="34">
        <f>IF(F1599="","",A1599-E1599)</f>
        <v/>
      </c>
      <c r="H1599" s="42">
        <f>IF(OR(F1599="",C1599=""),"",IFERROR((C1599-F1599)/G1599,""))</f>
        <v/>
      </c>
      <c r="I1599" s="39">
        <f>IF(B1599="","",IFERROR(INDEX('Animais'!$M$6:$M$1005,MATCH(B1599,'Animais'!$A$6:$A$1005,0)),"Brinco não cadastrado"))</f>
        <v/>
      </c>
    </row>
    <row r="1600">
      <c r="A1600" s="31" t="n"/>
      <c r="B1600" s="36" t="n"/>
      <c r="C1600" s="38" t="n"/>
      <c r="D1600" s="32" t="n"/>
      <c r="E1600" s="43">
        <f>IF(OR(A1600="",B1600=""),"",SUMPRODUCT(MAX(($B$6:$B$2005=B1600)*($A$6:$A$2005&lt;A1600)*$A$6:$A$2005)))</f>
        <v/>
      </c>
      <c r="F1600" s="41">
        <f>IF(OR(E1600="",E1600=0),"",IFERROR(AVERAGEIFS($C$6:$C$2005,$B$6:$B$2005,B1600,$A$6:$A$2005,E1600),""))</f>
        <v/>
      </c>
      <c r="G1600" s="34">
        <f>IF(F1600="","",A1600-E1600)</f>
        <v/>
      </c>
      <c r="H1600" s="42">
        <f>IF(OR(F1600="",C1600=""),"",IFERROR((C1600-F1600)/G1600,""))</f>
        <v/>
      </c>
      <c r="I1600" s="39">
        <f>IF(B1600="","",IFERROR(INDEX('Animais'!$M$6:$M$1005,MATCH(B1600,'Animais'!$A$6:$A$1005,0)),"Brinco não cadastrado"))</f>
        <v/>
      </c>
    </row>
    <row r="1601">
      <c r="A1601" s="31" t="n"/>
      <c r="B1601" s="36" t="n"/>
      <c r="C1601" s="38" t="n"/>
      <c r="D1601" s="32" t="n"/>
      <c r="E1601" s="43">
        <f>IF(OR(A1601="",B1601=""),"",SUMPRODUCT(MAX(($B$6:$B$2005=B1601)*($A$6:$A$2005&lt;A1601)*$A$6:$A$2005)))</f>
        <v/>
      </c>
      <c r="F1601" s="41">
        <f>IF(OR(E1601="",E1601=0),"",IFERROR(AVERAGEIFS($C$6:$C$2005,$B$6:$B$2005,B1601,$A$6:$A$2005,E1601),""))</f>
        <v/>
      </c>
      <c r="G1601" s="34">
        <f>IF(F1601="","",A1601-E1601)</f>
        <v/>
      </c>
      <c r="H1601" s="42">
        <f>IF(OR(F1601="",C1601=""),"",IFERROR((C1601-F1601)/G1601,""))</f>
        <v/>
      </c>
      <c r="I1601" s="39">
        <f>IF(B1601="","",IFERROR(INDEX('Animais'!$M$6:$M$1005,MATCH(B1601,'Animais'!$A$6:$A$1005,0)),"Brinco não cadastrado"))</f>
        <v/>
      </c>
    </row>
    <row r="1602">
      <c r="A1602" s="31" t="n"/>
      <c r="B1602" s="36" t="n"/>
      <c r="C1602" s="38" t="n"/>
      <c r="D1602" s="32" t="n"/>
      <c r="E1602" s="43">
        <f>IF(OR(A1602="",B1602=""),"",SUMPRODUCT(MAX(($B$6:$B$2005=B1602)*($A$6:$A$2005&lt;A1602)*$A$6:$A$2005)))</f>
        <v/>
      </c>
      <c r="F1602" s="41">
        <f>IF(OR(E1602="",E1602=0),"",IFERROR(AVERAGEIFS($C$6:$C$2005,$B$6:$B$2005,B1602,$A$6:$A$2005,E1602),""))</f>
        <v/>
      </c>
      <c r="G1602" s="34">
        <f>IF(F1602="","",A1602-E1602)</f>
        <v/>
      </c>
      <c r="H1602" s="42">
        <f>IF(OR(F1602="",C1602=""),"",IFERROR((C1602-F1602)/G1602,""))</f>
        <v/>
      </c>
      <c r="I1602" s="39">
        <f>IF(B1602="","",IFERROR(INDEX('Animais'!$M$6:$M$1005,MATCH(B1602,'Animais'!$A$6:$A$1005,0)),"Brinco não cadastrado"))</f>
        <v/>
      </c>
    </row>
    <row r="1603">
      <c r="A1603" s="31" t="n"/>
      <c r="B1603" s="36" t="n"/>
      <c r="C1603" s="38" t="n"/>
      <c r="D1603" s="32" t="n"/>
      <c r="E1603" s="43">
        <f>IF(OR(A1603="",B1603=""),"",SUMPRODUCT(MAX(($B$6:$B$2005=B1603)*($A$6:$A$2005&lt;A1603)*$A$6:$A$2005)))</f>
        <v/>
      </c>
      <c r="F1603" s="41">
        <f>IF(OR(E1603="",E1603=0),"",IFERROR(AVERAGEIFS($C$6:$C$2005,$B$6:$B$2005,B1603,$A$6:$A$2005,E1603),""))</f>
        <v/>
      </c>
      <c r="G1603" s="34">
        <f>IF(F1603="","",A1603-E1603)</f>
        <v/>
      </c>
      <c r="H1603" s="42">
        <f>IF(OR(F1603="",C1603=""),"",IFERROR((C1603-F1603)/G1603,""))</f>
        <v/>
      </c>
      <c r="I1603" s="39">
        <f>IF(B1603="","",IFERROR(INDEX('Animais'!$M$6:$M$1005,MATCH(B1603,'Animais'!$A$6:$A$1005,0)),"Brinco não cadastrado"))</f>
        <v/>
      </c>
    </row>
    <row r="1604">
      <c r="A1604" s="31" t="n"/>
      <c r="B1604" s="36" t="n"/>
      <c r="C1604" s="38" t="n"/>
      <c r="D1604" s="32" t="n"/>
      <c r="E1604" s="43">
        <f>IF(OR(A1604="",B1604=""),"",SUMPRODUCT(MAX(($B$6:$B$2005=B1604)*($A$6:$A$2005&lt;A1604)*$A$6:$A$2005)))</f>
        <v/>
      </c>
      <c r="F1604" s="41">
        <f>IF(OR(E1604="",E1604=0),"",IFERROR(AVERAGEIFS($C$6:$C$2005,$B$6:$B$2005,B1604,$A$6:$A$2005,E1604),""))</f>
        <v/>
      </c>
      <c r="G1604" s="34">
        <f>IF(F1604="","",A1604-E1604)</f>
        <v/>
      </c>
      <c r="H1604" s="42">
        <f>IF(OR(F1604="",C1604=""),"",IFERROR((C1604-F1604)/G1604,""))</f>
        <v/>
      </c>
      <c r="I1604" s="39">
        <f>IF(B1604="","",IFERROR(INDEX('Animais'!$M$6:$M$1005,MATCH(B1604,'Animais'!$A$6:$A$1005,0)),"Brinco não cadastrado"))</f>
        <v/>
      </c>
    </row>
    <row r="1605">
      <c r="A1605" s="31" t="n"/>
      <c r="B1605" s="36" t="n"/>
      <c r="C1605" s="38" t="n"/>
      <c r="D1605" s="32" t="n"/>
      <c r="E1605" s="43">
        <f>IF(OR(A1605="",B1605=""),"",SUMPRODUCT(MAX(($B$6:$B$2005=B1605)*($A$6:$A$2005&lt;A1605)*$A$6:$A$2005)))</f>
        <v/>
      </c>
      <c r="F1605" s="41">
        <f>IF(OR(E1605="",E1605=0),"",IFERROR(AVERAGEIFS($C$6:$C$2005,$B$6:$B$2005,B1605,$A$6:$A$2005,E1605),""))</f>
        <v/>
      </c>
      <c r="G1605" s="34">
        <f>IF(F1605="","",A1605-E1605)</f>
        <v/>
      </c>
      <c r="H1605" s="42">
        <f>IF(OR(F1605="",C1605=""),"",IFERROR((C1605-F1605)/G1605,""))</f>
        <v/>
      </c>
      <c r="I1605" s="39">
        <f>IF(B1605="","",IFERROR(INDEX('Animais'!$M$6:$M$1005,MATCH(B1605,'Animais'!$A$6:$A$1005,0)),"Brinco não cadastrado"))</f>
        <v/>
      </c>
    </row>
    <row r="1606">
      <c r="A1606" s="31" t="n"/>
      <c r="B1606" s="36" t="n"/>
      <c r="C1606" s="38" t="n"/>
      <c r="D1606" s="32" t="n"/>
      <c r="E1606" s="43">
        <f>IF(OR(A1606="",B1606=""),"",SUMPRODUCT(MAX(($B$6:$B$2005=B1606)*($A$6:$A$2005&lt;A1606)*$A$6:$A$2005)))</f>
        <v/>
      </c>
      <c r="F1606" s="41">
        <f>IF(OR(E1606="",E1606=0),"",IFERROR(AVERAGEIFS($C$6:$C$2005,$B$6:$B$2005,B1606,$A$6:$A$2005,E1606),""))</f>
        <v/>
      </c>
      <c r="G1606" s="34">
        <f>IF(F1606="","",A1606-E1606)</f>
        <v/>
      </c>
      <c r="H1606" s="42">
        <f>IF(OR(F1606="",C1606=""),"",IFERROR((C1606-F1606)/G1606,""))</f>
        <v/>
      </c>
      <c r="I1606" s="39">
        <f>IF(B1606="","",IFERROR(INDEX('Animais'!$M$6:$M$1005,MATCH(B1606,'Animais'!$A$6:$A$1005,0)),"Brinco não cadastrado"))</f>
        <v/>
      </c>
    </row>
    <row r="1607">
      <c r="A1607" s="31" t="n"/>
      <c r="B1607" s="36" t="n"/>
      <c r="C1607" s="38" t="n"/>
      <c r="D1607" s="32" t="n"/>
      <c r="E1607" s="43">
        <f>IF(OR(A1607="",B1607=""),"",SUMPRODUCT(MAX(($B$6:$B$2005=B1607)*($A$6:$A$2005&lt;A1607)*$A$6:$A$2005)))</f>
        <v/>
      </c>
      <c r="F1607" s="41">
        <f>IF(OR(E1607="",E1607=0),"",IFERROR(AVERAGEIFS($C$6:$C$2005,$B$6:$B$2005,B1607,$A$6:$A$2005,E1607),""))</f>
        <v/>
      </c>
      <c r="G1607" s="34">
        <f>IF(F1607="","",A1607-E1607)</f>
        <v/>
      </c>
      <c r="H1607" s="42">
        <f>IF(OR(F1607="",C1607=""),"",IFERROR((C1607-F1607)/G1607,""))</f>
        <v/>
      </c>
      <c r="I1607" s="39">
        <f>IF(B1607="","",IFERROR(INDEX('Animais'!$M$6:$M$1005,MATCH(B1607,'Animais'!$A$6:$A$1005,0)),"Brinco não cadastrado"))</f>
        <v/>
      </c>
    </row>
    <row r="1608">
      <c r="A1608" s="31" t="n"/>
      <c r="B1608" s="36" t="n"/>
      <c r="C1608" s="38" t="n"/>
      <c r="D1608" s="32" t="n"/>
      <c r="E1608" s="43">
        <f>IF(OR(A1608="",B1608=""),"",SUMPRODUCT(MAX(($B$6:$B$2005=B1608)*($A$6:$A$2005&lt;A1608)*$A$6:$A$2005)))</f>
        <v/>
      </c>
      <c r="F1608" s="41">
        <f>IF(OR(E1608="",E1608=0),"",IFERROR(AVERAGEIFS($C$6:$C$2005,$B$6:$B$2005,B1608,$A$6:$A$2005,E1608),""))</f>
        <v/>
      </c>
      <c r="G1608" s="34">
        <f>IF(F1608="","",A1608-E1608)</f>
        <v/>
      </c>
      <c r="H1608" s="42">
        <f>IF(OR(F1608="",C1608=""),"",IFERROR((C1608-F1608)/G1608,""))</f>
        <v/>
      </c>
      <c r="I1608" s="39">
        <f>IF(B1608="","",IFERROR(INDEX('Animais'!$M$6:$M$1005,MATCH(B1608,'Animais'!$A$6:$A$1005,0)),"Brinco não cadastrado"))</f>
        <v/>
      </c>
    </row>
    <row r="1609">
      <c r="A1609" s="31" t="n"/>
      <c r="B1609" s="36" t="n"/>
      <c r="C1609" s="38" t="n"/>
      <c r="D1609" s="32" t="n"/>
      <c r="E1609" s="43">
        <f>IF(OR(A1609="",B1609=""),"",SUMPRODUCT(MAX(($B$6:$B$2005=B1609)*($A$6:$A$2005&lt;A1609)*$A$6:$A$2005)))</f>
        <v/>
      </c>
      <c r="F1609" s="41">
        <f>IF(OR(E1609="",E1609=0),"",IFERROR(AVERAGEIFS($C$6:$C$2005,$B$6:$B$2005,B1609,$A$6:$A$2005,E1609),""))</f>
        <v/>
      </c>
      <c r="G1609" s="34">
        <f>IF(F1609="","",A1609-E1609)</f>
        <v/>
      </c>
      <c r="H1609" s="42">
        <f>IF(OR(F1609="",C1609=""),"",IFERROR((C1609-F1609)/G1609,""))</f>
        <v/>
      </c>
      <c r="I1609" s="39">
        <f>IF(B1609="","",IFERROR(INDEX('Animais'!$M$6:$M$1005,MATCH(B1609,'Animais'!$A$6:$A$1005,0)),"Brinco não cadastrado"))</f>
        <v/>
      </c>
    </row>
    <row r="1610">
      <c r="A1610" s="31" t="n"/>
      <c r="B1610" s="36" t="n"/>
      <c r="C1610" s="38" t="n"/>
      <c r="D1610" s="32" t="n"/>
      <c r="E1610" s="43">
        <f>IF(OR(A1610="",B1610=""),"",SUMPRODUCT(MAX(($B$6:$B$2005=B1610)*($A$6:$A$2005&lt;A1610)*$A$6:$A$2005)))</f>
        <v/>
      </c>
      <c r="F1610" s="41">
        <f>IF(OR(E1610="",E1610=0),"",IFERROR(AVERAGEIFS($C$6:$C$2005,$B$6:$B$2005,B1610,$A$6:$A$2005,E1610),""))</f>
        <v/>
      </c>
      <c r="G1610" s="34">
        <f>IF(F1610="","",A1610-E1610)</f>
        <v/>
      </c>
      <c r="H1610" s="42">
        <f>IF(OR(F1610="",C1610=""),"",IFERROR((C1610-F1610)/G1610,""))</f>
        <v/>
      </c>
      <c r="I1610" s="39">
        <f>IF(B1610="","",IFERROR(INDEX('Animais'!$M$6:$M$1005,MATCH(B1610,'Animais'!$A$6:$A$1005,0)),"Brinco não cadastrado"))</f>
        <v/>
      </c>
    </row>
    <row r="1611">
      <c r="A1611" s="31" t="n"/>
      <c r="B1611" s="36" t="n"/>
      <c r="C1611" s="38" t="n"/>
      <c r="D1611" s="32" t="n"/>
      <c r="E1611" s="43">
        <f>IF(OR(A1611="",B1611=""),"",SUMPRODUCT(MAX(($B$6:$B$2005=B1611)*($A$6:$A$2005&lt;A1611)*$A$6:$A$2005)))</f>
        <v/>
      </c>
      <c r="F1611" s="41">
        <f>IF(OR(E1611="",E1611=0),"",IFERROR(AVERAGEIFS($C$6:$C$2005,$B$6:$B$2005,B1611,$A$6:$A$2005,E1611),""))</f>
        <v/>
      </c>
      <c r="G1611" s="34">
        <f>IF(F1611="","",A1611-E1611)</f>
        <v/>
      </c>
      <c r="H1611" s="42">
        <f>IF(OR(F1611="",C1611=""),"",IFERROR((C1611-F1611)/G1611,""))</f>
        <v/>
      </c>
      <c r="I1611" s="39">
        <f>IF(B1611="","",IFERROR(INDEX('Animais'!$M$6:$M$1005,MATCH(B1611,'Animais'!$A$6:$A$1005,0)),"Brinco não cadastrado"))</f>
        <v/>
      </c>
    </row>
    <row r="1612">
      <c r="A1612" s="31" t="n"/>
      <c r="B1612" s="36" t="n"/>
      <c r="C1612" s="38" t="n"/>
      <c r="D1612" s="32" t="n"/>
      <c r="E1612" s="43">
        <f>IF(OR(A1612="",B1612=""),"",SUMPRODUCT(MAX(($B$6:$B$2005=B1612)*($A$6:$A$2005&lt;A1612)*$A$6:$A$2005)))</f>
        <v/>
      </c>
      <c r="F1612" s="41">
        <f>IF(OR(E1612="",E1612=0),"",IFERROR(AVERAGEIFS($C$6:$C$2005,$B$6:$B$2005,B1612,$A$6:$A$2005,E1612),""))</f>
        <v/>
      </c>
      <c r="G1612" s="34">
        <f>IF(F1612="","",A1612-E1612)</f>
        <v/>
      </c>
      <c r="H1612" s="42">
        <f>IF(OR(F1612="",C1612=""),"",IFERROR((C1612-F1612)/G1612,""))</f>
        <v/>
      </c>
      <c r="I1612" s="39">
        <f>IF(B1612="","",IFERROR(INDEX('Animais'!$M$6:$M$1005,MATCH(B1612,'Animais'!$A$6:$A$1005,0)),"Brinco não cadastrado"))</f>
        <v/>
      </c>
    </row>
    <row r="1613">
      <c r="A1613" s="31" t="n"/>
      <c r="B1613" s="36" t="n"/>
      <c r="C1613" s="38" t="n"/>
      <c r="D1613" s="32" t="n"/>
      <c r="E1613" s="43">
        <f>IF(OR(A1613="",B1613=""),"",SUMPRODUCT(MAX(($B$6:$B$2005=B1613)*($A$6:$A$2005&lt;A1613)*$A$6:$A$2005)))</f>
        <v/>
      </c>
      <c r="F1613" s="41">
        <f>IF(OR(E1613="",E1613=0),"",IFERROR(AVERAGEIFS($C$6:$C$2005,$B$6:$B$2005,B1613,$A$6:$A$2005,E1613),""))</f>
        <v/>
      </c>
      <c r="G1613" s="34">
        <f>IF(F1613="","",A1613-E1613)</f>
        <v/>
      </c>
      <c r="H1613" s="42">
        <f>IF(OR(F1613="",C1613=""),"",IFERROR((C1613-F1613)/G1613,""))</f>
        <v/>
      </c>
      <c r="I1613" s="39">
        <f>IF(B1613="","",IFERROR(INDEX('Animais'!$M$6:$M$1005,MATCH(B1613,'Animais'!$A$6:$A$1005,0)),"Brinco não cadastrado"))</f>
        <v/>
      </c>
    </row>
    <row r="1614">
      <c r="A1614" s="31" t="n"/>
      <c r="B1614" s="36" t="n"/>
      <c r="C1614" s="38" t="n"/>
      <c r="D1614" s="32" t="n"/>
      <c r="E1614" s="43">
        <f>IF(OR(A1614="",B1614=""),"",SUMPRODUCT(MAX(($B$6:$B$2005=B1614)*($A$6:$A$2005&lt;A1614)*$A$6:$A$2005)))</f>
        <v/>
      </c>
      <c r="F1614" s="41">
        <f>IF(OR(E1614="",E1614=0),"",IFERROR(AVERAGEIFS($C$6:$C$2005,$B$6:$B$2005,B1614,$A$6:$A$2005,E1614),""))</f>
        <v/>
      </c>
      <c r="G1614" s="34">
        <f>IF(F1614="","",A1614-E1614)</f>
        <v/>
      </c>
      <c r="H1614" s="42">
        <f>IF(OR(F1614="",C1614=""),"",IFERROR((C1614-F1614)/G1614,""))</f>
        <v/>
      </c>
      <c r="I1614" s="39">
        <f>IF(B1614="","",IFERROR(INDEX('Animais'!$M$6:$M$1005,MATCH(B1614,'Animais'!$A$6:$A$1005,0)),"Brinco não cadastrado"))</f>
        <v/>
      </c>
    </row>
    <row r="1615">
      <c r="A1615" s="31" t="n"/>
      <c r="B1615" s="36" t="n"/>
      <c r="C1615" s="38" t="n"/>
      <c r="D1615" s="32" t="n"/>
      <c r="E1615" s="43">
        <f>IF(OR(A1615="",B1615=""),"",SUMPRODUCT(MAX(($B$6:$B$2005=B1615)*($A$6:$A$2005&lt;A1615)*$A$6:$A$2005)))</f>
        <v/>
      </c>
      <c r="F1615" s="41">
        <f>IF(OR(E1615="",E1615=0),"",IFERROR(AVERAGEIFS($C$6:$C$2005,$B$6:$B$2005,B1615,$A$6:$A$2005,E1615),""))</f>
        <v/>
      </c>
      <c r="G1615" s="34">
        <f>IF(F1615="","",A1615-E1615)</f>
        <v/>
      </c>
      <c r="H1615" s="42">
        <f>IF(OR(F1615="",C1615=""),"",IFERROR((C1615-F1615)/G1615,""))</f>
        <v/>
      </c>
      <c r="I1615" s="39">
        <f>IF(B1615="","",IFERROR(INDEX('Animais'!$M$6:$M$1005,MATCH(B1615,'Animais'!$A$6:$A$1005,0)),"Brinco não cadastrado"))</f>
        <v/>
      </c>
    </row>
    <row r="1616">
      <c r="A1616" s="31" t="n"/>
      <c r="B1616" s="36" t="n"/>
      <c r="C1616" s="38" t="n"/>
      <c r="D1616" s="32" t="n"/>
      <c r="E1616" s="43">
        <f>IF(OR(A1616="",B1616=""),"",SUMPRODUCT(MAX(($B$6:$B$2005=B1616)*($A$6:$A$2005&lt;A1616)*$A$6:$A$2005)))</f>
        <v/>
      </c>
      <c r="F1616" s="41">
        <f>IF(OR(E1616="",E1616=0),"",IFERROR(AVERAGEIFS($C$6:$C$2005,$B$6:$B$2005,B1616,$A$6:$A$2005,E1616),""))</f>
        <v/>
      </c>
      <c r="G1616" s="34">
        <f>IF(F1616="","",A1616-E1616)</f>
        <v/>
      </c>
      <c r="H1616" s="42">
        <f>IF(OR(F1616="",C1616=""),"",IFERROR((C1616-F1616)/G1616,""))</f>
        <v/>
      </c>
      <c r="I1616" s="39">
        <f>IF(B1616="","",IFERROR(INDEX('Animais'!$M$6:$M$1005,MATCH(B1616,'Animais'!$A$6:$A$1005,0)),"Brinco não cadastrado"))</f>
        <v/>
      </c>
    </row>
    <row r="1617">
      <c r="A1617" s="31" t="n"/>
      <c r="B1617" s="36" t="n"/>
      <c r="C1617" s="38" t="n"/>
      <c r="D1617" s="32" t="n"/>
      <c r="E1617" s="43">
        <f>IF(OR(A1617="",B1617=""),"",SUMPRODUCT(MAX(($B$6:$B$2005=B1617)*($A$6:$A$2005&lt;A1617)*$A$6:$A$2005)))</f>
        <v/>
      </c>
      <c r="F1617" s="41">
        <f>IF(OR(E1617="",E1617=0),"",IFERROR(AVERAGEIFS($C$6:$C$2005,$B$6:$B$2005,B1617,$A$6:$A$2005,E1617),""))</f>
        <v/>
      </c>
      <c r="G1617" s="34">
        <f>IF(F1617="","",A1617-E1617)</f>
        <v/>
      </c>
      <c r="H1617" s="42">
        <f>IF(OR(F1617="",C1617=""),"",IFERROR((C1617-F1617)/G1617,""))</f>
        <v/>
      </c>
      <c r="I1617" s="39">
        <f>IF(B1617="","",IFERROR(INDEX('Animais'!$M$6:$M$1005,MATCH(B1617,'Animais'!$A$6:$A$1005,0)),"Brinco não cadastrado"))</f>
        <v/>
      </c>
    </row>
    <row r="1618">
      <c r="A1618" s="31" t="n"/>
      <c r="B1618" s="36" t="n"/>
      <c r="C1618" s="38" t="n"/>
      <c r="D1618" s="32" t="n"/>
      <c r="E1618" s="43">
        <f>IF(OR(A1618="",B1618=""),"",SUMPRODUCT(MAX(($B$6:$B$2005=B1618)*($A$6:$A$2005&lt;A1618)*$A$6:$A$2005)))</f>
        <v/>
      </c>
      <c r="F1618" s="41">
        <f>IF(OR(E1618="",E1618=0),"",IFERROR(AVERAGEIFS($C$6:$C$2005,$B$6:$B$2005,B1618,$A$6:$A$2005,E1618),""))</f>
        <v/>
      </c>
      <c r="G1618" s="34">
        <f>IF(F1618="","",A1618-E1618)</f>
        <v/>
      </c>
      <c r="H1618" s="42">
        <f>IF(OR(F1618="",C1618=""),"",IFERROR((C1618-F1618)/G1618,""))</f>
        <v/>
      </c>
      <c r="I1618" s="39">
        <f>IF(B1618="","",IFERROR(INDEX('Animais'!$M$6:$M$1005,MATCH(B1618,'Animais'!$A$6:$A$1005,0)),"Brinco não cadastrado"))</f>
        <v/>
      </c>
    </row>
    <row r="1619">
      <c r="A1619" s="31" t="n"/>
      <c r="B1619" s="36" t="n"/>
      <c r="C1619" s="38" t="n"/>
      <c r="D1619" s="32" t="n"/>
      <c r="E1619" s="43">
        <f>IF(OR(A1619="",B1619=""),"",SUMPRODUCT(MAX(($B$6:$B$2005=B1619)*($A$6:$A$2005&lt;A1619)*$A$6:$A$2005)))</f>
        <v/>
      </c>
      <c r="F1619" s="41">
        <f>IF(OR(E1619="",E1619=0),"",IFERROR(AVERAGEIFS($C$6:$C$2005,$B$6:$B$2005,B1619,$A$6:$A$2005,E1619),""))</f>
        <v/>
      </c>
      <c r="G1619" s="34">
        <f>IF(F1619="","",A1619-E1619)</f>
        <v/>
      </c>
      <c r="H1619" s="42">
        <f>IF(OR(F1619="",C1619=""),"",IFERROR((C1619-F1619)/G1619,""))</f>
        <v/>
      </c>
      <c r="I1619" s="39">
        <f>IF(B1619="","",IFERROR(INDEX('Animais'!$M$6:$M$1005,MATCH(B1619,'Animais'!$A$6:$A$1005,0)),"Brinco não cadastrado"))</f>
        <v/>
      </c>
    </row>
    <row r="1620">
      <c r="A1620" s="31" t="n"/>
      <c r="B1620" s="36" t="n"/>
      <c r="C1620" s="38" t="n"/>
      <c r="D1620" s="32" t="n"/>
      <c r="E1620" s="43">
        <f>IF(OR(A1620="",B1620=""),"",SUMPRODUCT(MAX(($B$6:$B$2005=B1620)*($A$6:$A$2005&lt;A1620)*$A$6:$A$2005)))</f>
        <v/>
      </c>
      <c r="F1620" s="41">
        <f>IF(OR(E1620="",E1620=0),"",IFERROR(AVERAGEIFS($C$6:$C$2005,$B$6:$B$2005,B1620,$A$6:$A$2005,E1620),""))</f>
        <v/>
      </c>
      <c r="G1620" s="34">
        <f>IF(F1620="","",A1620-E1620)</f>
        <v/>
      </c>
      <c r="H1620" s="42">
        <f>IF(OR(F1620="",C1620=""),"",IFERROR((C1620-F1620)/G1620,""))</f>
        <v/>
      </c>
      <c r="I1620" s="39">
        <f>IF(B1620="","",IFERROR(INDEX('Animais'!$M$6:$M$1005,MATCH(B1620,'Animais'!$A$6:$A$1005,0)),"Brinco não cadastrado"))</f>
        <v/>
      </c>
    </row>
    <row r="1621">
      <c r="A1621" s="31" t="n"/>
      <c r="B1621" s="36" t="n"/>
      <c r="C1621" s="38" t="n"/>
      <c r="D1621" s="32" t="n"/>
      <c r="E1621" s="43">
        <f>IF(OR(A1621="",B1621=""),"",SUMPRODUCT(MAX(($B$6:$B$2005=B1621)*($A$6:$A$2005&lt;A1621)*$A$6:$A$2005)))</f>
        <v/>
      </c>
      <c r="F1621" s="41">
        <f>IF(OR(E1621="",E1621=0),"",IFERROR(AVERAGEIFS($C$6:$C$2005,$B$6:$B$2005,B1621,$A$6:$A$2005,E1621),""))</f>
        <v/>
      </c>
      <c r="G1621" s="34">
        <f>IF(F1621="","",A1621-E1621)</f>
        <v/>
      </c>
      <c r="H1621" s="42">
        <f>IF(OR(F1621="",C1621=""),"",IFERROR((C1621-F1621)/G1621,""))</f>
        <v/>
      </c>
      <c r="I1621" s="39">
        <f>IF(B1621="","",IFERROR(INDEX('Animais'!$M$6:$M$1005,MATCH(B1621,'Animais'!$A$6:$A$1005,0)),"Brinco não cadastrado"))</f>
        <v/>
      </c>
    </row>
    <row r="1622">
      <c r="A1622" s="31" t="n"/>
      <c r="B1622" s="36" t="n"/>
      <c r="C1622" s="38" t="n"/>
      <c r="D1622" s="32" t="n"/>
      <c r="E1622" s="43">
        <f>IF(OR(A1622="",B1622=""),"",SUMPRODUCT(MAX(($B$6:$B$2005=B1622)*($A$6:$A$2005&lt;A1622)*$A$6:$A$2005)))</f>
        <v/>
      </c>
      <c r="F1622" s="41">
        <f>IF(OR(E1622="",E1622=0),"",IFERROR(AVERAGEIFS($C$6:$C$2005,$B$6:$B$2005,B1622,$A$6:$A$2005,E1622),""))</f>
        <v/>
      </c>
      <c r="G1622" s="34">
        <f>IF(F1622="","",A1622-E1622)</f>
        <v/>
      </c>
      <c r="H1622" s="42">
        <f>IF(OR(F1622="",C1622=""),"",IFERROR((C1622-F1622)/G1622,""))</f>
        <v/>
      </c>
      <c r="I1622" s="39">
        <f>IF(B1622="","",IFERROR(INDEX('Animais'!$M$6:$M$1005,MATCH(B1622,'Animais'!$A$6:$A$1005,0)),"Brinco não cadastrado"))</f>
        <v/>
      </c>
    </row>
    <row r="1623">
      <c r="A1623" s="31" t="n"/>
      <c r="B1623" s="36" t="n"/>
      <c r="C1623" s="38" t="n"/>
      <c r="D1623" s="32" t="n"/>
      <c r="E1623" s="43">
        <f>IF(OR(A1623="",B1623=""),"",SUMPRODUCT(MAX(($B$6:$B$2005=B1623)*($A$6:$A$2005&lt;A1623)*$A$6:$A$2005)))</f>
        <v/>
      </c>
      <c r="F1623" s="41">
        <f>IF(OR(E1623="",E1623=0),"",IFERROR(AVERAGEIFS($C$6:$C$2005,$B$6:$B$2005,B1623,$A$6:$A$2005,E1623),""))</f>
        <v/>
      </c>
      <c r="G1623" s="34">
        <f>IF(F1623="","",A1623-E1623)</f>
        <v/>
      </c>
      <c r="H1623" s="42">
        <f>IF(OR(F1623="",C1623=""),"",IFERROR((C1623-F1623)/G1623,""))</f>
        <v/>
      </c>
      <c r="I1623" s="39">
        <f>IF(B1623="","",IFERROR(INDEX('Animais'!$M$6:$M$1005,MATCH(B1623,'Animais'!$A$6:$A$1005,0)),"Brinco não cadastrado"))</f>
        <v/>
      </c>
    </row>
    <row r="1624">
      <c r="A1624" s="31" t="n"/>
      <c r="B1624" s="36" t="n"/>
      <c r="C1624" s="38" t="n"/>
      <c r="D1624" s="32" t="n"/>
      <c r="E1624" s="43">
        <f>IF(OR(A1624="",B1624=""),"",SUMPRODUCT(MAX(($B$6:$B$2005=B1624)*($A$6:$A$2005&lt;A1624)*$A$6:$A$2005)))</f>
        <v/>
      </c>
      <c r="F1624" s="41">
        <f>IF(OR(E1624="",E1624=0),"",IFERROR(AVERAGEIFS($C$6:$C$2005,$B$6:$B$2005,B1624,$A$6:$A$2005,E1624),""))</f>
        <v/>
      </c>
      <c r="G1624" s="34">
        <f>IF(F1624="","",A1624-E1624)</f>
        <v/>
      </c>
      <c r="H1624" s="42">
        <f>IF(OR(F1624="",C1624=""),"",IFERROR((C1624-F1624)/G1624,""))</f>
        <v/>
      </c>
      <c r="I1624" s="39">
        <f>IF(B1624="","",IFERROR(INDEX('Animais'!$M$6:$M$1005,MATCH(B1624,'Animais'!$A$6:$A$1005,0)),"Brinco não cadastrado"))</f>
        <v/>
      </c>
    </row>
    <row r="1625">
      <c r="A1625" s="31" t="n"/>
      <c r="B1625" s="36" t="n"/>
      <c r="C1625" s="38" t="n"/>
      <c r="D1625" s="32" t="n"/>
      <c r="E1625" s="43">
        <f>IF(OR(A1625="",B1625=""),"",SUMPRODUCT(MAX(($B$6:$B$2005=B1625)*($A$6:$A$2005&lt;A1625)*$A$6:$A$2005)))</f>
        <v/>
      </c>
      <c r="F1625" s="41">
        <f>IF(OR(E1625="",E1625=0),"",IFERROR(AVERAGEIFS($C$6:$C$2005,$B$6:$B$2005,B1625,$A$6:$A$2005,E1625),""))</f>
        <v/>
      </c>
      <c r="G1625" s="34">
        <f>IF(F1625="","",A1625-E1625)</f>
        <v/>
      </c>
      <c r="H1625" s="42">
        <f>IF(OR(F1625="",C1625=""),"",IFERROR((C1625-F1625)/G1625,""))</f>
        <v/>
      </c>
      <c r="I1625" s="39">
        <f>IF(B1625="","",IFERROR(INDEX('Animais'!$M$6:$M$1005,MATCH(B1625,'Animais'!$A$6:$A$1005,0)),"Brinco não cadastrado"))</f>
        <v/>
      </c>
    </row>
    <row r="1626">
      <c r="A1626" s="31" t="n"/>
      <c r="B1626" s="36" t="n"/>
      <c r="C1626" s="38" t="n"/>
      <c r="D1626" s="32" t="n"/>
      <c r="E1626" s="43">
        <f>IF(OR(A1626="",B1626=""),"",SUMPRODUCT(MAX(($B$6:$B$2005=B1626)*($A$6:$A$2005&lt;A1626)*$A$6:$A$2005)))</f>
        <v/>
      </c>
      <c r="F1626" s="41">
        <f>IF(OR(E1626="",E1626=0),"",IFERROR(AVERAGEIFS($C$6:$C$2005,$B$6:$B$2005,B1626,$A$6:$A$2005,E1626),""))</f>
        <v/>
      </c>
      <c r="G1626" s="34">
        <f>IF(F1626="","",A1626-E1626)</f>
        <v/>
      </c>
      <c r="H1626" s="42">
        <f>IF(OR(F1626="",C1626=""),"",IFERROR((C1626-F1626)/G1626,""))</f>
        <v/>
      </c>
      <c r="I1626" s="39">
        <f>IF(B1626="","",IFERROR(INDEX('Animais'!$M$6:$M$1005,MATCH(B1626,'Animais'!$A$6:$A$1005,0)),"Brinco não cadastrado"))</f>
        <v/>
      </c>
    </row>
    <row r="1627">
      <c r="A1627" s="31" t="n"/>
      <c r="B1627" s="36" t="n"/>
      <c r="C1627" s="38" t="n"/>
      <c r="D1627" s="32" t="n"/>
      <c r="E1627" s="43">
        <f>IF(OR(A1627="",B1627=""),"",SUMPRODUCT(MAX(($B$6:$B$2005=B1627)*($A$6:$A$2005&lt;A1627)*$A$6:$A$2005)))</f>
        <v/>
      </c>
      <c r="F1627" s="41">
        <f>IF(OR(E1627="",E1627=0),"",IFERROR(AVERAGEIFS($C$6:$C$2005,$B$6:$B$2005,B1627,$A$6:$A$2005,E1627),""))</f>
        <v/>
      </c>
      <c r="G1627" s="34">
        <f>IF(F1627="","",A1627-E1627)</f>
        <v/>
      </c>
      <c r="H1627" s="42">
        <f>IF(OR(F1627="",C1627=""),"",IFERROR((C1627-F1627)/G1627,""))</f>
        <v/>
      </c>
      <c r="I1627" s="39">
        <f>IF(B1627="","",IFERROR(INDEX('Animais'!$M$6:$M$1005,MATCH(B1627,'Animais'!$A$6:$A$1005,0)),"Brinco não cadastrado"))</f>
        <v/>
      </c>
    </row>
    <row r="1628">
      <c r="A1628" s="31" t="n"/>
      <c r="B1628" s="36" t="n"/>
      <c r="C1628" s="38" t="n"/>
      <c r="D1628" s="32" t="n"/>
      <c r="E1628" s="43">
        <f>IF(OR(A1628="",B1628=""),"",SUMPRODUCT(MAX(($B$6:$B$2005=B1628)*($A$6:$A$2005&lt;A1628)*$A$6:$A$2005)))</f>
        <v/>
      </c>
      <c r="F1628" s="41">
        <f>IF(OR(E1628="",E1628=0),"",IFERROR(AVERAGEIFS($C$6:$C$2005,$B$6:$B$2005,B1628,$A$6:$A$2005,E1628),""))</f>
        <v/>
      </c>
      <c r="G1628" s="34">
        <f>IF(F1628="","",A1628-E1628)</f>
        <v/>
      </c>
      <c r="H1628" s="42">
        <f>IF(OR(F1628="",C1628=""),"",IFERROR((C1628-F1628)/G1628,""))</f>
        <v/>
      </c>
      <c r="I1628" s="39">
        <f>IF(B1628="","",IFERROR(INDEX('Animais'!$M$6:$M$1005,MATCH(B1628,'Animais'!$A$6:$A$1005,0)),"Brinco não cadastrado"))</f>
        <v/>
      </c>
    </row>
    <row r="1629">
      <c r="A1629" s="31" t="n"/>
      <c r="B1629" s="36" t="n"/>
      <c r="C1629" s="38" t="n"/>
      <c r="D1629" s="32" t="n"/>
      <c r="E1629" s="43">
        <f>IF(OR(A1629="",B1629=""),"",SUMPRODUCT(MAX(($B$6:$B$2005=B1629)*($A$6:$A$2005&lt;A1629)*$A$6:$A$2005)))</f>
        <v/>
      </c>
      <c r="F1629" s="41">
        <f>IF(OR(E1629="",E1629=0),"",IFERROR(AVERAGEIFS($C$6:$C$2005,$B$6:$B$2005,B1629,$A$6:$A$2005,E1629),""))</f>
        <v/>
      </c>
      <c r="G1629" s="34">
        <f>IF(F1629="","",A1629-E1629)</f>
        <v/>
      </c>
      <c r="H1629" s="42">
        <f>IF(OR(F1629="",C1629=""),"",IFERROR((C1629-F1629)/G1629,""))</f>
        <v/>
      </c>
      <c r="I1629" s="39">
        <f>IF(B1629="","",IFERROR(INDEX('Animais'!$M$6:$M$1005,MATCH(B1629,'Animais'!$A$6:$A$1005,0)),"Brinco não cadastrado"))</f>
        <v/>
      </c>
    </row>
    <row r="1630">
      <c r="A1630" s="31" t="n"/>
      <c r="B1630" s="36" t="n"/>
      <c r="C1630" s="38" t="n"/>
      <c r="D1630" s="32" t="n"/>
      <c r="E1630" s="43">
        <f>IF(OR(A1630="",B1630=""),"",SUMPRODUCT(MAX(($B$6:$B$2005=B1630)*($A$6:$A$2005&lt;A1630)*$A$6:$A$2005)))</f>
        <v/>
      </c>
      <c r="F1630" s="41">
        <f>IF(OR(E1630="",E1630=0),"",IFERROR(AVERAGEIFS($C$6:$C$2005,$B$6:$B$2005,B1630,$A$6:$A$2005,E1630),""))</f>
        <v/>
      </c>
      <c r="G1630" s="34">
        <f>IF(F1630="","",A1630-E1630)</f>
        <v/>
      </c>
      <c r="H1630" s="42">
        <f>IF(OR(F1630="",C1630=""),"",IFERROR((C1630-F1630)/G1630,""))</f>
        <v/>
      </c>
      <c r="I1630" s="39">
        <f>IF(B1630="","",IFERROR(INDEX('Animais'!$M$6:$M$1005,MATCH(B1630,'Animais'!$A$6:$A$1005,0)),"Brinco não cadastrado"))</f>
        <v/>
      </c>
    </row>
    <row r="1631">
      <c r="A1631" s="31" t="n"/>
      <c r="B1631" s="36" t="n"/>
      <c r="C1631" s="38" t="n"/>
      <c r="D1631" s="32" t="n"/>
      <c r="E1631" s="43">
        <f>IF(OR(A1631="",B1631=""),"",SUMPRODUCT(MAX(($B$6:$B$2005=B1631)*($A$6:$A$2005&lt;A1631)*$A$6:$A$2005)))</f>
        <v/>
      </c>
      <c r="F1631" s="41">
        <f>IF(OR(E1631="",E1631=0),"",IFERROR(AVERAGEIFS($C$6:$C$2005,$B$6:$B$2005,B1631,$A$6:$A$2005,E1631),""))</f>
        <v/>
      </c>
      <c r="G1631" s="34">
        <f>IF(F1631="","",A1631-E1631)</f>
        <v/>
      </c>
      <c r="H1631" s="42">
        <f>IF(OR(F1631="",C1631=""),"",IFERROR((C1631-F1631)/G1631,""))</f>
        <v/>
      </c>
      <c r="I1631" s="39">
        <f>IF(B1631="","",IFERROR(INDEX('Animais'!$M$6:$M$1005,MATCH(B1631,'Animais'!$A$6:$A$1005,0)),"Brinco não cadastrado"))</f>
        <v/>
      </c>
    </row>
    <row r="1632">
      <c r="A1632" s="31" t="n"/>
      <c r="B1632" s="36" t="n"/>
      <c r="C1632" s="38" t="n"/>
      <c r="D1632" s="32" t="n"/>
      <c r="E1632" s="43">
        <f>IF(OR(A1632="",B1632=""),"",SUMPRODUCT(MAX(($B$6:$B$2005=B1632)*($A$6:$A$2005&lt;A1632)*$A$6:$A$2005)))</f>
        <v/>
      </c>
      <c r="F1632" s="41">
        <f>IF(OR(E1632="",E1632=0),"",IFERROR(AVERAGEIFS($C$6:$C$2005,$B$6:$B$2005,B1632,$A$6:$A$2005,E1632),""))</f>
        <v/>
      </c>
      <c r="G1632" s="34">
        <f>IF(F1632="","",A1632-E1632)</f>
        <v/>
      </c>
      <c r="H1632" s="42">
        <f>IF(OR(F1632="",C1632=""),"",IFERROR((C1632-F1632)/G1632,""))</f>
        <v/>
      </c>
      <c r="I1632" s="39">
        <f>IF(B1632="","",IFERROR(INDEX('Animais'!$M$6:$M$1005,MATCH(B1632,'Animais'!$A$6:$A$1005,0)),"Brinco não cadastrado"))</f>
        <v/>
      </c>
    </row>
    <row r="1633">
      <c r="A1633" s="31" t="n"/>
      <c r="B1633" s="36" t="n"/>
      <c r="C1633" s="38" t="n"/>
      <c r="D1633" s="32" t="n"/>
      <c r="E1633" s="43">
        <f>IF(OR(A1633="",B1633=""),"",SUMPRODUCT(MAX(($B$6:$B$2005=B1633)*($A$6:$A$2005&lt;A1633)*$A$6:$A$2005)))</f>
        <v/>
      </c>
      <c r="F1633" s="41">
        <f>IF(OR(E1633="",E1633=0),"",IFERROR(AVERAGEIFS($C$6:$C$2005,$B$6:$B$2005,B1633,$A$6:$A$2005,E1633),""))</f>
        <v/>
      </c>
      <c r="G1633" s="34">
        <f>IF(F1633="","",A1633-E1633)</f>
        <v/>
      </c>
      <c r="H1633" s="42">
        <f>IF(OR(F1633="",C1633=""),"",IFERROR((C1633-F1633)/G1633,""))</f>
        <v/>
      </c>
      <c r="I1633" s="39">
        <f>IF(B1633="","",IFERROR(INDEX('Animais'!$M$6:$M$1005,MATCH(B1633,'Animais'!$A$6:$A$1005,0)),"Brinco não cadastrado"))</f>
        <v/>
      </c>
    </row>
    <row r="1634">
      <c r="A1634" s="31" t="n"/>
      <c r="B1634" s="36" t="n"/>
      <c r="C1634" s="38" t="n"/>
      <c r="D1634" s="32" t="n"/>
      <c r="E1634" s="43">
        <f>IF(OR(A1634="",B1634=""),"",SUMPRODUCT(MAX(($B$6:$B$2005=B1634)*($A$6:$A$2005&lt;A1634)*$A$6:$A$2005)))</f>
        <v/>
      </c>
      <c r="F1634" s="41">
        <f>IF(OR(E1634="",E1634=0),"",IFERROR(AVERAGEIFS($C$6:$C$2005,$B$6:$B$2005,B1634,$A$6:$A$2005,E1634),""))</f>
        <v/>
      </c>
      <c r="G1634" s="34">
        <f>IF(F1634="","",A1634-E1634)</f>
        <v/>
      </c>
      <c r="H1634" s="42">
        <f>IF(OR(F1634="",C1634=""),"",IFERROR((C1634-F1634)/G1634,""))</f>
        <v/>
      </c>
      <c r="I1634" s="39">
        <f>IF(B1634="","",IFERROR(INDEX('Animais'!$M$6:$M$1005,MATCH(B1634,'Animais'!$A$6:$A$1005,0)),"Brinco não cadastrado"))</f>
        <v/>
      </c>
    </row>
    <row r="1635">
      <c r="A1635" s="31" t="n"/>
      <c r="B1635" s="36" t="n"/>
      <c r="C1635" s="38" t="n"/>
      <c r="D1635" s="32" t="n"/>
      <c r="E1635" s="43">
        <f>IF(OR(A1635="",B1635=""),"",SUMPRODUCT(MAX(($B$6:$B$2005=B1635)*($A$6:$A$2005&lt;A1635)*$A$6:$A$2005)))</f>
        <v/>
      </c>
      <c r="F1635" s="41">
        <f>IF(OR(E1635="",E1635=0),"",IFERROR(AVERAGEIFS($C$6:$C$2005,$B$6:$B$2005,B1635,$A$6:$A$2005,E1635),""))</f>
        <v/>
      </c>
      <c r="G1635" s="34">
        <f>IF(F1635="","",A1635-E1635)</f>
        <v/>
      </c>
      <c r="H1635" s="42">
        <f>IF(OR(F1635="",C1635=""),"",IFERROR((C1635-F1635)/G1635,""))</f>
        <v/>
      </c>
      <c r="I1635" s="39">
        <f>IF(B1635="","",IFERROR(INDEX('Animais'!$M$6:$M$1005,MATCH(B1635,'Animais'!$A$6:$A$1005,0)),"Brinco não cadastrado"))</f>
        <v/>
      </c>
    </row>
    <row r="1636">
      <c r="A1636" s="31" t="n"/>
      <c r="B1636" s="36" t="n"/>
      <c r="C1636" s="38" t="n"/>
      <c r="D1636" s="32" t="n"/>
      <c r="E1636" s="43">
        <f>IF(OR(A1636="",B1636=""),"",SUMPRODUCT(MAX(($B$6:$B$2005=B1636)*($A$6:$A$2005&lt;A1636)*$A$6:$A$2005)))</f>
        <v/>
      </c>
      <c r="F1636" s="41">
        <f>IF(OR(E1636="",E1636=0),"",IFERROR(AVERAGEIFS($C$6:$C$2005,$B$6:$B$2005,B1636,$A$6:$A$2005,E1636),""))</f>
        <v/>
      </c>
      <c r="G1636" s="34">
        <f>IF(F1636="","",A1636-E1636)</f>
        <v/>
      </c>
      <c r="H1636" s="42">
        <f>IF(OR(F1636="",C1636=""),"",IFERROR((C1636-F1636)/G1636,""))</f>
        <v/>
      </c>
      <c r="I1636" s="39">
        <f>IF(B1636="","",IFERROR(INDEX('Animais'!$M$6:$M$1005,MATCH(B1636,'Animais'!$A$6:$A$1005,0)),"Brinco não cadastrado"))</f>
        <v/>
      </c>
    </row>
    <row r="1637">
      <c r="A1637" s="31" t="n"/>
      <c r="B1637" s="36" t="n"/>
      <c r="C1637" s="38" t="n"/>
      <c r="D1637" s="32" t="n"/>
      <c r="E1637" s="43">
        <f>IF(OR(A1637="",B1637=""),"",SUMPRODUCT(MAX(($B$6:$B$2005=B1637)*($A$6:$A$2005&lt;A1637)*$A$6:$A$2005)))</f>
        <v/>
      </c>
      <c r="F1637" s="41">
        <f>IF(OR(E1637="",E1637=0),"",IFERROR(AVERAGEIFS($C$6:$C$2005,$B$6:$B$2005,B1637,$A$6:$A$2005,E1637),""))</f>
        <v/>
      </c>
      <c r="G1637" s="34">
        <f>IF(F1637="","",A1637-E1637)</f>
        <v/>
      </c>
      <c r="H1637" s="42">
        <f>IF(OR(F1637="",C1637=""),"",IFERROR((C1637-F1637)/G1637,""))</f>
        <v/>
      </c>
      <c r="I1637" s="39">
        <f>IF(B1637="","",IFERROR(INDEX('Animais'!$M$6:$M$1005,MATCH(B1637,'Animais'!$A$6:$A$1005,0)),"Brinco não cadastrado"))</f>
        <v/>
      </c>
    </row>
    <row r="1638">
      <c r="A1638" s="31" t="n"/>
      <c r="B1638" s="36" t="n"/>
      <c r="C1638" s="38" t="n"/>
      <c r="D1638" s="32" t="n"/>
      <c r="E1638" s="43">
        <f>IF(OR(A1638="",B1638=""),"",SUMPRODUCT(MAX(($B$6:$B$2005=B1638)*($A$6:$A$2005&lt;A1638)*$A$6:$A$2005)))</f>
        <v/>
      </c>
      <c r="F1638" s="41">
        <f>IF(OR(E1638="",E1638=0),"",IFERROR(AVERAGEIFS($C$6:$C$2005,$B$6:$B$2005,B1638,$A$6:$A$2005,E1638),""))</f>
        <v/>
      </c>
      <c r="G1638" s="34">
        <f>IF(F1638="","",A1638-E1638)</f>
        <v/>
      </c>
      <c r="H1638" s="42">
        <f>IF(OR(F1638="",C1638=""),"",IFERROR((C1638-F1638)/G1638,""))</f>
        <v/>
      </c>
      <c r="I1638" s="39">
        <f>IF(B1638="","",IFERROR(INDEX('Animais'!$M$6:$M$1005,MATCH(B1638,'Animais'!$A$6:$A$1005,0)),"Brinco não cadastrado"))</f>
        <v/>
      </c>
    </row>
    <row r="1639">
      <c r="A1639" s="31" t="n"/>
      <c r="B1639" s="36" t="n"/>
      <c r="C1639" s="38" t="n"/>
      <c r="D1639" s="32" t="n"/>
      <c r="E1639" s="43">
        <f>IF(OR(A1639="",B1639=""),"",SUMPRODUCT(MAX(($B$6:$B$2005=B1639)*($A$6:$A$2005&lt;A1639)*$A$6:$A$2005)))</f>
        <v/>
      </c>
      <c r="F1639" s="41">
        <f>IF(OR(E1639="",E1639=0),"",IFERROR(AVERAGEIFS($C$6:$C$2005,$B$6:$B$2005,B1639,$A$6:$A$2005,E1639),""))</f>
        <v/>
      </c>
      <c r="G1639" s="34">
        <f>IF(F1639="","",A1639-E1639)</f>
        <v/>
      </c>
      <c r="H1639" s="42">
        <f>IF(OR(F1639="",C1639=""),"",IFERROR((C1639-F1639)/G1639,""))</f>
        <v/>
      </c>
      <c r="I1639" s="39">
        <f>IF(B1639="","",IFERROR(INDEX('Animais'!$M$6:$M$1005,MATCH(B1639,'Animais'!$A$6:$A$1005,0)),"Brinco não cadastrado"))</f>
        <v/>
      </c>
    </row>
    <row r="1640">
      <c r="A1640" s="31" t="n"/>
      <c r="B1640" s="36" t="n"/>
      <c r="C1640" s="38" t="n"/>
      <c r="D1640" s="32" t="n"/>
      <c r="E1640" s="43">
        <f>IF(OR(A1640="",B1640=""),"",SUMPRODUCT(MAX(($B$6:$B$2005=B1640)*($A$6:$A$2005&lt;A1640)*$A$6:$A$2005)))</f>
        <v/>
      </c>
      <c r="F1640" s="41">
        <f>IF(OR(E1640="",E1640=0),"",IFERROR(AVERAGEIFS($C$6:$C$2005,$B$6:$B$2005,B1640,$A$6:$A$2005,E1640),""))</f>
        <v/>
      </c>
      <c r="G1640" s="34">
        <f>IF(F1640="","",A1640-E1640)</f>
        <v/>
      </c>
      <c r="H1640" s="42">
        <f>IF(OR(F1640="",C1640=""),"",IFERROR((C1640-F1640)/G1640,""))</f>
        <v/>
      </c>
      <c r="I1640" s="39">
        <f>IF(B1640="","",IFERROR(INDEX('Animais'!$M$6:$M$1005,MATCH(B1640,'Animais'!$A$6:$A$1005,0)),"Brinco não cadastrado"))</f>
        <v/>
      </c>
    </row>
    <row r="1641">
      <c r="A1641" s="31" t="n"/>
      <c r="B1641" s="36" t="n"/>
      <c r="C1641" s="38" t="n"/>
      <c r="D1641" s="32" t="n"/>
      <c r="E1641" s="43">
        <f>IF(OR(A1641="",B1641=""),"",SUMPRODUCT(MAX(($B$6:$B$2005=B1641)*($A$6:$A$2005&lt;A1641)*$A$6:$A$2005)))</f>
        <v/>
      </c>
      <c r="F1641" s="41">
        <f>IF(OR(E1641="",E1641=0),"",IFERROR(AVERAGEIFS($C$6:$C$2005,$B$6:$B$2005,B1641,$A$6:$A$2005,E1641),""))</f>
        <v/>
      </c>
      <c r="G1641" s="34">
        <f>IF(F1641="","",A1641-E1641)</f>
        <v/>
      </c>
      <c r="H1641" s="42">
        <f>IF(OR(F1641="",C1641=""),"",IFERROR((C1641-F1641)/G1641,""))</f>
        <v/>
      </c>
      <c r="I1641" s="39">
        <f>IF(B1641="","",IFERROR(INDEX('Animais'!$M$6:$M$1005,MATCH(B1641,'Animais'!$A$6:$A$1005,0)),"Brinco não cadastrado"))</f>
        <v/>
      </c>
    </row>
    <row r="1642">
      <c r="A1642" s="31" t="n"/>
      <c r="B1642" s="36" t="n"/>
      <c r="C1642" s="38" t="n"/>
      <c r="D1642" s="32" t="n"/>
      <c r="E1642" s="43">
        <f>IF(OR(A1642="",B1642=""),"",SUMPRODUCT(MAX(($B$6:$B$2005=B1642)*($A$6:$A$2005&lt;A1642)*$A$6:$A$2005)))</f>
        <v/>
      </c>
      <c r="F1642" s="41">
        <f>IF(OR(E1642="",E1642=0),"",IFERROR(AVERAGEIFS($C$6:$C$2005,$B$6:$B$2005,B1642,$A$6:$A$2005,E1642),""))</f>
        <v/>
      </c>
      <c r="G1642" s="34">
        <f>IF(F1642="","",A1642-E1642)</f>
        <v/>
      </c>
      <c r="H1642" s="42">
        <f>IF(OR(F1642="",C1642=""),"",IFERROR((C1642-F1642)/G1642,""))</f>
        <v/>
      </c>
      <c r="I1642" s="39">
        <f>IF(B1642="","",IFERROR(INDEX('Animais'!$M$6:$M$1005,MATCH(B1642,'Animais'!$A$6:$A$1005,0)),"Brinco não cadastrado"))</f>
        <v/>
      </c>
    </row>
    <row r="1643">
      <c r="A1643" s="31" t="n"/>
      <c r="B1643" s="36" t="n"/>
      <c r="C1643" s="38" t="n"/>
      <c r="D1643" s="32" t="n"/>
      <c r="E1643" s="43">
        <f>IF(OR(A1643="",B1643=""),"",SUMPRODUCT(MAX(($B$6:$B$2005=B1643)*($A$6:$A$2005&lt;A1643)*$A$6:$A$2005)))</f>
        <v/>
      </c>
      <c r="F1643" s="41">
        <f>IF(OR(E1643="",E1643=0),"",IFERROR(AVERAGEIFS($C$6:$C$2005,$B$6:$B$2005,B1643,$A$6:$A$2005,E1643),""))</f>
        <v/>
      </c>
      <c r="G1643" s="34">
        <f>IF(F1643="","",A1643-E1643)</f>
        <v/>
      </c>
      <c r="H1643" s="42">
        <f>IF(OR(F1643="",C1643=""),"",IFERROR((C1643-F1643)/G1643,""))</f>
        <v/>
      </c>
      <c r="I1643" s="39">
        <f>IF(B1643="","",IFERROR(INDEX('Animais'!$M$6:$M$1005,MATCH(B1643,'Animais'!$A$6:$A$1005,0)),"Brinco não cadastrado"))</f>
        <v/>
      </c>
    </row>
    <row r="1644">
      <c r="A1644" s="31" t="n"/>
      <c r="B1644" s="36" t="n"/>
      <c r="C1644" s="38" t="n"/>
      <c r="D1644" s="32" t="n"/>
      <c r="E1644" s="43">
        <f>IF(OR(A1644="",B1644=""),"",SUMPRODUCT(MAX(($B$6:$B$2005=B1644)*($A$6:$A$2005&lt;A1644)*$A$6:$A$2005)))</f>
        <v/>
      </c>
      <c r="F1644" s="41">
        <f>IF(OR(E1644="",E1644=0),"",IFERROR(AVERAGEIFS($C$6:$C$2005,$B$6:$B$2005,B1644,$A$6:$A$2005,E1644),""))</f>
        <v/>
      </c>
      <c r="G1644" s="34">
        <f>IF(F1644="","",A1644-E1644)</f>
        <v/>
      </c>
      <c r="H1644" s="42">
        <f>IF(OR(F1644="",C1644=""),"",IFERROR((C1644-F1644)/G1644,""))</f>
        <v/>
      </c>
      <c r="I1644" s="39">
        <f>IF(B1644="","",IFERROR(INDEX('Animais'!$M$6:$M$1005,MATCH(B1644,'Animais'!$A$6:$A$1005,0)),"Brinco não cadastrado"))</f>
        <v/>
      </c>
    </row>
    <row r="1645">
      <c r="A1645" s="31" t="n"/>
      <c r="B1645" s="36" t="n"/>
      <c r="C1645" s="38" t="n"/>
      <c r="D1645" s="32" t="n"/>
      <c r="E1645" s="43">
        <f>IF(OR(A1645="",B1645=""),"",SUMPRODUCT(MAX(($B$6:$B$2005=B1645)*($A$6:$A$2005&lt;A1645)*$A$6:$A$2005)))</f>
        <v/>
      </c>
      <c r="F1645" s="41">
        <f>IF(OR(E1645="",E1645=0),"",IFERROR(AVERAGEIFS($C$6:$C$2005,$B$6:$B$2005,B1645,$A$6:$A$2005,E1645),""))</f>
        <v/>
      </c>
      <c r="G1645" s="34">
        <f>IF(F1645="","",A1645-E1645)</f>
        <v/>
      </c>
      <c r="H1645" s="42">
        <f>IF(OR(F1645="",C1645=""),"",IFERROR((C1645-F1645)/G1645,""))</f>
        <v/>
      </c>
      <c r="I1645" s="39">
        <f>IF(B1645="","",IFERROR(INDEX('Animais'!$M$6:$M$1005,MATCH(B1645,'Animais'!$A$6:$A$1005,0)),"Brinco não cadastrado"))</f>
        <v/>
      </c>
    </row>
    <row r="1646">
      <c r="A1646" s="31" t="n"/>
      <c r="B1646" s="36" t="n"/>
      <c r="C1646" s="38" t="n"/>
      <c r="D1646" s="32" t="n"/>
      <c r="E1646" s="43">
        <f>IF(OR(A1646="",B1646=""),"",SUMPRODUCT(MAX(($B$6:$B$2005=B1646)*($A$6:$A$2005&lt;A1646)*$A$6:$A$2005)))</f>
        <v/>
      </c>
      <c r="F1646" s="41">
        <f>IF(OR(E1646="",E1646=0),"",IFERROR(AVERAGEIFS($C$6:$C$2005,$B$6:$B$2005,B1646,$A$6:$A$2005,E1646),""))</f>
        <v/>
      </c>
      <c r="G1646" s="34">
        <f>IF(F1646="","",A1646-E1646)</f>
        <v/>
      </c>
      <c r="H1646" s="42">
        <f>IF(OR(F1646="",C1646=""),"",IFERROR((C1646-F1646)/G1646,""))</f>
        <v/>
      </c>
      <c r="I1646" s="39">
        <f>IF(B1646="","",IFERROR(INDEX('Animais'!$M$6:$M$1005,MATCH(B1646,'Animais'!$A$6:$A$1005,0)),"Brinco não cadastrado"))</f>
        <v/>
      </c>
    </row>
    <row r="1647">
      <c r="A1647" s="31" t="n"/>
      <c r="B1647" s="36" t="n"/>
      <c r="C1647" s="38" t="n"/>
      <c r="D1647" s="32" t="n"/>
      <c r="E1647" s="43">
        <f>IF(OR(A1647="",B1647=""),"",SUMPRODUCT(MAX(($B$6:$B$2005=B1647)*($A$6:$A$2005&lt;A1647)*$A$6:$A$2005)))</f>
        <v/>
      </c>
      <c r="F1647" s="41">
        <f>IF(OR(E1647="",E1647=0),"",IFERROR(AVERAGEIFS($C$6:$C$2005,$B$6:$B$2005,B1647,$A$6:$A$2005,E1647),""))</f>
        <v/>
      </c>
      <c r="G1647" s="34">
        <f>IF(F1647="","",A1647-E1647)</f>
        <v/>
      </c>
      <c r="H1647" s="42">
        <f>IF(OR(F1647="",C1647=""),"",IFERROR((C1647-F1647)/G1647,""))</f>
        <v/>
      </c>
      <c r="I1647" s="39">
        <f>IF(B1647="","",IFERROR(INDEX('Animais'!$M$6:$M$1005,MATCH(B1647,'Animais'!$A$6:$A$1005,0)),"Brinco não cadastrado"))</f>
        <v/>
      </c>
    </row>
    <row r="1648">
      <c r="A1648" s="31" t="n"/>
      <c r="B1648" s="36" t="n"/>
      <c r="C1648" s="38" t="n"/>
      <c r="D1648" s="32" t="n"/>
      <c r="E1648" s="43">
        <f>IF(OR(A1648="",B1648=""),"",SUMPRODUCT(MAX(($B$6:$B$2005=B1648)*($A$6:$A$2005&lt;A1648)*$A$6:$A$2005)))</f>
        <v/>
      </c>
      <c r="F1648" s="41">
        <f>IF(OR(E1648="",E1648=0),"",IFERROR(AVERAGEIFS($C$6:$C$2005,$B$6:$B$2005,B1648,$A$6:$A$2005,E1648),""))</f>
        <v/>
      </c>
      <c r="G1648" s="34">
        <f>IF(F1648="","",A1648-E1648)</f>
        <v/>
      </c>
      <c r="H1648" s="42">
        <f>IF(OR(F1648="",C1648=""),"",IFERROR((C1648-F1648)/G1648,""))</f>
        <v/>
      </c>
      <c r="I1648" s="39">
        <f>IF(B1648="","",IFERROR(INDEX('Animais'!$M$6:$M$1005,MATCH(B1648,'Animais'!$A$6:$A$1005,0)),"Brinco não cadastrado"))</f>
        <v/>
      </c>
    </row>
    <row r="1649">
      <c r="A1649" s="31" t="n"/>
      <c r="B1649" s="36" t="n"/>
      <c r="C1649" s="38" t="n"/>
      <c r="D1649" s="32" t="n"/>
      <c r="E1649" s="43">
        <f>IF(OR(A1649="",B1649=""),"",SUMPRODUCT(MAX(($B$6:$B$2005=B1649)*($A$6:$A$2005&lt;A1649)*$A$6:$A$2005)))</f>
        <v/>
      </c>
      <c r="F1649" s="41">
        <f>IF(OR(E1649="",E1649=0),"",IFERROR(AVERAGEIFS($C$6:$C$2005,$B$6:$B$2005,B1649,$A$6:$A$2005,E1649),""))</f>
        <v/>
      </c>
      <c r="G1649" s="34">
        <f>IF(F1649="","",A1649-E1649)</f>
        <v/>
      </c>
      <c r="H1649" s="42">
        <f>IF(OR(F1649="",C1649=""),"",IFERROR((C1649-F1649)/G1649,""))</f>
        <v/>
      </c>
      <c r="I1649" s="39">
        <f>IF(B1649="","",IFERROR(INDEX('Animais'!$M$6:$M$1005,MATCH(B1649,'Animais'!$A$6:$A$1005,0)),"Brinco não cadastrado"))</f>
        <v/>
      </c>
    </row>
    <row r="1650">
      <c r="A1650" s="31" t="n"/>
      <c r="B1650" s="36" t="n"/>
      <c r="C1650" s="38" t="n"/>
      <c r="D1650" s="32" t="n"/>
      <c r="E1650" s="43">
        <f>IF(OR(A1650="",B1650=""),"",SUMPRODUCT(MAX(($B$6:$B$2005=B1650)*($A$6:$A$2005&lt;A1650)*$A$6:$A$2005)))</f>
        <v/>
      </c>
      <c r="F1650" s="41">
        <f>IF(OR(E1650="",E1650=0),"",IFERROR(AVERAGEIFS($C$6:$C$2005,$B$6:$B$2005,B1650,$A$6:$A$2005,E1650),""))</f>
        <v/>
      </c>
      <c r="G1650" s="34">
        <f>IF(F1650="","",A1650-E1650)</f>
        <v/>
      </c>
      <c r="H1650" s="42">
        <f>IF(OR(F1650="",C1650=""),"",IFERROR((C1650-F1650)/G1650,""))</f>
        <v/>
      </c>
      <c r="I1650" s="39">
        <f>IF(B1650="","",IFERROR(INDEX('Animais'!$M$6:$M$1005,MATCH(B1650,'Animais'!$A$6:$A$1005,0)),"Brinco não cadastrado"))</f>
        <v/>
      </c>
    </row>
    <row r="1651">
      <c r="A1651" s="31" t="n"/>
      <c r="B1651" s="36" t="n"/>
      <c r="C1651" s="38" t="n"/>
      <c r="D1651" s="32" t="n"/>
      <c r="E1651" s="43">
        <f>IF(OR(A1651="",B1651=""),"",SUMPRODUCT(MAX(($B$6:$B$2005=B1651)*($A$6:$A$2005&lt;A1651)*$A$6:$A$2005)))</f>
        <v/>
      </c>
      <c r="F1651" s="41">
        <f>IF(OR(E1651="",E1651=0),"",IFERROR(AVERAGEIFS($C$6:$C$2005,$B$6:$B$2005,B1651,$A$6:$A$2005,E1651),""))</f>
        <v/>
      </c>
      <c r="G1651" s="34">
        <f>IF(F1651="","",A1651-E1651)</f>
        <v/>
      </c>
      <c r="H1651" s="42">
        <f>IF(OR(F1651="",C1651=""),"",IFERROR((C1651-F1651)/G1651,""))</f>
        <v/>
      </c>
      <c r="I1651" s="39">
        <f>IF(B1651="","",IFERROR(INDEX('Animais'!$M$6:$M$1005,MATCH(B1651,'Animais'!$A$6:$A$1005,0)),"Brinco não cadastrado"))</f>
        <v/>
      </c>
    </row>
    <row r="1652">
      <c r="A1652" s="31" t="n"/>
      <c r="B1652" s="36" t="n"/>
      <c r="C1652" s="38" t="n"/>
      <c r="D1652" s="32" t="n"/>
      <c r="E1652" s="43">
        <f>IF(OR(A1652="",B1652=""),"",SUMPRODUCT(MAX(($B$6:$B$2005=B1652)*($A$6:$A$2005&lt;A1652)*$A$6:$A$2005)))</f>
        <v/>
      </c>
      <c r="F1652" s="41">
        <f>IF(OR(E1652="",E1652=0),"",IFERROR(AVERAGEIFS($C$6:$C$2005,$B$6:$B$2005,B1652,$A$6:$A$2005,E1652),""))</f>
        <v/>
      </c>
      <c r="G1652" s="34">
        <f>IF(F1652="","",A1652-E1652)</f>
        <v/>
      </c>
      <c r="H1652" s="42">
        <f>IF(OR(F1652="",C1652=""),"",IFERROR((C1652-F1652)/G1652,""))</f>
        <v/>
      </c>
      <c r="I1652" s="39">
        <f>IF(B1652="","",IFERROR(INDEX('Animais'!$M$6:$M$1005,MATCH(B1652,'Animais'!$A$6:$A$1005,0)),"Brinco não cadastrado"))</f>
        <v/>
      </c>
    </row>
    <row r="1653">
      <c r="A1653" s="31" t="n"/>
      <c r="B1653" s="36" t="n"/>
      <c r="C1653" s="38" t="n"/>
      <c r="D1653" s="32" t="n"/>
      <c r="E1653" s="43">
        <f>IF(OR(A1653="",B1653=""),"",SUMPRODUCT(MAX(($B$6:$B$2005=B1653)*($A$6:$A$2005&lt;A1653)*$A$6:$A$2005)))</f>
        <v/>
      </c>
      <c r="F1653" s="41">
        <f>IF(OR(E1653="",E1653=0),"",IFERROR(AVERAGEIFS($C$6:$C$2005,$B$6:$B$2005,B1653,$A$6:$A$2005,E1653),""))</f>
        <v/>
      </c>
      <c r="G1653" s="34">
        <f>IF(F1653="","",A1653-E1653)</f>
        <v/>
      </c>
      <c r="H1653" s="42">
        <f>IF(OR(F1653="",C1653=""),"",IFERROR((C1653-F1653)/G1653,""))</f>
        <v/>
      </c>
      <c r="I1653" s="39">
        <f>IF(B1653="","",IFERROR(INDEX('Animais'!$M$6:$M$1005,MATCH(B1653,'Animais'!$A$6:$A$1005,0)),"Brinco não cadastrado"))</f>
        <v/>
      </c>
    </row>
    <row r="1654">
      <c r="A1654" s="31" t="n"/>
      <c r="B1654" s="36" t="n"/>
      <c r="C1654" s="38" t="n"/>
      <c r="D1654" s="32" t="n"/>
      <c r="E1654" s="43">
        <f>IF(OR(A1654="",B1654=""),"",SUMPRODUCT(MAX(($B$6:$B$2005=B1654)*($A$6:$A$2005&lt;A1654)*$A$6:$A$2005)))</f>
        <v/>
      </c>
      <c r="F1654" s="41">
        <f>IF(OR(E1654="",E1654=0),"",IFERROR(AVERAGEIFS($C$6:$C$2005,$B$6:$B$2005,B1654,$A$6:$A$2005,E1654),""))</f>
        <v/>
      </c>
      <c r="G1654" s="34">
        <f>IF(F1654="","",A1654-E1654)</f>
        <v/>
      </c>
      <c r="H1654" s="42">
        <f>IF(OR(F1654="",C1654=""),"",IFERROR((C1654-F1654)/G1654,""))</f>
        <v/>
      </c>
      <c r="I1654" s="39">
        <f>IF(B1654="","",IFERROR(INDEX('Animais'!$M$6:$M$1005,MATCH(B1654,'Animais'!$A$6:$A$1005,0)),"Brinco não cadastrado"))</f>
        <v/>
      </c>
    </row>
    <row r="1655">
      <c r="A1655" s="31" t="n"/>
      <c r="B1655" s="36" t="n"/>
      <c r="C1655" s="38" t="n"/>
      <c r="D1655" s="32" t="n"/>
      <c r="E1655" s="43">
        <f>IF(OR(A1655="",B1655=""),"",SUMPRODUCT(MAX(($B$6:$B$2005=B1655)*($A$6:$A$2005&lt;A1655)*$A$6:$A$2005)))</f>
        <v/>
      </c>
      <c r="F1655" s="41">
        <f>IF(OR(E1655="",E1655=0),"",IFERROR(AVERAGEIFS($C$6:$C$2005,$B$6:$B$2005,B1655,$A$6:$A$2005,E1655),""))</f>
        <v/>
      </c>
      <c r="G1655" s="34">
        <f>IF(F1655="","",A1655-E1655)</f>
        <v/>
      </c>
      <c r="H1655" s="42">
        <f>IF(OR(F1655="",C1655=""),"",IFERROR((C1655-F1655)/G1655,""))</f>
        <v/>
      </c>
      <c r="I1655" s="39">
        <f>IF(B1655="","",IFERROR(INDEX('Animais'!$M$6:$M$1005,MATCH(B1655,'Animais'!$A$6:$A$1005,0)),"Brinco não cadastrado"))</f>
        <v/>
      </c>
    </row>
    <row r="1656">
      <c r="A1656" s="31" t="n"/>
      <c r="B1656" s="36" t="n"/>
      <c r="C1656" s="38" t="n"/>
      <c r="D1656" s="32" t="n"/>
      <c r="E1656" s="43">
        <f>IF(OR(A1656="",B1656=""),"",SUMPRODUCT(MAX(($B$6:$B$2005=B1656)*($A$6:$A$2005&lt;A1656)*$A$6:$A$2005)))</f>
        <v/>
      </c>
      <c r="F1656" s="41">
        <f>IF(OR(E1656="",E1656=0),"",IFERROR(AVERAGEIFS($C$6:$C$2005,$B$6:$B$2005,B1656,$A$6:$A$2005,E1656),""))</f>
        <v/>
      </c>
      <c r="G1656" s="34">
        <f>IF(F1656="","",A1656-E1656)</f>
        <v/>
      </c>
      <c r="H1656" s="42">
        <f>IF(OR(F1656="",C1656=""),"",IFERROR((C1656-F1656)/G1656,""))</f>
        <v/>
      </c>
      <c r="I1656" s="39">
        <f>IF(B1656="","",IFERROR(INDEX('Animais'!$M$6:$M$1005,MATCH(B1656,'Animais'!$A$6:$A$1005,0)),"Brinco não cadastrado"))</f>
        <v/>
      </c>
    </row>
    <row r="1657">
      <c r="A1657" s="31" t="n"/>
      <c r="B1657" s="36" t="n"/>
      <c r="C1657" s="38" t="n"/>
      <c r="D1657" s="32" t="n"/>
      <c r="E1657" s="43">
        <f>IF(OR(A1657="",B1657=""),"",SUMPRODUCT(MAX(($B$6:$B$2005=B1657)*($A$6:$A$2005&lt;A1657)*$A$6:$A$2005)))</f>
        <v/>
      </c>
      <c r="F1657" s="41">
        <f>IF(OR(E1657="",E1657=0),"",IFERROR(AVERAGEIFS($C$6:$C$2005,$B$6:$B$2005,B1657,$A$6:$A$2005,E1657),""))</f>
        <v/>
      </c>
      <c r="G1657" s="34">
        <f>IF(F1657="","",A1657-E1657)</f>
        <v/>
      </c>
      <c r="H1657" s="42">
        <f>IF(OR(F1657="",C1657=""),"",IFERROR((C1657-F1657)/G1657,""))</f>
        <v/>
      </c>
      <c r="I1657" s="39">
        <f>IF(B1657="","",IFERROR(INDEX('Animais'!$M$6:$M$1005,MATCH(B1657,'Animais'!$A$6:$A$1005,0)),"Brinco não cadastrado"))</f>
        <v/>
      </c>
    </row>
    <row r="1658">
      <c r="A1658" s="31" t="n"/>
      <c r="B1658" s="36" t="n"/>
      <c r="C1658" s="38" t="n"/>
      <c r="D1658" s="32" t="n"/>
      <c r="E1658" s="43">
        <f>IF(OR(A1658="",B1658=""),"",SUMPRODUCT(MAX(($B$6:$B$2005=B1658)*($A$6:$A$2005&lt;A1658)*$A$6:$A$2005)))</f>
        <v/>
      </c>
      <c r="F1658" s="41">
        <f>IF(OR(E1658="",E1658=0),"",IFERROR(AVERAGEIFS($C$6:$C$2005,$B$6:$B$2005,B1658,$A$6:$A$2005,E1658),""))</f>
        <v/>
      </c>
      <c r="G1658" s="34">
        <f>IF(F1658="","",A1658-E1658)</f>
        <v/>
      </c>
      <c r="H1658" s="42">
        <f>IF(OR(F1658="",C1658=""),"",IFERROR((C1658-F1658)/G1658,""))</f>
        <v/>
      </c>
      <c r="I1658" s="39">
        <f>IF(B1658="","",IFERROR(INDEX('Animais'!$M$6:$M$1005,MATCH(B1658,'Animais'!$A$6:$A$1005,0)),"Brinco não cadastrado"))</f>
        <v/>
      </c>
    </row>
    <row r="1659">
      <c r="A1659" s="31" t="n"/>
      <c r="B1659" s="36" t="n"/>
      <c r="C1659" s="38" t="n"/>
      <c r="D1659" s="32" t="n"/>
      <c r="E1659" s="43">
        <f>IF(OR(A1659="",B1659=""),"",SUMPRODUCT(MAX(($B$6:$B$2005=B1659)*($A$6:$A$2005&lt;A1659)*$A$6:$A$2005)))</f>
        <v/>
      </c>
      <c r="F1659" s="41">
        <f>IF(OR(E1659="",E1659=0),"",IFERROR(AVERAGEIFS($C$6:$C$2005,$B$6:$B$2005,B1659,$A$6:$A$2005,E1659),""))</f>
        <v/>
      </c>
      <c r="G1659" s="34">
        <f>IF(F1659="","",A1659-E1659)</f>
        <v/>
      </c>
      <c r="H1659" s="42">
        <f>IF(OR(F1659="",C1659=""),"",IFERROR((C1659-F1659)/G1659,""))</f>
        <v/>
      </c>
      <c r="I1659" s="39">
        <f>IF(B1659="","",IFERROR(INDEX('Animais'!$M$6:$M$1005,MATCH(B1659,'Animais'!$A$6:$A$1005,0)),"Brinco não cadastrado"))</f>
        <v/>
      </c>
    </row>
    <row r="1660">
      <c r="A1660" s="31" t="n"/>
      <c r="B1660" s="36" t="n"/>
      <c r="C1660" s="38" t="n"/>
      <c r="D1660" s="32" t="n"/>
      <c r="E1660" s="43">
        <f>IF(OR(A1660="",B1660=""),"",SUMPRODUCT(MAX(($B$6:$B$2005=B1660)*($A$6:$A$2005&lt;A1660)*$A$6:$A$2005)))</f>
        <v/>
      </c>
      <c r="F1660" s="41">
        <f>IF(OR(E1660="",E1660=0),"",IFERROR(AVERAGEIFS($C$6:$C$2005,$B$6:$B$2005,B1660,$A$6:$A$2005,E1660),""))</f>
        <v/>
      </c>
      <c r="G1660" s="34">
        <f>IF(F1660="","",A1660-E1660)</f>
        <v/>
      </c>
      <c r="H1660" s="42">
        <f>IF(OR(F1660="",C1660=""),"",IFERROR((C1660-F1660)/G1660,""))</f>
        <v/>
      </c>
      <c r="I1660" s="39">
        <f>IF(B1660="","",IFERROR(INDEX('Animais'!$M$6:$M$1005,MATCH(B1660,'Animais'!$A$6:$A$1005,0)),"Brinco não cadastrado"))</f>
        <v/>
      </c>
    </row>
    <row r="1661">
      <c r="A1661" s="31" t="n"/>
      <c r="B1661" s="36" t="n"/>
      <c r="C1661" s="38" t="n"/>
      <c r="D1661" s="32" t="n"/>
      <c r="E1661" s="43">
        <f>IF(OR(A1661="",B1661=""),"",SUMPRODUCT(MAX(($B$6:$B$2005=B1661)*($A$6:$A$2005&lt;A1661)*$A$6:$A$2005)))</f>
        <v/>
      </c>
      <c r="F1661" s="41">
        <f>IF(OR(E1661="",E1661=0),"",IFERROR(AVERAGEIFS($C$6:$C$2005,$B$6:$B$2005,B1661,$A$6:$A$2005,E1661),""))</f>
        <v/>
      </c>
      <c r="G1661" s="34">
        <f>IF(F1661="","",A1661-E1661)</f>
        <v/>
      </c>
      <c r="H1661" s="42">
        <f>IF(OR(F1661="",C1661=""),"",IFERROR((C1661-F1661)/G1661,""))</f>
        <v/>
      </c>
      <c r="I1661" s="39">
        <f>IF(B1661="","",IFERROR(INDEX('Animais'!$M$6:$M$1005,MATCH(B1661,'Animais'!$A$6:$A$1005,0)),"Brinco não cadastrado"))</f>
        <v/>
      </c>
    </row>
    <row r="1662">
      <c r="A1662" s="31" t="n"/>
      <c r="B1662" s="36" t="n"/>
      <c r="C1662" s="38" t="n"/>
      <c r="D1662" s="32" t="n"/>
      <c r="E1662" s="43">
        <f>IF(OR(A1662="",B1662=""),"",SUMPRODUCT(MAX(($B$6:$B$2005=B1662)*($A$6:$A$2005&lt;A1662)*$A$6:$A$2005)))</f>
        <v/>
      </c>
      <c r="F1662" s="41">
        <f>IF(OR(E1662="",E1662=0),"",IFERROR(AVERAGEIFS($C$6:$C$2005,$B$6:$B$2005,B1662,$A$6:$A$2005,E1662),""))</f>
        <v/>
      </c>
      <c r="G1662" s="34">
        <f>IF(F1662="","",A1662-E1662)</f>
        <v/>
      </c>
      <c r="H1662" s="42">
        <f>IF(OR(F1662="",C1662=""),"",IFERROR((C1662-F1662)/G1662,""))</f>
        <v/>
      </c>
      <c r="I1662" s="39">
        <f>IF(B1662="","",IFERROR(INDEX('Animais'!$M$6:$M$1005,MATCH(B1662,'Animais'!$A$6:$A$1005,0)),"Brinco não cadastrado"))</f>
        <v/>
      </c>
    </row>
    <row r="1663">
      <c r="A1663" s="31" t="n"/>
      <c r="B1663" s="36" t="n"/>
      <c r="C1663" s="38" t="n"/>
      <c r="D1663" s="32" t="n"/>
      <c r="E1663" s="43">
        <f>IF(OR(A1663="",B1663=""),"",SUMPRODUCT(MAX(($B$6:$B$2005=B1663)*($A$6:$A$2005&lt;A1663)*$A$6:$A$2005)))</f>
        <v/>
      </c>
      <c r="F1663" s="41">
        <f>IF(OR(E1663="",E1663=0),"",IFERROR(AVERAGEIFS($C$6:$C$2005,$B$6:$B$2005,B1663,$A$6:$A$2005,E1663),""))</f>
        <v/>
      </c>
      <c r="G1663" s="34">
        <f>IF(F1663="","",A1663-E1663)</f>
        <v/>
      </c>
      <c r="H1663" s="42">
        <f>IF(OR(F1663="",C1663=""),"",IFERROR((C1663-F1663)/G1663,""))</f>
        <v/>
      </c>
      <c r="I1663" s="39">
        <f>IF(B1663="","",IFERROR(INDEX('Animais'!$M$6:$M$1005,MATCH(B1663,'Animais'!$A$6:$A$1005,0)),"Brinco não cadastrado"))</f>
        <v/>
      </c>
    </row>
    <row r="1664">
      <c r="A1664" s="31" t="n"/>
      <c r="B1664" s="36" t="n"/>
      <c r="C1664" s="38" t="n"/>
      <c r="D1664" s="32" t="n"/>
      <c r="E1664" s="43">
        <f>IF(OR(A1664="",B1664=""),"",SUMPRODUCT(MAX(($B$6:$B$2005=B1664)*($A$6:$A$2005&lt;A1664)*$A$6:$A$2005)))</f>
        <v/>
      </c>
      <c r="F1664" s="41">
        <f>IF(OR(E1664="",E1664=0),"",IFERROR(AVERAGEIFS($C$6:$C$2005,$B$6:$B$2005,B1664,$A$6:$A$2005,E1664),""))</f>
        <v/>
      </c>
      <c r="G1664" s="34">
        <f>IF(F1664="","",A1664-E1664)</f>
        <v/>
      </c>
      <c r="H1664" s="42">
        <f>IF(OR(F1664="",C1664=""),"",IFERROR((C1664-F1664)/G1664,""))</f>
        <v/>
      </c>
      <c r="I1664" s="39">
        <f>IF(B1664="","",IFERROR(INDEX('Animais'!$M$6:$M$1005,MATCH(B1664,'Animais'!$A$6:$A$1005,0)),"Brinco não cadastrado"))</f>
        <v/>
      </c>
    </row>
    <row r="1665">
      <c r="A1665" s="31" t="n"/>
      <c r="B1665" s="36" t="n"/>
      <c r="C1665" s="38" t="n"/>
      <c r="D1665" s="32" t="n"/>
      <c r="E1665" s="43">
        <f>IF(OR(A1665="",B1665=""),"",SUMPRODUCT(MAX(($B$6:$B$2005=B1665)*($A$6:$A$2005&lt;A1665)*$A$6:$A$2005)))</f>
        <v/>
      </c>
      <c r="F1665" s="41">
        <f>IF(OR(E1665="",E1665=0),"",IFERROR(AVERAGEIFS($C$6:$C$2005,$B$6:$B$2005,B1665,$A$6:$A$2005,E1665),""))</f>
        <v/>
      </c>
      <c r="G1665" s="34">
        <f>IF(F1665="","",A1665-E1665)</f>
        <v/>
      </c>
      <c r="H1665" s="42">
        <f>IF(OR(F1665="",C1665=""),"",IFERROR((C1665-F1665)/G1665,""))</f>
        <v/>
      </c>
      <c r="I1665" s="39">
        <f>IF(B1665="","",IFERROR(INDEX('Animais'!$M$6:$M$1005,MATCH(B1665,'Animais'!$A$6:$A$1005,0)),"Brinco não cadastrado"))</f>
        <v/>
      </c>
    </row>
    <row r="1666">
      <c r="A1666" s="31" t="n"/>
      <c r="B1666" s="36" t="n"/>
      <c r="C1666" s="38" t="n"/>
      <c r="D1666" s="32" t="n"/>
      <c r="E1666" s="43">
        <f>IF(OR(A1666="",B1666=""),"",SUMPRODUCT(MAX(($B$6:$B$2005=B1666)*($A$6:$A$2005&lt;A1666)*$A$6:$A$2005)))</f>
        <v/>
      </c>
      <c r="F1666" s="41">
        <f>IF(OR(E1666="",E1666=0),"",IFERROR(AVERAGEIFS($C$6:$C$2005,$B$6:$B$2005,B1666,$A$6:$A$2005,E1666),""))</f>
        <v/>
      </c>
      <c r="G1666" s="34">
        <f>IF(F1666="","",A1666-E1666)</f>
        <v/>
      </c>
      <c r="H1666" s="42">
        <f>IF(OR(F1666="",C1666=""),"",IFERROR((C1666-F1666)/G1666,""))</f>
        <v/>
      </c>
      <c r="I1666" s="39">
        <f>IF(B1666="","",IFERROR(INDEX('Animais'!$M$6:$M$1005,MATCH(B1666,'Animais'!$A$6:$A$1005,0)),"Brinco não cadastrado"))</f>
        <v/>
      </c>
    </row>
    <row r="1667">
      <c r="A1667" s="31" t="n"/>
      <c r="B1667" s="36" t="n"/>
      <c r="C1667" s="38" t="n"/>
      <c r="D1667" s="32" t="n"/>
      <c r="E1667" s="43">
        <f>IF(OR(A1667="",B1667=""),"",SUMPRODUCT(MAX(($B$6:$B$2005=B1667)*($A$6:$A$2005&lt;A1667)*$A$6:$A$2005)))</f>
        <v/>
      </c>
      <c r="F1667" s="41">
        <f>IF(OR(E1667="",E1667=0),"",IFERROR(AVERAGEIFS($C$6:$C$2005,$B$6:$B$2005,B1667,$A$6:$A$2005,E1667),""))</f>
        <v/>
      </c>
      <c r="G1667" s="34">
        <f>IF(F1667="","",A1667-E1667)</f>
        <v/>
      </c>
      <c r="H1667" s="42">
        <f>IF(OR(F1667="",C1667=""),"",IFERROR((C1667-F1667)/G1667,""))</f>
        <v/>
      </c>
      <c r="I1667" s="39">
        <f>IF(B1667="","",IFERROR(INDEX('Animais'!$M$6:$M$1005,MATCH(B1667,'Animais'!$A$6:$A$1005,0)),"Brinco não cadastrado"))</f>
        <v/>
      </c>
    </row>
    <row r="1668">
      <c r="A1668" s="31" t="n"/>
      <c r="B1668" s="36" t="n"/>
      <c r="C1668" s="38" t="n"/>
      <c r="D1668" s="32" t="n"/>
      <c r="E1668" s="43">
        <f>IF(OR(A1668="",B1668=""),"",SUMPRODUCT(MAX(($B$6:$B$2005=B1668)*($A$6:$A$2005&lt;A1668)*$A$6:$A$2005)))</f>
        <v/>
      </c>
      <c r="F1668" s="41">
        <f>IF(OR(E1668="",E1668=0),"",IFERROR(AVERAGEIFS($C$6:$C$2005,$B$6:$B$2005,B1668,$A$6:$A$2005,E1668),""))</f>
        <v/>
      </c>
      <c r="G1668" s="34">
        <f>IF(F1668="","",A1668-E1668)</f>
        <v/>
      </c>
      <c r="H1668" s="42">
        <f>IF(OR(F1668="",C1668=""),"",IFERROR((C1668-F1668)/G1668,""))</f>
        <v/>
      </c>
      <c r="I1668" s="39">
        <f>IF(B1668="","",IFERROR(INDEX('Animais'!$M$6:$M$1005,MATCH(B1668,'Animais'!$A$6:$A$1005,0)),"Brinco não cadastrado"))</f>
        <v/>
      </c>
    </row>
    <row r="1669">
      <c r="A1669" s="31" t="n"/>
      <c r="B1669" s="36" t="n"/>
      <c r="C1669" s="38" t="n"/>
      <c r="D1669" s="32" t="n"/>
      <c r="E1669" s="43">
        <f>IF(OR(A1669="",B1669=""),"",SUMPRODUCT(MAX(($B$6:$B$2005=B1669)*($A$6:$A$2005&lt;A1669)*$A$6:$A$2005)))</f>
        <v/>
      </c>
      <c r="F1669" s="41">
        <f>IF(OR(E1669="",E1669=0),"",IFERROR(AVERAGEIFS($C$6:$C$2005,$B$6:$B$2005,B1669,$A$6:$A$2005,E1669),""))</f>
        <v/>
      </c>
      <c r="G1669" s="34">
        <f>IF(F1669="","",A1669-E1669)</f>
        <v/>
      </c>
      <c r="H1669" s="42">
        <f>IF(OR(F1669="",C1669=""),"",IFERROR((C1669-F1669)/G1669,""))</f>
        <v/>
      </c>
      <c r="I1669" s="39">
        <f>IF(B1669="","",IFERROR(INDEX('Animais'!$M$6:$M$1005,MATCH(B1669,'Animais'!$A$6:$A$1005,0)),"Brinco não cadastrado"))</f>
        <v/>
      </c>
    </row>
    <row r="1670">
      <c r="A1670" s="31" t="n"/>
      <c r="B1670" s="36" t="n"/>
      <c r="C1670" s="38" t="n"/>
      <c r="D1670" s="32" t="n"/>
      <c r="E1670" s="43">
        <f>IF(OR(A1670="",B1670=""),"",SUMPRODUCT(MAX(($B$6:$B$2005=B1670)*($A$6:$A$2005&lt;A1670)*$A$6:$A$2005)))</f>
        <v/>
      </c>
      <c r="F1670" s="41">
        <f>IF(OR(E1670="",E1670=0),"",IFERROR(AVERAGEIFS($C$6:$C$2005,$B$6:$B$2005,B1670,$A$6:$A$2005,E1670),""))</f>
        <v/>
      </c>
      <c r="G1670" s="34">
        <f>IF(F1670="","",A1670-E1670)</f>
        <v/>
      </c>
      <c r="H1670" s="42">
        <f>IF(OR(F1670="",C1670=""),"",IFERROR((C1670-F1670)/G1670,""))</f>
        <v/>
      </c>
      <c r="I1670" s="39">
        <f>IF(B1670="","",IFERROR(INDEX('Animais'!$M$6:$M$1005,MATCH(B1670,'Animais'!$A$6:$A$1005,0)),"Brinco não cadastrado"))</f>
        <v/>
      </c>
    </row>
    <row r="1671">
      <c r="A1671" s="31" t="n"/>
      <c r="B1671" s="36" t="n"/>
      <c r="C1671" s="38" t="n"/>
      <c r="D1671" s="32" t="n"/>
      <c r="E1671" s="43">
        <f>IF(OR(A1671="",B1671=""),"",SUMPRODUCT(MAX(($B$6:$B$2005=B1671)*($A$6:$A$2005&lt;A1671)*$A$6:$A$2005)))</f>
        <v/>
      </c>
      <c r="F1671" s="41">
        <f>IF(OR(E1671="",E1671=0),"",IFERROR(AVERAGEIFS($C$6:$C$2005,$B$6:$B$2005,B1671,$A$6:$A$2005,E1671),""))</f>
        <v/>
      </c>
      <c r="G1671" s="34">
        <f>IF(F1671="","",A1671-E1671)</f>
        <v/>
      </c>
      <c r="H1671" s="42">
        <f>IF(OR(F1671="",C1671=""),"",IFERROR((C1671-F1671)/G1671,""))</f>
        <v/>
      </c>
      <c r="I1671" s="39">
        <f>IF(B1671="","",IFERROR(INDEX('Animais'!$M$6:$M$1005,MATCH(B1671,'Animais'!$A$6:$A$1005,0)),"Brinco não cadastrado"))</f>
        <v/>
      </c>
    </row>
    <row r="1672">
      <c r="A1672" s="31" t="n"/>
      <c r="B1672" s="36" t="n"/>
      <c r="C1672" s="38" t="n"/>
      <c r="D1672" s="32" t="n"/>
      <c r="E1672" s="43">
        <f>IF(OR(A1672="",B1672=""),"",SUMPRODUCT(MAX(($B$6:$B$2005=B1672)*($A$6:$A$2005&lt;A1672)*$A$6:$A$2005)))</f>
        <v/>
      </c>
      <c r="F1672" s="41">
        <f>IF(OR(E1672="",E1672=0),"",IFERROR(AVERAGEIFS($C$6:$C$2005,$B$6:$B$2005,B1672,$A$6:$A$2005,E1672),""))</f>
        <v/>
      </c>
      <c r="G1672" s="34">
        <f>IF(F1672="","",A1672-E1672)</f>
        <v/>
      </c>
      <c r="H1672" s="42">
        <f>IF(OR(F1672="",C1672=""),"",IFERROR((C1672-F1672)/G1672,""))</f>
        <v/>
      </c>
      <c r="I1672" s="39">
        <f>IF(B1672="","",IFERROR(INDEX('Animais'!$M$6:$M$1005,MATCH(B1672,'Animais'!$A$6:$A$1005,0)),"Brinco não cadastrado"))</f>
        <v/>
      </c>
    </row>
    <row r="1673">
      <c r="A1673" s="31" t="n"/>
      <c r="B1673" s="36" t="n"/>
      <c r="C1673" s="38" t="n"/>
      <c r="D1673" s="32" t="n"/>
      <c r="E1673" s="43">
        <f>IF(OR(A1673="",B1673=""),"",SUMPRODUCT(MAX(($B$6:$B$2005=B1673)*($A$6:$A$2005&lt;A1673)*$A$6:$A$2005)))</f>
        <v/>
      </c>
      <c r="F1673" s="41">
        <f>IF(OR(E1673="",E1673=0),"",IFERROR(AVERAGEIFS($C$6:$C$2005,$B$6:$B$2005,B1673,$A$6:$A$2005,E1673),""))</f>
        <v/>
      </c>
      <c r="G1673" s="34">
        <f>IF(F1673="","",A1673-E1673)</f>
        <v/>
      </c>
      <c r="H1673" s="42">
        <f>IF(OR(F1673="",C1673=""),"",IFERROR((C1673-F1673)/G1673,""))</f>
        <v/>
      </c>
      <c r="I1673" s="39">
        <f>IF(B1673="","",IFERROR(INDEX('Animais'!$M$6:$M$1005,MATCH(B1673,'Animais'!$A$6:$A$1005,0)),"Brinco não cadastrado"))</f>
        <v/>
      </c>
    </row>
    <row r="1674">
      <c r="A1674" s="31" t="n"/>
      <c r="B1674" s="36" t="n"/>
      <c r="C1674" s="38" t="n"/>
      <c r="D1674" s="32" t="n"/>
      <c r="E1674" s="43">
        <f>IF(OR(A1674="",B1674=""),"",SUMPRODUCT(MAX(($B$6:$B$2005=B1674)*($A$6:$A$2005&lt;A1674)*$A$6:$A$2005)))</f>
        <v/>
      </c>
      <c r="F1674" s="41">
        <f>IF(OR(E1674="",E1674=0),"",IFERROR(AVERAGEIFS($C$6:$C$2005,$B$6:$B$2005,B1674,$A$6:$A$2005,E1674),""))</f>
        <v/>
      </c>
      <c r="G1674" s="34">
        <f>IF(F1674="","",A1674-E1674)</f>
        <v/>
      </c>
      <c r="H1674" s="42">
        <f>IF(OR(F1674="",C1674=""),"",IFERROR((C1674-F1674)/G1674,""))</f>
        <v/>
      </c>
      <c r="I1674" s="39">
        <f>IF(B1674="","",IFERROR(INDEX('Animais'!$M$6:$M$1005,MATCH(B1674,'Animais'!$A$6:$A$1005,0)),"Brinco não cadastrado"))</f>
        <v/>
      </c>
    </row>
    <row r="1675">
      <c r="A1675" s="31" t="n"/>
      <c r="B1675" s="36" t="n"/>
      <c r="C1675" s="38" t="n"/>
      <c r="D1675" s="32" t="n"/>
      <c r="E1675" s="43">
        <f>IF(OR(A1675="",B1675=""),"",SUMPRODUCT(MAX(($B$6:$B$2005=B1675)*($A$6:$A$2005&lt;A1675)*$A$6:$A$2005)))</f>
        <v/>
      </c>
      <c r="F1675" s="41">
        <f>IF(OR(E1675="",E1675=0),"",IFERROR(AVERAGEIFS($C$6:$C$2005,$B$6:$B$2005,B1675,$A$6:$A$2005,E1675),""))</f>
        <v/>
      </c>
      <c r="G1675" s="34">
        <f>IF(F1675="","",A1675-E1675)</f>
        <v/>
      </c>
      <c r="H1675" s="42">
        <f>IF(OR(F1675="",C1675=""),"",IFERROR((C1675-F1675)/G1675,""))</f>
        <v/>
      </c>
      <c r="I1675" s="39">
        <f>IF(B1675="","",IFERROR(INDEX('Animais'!$M$6:$M$1005,MATCH(B1675,'Animais'!$A$6:$A$1005,0)),"Brinco não cadastrado"))</f>
        <v/>
      </c>
    </row>
    <row r="1676">
      <c r="A1676" s="31" t="n"/>
      <c r="B1676" s="36" t="n"/>
      <c r="C1676" s="38" t="n"/>
      <c r="D1676" s="32" t="n"/>
      <c r="E1676" s="43">
        <f>IF(OR(A1676="",B1676=""),"",SUMPRODUCT(MAX(($B$6:$B$2005=B1676)*($A$6:$A$2005&lt;A1676)*$A$6:$A$2005)))</f>
        <v/>
      </c>
      <c r="F1676" s="41">
        <f>IF(OR(E1676="",E1676=0),"",IFERROR(AVERAGEIFS($C$6:$C$2005,$B$6:$B$2005,B1676,$A$6:$A$2005,E1676),""))</f>
        <v/>
      </c>
      <c r="G1676" s="34">
        <f>IF(F1676="","",A1676-E1676)</f>
        <v/>
      </c>
      <c r="H1676" s="42">
        <f>IF(OR(F1676="",C1676=""),"",IFERROR((C1676-F1676)/G1676,""))</f>
        <v/>
      </c>
      <c r="I1676" s="39">
        <f>IF(B1676="","",IFERROR(INDEX('Animais'!$M$6:$M$1005,MATCH(B1676,'Animais'!$A$6:$A$1005,0)),"Brinco não cadastrado"))</f>
        <v/>
      </c>
    </row>
    <row r="1677">
      <c r="A1677" s="31" t="n"/>
      <c r="B1677" s="36" t="n"/>
      <c r="C1677" s="38" t="n"/>
      <c r="D1677" s="32" t="n"/>
      <c r="E1677" s="43">
        <f>IF(OR(A1677="",B1677=""),"",SUMPRODUCT(MAX(($B$6:$B$2005=B1677)*($A$6:$A$2005&lt;A1677)*$A$6:$A$2005)))</f>
        <v/>
      </c>
      <c r="F1677" s="41">
        <f>IF(OR(E1677="",E1677=0),"",IFERROR(AVERAGEIFS($C$6:$C$2005,$B$6:$B$2005,B1677,$A$6:$A$2005,E1677),""))</f>
        <v/>
      </c>
      <c r="G1677" s="34">
        <f>IF(F1677="","",A1677-E1677)</f>
        <v/>
      </c>
      <c r="H1677" s="42">
        <f>IF(OR(F1677="",C1677=""),"",IFERROR((C1677-F1677)/G1677,""))</f>
        <v/>
      </c>
      <c r="I1677" s="39">
        <f>IF(B1677="","",IFERROR(INDEX('Animais'!$M$6:$M$1005,MATCH(B1677,'Animais'!$A$6:$A$1005,0)),"Brinco não cadastrado"))</f>
        <v/>
      </c>
    </row>
    <row r="1678">
      <c r="A1678" s="31" t="n"/>
      <c r="B1678" s="36" t="n"/>
      <c r="C1678" s="38" t="n"/>
      <c r="D1678" s="32" t="n"/>
      <c r="E1678" s="43">
        <f>IF(OR(A1678="",B1678=""),"",SUMPRODUCT(MAX(($B$6:$B$2005=B1678)*($A$6:$A$2005&lt;A1678)*$A$6:$A$2005)))</f>
        <v/>
      </c>
      <c r="F1678" s="41">
        <f>IF(OR(E1678="",E1678=0),"",IFERROR(AVERAGEIFS($C$6:$C$2005,$B$6:$B$2005,B1678,$A$6:$A$2005,E1678),""))</f>
        <v/>
      </c>
      <c r="G1678" s="34">
        <f>IF(F1678="","",A1678-E1678)</f>
        <v/>
      </c>
      <c r="H1678" s="42">
        <f>IF(OR(F1678="",C1678=""),"",IFERROR((C1678-F1678)/G1678,""))</f>
        <v/>
      </c>
      <c r="I1678" s="39">
        <f>IF(B1678="","",IFERROR(INDEX('Animais'!$M$6:$M$1005,MATCH(B1678,'Animais'!$A$6:$A$1005,0)),"Brinco não cadastrado"))</f>
        <v/>
      </c>
    </row>
    <row r="1679">
      <c r="A1679" s="31" t="n"/>
      <c r="B1679" s="36" t="n"/>
      <c r="C1679" s="38" t="n"/>
      <c r="D1679" s="32" t="n"/>
      <c r="E1679" s="43">
        <f>IF(OR(A1679="",B1679=""),"",SUMPRODUCT(MAX(($B$6:$B$2005=B1679)*($A$6:$A$2005&lt;A1679)*$A$6:$A$2005)))</f>
        <v/>
      </c>
      <c r="F1679" s="41">
        <f>IF(OR(E1679="",E1679=0),"",IFERROR(AVERAGEIFS($C$6:$C$2005,$B$6:$B$2005,B1679,$A$6:$A$2005,E1679),""))</f>
        <v/>
      </c>
      <c r="G1679" s="34">
        <f>IF(F1679="","",A1679-E1679)</f>
        <v/>
      </c>
      <c r="H1679" s="42">
        <f>IF(OR(F1679="",C1679=""),"",IFERROR((C1679-F1679)/G1679,""))</f>
        <v/>
      </c>
      <c r="I1679" s="39">
        <f>IF(B1679="","",IFERROR(INDEX('Animais'!$M$6:$M$1005,MATCH(B1679,'Animais'!$A$6:$A$1005,0)),"Brinco não cadastrado"))</f>
        <v/>
      </c>
    </row>
    <row r="1680">
      <c r="A1680" s="31" t="n"/>
      <c r="B1680" s="36" t="n"/>
      <c r="C1680" s="38" t="n"/>
      <c r="D1680" s="32" t="n"/>
      <c r="E1680" s="43">
        <f>IF(OR(A1680="",B1680=""),"",SUMPRODUCT(MAX(($B$6:$B$2005=B1680)*($A$6:$A$2005&lt;A1680)*$A$6:$A$2005)))</f>
        <v/>
      </c>
      <c r="F1680" s="41">
        <f>IF(OR(E1680="",E1680=0),"",IFERROR(AVERAGEIFS($C$6:$C$2005,$B$6:$B$2005,B1680,$A$6:$A$2005,E1680),""))</f>
        <v/>
      </c>
      <c r="G1680" s="34">
        <f>IF(F1680="","",A1680-E1680)</f>
        <v/>
      </c>
      <c r="H1680" s="42">
        <f>IF(OR(F1680="",C1680=""),"",IFERROR((C1680-F1680)/G1680,""))</f>
        <v/>
      </c>
      <c r="I1680" s="39">
        <f>IF(B1680="","",IFERROR(INDEX('Animais'!$M$6:$M$1005,MATCH(B1680,'Animais'!$A$6:$A$1005,0)),"Brinco não cadastrado"))</f>
        <v/>
      </c>
    </row>
    <row r="1681">
      <c r="A1681" s="31" t="n"/>
      <c r="B1681" s="36" t="n"/>
      <c r="C1681" s="38" t="n"/>
      <c r="D1681" s="32" t="n"/>
      <c r="E1681" s="43">
        <f>IF(OR(A1681="",B1681=""),"",SUMPRODUCT(MAX(($B$6:$B$2005=B1681)*($A$6:$A$2005&lt;A1681)*$A$6:$A$2005)))</f>
        <v/>
      </c>
      <c r="F1681" s="41">
        <f>IF(OR(E1681="",E1681=0),"",IFERROR(AVERAGEIFS($C$6:$C$2005,$B$6:$B$2005,B1681,$A$6:$A$2005,E1681),""))</f>
        <v/>
      </c>
      <c r="G1681" s="34">
        <f>IF(F1681="","",A1681-E1681)</f>
        <v/>
      </c>
      <c r="H1681" s="42">
        <f>IF(OR(F1681="",C1681=""),"",IFERROR((C1681-F1681)/G1681,""))</f>
        <v/>
      </c>
      <c r="I1681" s="39">
        <f>IF(B1681="","",IFERROR(INDEX('Animais'!$M$6:$M$1005,MATCH(B1681,'Animais'!$A$6:$A$1005,0)),"Brinco não cadastrado"))</f>
        <v/>
      </c>
    </row>
    <row r="1682">
      <c r="A1682" s="31" t="n"/>
      <c r="B1682" s="36" t="n"/>
      <c r="C1682" s="38" t="n"/>
      <c r="D1682" s="32" t="n"/>
      <c r="E1682" s="43">
        <f>IF(OR(A1682="",B1682=""),"",SUMPRODUCT(MAX(($B$6:$B$2005=B1682)*($A$6:$A$2005&lt;A1682)*$A$6:$A$2005)))</f>
        <v/>
      </c>
      <c r="F1682" s="41">
        <f>IF(OR(E1682="",E1682=0),"",IFERROR(AVERAGEIFS($C$6:$C$2005,$B$6:$B$2005,B1682,$A$6:$A$2005,E1682),""))</f>
        <v/>
      </c>
      <c r="G1682" s="34">
        <f>IF(F1682="","",A1682-E1682)</f>
        <v/>
      </c>
      <c r="H1682" s="42">
        <f>IF(OR(F1682="",C1682=""),"",IFERROR((C1682-F1682)/G1682,""))</f>
        <v/>
      </c>
      <c r="I1682" s="39">
        <f>IF(B1682="","",IFERROR(INDEX('Animais'!$M$6:$M$1005,MATCH(B1682,'Animais'!$A$6:$A$1005,0)),"Brinco não cadastrado"))</f>
        <v/>
      </c>
    </row>
    <row r="1683">
      <c r="A1683" s="31" t="n"/>
      <c r="B1683" s="36" t="n"/>
      <c r="C1683" s="38" t="n"/>
      <c r="D1683" s="32" t="n"/>
      <c r="E1683" s="43">
        <f>IF(OR(A1683="",B1683=""),"",SUMPRODUCT(MAX(($B$6:$B$2005=B1683)*($A$6:$A$2005&lt;A1683)*$A$6:$A$2005)))</f>
        <v/>
      </c>
      <c r="F1683" s="41">
        <f>IF(OR(E1683="",E1683=0),"",IFERROR(AVERAGEIFS($C$6:$C$2005,$B$6:$B$2005,B1683,$A$6:$A$2005,E1683),""))</f>
        <v/>
      </c>
      <c r="G1683" s="34">
        <f>IF(F1683="","",A1683-E1683)</f>
        <v/>
      </c>
      <c r="H1683" s="42">
        <f>IF(OR(F1683="",C1683=""),"",IFERROR((C1683-F1683)/G1683,""))</f>
        <v/>
      </c>
      <c r="I1683" s="39">
        <f>IF(B1683="","",IFERROR(INDEX('Animais'!$M$6:$M$1005,MATCH(B1683,'Animais'!$A$6:$A$1005,0)),"Brinco não cadastrado"))</f>
        <v/>
      </c>
    </row>
    <row r="1684">
      <c r="A1684" s="31" t="n"/>
      <c r="B1684" s="36" t="n"/>
      <c r="C1684" s="38" t="n"/>
      <c r="D1684" s="32" t="n"/>
      <c r="E1684" s="43">
        <f>IF(OR(A1684="",B1684=""),"",SUMPRODUCT(MAX(($B$6:$B$2005=B1684)*($A$6:$A$2005&lt;A1684)*$A$6:$A$2005)))</f>
        <v/>
      </c>
      <c r="F1684" s="41">
        <f>IF(OR(E1684="",E1684=0),"",IFERROR(AVERAGEIFS($C$6:$C$2005,$B$6:$B$2005,B1684,$A$6:$A$2005,E1684),""))</f>
        <v/>
      </c>
      <c r="G1684" s="34">
        <f>IF(F1684="","",A1684-E1684)</f>
        <v/>
      </c>
      <c r="H1684" s="42">
        <f>IF(OR(F1684="",C1684=""),"",IFERROR((C1684-F1684)/G1684,""))</f>
        <v/>
      </c>
      <c r="I1684" s="39">
        <f>IF(B1684="","",IFERROR(INDEX('Animais'!$M$6:$M$1005,MATCH(B1684,'Animais'!$A$6:$A$1005,0)),"Brinco não cadastrado"))</f>
        <v/>
      </c>
    </row>
    <row r="1685">
      <c r="A1685" s="31" t="n"/>
      <c r="B1685" s="36" t="n"/>
      <c r="C1685" s="38" t="n"/>
      <c r="D1685" s="32" t="n"/>
      <c r="E1685" s="43">
        <f>IF(OR(A1685="",B1685=""),"",SUMPRODUCT(MAX(($B$6:$B$2005=B1685)*($A$6:$A$2005&lt;A1685)*$A$6:$A$2005)))</f>
        <v/>
      </c>
      <c r="F1685" s="41">
        <f>IF(OR(E1685="",E1685=0),"",IFERROR(AVERAGEIFS($C$6:$C$2005,$B$6:$B$2005,B1685,$A$6:$A$2005,E1685),""))</f>
        <v/>
      </c>
      <c r="G1685" s="34">
        <f>IF(F1685="","",A1685-E1685)</f>
        <v/>
      </c>
      <c r="H1685" s="42">
        <f>IF(OR(F1685="",C1685=""),"",IFERROR((C1685-F1685)/G1685,""))</f>
        <v/>
      </c>
      <c r="I1685" s="39">
        <f>IF(B1685="","",IFERROR(INDEX('Animais'!$M$6:$M$1005,MATCH(B1685,'Animais'!$A$6:$A$1005,0)),"Brinco não cadastrado"))</f>
        <v/>
      </c>
    </row>
    <row r="1686">
      <c r="A1686" s="31" t="n"/>
      <c r="B1686" s="36" t="n"/>
      <c r="C1686" s="38" t="n"/>
      <c r="D1686" s="32" t="n"/>
      <c r="E1686" s="43">
        <f>IF(OR(A1686="",B1686=""),"",SUMPRODUCT(MAX(($B$6:$B$2005=B1686)*($A$6:$A$2005&lt;A1686)*$A$6:$A$2005)))</f>
        <v/>
      </c>
      <c r="F1686" s="41">
        <f>IF(OR(E1686="",E1686=0),"",IFERROR(AVERAGEIFS($C$6:$C$2005,$B$6:$B$2005,B1686,$A$6:$A$2005,E1686),""))</f>
        <v/>
      </c>
      <c r="G1686" s="34">
        <f>IF(F1686="","",A1686-E1686)</f>
        <v/>
      </c>
      <c r="H1686" s="42">
        <f>IF(OR(F1686="",C1686=""),"",IFERROR((C1686-F1686)/G1686,""))</f>
        <v/>
      </c>
      <c r="I1686" s="39">
        <f>IF(B1686="","",IFERROR(INDEX('Animais'!$M$6:$M$1005,MATCH(B1686,'Animais'!$A$6:$A$1005,0)),"Brinco não cadastrado"))</f>
        <v/>
      </c>
    </row>
    <row r="1687">
      <c r="A1687" s="31" t="n"/>
      <c r="B1687" s="36" t="n"/>
      <c r="C1687" s="38" t="n"/>
      <c r="D1687" s="32" t="n"/>
      <c r="E1687" s="43">
        <f>IF(OR(A1687="",B1687=""),"",SUMPRODUCT(MAX(($B$6:$B$2005=B1687)*($A$6:$A$2005&lt;A1687)*$A$6:$A$2005)))</f>
        <v/>
      </c>
      <c r="F1687" s="41">
        <f>IF(OR(E1687="",E1687=0),"",IFERROR(AVERAGEIFS($C$6:$C$2005,$B$6:$B$2005,B1687,$A$6:$A$2005,E1687),""))</f>
        <v/>
      </c>
      <c r="G1687" s="34">
        <f>IF(F1687="","",A1687-E1687)</f>
        <v/>
      </c>
      <c r="H1687" s="42">
        <f>IF(OR(F1687="",C1687=""),"",IFERROR((C1687-F1687)/G1687,""))</f>
        <v/>
      </c>
      <c r="I1687" s="39">
        <f>IF(B1687="","",IFERROR(INDEX('Animais'!$M$6:$M$1005,MATCH(B1687,'Animais'!$A$6:$A$1005,0)),"Brinco não cadastrado"))</f>
        <v/>
      </c>
    </row>
    <row r="1688">
      <c r="A1688" s="31" t="n"/>
      <c r="B1688" s="36" t="n"/>
      <c r="C1688" s="38" t="n"/>
      <c r="D1688" s="32" t="n"/>
      <c r="E1688" s="43">
        <f>IF(OR(A1688="",B1688=""),"",SUMPRODUCT(MAX(($B$6:$B$2005=B1688)*($A$6:$A$2005&lt;A1688)*$A$6:$A$2005)))</f>
        <v/>
      </c>
      <c r="F1688" s="41">
        <f>IF(OR(E1688="",E1688=0),"",IFERROR(AVERAGEIFS($C$6:$C$2005,$B$6:$B$2005,B1688,$A$6:$A$2005,E1688),""))</f>
        <v/>
      </c>
      <c r="G1688" s="34">
        <f>IF(F1688="","",A1688-E1688)</f>
        <v/>
      </c>
      <c r="H1688" s="42">
        <f>IF(OR(F1688="",C1688=""),"",IFERROR((C1688-F1688)/G1688,""))</f>
        <v/>
      </c>
      <c r="I1688" s="39">
        <f>IF(B1688="","",IFERROR(INDEX('Animais'!$M$6:$M$1005,MATCH(B1688,'Animais'!$A$6:$A$1005,0)),"Brinco não cadastrado"))</f>
        <v/>
      </c>
    </row>
    <row r="1689">
      <c r="A1689" s="31" t="n"/>
      <c r="B1689" s="36" t="n"/>
      <c r="C1689" s="38" t="n"/>
      <c r="D1689" s="32" t="n"/>
      <c r="E1689" s="43">
        <f>IF(OR(A1689="",B1689=""),"",SUMPRODUCT(MAX(($B$6:$B$2005=B1689)*($A$6:$A$2005&lt;A1689)*$A$6:$A$2005)))</f>
        <v/>
      </c>
      <c r="F1689" s="41">
        <f>IF(OR(E1689="",E1689=0),"",IFERROR(AVERAGEIFS($C$6:$C$2005,$B$6:$B$2005,B1689,$A$6:$A$2005,E1689),""))</f>
        <v/>
      </c>
      <c r="G1689" s="34">
        <f>IF(F1689="","",A1689-E1689)</f>
        <v/>
      </c>
      <c r="H1689" s="42">
        <f>IF(OR(F1689="",C1689=""),"",IFERROR((C1689-F1689)/G1689,""))</f>
        <v/>
      </c>
      <c r="I1689" s="39">
        <f>IF(B1689="","",IFERROR(INDEX('Animais'!$M$6:$M$1005,MATCH(B1689,'Animais'!$A$6:$A$1005,0)),"Brinco não cadastrado"))</f>
        <v/>
      </c>
    </row>
    <row r="1690">
      <c r="A1690" s="31" t="n"/>
      <c r="B1690" s="36" t="n"/>
      <c r="C1690" s="38" t="n"/>
      <c r="D1690" s="32" t="n"/>
      <c r="E1690" s="43">
        <f>IF(OR(A1690="",B1690=""),"",SUMPRODUCT(MAX(($B$6:$B$2005=B1690)*($A$6:$A$2005&lt;A1690)*$A$6:$A$2005)))</f>
        <v/>
      </c>
      <c r="F1690" s="41">
        <f>IF(OR(E1690="",E1690=0),"",IFERROR(AVERAGEIFS($C$6:$C$2005,$B$6:$B$2005,B1690,$A$6:$A$2005,E1690),""))</f>
        <v/>
      </c>
      <c r="G1690" s="34">
        <f>IF(F1690="","",A1690-E1690)</f>
        <v/>
      </c>
      <c r="H1690" s="42">
        <f>IF(OR(F1690="",C1690=""),"",IFERROR((C1690-F1690)/G1690,""))</f>
        <v/>
      </c>
      <c r="I1690" s="39">
        <f>IF(B1690="","",IFERROR(INDEX('Animais'!$M$6:$M$1005,MATCH(B1690,'Animais'!$A$6:$A$1005,0)),"Brinco não cadastrado"))</f>
        <v/>
      </c>
    </row>
    <row r="1691">
      <c r="A1691" s="31" t="n"/>
      <c r="B1691" s="36" t="n"/>
      <c r="C1691" s="38" t="n"/>
      <c r="D1691" s="32" t="n"/>
      <c r="E1691" s="43">
        <f>IF(OR(A1691="",B1691=""),"",SUMPRODUCT(MAX(($B$6:$B$2005=B1691)*($A$6:$A$2005&lt;A1691)*$A$6:$A$2005)))</f>
        <v/>
      </c>
      <c r="F1691" s="41">
        <f>IF(OR(E1691="",E1691=0),"",IFERROR(AVERAGEIFS($C$6:$C$2005,$B$6:$B$2005,B1691,$A$6:$A$2005,E1691),""))</f>
        <v/>
      </c>
      <c r="G1691" s="34">
        <f>IF(F1691="","",A1691-E1691)</f>
        <v/>
      </c>
      <c r="H1691" s="42">
        <f>IF(OR(F1691="",C1691=""),"",IFERROR((C1691-F1691)/G1691,""))</f>
        <v/>
      </c>
      <c r="I1691" s="39">
        <f>IF(B1691="","",IFERROR(INDEX('Animais'!$M$6:$M$1005,MATCH(B1691,'Animais'!$A$6:$A$1005,0)),"Brinco não cadastrado"))</f>
        <v/>
      </c>
    </row>
    <row r="1692">
      <c r="A1692" s="31" t="n"/>
      <c r="B1692" s="36" t="n"/>
      <c r="C1692" s="38" t="n"/>
      <c r="D1692" s="32" t="n"/>
      <c r="E1692" s="43">
        <f>IF(OR(A1692="",B1692=""),"",SUMPRODUCT(MAX(($B$6:$B$2005=B1692)*($A$6:$A$2005&lt;A1692)*$A$6:$A$2005)))</f>
        <v/>
      </c>
      <c r="F1692" s="41">
        <f>IF(OR(E1692="",E1692=0),"",IFERROR(AVERAGEIFS($C$6:$C$2005,$B$6:$B$2005,B1692,$A$6:$A$2005,E1692),""))</f>
        <v/>
      </c>
      <c r="G1692" s="34">
        <f>IF(F1692="","",A1692-E1692)</f>
        <v/>
      </c>
      <c r="H1692" s="42">
        <f>IF(OR(F1692="",C1692=""),"",IFERROR((C1692-F1692)/G1692,""))</f>
        <v/>
      </c>
      <c r="I1692" s="39">
        <f>IF(B1692="","",IFERROR(INDEX('Animais'!$M$6:$M$1005,MATCH(B1692,'Animais'!$A$6:$A$1005,0)),"Brinco não cadastrado"))</f>
        <v/>
      </c>
    </row>
    <row r="1693">
      <c r="A1693" s="31" t="n"/>
      <c r="B1693" s="36" t="n"/>
      <c r="C1693" s="38" t="n"/>
      <c r="D1693" s="32" t="n"/>
      <c r="E1693" s="43">
        <f>IF(OR(A1693="",B1693=""),"",SUMPRODUCT(MAX(($B$6:$B$2005=B1693)*($A$6:$A$2005&lt;A1693)*$A$6:$A$2005)))</f>
        <v/>
      </c>
      <c r="F1693" s="41">
        <f>IF(OR(E1693="",E1693=0),"",IFERROR(AVERAGEIFS($C$6:$C$2005,$B$6:$B$2005,B1693,$A$6:$A$2005,E1693),""))</f>
        <v/>
      </c>
      <c r="G1693" s="34">
        <f>IF(F1693="","",A1693-E1693)</f>
        <v/>
      </c>
      <c r="H1693" s="42">
        <f>IF(OR(F1693="",C1693=""),"",IFERROR((C1693-F1693)/G1693,""))</f>
        <v/>
      </c>
      <c r="I1693" s="39">
        <f>IF(B1693="","",IFERROR(INDEX('Animais'!$M$6:$M$1005,MATCH(B1693,'Animais'!$A$6:$A$1005,0)),"Brinco não cadastrado"))</f>
        <v/>
      </c>
    </row>
    <row r="1694">
      <c r="A1694" s="31" t="n"/>
      <c r="B1694" s="36" t="n"/>
      <c r="C1694" s="38" t="n"/>
      <c r="D1694" s="32" t="n"/>
      <c r="E1694" s="43">
        <f>IF(OR(A1694="",B1694=""),"",SUMPRODUCT(MAX(($B$6:$B$2005=B1694)*($A$6:$A$2005&lt;A1694)*$A$6:$A$2005)))</f>
        <v/>
      </c>
      <c r="F1694" s="41">
        <f>IF(OR(E1694="",E1694=0),"",IFERROR(AVERAGEIFS($C$6:$C$2005,$B$6:$B$2005,B1694,$A$6:$A$2005,E1694),""))</f>
        <v/>
      </c>
      <c r="G1694" s="34">
        <f>IF(F1694="","",A1694-E1694)</f>
        <v/>
      </c>
      <c r="H1694" s="42">
        <f>IF(OR(F1694="",C1694=""),"",IFERROR((C1694-F1694)/G1694,""))</f>
        <v/>
      </c>
      <c r="I1694" s="39">
        <f>IF(B1694="","",IFERROR(INDEX('Animais'!$M$6:$M$1005,MATCH(B1694,'Animais'!$A$6:$A$1005,0)),"Brinco não cadastrado"))</f>
        <v/>
      </c>
    </row>
    <row r="1695">
      <c r="A1695" s="31" t="n"/>
      <c r="B1695" s="36" t="n"/>
      <c r="C1695" s="38" t="n"/>
      <c r="D1695" s="32" t="n"/>
      <c r="E1695" s="43">
        <f>IF(OR(A1695="",B1695=""),"",SUMPRODUCT(MAX(($B$6:$B$2005=B1695)*($A$6:$A$2005&lt;A1695)*$A$6:$A$2005)))</f>
        <v/>
      </c>
      <c r="F1695" s="41">
        <f>IF(OR(E1695="",E1695=0),"",IFERROR(AVERAGEIFS($C$6:$C$2005,$B$6:$B$2005,B1695,$A$6:$A$2005,E1695),""))</f>
        <v/>
      </c>
      <c r="G1695" s="34">
        <f>IF(F1695="","",A1695-E1695)</f>
        <v/>
      </c>
      <c r="H1695" s="42">
        <f>IF(OR(F1695="",C1695=""),"",IFERROR((C1695-F1695)/G1695,""))</f>
        <v/>
      </c>
      <c r="I1695" s="39">
        <f>IF(B1695="","",IFERROR(INDEX('Animais'!$M$6:$M$1005,MATCH(B1695,'Animais'!$A$6:$A$1005,0)),"Brinco não cadastrado"))</f>
        <v/>
      </c>
    </row>
    <row r="1696">
      <c r="A1696" s="31" t="n"/>
      <c r="B1696" s="36" t="n"/>
      <c r="C1696" s="38" t="n"/>
      <c r="D1696" s="32" t="n"/>
      <c r="E1696" s="43">
        <f>IF(OR(A1696="",B1696=""),"",SUMPRODUCT(MAX(($B$6:$B$2005=B1696)*($A$6:$A$2005&lt;A1696)*$A$6:$A$2005)))</f>
        <v/>
      </c>
      <c r="F1696" s="41">
        <f>IF(OR(E1696="",E1696=0),"",IFERROR(AVERAGEIFS($C$6:$C$2005,$B$6:$B$2005,B1696,$A$6:$A$2005,E1696),""))</f>
        <v/>
      </c>
      <c r="G1696" s="34">
        <f>IF(F1696="","",A1696-E1696)</f>
        <v/>
      </c>
      <c r="H1696" s="42">
        <f>IF(OR(F1696="",C1696=""),"",IFERROR((C1696-F1696)/G1696,""))</f>
        <v/>
      </c>
      <c r="I1696" s="39">
        <f>IF(B1696="","",IFERROR(INDEX('Animais'!$M$6:$M$1005,MATCH(B1696,'Animais'!$A$6:$A$1005,0)),"Brinco não cadastrado"))</f>
        <v/>
      </c>
    </row>
    <row r="1697">
      <c r="A1697" s="31" t="n"/>
      <c r="B1697" s="36" t="n"/>
      <c r="C1697" s="38" t="n"/>
      <c r="D1697" s="32" t="n"/>
      <c r="E1697" s="43">
        <f>IF(OR(A1697="",B1697=""),"",SUMPRODUCT(MAX(($B$6:$B$2005=B1697)*($A$6:$A$2005&lt;A1697)*$A$6:$A$2005)))</f>
        <v/>
      </c>
      <c r="F1697" s="41">
        <f>IF(OR(E1697="",E1697=0),"",IFERROR(AVERAGEIFS($C$6:$C$2005,$B$6:$B$2005,B1697,$A$6:$A$2005,E1697),""))</f>
        <v/>
      </c>
      <c r="G1697" s="34">
        <f>IF(F1697="","",A1697-E1697)</f>
        <v/>
      </c>
      <c r="H1697" s="42">
        <f>IF(OR(F1697="",C1697=""),"",IFERROR((C1697-F1697)/G1697,""))</f>
        <v/>
      </c>
      <c r="I1697" s="39">
        <f>IF(B1697="","",IFERROR(INDEX('Animais'!$M$6:$M$1005,MATCH(B1697,'Animais'!$A$6:$A$1005,0)),"Brinco não cadastrado"))</f>
        <v/>
      </c>
    </row>
    <row r="1698">
      <c r="A1698" s="31" t="n"/>
      <c r="B1698" s="36" t="n"/>
      <c r="C1698" s="38" t="n"/>
      <c r="D1698" s="32" t="n"/>
      <c r="E1698" s="43">
        <f>IF(OR(A1698="",B1698=""),"",SUMPRODUCT(MAX(($B$6:$B$2005=B1698)*($A$6:$A$2005&lt;A1698)*$A$6:$A$2005)))</f>
        <v/>
      </c>
      <c r="F1698" s="41">
        <f>IF(OR(E1698="",E1698=0),"",IFERROR(AVERAGEIFS($C$6:$C$2005,$B$6:$B$2005,B1698,$A$6:$A$2005,E1698),""))</f>
        <v/>
      </c>
      <c r="G1698" s="34">
        <f>IF(F1698="","",A1698-E1698)</f>
        <v/>
      </c>
      <c r="H1698" s="42">
        <f>IF(OR(F1698="",C1698=""),"",IFERROR((C1698-F1698)/G1698,""))</f>
        <v/>
      </c>
      <c r="I1698" s="39">
        <f>IF(B1698="","",IFERROR(INDEX('Animais'!$M$6:$M$1005,MATCH(B1698,'Animais'!$A$6:$A$1005,0)),"Brinco não cadastrado"))</f>
        <v/>
      </c>
    </row>
    <row r="1699">
      <c r="A1699" s="31" t="n"/>
      <c r="B1699" s="36" t="n"/>
      <c r="C1699" s="38" t="n"/>
      <c r="D1699" s="32" t="n"/>
      <c r="E1699" s="43">
        <f>IF(OR(A1699="",B1699=""),"",SUMPRODUCT(MAX(($B$6:$B$2005=B1699)*($A$6:$A$2005&lt;A1699)*$A$6:$A$2005)))</f>
        <v/>
      </c>
      <c r="F1699" s="41">
        <f>IF(OR(E1699="",E1699=0),"",IFERROR(AVERAGEIFS($C$6:$C$2005,$B$6:$B$2005,B1699,$A$6:$A$2005,E1699),""))</f>
        <v/>
      </c>
      <c r="G1699" s="34">
        <f>IF(F1699="","",A1699-E1699)</f>
        <v/>
      </c>
      <c r="H1699" s="42">
        <f>IF(OR(F1699="",C1699=""),"",IFERROR((C1699-F1699)/G1699,""))</f>
        <v/>
      </c>
      <c r="I1699" s="39">
        <f>IF(B1699="","",IFERROR(INDEX('Animais'!$M$6:$M$1005,MATCH(B1699,'Animais'!$A$6:$A$1005,0)),"Brinco não cadastrado"))</f>
        <v/>
      </c>
    </row>
    <row r="1700">
      <c r="A1700" s="31" t="n"/>
      <c r="B1700" s="36" t="n"/>
      <c r="C1700" s="38" t="n"/>
      <c r="D1700" s="32" t="n"/>
      <c r="E1700" s="43">
        <f>IF(OR(A1700="",B1700=""),"",SUMPRODUCT(MAX(($B$6:$B$2005=B1700)*($A$6:$A$2005&lt;A1700)*$A$6:$A$2005)))</f>
        <v/>
      </c>
      <c r="F1700" s="41">
        <f>IF(OR(E1700="",E1700=0),"",IFERROR(AVERAGEIFS($C$6:$C$2005,$B$6:$B$2005,B1700,$A$6:$A$2005,E1700),""))</f>
        <v/>
      </c>
      <c r="G1700" s="34">
        <f>IF(F1700="","",A1700-E1700)</f>
        <v/>
      </c>
      <c r="H1700" s="42">
        <f>IF(OR(F1700="",C1700=""),"",IFERROR((C1700-F1700)/G1700,""))</f>
        <v/>
      </c>
      <c r="I1700" s="39">
        <f>IF(B1700="","",IFERROR(INDEX('Animais'!$M$6:$M$1005,MATCH(B1700,'Animais'!$A$6:$A$1005,0)),"Brinco não cadastrado"))</f>
        <v/>
      </c>
    </row>
    <row r="1701">
      <c r="A1701" s="31" t="n"/>
      <c r="B1701" s="36" t="n"/>
      <c r="C1701" s="38" t="n"/>
      <c r="D1701" s="32" t="n"/>
      <c r="E1701" s="43">
        <f>IF(OR(A1701="",B1701=""),"",SUMPRODUCT(MAX(($B$6:$B$2005=B1701)*($A$6:$A$2005&lt;A1701)*$A$6:$A$2005)))</f>
        <v/>
      </c>
      <c r="F1701" s="41">
        <f>IF(OR(E1701="",E1701=0),"",IFERROR(AVERAGEIFS($C$6:$C$2005,$B$6:$B$2005,B1701,$A$6:$A$2005,E1701),""))</f>
        <v/>
      </c>
      <c r="G1701" s="34">
        <f>IF(F1701="","",A1701-E1701)</f>
        <v/>
      </c>
      <c r="H1701" s="42">
        <f>IF(OR(F1701="",C1701=""),"",IFERROR((C1701-F1701)/G1701,""))</f>
        <v/>
      </c>
      <c r="I1701" s="39">
        <f>IF(B1701="","",IFERROR(INDEX('Animais'!$M$6:$M$1005,MATCH(B1701,'Animais'!$A$6:$A$1005,0)),"Brinco não cadastrado"))</f>
        <v/>
      </c>
    </row>
    <row r="1702">
      <c r="A1702" s="31" t="n"/>
      <c r="B1702" s="36" t="n"/>
      <c r="C1702" s="38" t="n"/>
      <c r="D1702" s="32" t="n"/>
      <c r="E1702" s="43">
        <f>IF(OR(A1702="",B1702=""),"",SUMPRODUCT(MAX(($B$6:$B$2005=B1702)*($A$6:$A$2005&lt;A1702)*$A$6:$A$2005)))</f>
        <v/>
      </c>
      <c r="F1702" s="41">
        <f>IF(OR(E1702="",E1702=0),"",IFERROR(AVERAGEIFS($C$6:$C$2005,$B$6:$B$2005,B1702,$A$6:$A$2005,E1702),""))</f>
        <v/>
      </c>
      <c r="G1702" s="34">
        <f>IF(F1702="","",A1702-E1702)</f>
        <v/>
      </c>
      <c r="H1702" s="42">
        <f>IF(OR(F1702="",C1702=""),"",IFERROR((C1702-F1702)/G1702,""))</f>
        <v/>
      </c>
      <c r="I1702" s="39">
        <f>IF(B1702="","",IFERROR(INDEX('Animais'!$M$6:$M$1005,MATCH(B1702,'Animais'!$A$6:$A$1005,0)),"Brinco não cadastrado"))</f>
        <v/>
      </c>
    </row>
    <row r="1703">
      <c r="A1703" s="31" t="n"/>
      <c r="B1703" s="36" t="n"/>
      <c r="C1703" s="38" t="n"/>
      <c r="D1703" s="32" t="n"/>
      <c r="E1703" s="43">
        <f>IF(OR(A1703="",B1703=""),"",SUMPRODUCT(MAX(($B$6:$B$2005=B1703)*($A$6:$A$2005&lt;A1703)*$A$6:$A$2005)))</f>
        <v/>
      </c>
      <c r="F1703" s="41">
        <f>IF(OR(E1703="",E1703=0),"",IFERROR(AVERAGEIFS($C$6:$C$2005,$B$6:$B$2005,B1703,$A$6:$A$2005,E1703),""))</f>
        <v/>
      </c>
      <c r="G1703" s="34">
        <f>IF(F1703="","",A1703-E1703)</f>
        <v/>
      </c>
      <c r="H1703" s="42">
        <f>IF(OR(F1703="",C1703=""),"",IFERROR((C1703-F1703)/G1703,""))</f>
        <v/>
      </c>
      <c r="I1703" s="39">
        <f>IF(B1703="","",IFERROR(INDEX('Animais'!$M$6:$M$1005,MATCH(B1703,'Animais'!$A$6:$A$1005,0)),"Brinco não cadastrado"))</f>
        <v/>
      </c>
    </row>
    <row r="1704">
      <c r="A1704" s="31" t="n"/>
      <c r="B1704" s="36" t="n"/>
      <c r="C1704" s="38" t="n"/>
      <c r="D1704" s="32" t="n"/>
      <c r="E1704" s="43">
        <f>IF(OR(A1704="",B1704=""),"",SUMPRODUCT(MAX(($B$6:$B$2005=B1704)*($A$6:$A$2005&lt;A1704)*$A$6:$A$2005)))</f>
        <v/>
      </c>
      <c r="F1704" s="41">
        <f>IF(OR(E1704="",E1704=0),"",IFERROR(AVERAGEIFS($C$6:$C$2005,$B$6:$B$2005,B1704,$A$6:$A$2005,E1704),""))</f>
        <v/>
      </c>
      <c r="G1704" s="34">
        <f>IF(F1704="","",A1704-E1704)</f>
        <v/>
      </c>
      <c r="H1704" s="42">
        <f>IF(OR(F1704="",C1704=""),"",IFERROR((C1704-F1704)/G1704,""))</f>
        <v/>
      </c>
      <c r="I1704" s="39">
        <f>IF(B1704="","",IFERROR(INDEX('Animais'!$M$6:$M$1005,MATCH(B1704,'Animais'!$A$6:$A$1005,0)),"Brinco não cadastrado"))</f>
        <v/>
      </c>
    </row>
    <row r="1705">
      <c r="A1705" s="31" t="n"/>
      <c r="B1705" s="36" t="n"/>
      <c r="C1705" s="38" t="n"/>
      <c r="D1705" s="32" t="n"/>
      <c r="E1705" s="43">
        <f>IF(OR(A1705="",B1705=""),"",SUMPRODUCT(MAX(($B$6:$B$2005=B1705)*($A$6:$A$2005&lt;A1705)*$A$6:$A$2005)))</f>
        <v/>
      </c>
      <c r="F1705" s="41">
        <f>IF(OR(E1705="",E1705=0),"",IFERROR(AVERAGEIFS($C$6:$C$2005,$B$6:$B$2005,B1705,$A$6:$A$2005,E1705),""))</f>
        <v/>
      </c>
      <c r="G1705" s="34">
        <f>IF(F1705="","",A1705-E1705)</f>
        <v/>
      </c>
      <c r="H1705" s="42">
        <f>IF(OR(F1705="",C1705=""),"",IFERROR((C1705-F1705)/G1705,""))</f>
        <v/>
      </c>
      <c r="I1705" s="39">
        <f>IF(B1705="","",IFERROR(INDEX('Animais'!$M$6:$M$1005,MATCH(B1705,'Animais'!$A$6:$A$1005,0)),"Brinco não cadastrado"))</f>
        <v/>
      </c>
    </row>
    <row r="1706">
      <c r="A1706" s="31" t="n"/>
      <c r="B1706" s="36" t="n"/>
      <c r="C1706" s="38" t="n"/>
      <c r="D1706" s="32" t="n"/>
      <c r="E1706" s="43">
        <f>IF(OR(A1706="",B1706=""),"",SUMPRODUCT(MAX(($B$6:$B$2005=B1706)*($A$6:$A$2005&lt;A1706)*$A$6:$A$2005)))</f>
        <v/>
      </c>
      <c r="F1706" s="41">
        <f>IF(OR(E1706="",E1706=0),"",IFERROR(AVERAGEIFS($C$6:$C$2005,$B$6:$B$2005,B1706,$A$6:$A$2005,E1706),""))</f>
        <v/>
      </c>
      <c r="G1706" s="34">
        <f>IF(F1706="","",A1706-E1706)</f>
        <v/>
      </c>
      <c r="H1706" s="42">
        <f>IF(OR(F1706="",C1706=""),"",IFERROR((C1706-F1706)/G1706,""))</f>
        <v/>
      </c>
      <c r="I1706" s="39">
        <f>IF(B1706="","",IFERROR(INDEX('Animais'!$M$6:$M$1005,MATCH(B1706,'Animais'!$A$6:$A$1005,0)),"Brinco não cadastrado"))</f>
        <v/>
      </c>
    </row>
    <row r="1707">
      <c r="A1707" s="31" t="n"/>
      <c r="B1707" s="36" t="n"/>
      <c r="C1707" s="38" t="n"/>
      <c r="D1707" s="32" t="n"/>
      <c r="E1707" s="43">
        <f>IF(OR(A1707="",B1707=""),"",SUMPRODUCT(MAX(($B$6:$B$2005=B1707)*($A$6:$A$2005&lt;A1707)*$A$6:$A$2005)))</f>
        <v/>
      </c>
      <c r="F1707" s="41">
        <f>IF(OR(E1707="",E1707=0),"",IFERROR(AVERAGEIFS($C$6:$C$2005,$B$6:$B$2005,B1707,$A$6:$A$2005,E1707),""))</f>
        <v/>
      </c>
      <c r="G1707" s="34">
        <f>IF(F1707="","",A1707-E1707)</f>
        <v/>
      </c>
      <c r="H1707" s="42">
        <f>IF(OR(F1707="",C1707=""),"",IFERROR((C1707-F1707)/G1707,""))</f>
        <v/>
      </c>
      <c r="I1707" s="39">
        <f>IF(B1707="","",IFERROR(INDEX('Animais'!$M$6:$M$1005,MATCH(B1707,'Animais'!$A$6:$A$1005,0)),"Brinco não cadastrado"))</f>
        <v/>
      </c>
    </row>
    <row r="1708">
      <c r="A1708" s="31" t="n"/>
      <c r="B1708" s="36" t="n"/>
      <c r="C1708" s="38" t="n"/>
      <c r="D1708" s="32" t="n"/>
      <c r="E1708" s="43">
        <f>IF(OR(A1708="",B1708=""),"",SUMPRODUCT(MAX(($B$6:$B$2005=B1708)*($A$6:$A$2005&lt;A1708)*$A$6:$A$2005)))</f>
        <v/>
      </c>
      <c r="F1708" s="41">
        <f>IF(OR(E1708="",E1708=0),"",IFERROR(AVERAGEIFS($C$6:$C$2005,$B$6:$B$2005,B1708,$A$6:$A$2005,E1708),""))</f>
        <v/>
      </c>
      <c r="G1708" s="34">
        <f>IF(F1708="","",A1708-E1708)</f>
        <v/>
      </c>
      <c r="H1708" s="42">
        <f>IF(OR(F1708="",C1708=""),"",IFERROR((C1708-F1708)/G1708,""))</f>
        <v/>
      </c>
      <c r="I1708" s="39">
        <f>IF(B1708="","",IFERROR(INDEX('Animais'!$M$6:$M$1005,MATCH(B1708,'Animais'!$A$6:$A$1005,0)),"Brinco não cadastrado"))</f>
        <v/>
      </c>
    </row>
    <row r="1709">
      <c r="A1709" s="31" t="n"/>
      <c r="B1709" s="36" t="n"/>
      <c r="C1709" s="38" t="n"/>
      <c r="D1709" s="32" t="n"/>
      <c r="E1709" s="43">
        <f>IF(OR(A1709="",B1709=""),"",SUMPRODUCT(MAX(($B$6:$B$2005=B1709)*($A$6:$A$2005&lt;A1709)*$A$6:$A$2005)))</f>
        <v/>
      </c>
      <c r="F1709" s="41">
        <f>IF(OR(E1709="",E1709=0),"",IFERROR(AVERAGEIFS($C$6:$C$2005,$B$6:$B$2005,B1709,$A$6:$A$2005,E1709),""))</f>
        <v/>
      </c>
      <c r="G1709" s="34">
        <f>IF(F1709="","",A1709-E1709)</f>
        <v/>
      </c>
      <c r="H1709" s="42">
        <f>IF(OR(F1709="",C1709=""),"",IFERROR((C1709-F1709)/G1709,""))</f>
        <v/>
      </c>
      <c r="I1709" s="39">
        <f>IF(B1709="","",IFERROR(INDEX('Animais'!$M$6:$M$1005,MATCH(B1709,'Animais'!$A$6:$A$1005,0)),"Brinco não cadastrado"))</f>
        <v/>
      </c>
    </row>
    <row r="1710">
      <c r="A1710" s="31" t="n"/>
      <c r="B1710" s="36" t="n"/>
      <c r="C1710" s="38" t="n"/>
      <c r="D1710" s="32" t="n"/>
      <c r="E1710" s="43">
        <f>IF(OR(A1710="",B1710=""),"",SUMPRODUCT(MAX(($B$6:$B$2005=B1710)*($A$6:$A$2005&lt;A1710)*$A$6:$A$2005)))</f>
        <v/>
      </c>
      <c r="F1710" s="41">
        <f>IF(OR(E1710="",E1710=0),"",IFERROR(AVERAGEIFS($C$6:$C$2005,$B$6:$B$2005,B1710,$A$6:$A$2005,E1710),""))</f>
        <v/>
      </c>
      <c r="G1710" s="34">
        <f>IF(F1710="","",A1710-E1710)</f>
        <v/>
      </c>
      <c r="H1710" s="42">
        <f>IF(OR(F1710="",C1710=""),"",IFERROR((C1710-F1710)/G1710,""))</f>
        <v/>
      </c>
      <c r="I1710" s="39">
        <f>IF(B1710="","",IFERROR(INDEX('Animais'!$M$6:$M$1005,MATCH(B1710,'Animais'!$A$6:$A$1005,0)),"Brinco não cadastrado"))</f>
        <v/>
      </c>
    </row>
    <row r="1711">
      <c r="A1711" s="31" t="n"/>
      <c r="B1711" s="36" t="n"/>
      <c r="C1711" s="38" t="n"/>
      <c r="D1711" s="32" t="n"/>
      <c r="E1711" s="43">
        <f>IF(OR(A1711="",B1711=""),"",SUMPRODUCT(MAX(($B$6:$B$2005=B1711)*($A$6:$A$2005&lt;A1711)*$A$6:$A$2005)))</f>
        <v/>
      </c>
      <c r="F1711" s="41">
        <f>IF(OR(E1711="",E1711=0),"",IFERROR(AVERAGEIFS($C$6:$C$2005,$B$6:$B$2005,B1711,$A$6:$A$2005,E1711),""))</f>
        <v/>
      </c>
      <c r="G1711" s="34">
        <f>IF(F1711="","",A1711-E1711)</f>
        <v/>
      </c>
      <c r="H1711" s="42">
        <f>IF(OR(F1711="",C1711=""),"",IFERROR((C1711-F1711)/G1711,""))</f>
        <v/>
      </c>
      <c r="I1711" s="39">
        <f>IF(B1711="","",IFERROR(INDEX('Animais'!$M$6:$M$1005,MATCH(B1711,'Animais'!$A$6:$A$1005,0)),"Brinco não cadastrado"))</f>
        <v/>
      </c>
    </row>
    <row r="1712">
      <c r="A1712" s="31" t="n"/>
      <c r="B1712" s="36" t="n"/>
      <c r="C1712" s="38" t="n"/>
      <c r="D1712" s="32" t="n"/>
      <c r="E1712" s="43">
        <f>IF(OR(A1712="",B1712=""),"",SUMPRODUCT(MAX(($B$6:$B$2005=B1712)*($A$6:$A$2005&lt;A1712)*$A$6:$A$2005)))</f>
        <v/>
      </c>
      <c r="F1712" s="41">
        <f>IF(OR(E1712="",E1712=0),"",IFERROR(AVERAGEIFS($C$6:$C$2005,$B$6:$B$2005,B1712,$A$6:$A$2005,E1712),""))</f>
        <v/>
      </c>
      <c r="G1712" s="34">
        <f>IF(F1712="","",A1712-E1712)</f>
        <v/>
      </c>
      <c r="H1712" s="42">
        <f>IF(OR(F1712="",C1712=""),"",IFERROR((C1712-F1712)/G1712,""))</f>
        <v/>
      </c>
      <c r="I1712" s="39">
        <f>IF(B1712="","",IFERROR(INDEX('Animais'!$M$6:$M$1005,MATCH(B1712,'Animais'!$A$6:$A$1005,0)),"Brinco não cadastrado"))</f>
        <v/>
      </c>
    </row>
    <row r="1713">
      <c r="A1713" s="31" t="n"/>
      <c r="B1713" s="36" t="n"/>
      <c r="C1713" s="38" t="n"/>
      <c r="D1713" s="32" t="n"/>
      <c r="E1713" s="43">
        <f>IF(OR(A1713="",B1713=""),"",SUMPRODUCT(MAX(($B$6:$B$2005=B1713)*($A$6:$A$2005&lt;A1713)*$A$6:$A$2005)))</f>
        <v/>
      </c>
      <c r="F1713" s="41">
        <f>IF(OR(E1713="",E1713=0),"",IFERROR(AVERAGEIFS($C$6:$C$2005,$B$6:$B$2005,B1713,$A$6:$A$2005,E1713),""))</f>
        <v/>
      </c>
      <c r="G1713" s="34">
        <f>IF(F1713="","",A1713-E1713)</f>
        <v/>
      </c>
      <c r="H1713" s="42">
        <f>IF(OR(F1713="",C1713=""),"",IFERROR((C1713-F1713)/G1713,""))</f>
        <v/>
      </c>
      <c r="I1713" s="39">
        <f>IF(B1713="","",IFERROR(INDEX('Animais'!$M$6:$M$1005,MATCH(B1713,'Animais'!$A$6:$A$1005,0)),"Brinco não cadastrado"))</f>
        <v/>
      </c>
    </row>
    <row r="1714">
      <c r="A1714" s="31" t="n"/>
      <c r="B1714" s="36" t="n"/>
      <c r="C1714" s="38" t="n"/>
      <c r="D1714" s="32" t="n"/>
      <c r="E1714" s="43">
        <f>IF(OR(A1714="",B1714=""),"",SUMPRODUCT(MAX(($B$6:$B$2005=B1714)*($A$6:$A$2005&lt;A1714)*$A$6:$A$2005)))</f>
        <v/>
      </c>
      <c r="F1714" s="41">
        <f>IF(OR(E1714="",E1714=0),"",IFERROR(AVERAGEIFS($C$6:$C$2005,$B$6:$B$2005,B1714,$A$6:$A$2005,E1714),""))</f>
        <v/>
      </c>
      <c r="G1714" s="34">
        <f>IF(F1714="","",A1714-E1714)</f>
        <v/>
      </c>
      <c r="H1714" s="42">
        <f>IF(OR(F1714="",C1714=""),"",IFERROR((C1714-F1714)/G1714,""))</f>
        <v/>
      </c>
      <c r="I1714" s="39">
        <f>IF(B1714="","",IFERROR(INDEX('Animais'!$M$6:$M$1005,MATCH(B1714,'Animais'!$A$6:$A$1005,0)),"Brinco não cadastrado"))</f>
        <v/>
      </c>
    </row>
    <row r="1715">
      <c r="A1715" s="31" t="n"/>
      <c r="B1715" s="36" t="n"/>
      <c r="C1715" s="38" t="n"/>
      <c r="D1715" s="32" t="n"/>
      <c r="E1715" s="43">
        <f>IF(OR(A1715="",B1715=""),"",SUMPRODUCT(MAX(($B$6:$B$2005=B1715)*($A$6:$A$2005&lt;A1715)*$A$6:$A$2005)))</f>
        <v/>
      </c>
      <c r="F1715" s="41">
        <f>IF(OR(E1715="",E1715=0),"",IFERROR(AVERAGEIFS($C$6:$C$2005,$B$6:$B$2005,B1715,$A$6:$A$2005,E1715),""))</f>
        <v/>
      </c>
      <c r="G1715" s="34">
        <f>IF(F1715="","",A1715-E1715)</f>
        <v/>
      </c>
      <c r="H1715" s="42">
        <f>IF(OR(F1715="",C1715=""),"",IFERROR((C1715-F1715)/G1715,""))</f>
        <v/>
      </c>
      <c r="I1715" s="39">
        <f>IF(B1715="","",IFERROR(INDEX('Animais'!$M$6:$M$1005,MATCH(B1715,'Animais'!$A$6:$A$1005,0)),"Brinco não cadastrado"))</f>
        <v/>
      </c>
    </row>
    <row r="1716">
      <c r="A1716" s="31" t="n"/>
      <c r="B1716" s="36" t="n"/>
      <c r="C1716" s="38" t="n"/>
      <c r="D1716" s="32" t="n"/>
      <c r="E1716" s="43">
        <f>IF(OR(A1716="",B1716=""),"",SUMPRODUCT(MAX(($B$6:$B$2005=B1716)*($A$6:$A$2005&lt;A1716)*$A$6:$A$2005)))</f>
        <v/>
      </c>
      <c r="F1716" s="41">
        <f>IF(OR(E1716="",E1716=0),"",IFERROR(AVERAGEIFS($C$6:$C$2005,$B$6:$B$2005,B1716,$A$6:$A$2005,E1716),""))</f>
        <v/>
      </c>
      <c r="G1716" s="34">
        <f>IF(F1716="","",A1716-E1716)</f>
        <v/>
      </c>
      <c r="H1716" s="42">
        <f>IF(OR(F1716="",C1716=""),"",IFERROR((C1716-F1716)/G1716,""))</f>
        <v/>
      </c>
      <c r="I1716" s="39">
        <f>IF(B1716="","",IFERROR(INDEX('Animais'!$M$6:$M$1005,MATCH(B1716,'Animais'!$A$6:$A$1005,0)),"Brinco não cadastrado"))</f>
        <v/>
      </c>
    </row>
    <row r="1717">
      <c r="A1717" s="31" t="n"/>
      <c r="B1717" s="36" t="n"/>
      <c r="C1717" s="38" t="n"/>
      <c r="D1717" s="32" t="n"/>
      <c r="E1717" s="43">
        <f>IF(OR(A1717="",B1717=""),"",SUMPRODUCT(MAX(($B$6:$B$2005=B1717)*($A$6:$A$2005&lt;A1717)*$A$6:$A$2005)))</f>
        <v/>
      </c>
      <c r="F1717" s="41">
        <f>IF(OR(E1717="",E1717=0),"",IFERROR(AVERAGEIFS($C$6:$C$2005,$B$6:$B$2005,B1717,$A$6:$A$2005,E1717),""))</f>
        <v/>
      </c>
      <c r="G1717" s="34">
        <f>IF(F1717="","",A1717-E1717)</f>
        <v/>
      </c>
      <c r="H1717" s="42">
        <f>IF(OR(F1717="",C1717=""),"",IFERROR((C1717-F1717)/G1717,""))</f>
        <v/>
      </c>
      <c r="I1717" s="39">
        <f>IF(B1717="","",IFERROR(INDEX('Animais'!$M$6:$M$1005,MATCH(B1717,'Animais'!$A$6:$A$1005,0)),"Brinco não cadastrado"))</f>
        <v/>
      </c>
    </row>
    <row r="1718">
      <c r="A1718" s="31" t="n"/>
      <c r="B1718" s="36" t="n"/>
      <c r="C1718" s="38" t="n"/>
      <c r="D1718" s="32" t="n"/>
      <c r="E1718" s="43">
        <f>IF(OR(A1718="",B1718=""),"",SUMPRODUCT(MAX(($B$6:$B$2005=B1718)*($A$6:$A$2005&lt;A1718)*$A$6:$A$2005)))</f>
        <v/>
      </c>
      <c r="F1718" s="41">
        <f>IF(OR(E1718="",E1718=0),"",IFERROR(AVERAGEIFS($C$6:$C$2005,$B$6:$B$2005,B1718,$A$6:$A$2005,E1718),""))</f>
        <v/>
      </c>
      <c r="G1718" s="34">
        <f>IF(F1718="","",A1718-E1718)</f>
        <v/>
      </c>
      <c r="H1718" s="42">
        <f>IF(OR(F1718="",C1718=""),"",IFERROR((C1718-F1718)/G1718,""))</f>
        <v/>
      </c>
      <c r="I1718" s="39">
        <f>IF(B1718="","",IFERROR(INDEX('Animais'!$M$6:$M$1005,MATCH(B1718,'Animais'!$A$6:$A$1005,0)),"Brinco não cadastrado"))</f>
        <v/>
      </c>
    </row>
    <row r="1719">
      <c r="A1719" s="31" t="n"/>
      <c r="B1719" s="36" t="n"/>
      <c r="C1719" s="38" t="n"/>
      <c r="D1719" s="32" t="n"/>
      <c r="E1719" s="43">
        <f>IF(OR(A1719="",B1719=""),"",SUMPRODUCT(MAX(($B$6:$B$2005=B1719)*($A$6:$A$2005&lt;A1719)*$A$6:$A$2005)))</f>
        <v/>
      </c>
      <c r="F1719" s="41">
        <f>IF(OR(E1719="",E1719=0),"",IFERROR(AVERAGEIFS($C$6:$C$2005,$B$6:$B$2005,B1719,$A$6:$A$2005,E1719),""))</f>
        <v/>
      </c>
      <c r="G1719" s="34">
        <f>IF(F1719="","",A1719-E1719)</f>
        <v/>
      </c>
      <c r="H1719" s="42">
        <f>IF(OR(F1719="",C1719=""),"",IFERROR((C1719-F1719)/G1719,""))</f>
        <v/>
      </c>
      <c r="I1719" s="39">
        <f>IF(B1719="","",IFERROR(INDEX('Animais'!$M$6:$M$1005,MATCH(B1719,'Animais'!$A$6:$A$1005,0)),"Brinco não cadastrado"))</f>
        <v/>
      </c>
    </row>
    <row r="1720">
      <c r="A1720" s="31" t="n"/>
      <c r="B1720" s="36" t="n"/>
      <c r="C1720" s="38" t="n"/>
      <c r="D1720" s="32" t="n"/>
      <c r="E1720" s="43">
        <f>IF(OR(A1720="",B1720=""),"",SUMPRODUCT(MAX(($B$6:$B$2005=B1720)*($A$6:$A$2005&lt;A1720)*$A$6:$A$2005)))</f>
        <v/>
      </c>
      <c r="F1720" s="41">
        <f>IF(OR(E1720="",E1720=0),"",IFERROR(AVERAGEIFS($C$6:$C$2005,$B$6:$B$2005,B1720,$A$6:$A$2005,E1720),""))</f>
        <v/>
      </c>
      <c r="G1720" s="34">
        <f>IF(F1720="","",A1720-E1720)</f>
        <v/>
      </c>
      <c r="H1720" s="42">
        <f>IF(OR(F1720="",C1720=""),"",IFERROR((C1720-F1720)/G1720,""))</f>
        <v/>
      </c>
      <c r="I1720" s="39">
        <f>IF(B1720="","",IFERROR(INDEX('Animais'!$M$6:$M$1005,MATCH(B1720,'Animais'!$A$6:$A$1005,0)),"Brinco não cadastrado"))</f>
        <v/>
      </c>
    </row>
    <row r="1721">
      <c r="A1721" s="31" t="n"/>
      <c r="B1721" s="36" t="n"/>
      <c r="C1721" s="38" t="n"/>
      <c r="D1721" s="32" t="n"/>
      <c r="E1721" s="43">
        <f>IF(OR(A1721="",B1721=""),"",SUMPRODUCT(MAX(($B$6:$B$2005=B1721)*($A$6:$A$2005&lt;A1721)*$A$6:$A$2005)))</f>
        <v/>
      </c>
      <c r="F1721" s="41">
        <f>IF(OR(E1721="",E1721=0),"",IFERROR(AVERAGEIFS($C$6:$C$2005,$B$6:$B$2005,B1721,$A$6:$A$2005,E1721),""))</f>
        <v/>
      </c>
      <c r="G1721" s="34">
        <f>IF(F1721="","",A1721-E1721)</f>
        <v/>
      </c>
      <c r="H1721" s="42">
        <f>IF(OR(F1721="",C1721=""),"",IFERROR((C1721-F1721)/G1721,""))</f>
        <v/>
      </c>
      <c r="I1721" s="39">
        <f>IF(B1721="","",IFERROR(INDEX('Animais'!$M$6:$M$1005,MATCH(B1721,'Animais'!$A$6:$A$1005,0)),"Brinco não cadastrado"))</f>
        <v/>
      </c>
    </row>
    <row r="1722">
      <c r="A1722" s="31" t="n"/>
      <c r="B1722" s="36" t="n"/>
      <c r="C1722" s="38" t="n"/>
      <c r="D1722" s="32" t="n"/>
      <c r="E1722" s="43">
        <f>IF(OR(A1722="",B1722=""),"",SUMPRODUCT(MAX(($B$6:$B$2005=B1722)*($A$6:$A$2005&lt;A1722)*$A$6:$A$2005)))</f>
        <v/>
      </c>
      <c r="F1722" s="41">
        <f>IF(OR(E1722="",E1722=0),"",IFERROR(AVERAGEIFS($C$6:$C$2005,$B$6:$B$2005,B1722,$A$6:$A$2005,E1722),""))</f>
        <v/>
      </c>
      <c r="G1722" s="34">
        <f>IF(F1722="","",A1722-E1722)</f>
        <v/>
      </c>
      <c r="H1722" s="42">
        <f>IF(OR(F1722="",C1722=""),"",IFERROR((C1722-F1722)/G1722,""))</f>
        <v/>
      </c>
      <c r="I1722" s="39">
        <f>IF(B1722="","",IFERROR(INDEX('Animais'!$M$6:$M$1005,MATCH(B1722,'Animais'!$A$6:$A$1005,0)),"Brinco não cadastrado"))</f>
        <v/>
      </c>
    </row>
    <row r="1723">
      <c r="A1723" s="31" t="n"/>
      <c r="B1723" s="36" t="n"/>
      <c r="C1723" s="38" t="n"/>
      <c r="D1723" s="32" t="n"/>
      <c r="E1723" s="43">
        <f>IF(OR(A1723="",B1723=""),"",SUMPRODUCT(MAX(($B$6:$B$2005=B1723)*($A$6:$A$2005&lt;A1723)*$A$6:$A$2005)))</f>
        <v/>
      </c>
      <c r="F1723" s="41">
        <f>IF(OR(E1723="",E1723=0),"",IFERROR(AVERAGEIFS($C$6:$C$2005,$B$6:$B$2005,B1723,$A$6:$A$2005,E1723),""))</f>
        <v/>
      </c>
      <c r="G1723" s="34">
        <f>IF(F1723="","",A1723-E1723)</f>
        <v/>
      </c>
      <c r="H1723" s="42">
        <f>IF(OR(F1723="",C1723=""),"",IFERROR((C1723-F1723)/G1723,""))</f>
        <v/>
      </c>
      <c r="I1723" s="39">
        <f>IF(B1723="","",IFERROR(INDEX('Animais'!$M$6:$M$1005,MATCH(B1723,'Animais'!$A$6:$A$1005,0)),"Brinco não cadastrado"))</f>
        <v/>
      </c>
    </row>
    <row r="1724">
      <c r="A1724" s="31" t="n"/>
      <c r="B1724" s="36" t="n"/>
      <c r="C1724" s="38" t="n"/>
      <c r="D1724" s="32" t="n"/>
      <c r="E1724" s="43">
        <f>IF(OR(A1724="",B1724=""),"",SUMPRODUCT(MAX(($B$6:$B$2005=B1724)*($A$6:$A$2005&lt;A1724)*$A$6:$A$2005)))</f>
        <v/>
      </c>
      <c r="F1724" s="41">
        <f>IF(OR(E1724="",E1724=0),"",IFERROR(AVERAGEIFS($C$6:$C$2005,$B$6:$B$2005,B1724,$A$6:$A$2005,E1724),""))</f>
        <v/>
      </c>
      <c r="G1724" s="34">
        <f>IF(F1724="","",A1724-E1724)</f>
        <v/>
      </c>
      <c r="H1724" s="42">
        <f>IF(OR(F1724="",C1724=""),"",IFERROR((C1724-F1724)/G1724,""))</f>
        <v/>
      </c>
      <c r="I1724" s="39">
        <f>IF(B1724="","",IFERROR(INDEX('Animais'!$M$6:$M$1005,MATCH(B1724,'Animais'!$A$6:$A$1005,0)),"Brinco não cadastrado"))</f>
        <v/>
      </c>
    </row>
    <row r="1725">
      <c r="A1725" s="31" t="n"/>
      <c r="B1725" s="36" t="n"/>
      <c r="C1725" s="38" t="n"/>
      <c r="D1725" s="32" t="n"/>
      <c r="E1725" s="43">
        <f>IF(OR(A1725="",B1725=""),"",SUMPRODUCT(MAX(($B$6:$B$2005=B1725)*($A$6:$A$2005&lt;A1725)*$A$6:$A$2005)))</f>
        <v/>
      </c>
      <c r="F1725" s="41">
        <f>IF(OR(E1725="",E1725=0),"",IFERROR(AVERAGEIFS($C$6:$C$2005,$B$6:$B$2005,B1725,$A$6:$A$2005,E1725),""))</f>
        <v/>
      </c>
      <c r="G1725" s="34">
        <f>IF(F1725="","",A1725-E1725)</f>
        <v/>
      </c>
      <c r="H1725" s="42">
        <f>IF(OR(F1725="",C1725=""),"",IFERROR((C1725-F1725)/G1725,""))</f>
        <v/>
      </c>
      <c r="I1725" s="39">
        <f>IF(B1725="","",IFERROR(INDEX('Animais'!$M$6:$M$1005,MATCH(B1725,'Animais'!$A$6:$A$1005,0)),"Brinco não cadastrado"))</f>
        <v/>
      </c>
    </row>
    <row r="1726">
      <c r="A1726" s="31" t="n"/>
      <c r="B1726" s="36" t="n"/>
      <c r="C1726" s="38" t="n"/>
      <c r="D1726" s="32" t="n"/>
      <c r="E1726" s="43">
        <f>IF(OR(A1726="",B1726=""),"",SUMPRODUCT(MAX(($B$6:$B$2005=B1726)*($A$6:$A$2005&lt;A1726)*$A$6:$A$2005)))</f>
        <v/>
      </c>
      <c r="F1726" s="41">
        <f>IF(OR(E1726="",E1726=0),"",IFERROR(AVERAGEIFS($C$6:$C$2005,$B$6:$B$2005,B1726,$A$6:$A$2005,E1726),""))</f>
        <v/>
      </c>
      <c r="G1726" s="34">
        <f>IF(F1726="","",A1726-E1726)</f>
        <v/>
      </c>
      <c r="H1726" s="42">
        <f>IF(OR(F1726="",C1726=""),"",IFERROR((C1726-F1726)/G1726,""))</f>
        <v/>
      </c>
      <c r="I1726" s="39">
        <f>IF(B1726="","",IFERROR(INDEX('Animais'!$M$6:$M$1005,MATCH(B1726,'Animais'!$A$6:$A$1005,0)),"Brinco não cadastrado"))</f>
        <v/>
      </c>
    </row>
    <row r="1727">
      <c r="A1727" s="31" t="n"/>
      <c r="B1727" s="36" t="n"/>
      <c r="C1727" s="38" t="n"/>
      <c r="D1727" s="32" t="n"/>
      <c r="E1727" s="43">
        <f>IF(OR(A1727="",B1727=""),"",SUMPRODUCT(MAX(($B$6:$B$2005=B1727)*($A$6:$A$2005&lt;A1727)*$A$6:$A$2005)))</f>
        <v/>
      </c>
      <c r="F1727" s="41">
        <f>IF(OR(E1727="",E1727=0),"",IFERROR(AVERAGEIFS($C$6:$C$2005,$B$6:$B$2005,B1727,$A$6:$A$2005,E1727),""))</f>
        <v/>
      </c>
      <c r="G1727" s="34">
        <f>IF(F1727="","",A1727-E1727)</f>
        <v/>
      </c>
      <c r="H1727" s="42">
        <f>IF(OR(F1727="",C1727=""),"",IFERROR((C1727-F1727)/G1727,""))</f>
        <v/>
      </c>
      <c r="I1727" s="39">
        <f>IF(B1727="","",IFERROR(INDEX('Animais'!$M$6:$M$1005,MATCH(B1727,'Animais'!$A$6:$A$1005,0)),"Brinco não cadastrado"))</f>
        <v/>
      </c>
    </row>
    <row r="1728">
      <c r="A1728" s="31" t="n"/>
      <c r="B1728" s="36" t="n"/>
      <c r="C1728" s="38" t="n"/>
      <c r="D1728" s="32" t="n"/>
      <c r="E1728" s="43">
        <f>IF(OR(A1728="",B1728=""),"",SUMPRODUCT(MAX(($B$6:$B$2005=B1728)*($A$6:$A$2005&lt;A1728)*$A$6:$A$2005)))</f>
        <v/>
      </c>
      <c r="F1728" s="41">
        <f>IF(OR(E1728="",E1728=0),"",IFERROR(AVERAGEIFS($C$6:$C$2005,$B$6:$B$2005,B1728,$A$6:$A$2005,E1728),""))</f>
        <v/>
      </c>
      <c r="G1728" s="34">
        <f>IF(F1728="","",A1728-E1728)</f>
        <v/>
      </c>
      <c r="H1728" s="42">
        <f>IF(OR(F1728="",C1728=""),"",IFERROR((C1728-F1728)/G1728,""))</f>
        <v/>
      </c>
      <c r="I1728" s="39">
        <f>IF(B1728="","",IFERROR(INDEX('Animais'!$M$6:$M$1005,MATCH(B1728,'Animais'!$A$6:$A$1005,0)),"Brinco não cadastrado"))</f>
        <v/>
      </c>
    </row>
    <row r="1729">
      <c r="A1729" s="31" t="n"/>
      <c r="B1729" s="36" t="n"/>
      <c r="C1729" s="38" t="n"/>
      <c r="D1729" s="32" t="n"/>
      <c r="E1729" s="43">
        <f>IF(OR(A1729="",B1729=""),"",SUMPRODUCT(MAX(($B$6:$B$2005=B1729)*($A$6:$A$2005&lt;A1729)*$A$6:$A$2005)))</f>
        <v/>
      </c>
      <c r="F1729" s="41">
        <f>IF(OR(E1729="",E1729=0),"",IFERROR(AVERAGEIFS($C$6:$C$2005,$B$6:$B$2005,B1729,$A$6:$A$2005,E1729),""))</f>
        <v/>
      </c>
      <c r="G1729" s="34">
        <f>IF(F1729="","",A1729-E1729)</f>
        <v/>
      </c>
      <c r="H1729" s="42">
        <f>IF(OR(F1729="",C1729=""),"",IFERROR((C1729-F1729)/G1729,""))</f>
        <v/>
      </c>
      <c r="I1729" s="39">
        <f>IF(B1729="","",IFERROR(INDEX('Animais'!$M$6:$M$1005,MATCH(B1729,'Animais'!$A$6:$A$1005,0)),"Brinco não cadastrado"))</f>
        <v/>
      </c>
    </row>
    <row r="1730">
      <c r="A1730" s="31" t="n"/>
      <c r="B1730" s="36" t="n"/>
      <c r="C1730" s="38" t="n"/>
      <c r="D1730" s="32" t="n"/>
      <c r="E1730" s="43">
        <f>IF(OR(A1730="",B1730=""),"",SUMPRODUCT(MAX(($B$6:$B$2005=B1730)*($A$6:$A$2005&lt;A1730)*$A$6:$A$2005)))</f>
        <v/>
      </c>
      <c r="F1730" s="41">
        <f>IF(OR(E1730="",E1730=0),"",IFERROR(AVERAGEIFS($C$6:$C$2005,$B$6:$B$2005,B1730,$A$6:$A$2005,E1730),""))</f>
        <v/>
      </c>
      <c r="G1730" s="34">
        <f>IF(F1730="","",A1730-E1730)</f>
        <v/>
      </c>
      <c r="H1730" s="42">
        <f>IF(OR(F1730="",C1730=""),"",IFERROR((C1730-F1730)/G1730,""))</f>
        <v/>
      </c>
      <c r="I1730" s="39">
        <f>IF(B1730="","",IFERROR(INDEX('Animais'!$M$6:$M$1005,MATCH(B1730,'Animais'!$A$6:$A$1005,0)),"Brinco não cadastrado"))</f>
        <v/>
      </c>
    </row>
    <row r="1731">
      <c r="A1731" s="31" t="n"/>
      <c r="B1731" s="36" t="n"/>
      <c r="C1731" s="38" t="n"/>
      <c r="D1731" s="32" t="n"/>
      <c r="E1731" s="43">
        <f>IF(OR(A1731="",B1731=""),"",SUMPRODUCT(MAX(($B$6:$B$2005=B1731)*($A$6:$A$2005&lt;A1731)*$A$6:$A$2005)))</f>
        <v/>
      </c>
      <c r="F1731" s="41">
        <f>IF(OR(E1731="",E1731=0),"",IFERROR(AVERAGEIFS($C$6:$C$2005,$B$6:$B$2005,B1731,$A$6:$A$2005,E1731),""))</f>
        <v/>
      </c>
      <c r="G1731" s="34">
        <f>IF(F1731="","",A1731-E1731)</f>
        <v/>
      </c>
      <c r="H1731" s="42">
        <f>IF(OR(F1731="",C1731=""),"",IFERROR((C1731-F1731)/G1731,""))</f>
        <v/>
      </c>
      <c r="I1731" s="39">
        <f>IF(B1731="","",IFERROR(INDEX('Animais'!$M$6:$M$1005,MATCH(B1731,'Animais'!$A$6:$A$1005,0)),"Brinco não cadastrado"))</f>
        <v/>
      </c>
    </row>
    <row r="1732">
      <c r="A1732" s="31" t="n"/>
      <c r="B1732" s="36" t="n"/>
      <c r="C1732" s="38" t="n"/>
      <c r="D1732" s="32" t="n"/>
      <c r="E1732" s="43">
        <f>IF(OR(A1732="",B1732=""),"",SUMPRODUCT(MAX(($B$6:$B$2005=B1732)*($A$6:$A$2005&lt;A1732)*$A$6:$A$2005)))</f>
        <v/>
      </c>
      <c r="F1732" s="41">
        <f>IF(OR(E1732="",E1732=0),"",IFERROR(AVERAGEIFS($C$6:$C$2005,$B$6:$B$2005,B1732,$A$6:$A$2005,E1732),""))</f>
        <v/>
      </c>
      <c r="G1732" s="34">
        <f>IF(F1732="","",A1732-E1732)</f>
        <v/>
      </c>
      <c r="H1732" s="42">
        <f>IF(OR(F1732="",C1732=""),"",IFERROR((C1732-F1732)/G1732,""))</f>
        <v/>
      </c>
      <c r="I1732" s="39">
        <f>IF(B1732="","",IFERROR(INDEX('Animais'!$M$6:$M$1005,MATCH(B1732,'Animais'!$A$6:$A$1005,0)),"Brinco não cadastrado"))</f>
        <v/>
      </c>
    </row>
    <row r="1733">
      <c r="A1733" s="31" t="n"/>
      <c r="B1733" s="36" t="n"/>
      <c r="C1733" s="38" t="n"/>
      <c r="D1733" s="32" t="n"/>
      <c r="E1733" s="43">
        <f>IF(OR(A1733="",B1733=""),"",SUMPRODUCT(MAX(($B$6:$B$2005=B1733)*($A$6:$A$2005&lt;A1733)*$A$6:$A$2005)))</f>
        <v/>
      </c>
      <c r="F1733" s="41">
        <f>IF(OR(E1733="",E1733=0),"",IFERROR(AVERAGEIFS($C$6:$C$2005,$B$6:$B$2005,B1733,$A$6:$A$2005,E1733),""))</f>
        <v/>
      </c>
      <c r="G1733" s="34">
        <f>IF(F1733="","",A1733-E1733)</f>
        <v/>
      </c>
      <c r="H1733" s="42">
        <f>IF(OR(F1733="",C1733=""),"",IFERROR((C1733-F1733)/G1733,""))</f>
        <v/>
      </c>
      <c r="I1733" s="39">
        <f>IF(B1733="","",IFERROR(INDEX('Animais'!$M$6:$M$1005,MATCH(B1733,'Animais'!$A$6:$A$1005,0)),"Brinco não cadastrado"))</f>
        <v/>
      </c>
    </row>
    <row r="1734">
      <c r="A1734" s="31" t="n"/>
      <c r="B1734" s="36" t="n"/>
      <c r="C1734" s="38" t="n"/>
      <c r="D1734" s="32" t="n"/>
      <c r="E1734" s="43">
        <f>IF(OR(A1734="",B1734=""),"",SUMPRODUCT(MAX(($B$6:$B$2005=B1734)*($A$6:$A$2005&lt;A1734)*$A$6:$A$2005)))</f>
        <v/>
      </c>
      <c r="F1734" s="41">
        <f>IF(OR(E1734="",E1734=0),"",IFERROR(AVERAGEIFS($C$6:$C$2005,$B$6:$B$2005,B1734,$A$6:$A$2005,E1734),""))</f>
        <v/>
      </c>
      <c r="G1734" s="34">
        <f>IF(F1734="","",A1734-E1734)</f>
        <v/>
      </c>
      <c r="H1734" s="42">
        <f>IF(OR(F1734="",C1734=""),"",IFERROR((C1734-F1734)/G1734,""))</f>
        <v/>
      </c>
      <c r="I1734" s="39">
        <f>IF(B1734="","",IFERROR(INDEX('Animais'!$M$6:$M$1005,MATCH(B1734,'Animais'!$A$6:$A$1005,0)),"Brinco não cadastrado"))</f>
        <v/>
      </c>
    </row>
    <row r="1735">
      <c r="A1735" s="31" t="n"/>
      <c r="B1735" s="36" t="n"/>
      <c r="C1735" s="38" t="n"/>
      <c r="D1735" s="32" t="n"/>
      <c r="E1735" s="43">
        <f>IF(OR(A1735="",B1735=""),"",SUMPRODUCT(MAX(($B$6:$B$2005=B1735)*($A$6:$A$2005&lt;A1735)*$A$6:$A$2005)))</f>
        <v/>
      </c>
      <c r="F1735" s="41">
        <f>IF(OR(E1735="",E1735=0),"",IFERROR(AVERAGEIFS($C$6:$C$2005,$B$6:$B$2005,B1735,$A$6:$A$2005,E1735),""))</f>
        <v/>
      </c>
      <c r="G1735" s="34">
        <f>IF(F1735="","",A1735-E1735)</f>
        <v/>
      </c>
      <c r="H1735" s="42">
        <f>IF(OR(F1735="",C1735=""),"",IFERROR((C1735-F1735)/G1735,""))</f>
        <v/>
      </c>
      <c r="I1735" s="39">
        <f>IF(B1735="","",IFERROR(INDEX('Animais'!$M$6:$M$1005,MATCH(B1735,'Animais'!$A$6:$A$1005,0)),"Brinco não cadastrado"))</f>
        <v/>
      </c>
    </row>
    <row r="1736">
      <c r="A1736" s="31" t="n"/>
      <c r="B1736" s="36" t="n"/>
      <c r="C1736" s="38" t="n"/>
      <c r="D1736" s="32" t="n"/>
      <c r="E1736" s="43">
        <f>IF(OR(A1736="",B1736=""),"",SUMPRODUCT(MAX(($B$6:$B$2005=B1736)*($A$6:$A$2005&lt;A1736)*$A$6:$A$2005)))</f>
        <v/>
      </c>
      <c r="F1736" s="41">
        <f>IF(OR(E1736="",E1736=0),"",IFERROR(AVERAGEIFS($C$6:$C$2005,$B$6:$B$2005,B1736,$A$6:$A$2005,E1736),""))</f>
        <v/>
      </c>
      <c r="G1736" s="34">
        <f>IF(F1736="","",A1736-E1736)</f>
        <v/>
      </c>
      <c r="H1736" s="42">
        <f>IF(OR(F1736="",C1736=""),"",IFERROR((C1736-F1736)/G1736,""))</f>
        <v/>
      </c>
      <c r="I1736" s="39">
        <f>IF(B1736="","",IFERROR(INDEX('Animais'!$M$6:$M$1005,MATCH(B1736,'Animais'!$A$6:$A$1005,0)),"Brinco não cadastrado"))</f>
        <v/>
      </c>
    </row>
    <row r="1737">
      <c r="A1737" s="31" t="n"/>
      <c r="B1737" s="36" t="n"/>
      <c r="C1737" s="38" t="n"/>
      <c r="D1737" s="32" t="n"/>
      <c r="E1737" s="43">
        <f>IF(OR(A1737="",B1737=""),"",SUMPRODUCT(MAX(($B$6:$B$2005=B1737)*($A$6:$A$2005&lt;A1737)*$A$6:$A$2005)))</f>
        <v/>
      </c>
      <c r="F1737" s="41">
        <f>IF(OR(E1737="",E1737=0),"",IFERROR(AVERAGEIFS($C$6:$C$2005,$B$6:$B$2005,B1737,$A$6:$A$2005,E1737),""))</f>
        <v/>
      </c>
      <c r="G1737" s="34">
        <f>IF(F1737="","",A1737-E1737)</f>
        <v/>
      </c>
      <c r="H1737" s="42">
        <f>IF(OR(F1737="",C1737=""),"",IFERROR((C1737-F1737)/G1737,""))</f>
        <v/>
      </c>
      <c r="I1737" s="39">
        <f>IF(B1737="","",IFERROR(INDEX('Animais'!$M$6:$M$1005,MATCH(B1737,'Animais'!$A$6:$A$1005,0)),"Brinco não cadastrado"))</f>
        <v/>
      </c>
    </row>
    <row r="1738">
      <c r="A1738" s="31" t="n"/>
      <c r="B1738" s="36" t="n"/>
      <c r="C1738" s="38" t="n"/>
      <c r="D1738" s="32" t="n"/>
      <c r="E1738" s="43">
        <f>IF(OR(A1738="",B1738=""),"",SUMPRODUCT(MAX(($B$6:$B$2005=B1738)*($A$6:$A$2005&lt;A1738)*$A$6:$A$2005)))</f>
        <v/>
      </c>
      <c r="F1738" s="41">
        <f>IF(OR(E1738="",E1738=0),"",IFERROR(AVERAGEIFS($C$6:$C$2005,$B$6:$B$2005,B1738,$A$6:$A$2005,E1738),""))</f>
        <v/>
      </c>
      <c r="G1738" s="34">
        <f>IF(F1738="","",A1738-E1738)</f>
        <v/>
      </c>
      <c r="H1738" s="42">
        <f>IF(OR(F1738="",C1738=""),"",IFERROR((C1738-F1738)/G1738,""))</f>
        <v/>
      </c>
      <c r="I1738" s="39">
        <f>IF(B1738="","",IFERROR(INDEX('Animais'!$M$6:$M$1005,MATCH(B1738,'Animais'!$A$6:$A$1005,0)),"Brinco não cadastrado"))</f>
        <v/>
      </c>
    </row>
    <row r="1739">
      <c r="A1739" s="31" t="n"/>
      <c r="B1739" s="36" t="n"/>
      <c r="C1739" s="38" t="n"/>
      <c r="D1739" s="32" t="n"/>
      <c r="E1739" s="43">
        <f>IF(OR(A1739="",B1739=""),"",SUMPRODUCT(MAX(($B$6:$B$2005=B1739)*($A$6:$A$2005&lt;A1739)*$A$6:$A$2005)))</f>
        <v/>
      </c>
      <c r="F1739" s="41">
        <f>IF(OR(E1739="",E1739=0),"",IFERROR(AVERAGEIFS($C$6:$C$2005,$B$6:$B$2005,B1739,$A$6:$A$2005,E1739),""))</f>
        <v/>
      </c>
      <c r="G1739" s="34">
        <f>IF(F1739="","",A1739-E1739)</f>
        <v/>
      </c>
      <c r="H1739" s="42">
        <f>IF(OR(F1739="",C1739=""),"",IFERROR((C1739-F1739)/G1739,""))</f>
        <v/>
      </c>
      <c r="I1739" s="39">
        <f>IF(B1739="","",IFERROR(INDEX('Animais'!$M$6:$M$1005,MATCH(B1739,'Animais'!$A$6:$A$1005,0)),"Brinco não cadastrado"))</f>
        <v/>
      </c>
    </row>
    <row r="1740">
      <c r="A1740" s="31" t="n"/>
      <c r="B1740" s="36" t="n"/>
      <c r="C1740" s="38" t="n"/>
      <c r="D1740" s="32" t="n"/>
      <c r="E1740" s="43">
        <f>IF(OR(A1740="",B1740=""),"",SUMPRODUCT(MAX(($B$6:$B$2005=B1740)*($A$6:$A$2005&lt;A1740)*$A$6:$A$2005)))</f>
        <v/>
      </c>
      <c r="F1740" s="41">
        <f>IF(OR(E1740="",E1740=0),"",IFERROR(AVERAGEIFS($C$6:$C$2005,$B$6:$B$2005,B1740,$A$6:$A$2005,E1740),""))</f>
        <v/>
      </c>
      <c r="G1740" s="34">
        <f>IF(F1740="","",A1740-E1740)</f>
        <v/>
      </c>
      <c r="H1740" s="42">
        <f>IF(OR(F1740="",C1740=""),"",IFERROR((C1740-F1740)/G1740,""))</f>
        <v/>
      </c>
      <c r="I1740" s="39">
        <f>IF(B1740="","",IFERROR(INDEX('Animais'!$M$6:$M$1005,MATCH(B1740,'Animais'!$A$6:$A$1005,0)),"Brinco não cadastrado"))</f>
        <v/>
      </c>
    </row>
    <row r="1741">
      <c r="A1741" s="31" t="n"/>
      <c r="B1741" s="36" t="n"/>
      <c r="C1741" s="38" t="n"/>
      <c r="D1741" s="32" t="n"/>
      <c r="E1741" s="43">
        <f>IF(OR(A1741="",B1741=""),"",SUMPRODUCT(MAX(($B$6:$B$2005=B1741)*($A$6:$A$2005&lt;A1741)*$A$6:$A$2005)))</f>
        <v/>
      </c>
      <c r="F1741" s="41">
        <f>IF(OR(E1741="",E1741=0),"",IFERROR(AVERAGEIFS($C$6:$C$2005,$B$6:$B$2005,B1741,$A$6:$A$2005,E1741),""))</f>
        <v/>
      </c>
      <c r="G1741" s="34">
        <f>IF(F1741="","",A1741-E1741)</f>
        <v/>
      </c>
      <c r="H1741" s="42">
        <f>IF(OR(F1741="",C1741=""),"",IFERROR((C1741-F1741)/G1741,""))</f>
        <v/>
      </c>
      <c r="I1741" s="39">
        <f>IF(B1741="","",IFERROR(INDEX('Animais'!$M$6:$M$1005,MATCH(B1741,'Animais'!$A$6:$A$1005,0)),"Brinco não cadastrado"))</f>
        <v/>
      </c>
    </row>
    <row r="1742">
      <c r="A1742" s="31" t="n"/>
      <c r="B1742" s="36" t="n"/>
      <c r="C1742" s="38" t="n"/>
      <c r="D1742" s="32" t="n"/>
      <c r="E1742" s="43">
        <f>IF(OR(A1742="",B1742=""),"",SUMPRODUCT(MAX(($B$6:$B$2005=B1742)*($A$6:$A$2005&lt;A1742)*$A$6:$A$2005)))</f>
        <v/>
      </c>
      <c r="F1742" s="41">
        <f>IF(OR(E1742="",E1742=0),"",IFERROR(AVERAGEIFS($C$6:$C$2005,$B$6:$B$2005,B1742,$A$6:$A$2005,E1742),""))</f>
        <v/>
      </c>
      <c r="G1742" s="34">
        <f>IF(F1742="","",A1742-E1742)</f>
        <v/>
      </c>
      <c r="H1742" s="42">
        <f>IF(OR(F1742="",C1742=""),"",IFERROR((C1742-F1742)/G1742,""))</f>
        <v/>
      </c>
      <c r="I1742" s="39">
        <f>IF(B1742="","",IFERROR(INDEX('Animais'!$M$6:$M$1005,MATCH(B1742,'Animais'!$A$6:$A$1005,0)),"Brinco não cadastrado"))</f>
        <v/>
      </c>
    </row>
    <row r="1743">
      <c r="A1743" s="31" t="n"/>
      <c r="B1743" s="36" t="n"/>
      <c r="C1743" s="38" t="n"/>
      <c r="D1743" s="32" t="n"/>
      <c r="E1743" s="43">
        <f>IF(OR(A1743="",B1743=""),"",SUMPRODUCT(MAX(($B$6:$B$2005=B1743)*($A$6:$A$2005&lt;A1743)*$A$6:$A$2005)))</f>
        <v/>
      </c>
      <c r="F1743" s="41">
        <f>IF(OR(E1743="",E1743=0),"",IFERROR(AVERAGEIFS($C$6:$C$2005,$B$6:$B$2005,B1743,$A$6:$A$2005,E1743),""))</f>
        <v/>
      </c>
      <c r="G1743" s="34">
        <f>IF(F1743="","",A1743-E1743)</f>
        <v/>
      </c>
      <c r="H1743" s="42">
        <f>IF(OR(F1743="",C1743=""),"",IFERROR((C1743-F1743)/G1743,""))</f>
        <v/>
      </c>
      <c r="I1743" s="39">
        <f>IF(B1743="","",IFERROR(INDEX('Animais'!$M$6:$M$1005,MATCH(B1743,'Animais'!$A$6:$A$1005,0)),"Brinco não cadastrado"))</f>
        <v/>
      </c>
    </row>
    <row r="1744">
      <c r="A1744" s="31" t="n"/>
      <c r="B1744" s="36" t="n"/>
      <c r="C1744" s="38" t="n"/>
      <c r="D1744" s="32" t="n"/>
      <c r="E1744" s="43">
        <f>IF(OR(A1744="",B1744=""),"",SUMPRODUCT(MAX(($B$6:$B$2005=B1744)*($A$6:$A$2005&lt;A1744)*$A$6:$A$2005)))</f>
        <v/>
      </c>
      <c r="F1744" s="41">
        <f>IF(OR(E1744="",E1744=0),"",IFERROR(AVERAGEIFS($C$6:$C$2005,$B$6:$B$2005,B1744,$A$6:$A$2005,E1744),""))</f>
        <v/>
      </c>
      <c r="G1744" s="34">
        <f>IF(F1744="","",A1744-E1744)</f>
        <v/>
      </c>
      <c r="H1744" s="42">
        <f>IF(OR(F1744="",C1744=""),"",IFERROR((C1744-F1744)/G1744,""))</f>
        <v/>
      </c>
      <c r="I1744" s="39">
        <f>IF(B1744="","",IFERROR(INDEX('Animais'!$M$6:$M$1005,MATCH(B1744,'Animais'!$A$6:$A$1005,0)),"Brinco não cadastrado"))</f>
        <v/>
      </c>
    </row>
    <row r="1745">
      <c r="A1745" s="31" t="n"/>
      <c r="B1745" s="36" t="n"/>
      <c r="C1745" s="38" t="n"/>
      <c r="D1745" s="32" t="n"/>
      <c r="E1745" s="43">
        <f>IF(OR(A1745="",B1745=""),"",SUMPRODUCT(MAX(($B$6:$B$2005=B1745)*($A$6:$A$2005&lt;A1745)*$A$6:$A$2005)))</f>
        <v/>
      </c>
      <c r="F1745" s="41">
        <f>IF(OR(E1745="",E1745=0),"",IFERROR(AVERAGEIFS($C$6:$C$2005,$B$6:$B$2005,B1745,$A$6:$A$2005,E1745),""))</f>
        <v/>
      </c>
      <c r="G1745" s="34">
        <f>IF(F1745="","",A1745-E1745)</f>
        <v/>
      </c>
      <c r="H1745" s="42">
        <f>IF(OR(F1745="",C1745=""),"",IFERROR((C1745-F1745)/G1745,""))</f>
        <v/>
      </c>
      <c r="I1745" s="39">
        <f>IF(B1745="","",IFERROR(INDEX('Animais'!$M$6:$M$1005,MATCH(B1745,'Animais'!$A$6:$A$1005,0)),"Brinco não cadastrado"))</f>
        <v/>
      </c>
    </row>
    <row r="1746">
      <c r="A1746" s="31" t="n"/>
      <c r="B1746" s="36" t="n"/>
      <c r="C1746" s="38" t="n"/>
      <c r="D1746" s="32" t="n"/>
      <c r="E1746" s="43">
        <f>IF(OR(A1746="",B1746=""),"",SUMPRODUCT(MAX(($B$6:$B$2005=B1746)*($A$6:$A$2005&lt;A1746)*$A$6:$A$2005)))</f>
        <v/>
      </c>
      <c r="F1746" s="41">
        <f>IF(OR(E1746="",E1746=0),"",IFERROR(AVERAGEIFS($C$6:$C$2005,$B$6:$B$2005,B1746,$A$6:$A$2005,E1746),""))</f>
        <v/>
      </c>
      <c r="G1746" s="34">
        <f>IF(F1746="","",A1746-E1746)</f>
        <v/>
      </c>
      <c r="H1746" s="42">
        <f>IF(OR(F1746="",C1746=""),"",IFERROR((C1746-F1746)/G1746,""))</f>
        <v/>
      </c>
      <c r="I1746" s="39">
        <f>IF(B1746="","",IFERROR(INDEX('Animais'!$M$6:$M$1005,MATCH(B1746,'Animais'!$A$6:$A$1005,0)),"Brinco não cadastrado"))</f>
        <v/>
      </c>
    </row>
    <row r="1747">
      <c r="A1747" s="31" t="n"/>
      <c r="B1747" s="36" t="n"/>
      <c r="C1747" s="38" t="n"/>
      <c r="D1747" s="32" t="n"/>
      <c r="E1747" s="43">
        <f>IF(OR(A1747="",B1747=""),"",SUMPRODUCT(MAX(($B$6:$B$2005=B1747)*($A$6:$A$2005&lt;A1747)*$A$6:$A$2005)))</f>
        <v/>
      </c>
      <c r="F1747" s="41">
        <f>IF(OR(E1747="",E1747=0),"",IFERROR(AVERAGEIFS($C$6:$C$2005,$B$6:$B$2005,B1747,$A$6:$A$2005,E1747),""))</f>
        <v/>
      </c>
      <c r="G1747" s="34">
        <f>IF(F1747="","",A1747-E1747)</f>
        <v/>
      </c>
      <c r="H1747" s="42">
        <f>IF(OR(F1747="",C1747=""),"",IFERROR((C1747-F1747)/G1747,""))</f>
        <v/>
      </c>
      <c r="I1747" s="39">
        <f>IF(B1747="","",IFERROR(INDEX('Animais'!$M$6:$M$1005,MATCH(B1747,'Animais'!$A$6:$A$1005,0)),"Brinco não cadastrado"))</f>
        <v/>
      </c>
    </row>
    <row r="1748">
      <c r="A1748" s="31" t="n"/>
      <c r="B1748" s="36" t="n"/>
      <c r="C1748" s="38" t="n"/>
      <c r="D1748" s="32" t="n"/>
      <c r="E1748" s="43">
        <f>IF(OR(A1748="",B1748=""),"",SUMPRODUCT(MAX(($B$6:$B$2005=B1748)*($A$6:$A$2005&lt;A1748)*$A$6:$A$2005)))</f>
        <v/>
      </c>
      <c r="F1748" s="41">
        <f>IF(OR(E1748="",E1748=0),"",IFERROR(AVERAGEIFS($C$6:$C$2005,$B$6:$B$2005,B1748,$A$6:$A$2005,E1748),""))</f>
        <v/>
      </c>
      <c r="G1748" s="34">
        <f>IF(F1748="","",A1748-E1748)</f>
        <v/>
      </c>
      <c r="H1748" s="42">
        <f>IF(OR(F1748="",C1748=""),"",IFERROR((C1748-F1748)/G1748,""))</f>
        <v/>
      </c>
      <c r="I1748" s="39">
        <f>IF(B1748="","",IFERROR(INDEX('Animais'!$M$6:$M$1005,MATCH(B1748,'Animais'!$A$6:$A$1005,0)),"Brinco não cadastrado"))</f>
        <v/>
      </c>
    </row>
    <row r="1749">
      <c r="A1749" s="31" t="n"/>
      <c r="B1749" s="36" t="n"/>
      <c r="C1749" s="38" t="n"/>
      <c r="D1749" s="32" t="n"/>
      <c r="E1749" s="43">
        <f>IF(OR(A1749="",B1749=""),"",SUMPRODUCT(MAX(($B$6:$B$2005=B1749)*($A$6:$A$2005&lt;A1749)*$A$6:$A$2005)))</f>
        <v/>
      </c>
      <c r="F1749" s="41">
        <f>IF(OR(E1749="",E1749=0),"",IFERROR(AVERAGEIFS($C$6:$C$2005,$B$6:$B$2005,B1749,$A$6:$A$2005,E1749),""))</f>
        <v/>
      </c>
      <c r="G1749" s="34">
        <f>IF(F1749="","",A1749-E1749)</f>
        <v/>
      </c>
      <c r="H1749" s="42">
        <f>IF(OR(F1749="",C1749=""),"",IFERROR((C1749-F1749)/G1749,""))</f>
        <v/>
      </c>
      <c r="I1749" s="39">
        <f>IF(B1749="","",IFERROR(INDEX('Animais'!$M$6:$M$1005,MATCH(B1749,'Animais'!$A$6:$A$1005,0)),"Brinco não cadastrado"))</f>
        <v/>
      </c>
    </row>
    <row r="1750">
      <c r="A1750" s="31" t="n"/>
      <c r="B1750" s="36" t="n"/>
      <c r="C1750" s="38" t="n"/>
      <c r="D1750" s="32" t="n"/>
      <c r="E1750" s="43">
        <f>IF(OR(A1750="",B1750=""),"",SUMPRODUCT(MAX(($B$6:$B$2005=B1750)*($A$6:$A$2005&lt;A1750)*$A$6:$A$2005)))</f>
        <v/>
      </c>
      <c r="F1750" s="41">
        <f>IF(OR(E1750="",E1750=0),"",IFERROR(AVERAGEIFS($C$6:$C$2005,$B$6:$B$2005,B1750,$A$6:$A$2005,E1750),""))</f>
        <v/>
      </c>
      <c r="G1750" s="34">
        <f>IF(F1750="","",A1750-E1750)</f>
        <v/>
      </c>
      <c r="H1750" s="42">
        <f>IF(OR(F1750="",C1750=""),"",IFERROR((C1750-F1750)/G1750,""))</f>
        <v/>
      </c>
      <c r="I1750" s="39">
        <f>IF(B1750="","",IFERROR(INDEX('Animais'!$M$6:$M$1005,MATCH(B1750,'Animais'!$A$6:$A$1005,0)),"Brinco não cadastrado"))</f>
        <v/>
      </c>
    </row>
    <row r="1751">
      <c r="A1751" s="31" t="n"/>
      <c r="B1751" s="36" t="n"/>
      <c r="C1751" s="38" t="n"/>
      <c r="D1751" s="32" t="n"/>
      <c r="E1751" s="43">
        <f>IF(OR(A1751="",B1751=""),"",SUMPRODUCT(MAX(($B$6:$B$2005=B1751)*($A$6:$A$2005&lt;A1751)*$A$6:$A$2005)))</f>
        <v/>
      </c>
      <c r="F1751" s="41">
        <f>IF(OR(E1751="",E1751=0),"",IFERROR(AVERAGEIFS($C$6:$C$2005,$B$6:$B$2005,B1751,$A$6:$A$2005,E1751),""))</f>
        <v/>
      </c>
      <c r="G1751" s="34">
        <f>IF(F1751="","",A1751-E1751)</f>
        <v/>
      </c>
      <c r="H1751" s="42">
        <f>IF(OR(F1751="",C1751=""),"",IFERROR((C1751-F1751)/G1751,""))</f>
        <v/>
      </c>
      <c r="I1751" s="39">
        <f>IF(B1751="","",IFERROR(INDEX('Animais'!$M$6:$M$1005,MATCH(B1751,'Animais'!$A$6:$A$1005,0)),"Brinco não cadastrado"))</f>
        <v/>
      </c>
    </row>
    <row r="1752">
      <c r="A1752" s="31" t="n"/>
      <c r="B1752" s="36" t="n"/>
      <c r="C1752" s="38" t="n"/>
      <c r="D1752" s="32" t="n"/>
      <c r="E1752" s="43">
        <f>IF(OR(A1752="",B1752=""),"",SUMPRODUCT(MAX(($B$6:$B$2005=B1752)*($A$6:$A$2005&lt;A1752)*$A$6:$A$2005)))</f>
        <v/>
      </c>
      <c r="F1752" s="41">
        <f>IF(OR(E1752="",E1752=0),"",IFERROR(AVERAGEIFS($C$6:$C$2005,$B$6:$B$2005,B1752,$A$6:$A$2005,E1752),""))</f>
        <v/>
      </c>
      <c r="G1752" s="34">
        <f>IF(F1752="","",A1752-E1752)</f>
        <v/>
      </c>
      <c r="H1752" s="42">
        <f>IF(OR(F1752="",C1752=""),"",IFERROR((C1752-F1752)/G1752,""))</f>
        <v/>
      </c>
      <c r="I1752" s="39">
        <f>IF(B1752="","",IFERROR(INDEX('Animais'!$M$6:$M$1005,MATCH(B1752,'Animais'!$A$6:$A$1005,0)),"Brinco não cadastrado"))</f>
        <v/>
      </c>
    </row>
    <row r="1753">
      <c r="A1753" s="31" t="n"/>
      <c r="B1753" s="36" t="n"/>
      <c r="C1753" s="38" t="n"/>
      <c r="D1753" s="32" t="n"/>
      <c r="E1753" s="43">
        <f>IF(OR(A1753="",B1753=""),"",SUMPRODUCT(MAX(($B$6:$B$2005=B1753)*($A$6:$A$2005&lt;A1753)*$A$6:$A$2005)))</f>
        <v/>
      </c>
      <c r="F1753" s="41">
        <f>IF(OR(E1753="",E1753=0),"",IFERROR(AVERAGEIFS($C$6:$C$2005,$B$6:$B$2005,B1753,$A$6:$A$2005,E1753),""))</f>
        <v/>
      </c>
      <c r="G1753" s="34">
        <f>IF(F1753="","",A1753-E1753)</f>
        <v/>
      </c>
      <c r="H1753" s="42">
        <f>IF(OR(F1753="",C1753=""),"",IFERROR((C1753-F1753)/G1753,""))</f>
        <v/>
      </c>
      <c r="I1753" s="39">
        <f>IF(B1753="","",IFERROR(INDEX('Animais'!$M$6:$M$1005,MATCH(B1753,'Animais'!$A$6:$A$1005,0)),"Brinco não cadastrado"))</f>
        <v/>
      </c>
    </row>
    <row r="1754">
      <c r="A1754" s="31" t="n"/>
      <c r="B1754" s="36" t="n"/>
      <c r="C1754" s="38" t="n"/>
      <c r="D1754" s="32" t="n"/>
      <c r="E1754" s="43">
        <f>IF(OR(A1754="",B1754=""),"",SUMPRODUCT(MAX(($B$6:$B$2005=B1754)*($A$6:$A$2005&lt;A1754)*$A$6:$A$2005)))</f>
        <v/>
      </c>
      <c r="F1754" s="41">
        <f>IF(OR(E1754="",E1754=0),"",IFERROR(AVERAGEIFS($C$6:$C$2005,$B$6:$B$2005,B1754,$A$6:$A$2005,E1754),""))</f>
        <v/>
      </c>
      <c r="G1754" s="34">
        <f>IF(F1754="","",A1754-E1754)</f>
        <v/>
      </c>
      <c r="H1754" s="42">
        <f>IF(OR(F1754="",C1754=""),"",IFERROR((C1754-F1754)/G1754,""))</f>
        <v/>
      </c>
      <c r="I1754" s="39">
        <f>IF(B1754="","",IFERROR(INDEX('Animais'!$M$6:$M$1005,MATCH(B1754,'Animais'!$A$6:$A$1005,0)),"Brinco não cadastrado"))</f>
        <v/>
      </c>
    </row>
    <row r="1755">
      <c r="A1755" s="31" t="n"/>
      <c r="B1755" s="36" t="n"/>
      <c r="C1755" s="38" t="n"/>
      <c r="D1755" s="32" t="n"/>
      <c r="E1755" s="43">
        <f>IF(OR(A1755="",B1755=""),"",SUMPRODUCT(MAX(($B$6:$B$2005=B1755)*($A$6:$A$2005&lt;A1755)*$A$6:$A$2005)))</f>
        <v/>
      </c>
      <c r="F1755" s="41">
        <f>IF(OR(E1755="",E1755=0),"",IFERROR(AVERAGEIFS($C$6:$C$2005,$B$6:$B$2005,B1755,$A$6:$A$2005,E1755),""))</f>
        <v/>
      </c>
      <c r="G1755" s="34">
        <f>IF(F1755="","",A1755-E1755)</f>
        <v/>
      </c>
      <c r="H1755" s="42">
        <f>IF(OR(F1755="",C1755=""),"",IFERROR((C1755-F1755)/G1755,""))</f>
        <v/>
      </c>
      <c r="I1755" s="39">
        <f>IF(B1755="","",IFERROR(INDEX('Animais'!$M$6:$M$1005,MATCH(B1755,'Animais'!$A$6:$A$1005,0)),"Brinco não cadastrado"))</f>
        <v/>
      </c>
    </row>
    <row r="1756">
      <c r="A1756" s="31" t="n"/>
      <c r="B1756" s="36" t="n"/>
      <c r="C1756" s="38" t="n"/>
      <c r="D1756" s="32" t="n"/>
      <c r="E1756" s="43">
        <f>IF(OR(A1756="",B1756=""),"",SUMPRODUCT(MAX(($B$6:$B$2005=B1756)*($A$6:$A$2005&lt;A1756)*$A$6:$A$2005)))</f>
        <v/>
      </c>
      <c r="F1756" s="41">
        <f>IF(OR(E1756="",E1756=0),"",IFERROR(AVERAGEIFS($C$6:$C$2005,$B$6:$B$2005,B1756,$A$6:$A$2005,E1756),""))</f>
        <v/>
      </c>
      <c r="G1756" s="34">
        <f>IF(F1756="","",A1756-E1756)</f>
        <v/>
      </c>
      <c r="H1756" s="42">
        <f>IF(OR(F1756="",C1756=""),"",IFERROR((C1756-F1756)/G1756,""))</f>
        <v/>
      </c>
      <c r="I1756" s="39">
        <f>IF(B1756="","",IFERROR(INDEX('Animais'!$M$6:$M$1005,MATCH(B1756,'Animais'!$A$6:$A$1005,0)),"Brinco não cadastrado"))</f>
        <v/>
      </c>
    </row>
    <row r="1757">
      <c r="A1757" s="31" t="n"/>
      <c r="B1757" s="36" t="n"/>
      <c r="C1757" s="38" t="n"/>
      <c r="D1757" s="32" t="n"/>
      <c r="E1757" s="43">
        <f>IF(OR(A1757="",B1757=""),"",SUMPRODUCT(MAX(($B$6:$B$2005=B1757)*($A$6:$A$2005&lt;A1757)*$A$6:$A$2005)))</f>
        <v/>
      </c>
      <c r="F1757" s="41">
        <f>IF(OR(E1757="",E1757=0),"",IFERROR(AVERAGEIFS($C$6:$C$2005,$B$6:$B$2005,B1757,$A$6:$A$2005,E1757),""))</f>
        <v/>
      </c>
      <c r="G1757" s="34">
        <f>IF(F1757="","",A1757-E1757)</f>
        <v/>
      </c>
      <c r="H1757" s="42">
        <f>IF(OR(F1757="",C1757=""),"",IFERROR((C1757-F1757)/G1757,""))</f>
        <v/>
      </c>
      <c r="I1757" s="39">
        <f>IF(B1757="","",IFERROR(INDEX('Animais'!$M$6:$M$1005,MATCH(B1757,'Animais'!$A$6:$A$1005,0)),"Brinco não cadastrado"))</f>
        <v/>
      </c>
    </row>
    <row r="1758">
      <c r="A1758" s="31" t="n"/>
      <c r="B1758" s="36" t="n"/>
      <c r="C1758" s="38" t="n"/>
      <c r="D1758" s="32" t="n"/>
      <c r="E1758" s="43">
        <f>IF(OR(A1758="",B1758=""),"",SUMPRODUCT(MAX(($B$6:$B$2005=B1758)*($A$6:$A$2005&lt;A1758)*$A$6:$A$2005)))</f>
        <v/>
      </c>
      <c r="F1758" s="41">
        <f>IF(OR(E1758="",E1758=0),"",IFERROR(AVERAGEIFS($C$6:$C$2005,$B$6:$B$2005,B1758,$A$6:$A$2005,E1758),""))</f>
        <v/>
      </c>
      <c r="G1758" s="34">
        <f>IF(F1758="","",A1758-E1758)</f>
        <v/>
      </c>
      <c r="H1758" s="42">
        <f>IF(OR(F1758="",C1758=""),"",IFERROR((C1758-F1758)/G1758,""))</f>
        <v/>
      </c>
      <c r="I1758" s="39">
        <f>IF(B1758="","",IFERROR(INDEX('Animais'!$M$6:$M$1005,MATCH(B1758,'Animais'!$A$6:$A$1005,0)),"Brinco não cadastrado"))</f>
        <v/>
      </c>
    </row>
    <row r="1759">
      <c r="A1759" s="31" t="n"/>
      <c r="B1759" s="36" t="n"/>
      <c r="C1759" s="38" t="n"/>
      <c r="D1759" s="32" t="n"/>
      <c r="E1759" s="43">
        <f>IF(OR(A1759="",B1759=""),"",SUMPRODUCT(MAX(($B$6:$B$2005=B1759)*($A$6:$A$2005&lt;A1759)*$A$6:$A$2005)))</f>
        <v/>
      </c>
      <c r="F1759" s="41">
        <f>IF(OR(E1759="",E1759=0),"",IFERROR(AVERAGEIFS($C$6:$C$2005,$B$6:$B$2005,B1759,$A$6:$A$2005,E1759),""))</f>
        <v/>
      </c>
      <c r="G1759" s="34">
        <f>IF(F1759="","",A1759-E1759)</f>
        <v/>
      </c>
      <c r="H1759" s="42">
        <f>IF(OR(F1759="",C1759=""),"",IFERROR((C1759-F1759)/G1759,""))</f>
        <v/>
      </c>
      <c r="I1759" s="39">
        <f>IF(B1759="","",IFERROR(INDEX('Animais'!$M$6:$M$1005,MATCH(B1759,'Animais'!$A$6:$A$1005,0)),"Brinco não cadastrado"))</f>
        <v/>
      </c>
    </row>
    <row r="1760">
      <c r="A1760" s="31" t="n"/>
      <c r="B1760" s="36" t="n"/>
      <c r="C1760" s="38" t="n"/>
      <c r="D1760" s="32" t="n"/>
      <c r="E1760" s="43">
        <f>IF(OR(A1760="",B1760=""),"",SUMPRODUCT(MAX(($B$6:$B$2005=B1760)*($A$6:$A$2005&lt;A1760)*$A$6:$A$2005)))</f>
        <v/>
      </c>
      <c r="F1760" s="41">
        <f>IF(OR(E1760="",E1760=0),"",IFERROR(AVERAGEIFS($C$6:$C$2005,$B$6:$B$2005,B1760,$A$6:$A$2005,E1760),""))</f>
        <v/>
      </c>
      <c r="G1760" s="34">
        <f>IF(F1760="","",A1760-E1760)</f>
        <v/>
      </c>
      <c r="H1760" s="42">
        <f>IF(OR(F1760="",C1760=""),"",IFERROR((C1760-F1760)/G1760,""))</f>
        <v/>
      </c>
      <c r="I1760" s="39">
        <f>IF(B1760="","",IFERROR(INDEX('Animais'!$M$6:$M$1005,MATCH(B1760,'Animais'!$A$6:$A$1005,0)),"Brinco não cadastrado"))</f>
        <v/>
      </c>
    </row>
    <row r="1761">
      <c r="A1761" s="31" t="n"/>
      <c r="B1761" s="36" t="n"/>
      <c r="C1761" s="38" t="n"/>
      <c r="D1761" s="32" t="n"/>
      <c r="E1761" s="43">
        <f>IF(OR(A1761="",B1761=""),"",SUMPRODUCT(MAX(($B$6:$B$2005=B1761)*($A$6:$A$2005&lt;A1761)*$A$6:$A$2005)))</f>
        <v/>
      </c>
      <c r="F1761" s="41">
        <f>IF(OR(E1761="",E1761=0),"",IFERROR(AVERAGEIFS($C$6:$C$2005,$B$6:$B$2005,B1761,$A$6:$A$2005,E1761),""))</f>
        <v/>
      </c>
      <c r="G1761" s="34">
        <f>IF(F1761="","",A1761-E1761)</f>
        <v/>
      </c>
      <c r="H1761" s="42">
        <f>IF(OR(F1761="",C1761=""),"",IFERROR((C1761-F1761)/G1761,""))</f>
        <v/>
      </c>
      <c r="I1761" s="39">
        <f>IF(B1761="","",IFERROR(INDEX('Animais'!$M$6:$M$1005,MATCH(B1761,'Animais'!$A$6:$A$1005,0)),"Brinco não cadastrado"))</f>
        <v/>
      </c>
    </row>
    <row r="1762">
      <c r="A1762" s="31" t="n"/>
      <c r="B1762" s="36" t="n"/>
      <c r="C1762" s="38" t="n"/>
      <c r="D1762" s="32" t="n"/>
      <c r="E1762" s="43">
        <f>IF(OR(A1762="",B1762=""),"",SUMPRODUCT(MAX(($B$6:$B$2005=B1762)*($A$6:$A$2005&lt;A1762)*$A$6:$A$2005)))</f>
        <v/>
      </c>
      <c r="F1762" s="41">
        <f>IF(OR(E1762="",E1762=0),"",IFERROR(AVERAGEIFS($C$6:$C$2005,$B$6:$B$2005,B1762,$A$6:$A$2005,E1762),""))</f>
        <v/>
      </c>
      <c r="G1762" s="34">
        <f>IF(F1762="","",A1762-E1762)</f>
        <v/>
      </c>
      <c r="H1762" s="42">
        <f>IF(OR(F1762="",C1762=""),"",IFERROR((C1762-F1762)/G1762,""))</f>
        <v/>
      </c>
      <c r="I1762" s="39">
        <f>IF(B1762="","",IFERROR(INDEX('Animais'!$M$6:$M$1005,MATCH(B1762,'Animais'!$A$6:$A$1005,0)),"Brinco não cadastrado"))</f>
        <v/>
      </c>
    </row>
    <row r="1763">
      <c r="A1763" s="31" t="n"/>
      <c r="B1763" s="36" t="n"/>
      <c r="C1763" s="38" t="n"/>
      <c r="D1763" s="32" t="n"/>
      <c r="E1763" s="43">
        <f>IF(OR(A1763="",B1763=""),"",SUMPRODUCT(MAX(($B$6:$B$2005=B1763)*($A$6:$A$2005&lt;A1763)*$A$6:$A$2005)))</f>
        <v/>
      </c>
      <c r="F1763" s="41">
        <f>IF(OR(E1763="",E1763=0),"",IFERROR(AVERAGEIFS($C$6:$C$2005,$B$6:$B$2005,B1763,$A$6:$A$2005,E1763),""))</f>
        <v/>
      </c>
      <c r="G1763" s="34">
        <f>IF(F1763="","",A1763-E1763)</f>
        <v/>
      </c>
      <c r="H1763" s="42">
        <f>IF(OR(F1763="",C1763=""),"",IFERROR((C1763-F1763)/G1763,""))</f>
        <v/>
      </c>
      <c r="I1763" s="39">
        <f>IF(B1763="","",IFERROR(INDEX('Animais'!$M$6:$M$1005,MATCH(B1763,'Animais'!$A$6:$A$1005,0)),"Brinco não cadastrado"))</f>
        <v/>
      </c>
    </row>
    <row r="1764">
      <c r="A1764" s="31" t="n"/>
      <c r="B1764" s="36" t="n"/>
      <c r="C1764" s="38" t="n"/>
      <c r="D1764" s="32" t="n"/>
      <c r="E1764" s="43">
        <f>IF(OR(A1764="",B1764=""),"",SUMPRODUCT(MAX(($B$6:$B$2005=B1764)*($A$6:$A$2005&lt;A1764)*$A$6:$A$2005)))</f>
        <v/>
      </c>
      <c r="F1764" s="41">
        <f>IF(OR(E1764="",E1764=0),"",IFERROR(AVERAGEIFS($C$6:$C$2005,$B$6:$B$2005,B1764,$A$6:$A$2005,E1764),""))</f>
        <v/>
      </c>
      <c r="G1764" s="34">
        <f>IF(F1764="","",A1764-E1764)</f>
        <v/>
      </c>
      <c r="H1764" s="42">
        <f>IF(OR(F1764="",C1764=""),"",IFERROR((C1764-F1764)/G1764,""))</f>
        <v/>
      </c>
      <c r="I1764" s="39">
        <f>IF(B1764="","",IFERROR(INDEX('Animais'!$M$6:$M$1005,MATCH(B1764,'Animais'!$A$6:$A$1005,0)),"Brinco não cadastrado"))</f>
        <v/>
      </c>
    </row>
    <row r="1765">
      <c r="A1765" s="31" t="n"/>
      <c r="B1765" s="36" t="n"/>
      <c r="C1765" s="38" t="n"/>
      <c r="D1765" s="32" t="n"/>
      <c r="E1765" s="43">
        <f>IF(OR(A1765="",B1765=""),"",SUMPRODUCT(MAX(($B$6:$B$2005=B1765)*($A$6:$A$2005&lt;A1765)*$A$6:$A$2005)))</f>
        <v/>
      </c>
      <c r="F1765" s="41">
        <f>IF(OR(E1765="",E1765=0),"",IFERROR(AVERAGEIFS($C$6:$C$2005,$B$6:$B$2005,B1765,$A$6:$A$2005,E1765),""))</f>
        <v/>
      </c>
      <c r="G1765" s="34">
        <f>IF(F1765="","",A1765-E1765)</f>
        <v/>
      </c>
      <c r="H1765" s="42">
        <f>IF(OR(F1765="",C1765=""),"",IFERROR((C1765-F1765)/G1765,""))</f>
        <v/>
      </c>
      <c r="I1765" s="39">
        <f>IF(B1765="","",IFERROR(INDEX('Animais'!$M$6:$M$1005,MATCH(B1765,'Animais'!$A$6:$A$1005,0)),"Brinco não cadastrado"))</f>
        <v/>
      </c>
    </row>
    <row r="1766">
      <c r="A1766" s="31" t="n"/>
      <c r="B1766" s="36" t="n"/>
      <c r="C1766" s="38" t="n"/>
      <c r="D1766" s="32" t="n"/>
      <c r="E1766" s="43">
        <f>IF(OR(A1766="",B1766=""),"",SUMPRODUCT(MAX(($B$6:$B$2005=B1766)*($A$6:$A$2005&lt;A1766)*$A$6:$A$2005)))</f>
        <v/>
      </c>
      <c r="F1766" s="41">
        <f>IF(OR(E1766="",E1766=0),"",IFERROR(AVERAGEIFS($C$6:$C$2005,$B$6:$B$2005,B1766,$A$6:$A$2005,E1766),""))</f>
        <v/>
      </c>
      <c r="G1766" s="34">
        <f>IF(F1766="","",A1766-E1766)</f>
        <v/>
      </c>
      <c r="H1766" s="42">
        <f>IF(OR(F1766="",C1766=""),"",IFERROR((C1766-F1766)/G1766,""))</f>
        <v/>
      </c>
      <c r="I1766" s="39">
        <f>IF(B1766="","",IFERROR(INDEX('Animais'!$M$6:$M$1005,MATCH(B1766,'Animais'!$A$6:$A$1005,0)),"Brinco não cadastrado"))</f>
        <v/>
      </c>
    </row>
    <row r="1767">
      <c r="A1767" s="31" t="n"/>
      <c r="B1767" s="36" t="n"/>
      <c r="C1767" s="38" t="n"/>
      <c r="D1767" s="32" t="n"/>
      <c r="E1767" s="43">
        <f>IF(OR(A1767="",B1767=""),"",SUMPRODUCT(MAX(($B$6:$B$2005=B1767)*($A$6:$A$2005&lt;A1767)*$A$6:$A$2005)))</f>
        <v/>
      </c>
      <c r="F1767" s="41">
        <f>IF(OR(E1767="",E1767=0),"",IFERROR(AVERAGEIFS($C$6:$C$2005,$B$6:$B$2005,B1767,$A$6:$A$2005,E1767),""))</f>
        <v/>
      </c>
      <c r="G1767" s="34">
        <f>IF(F1767="","",A1767-E1767)</f>
        <v/>
      </c>
      <c r="H1767" s="42">
        <f>IF(OR(F1767="",C1767=""),"",IFERROR((C1767-F1767)/G1767,""))</f>
        <v/>
      </c>
      <c r="I1767" s="39">
        <f>IF(B1767="","",IFERROR(INDEX('Animais'!$M$6:$M$1005,MATCH(B1767,'Animais'!$A$6:$A$1005,0)),"Brinco não cadastrado"))</f>
        <v/>
      </c>
    </row>
    <row r="1768">
      <c r="A1768" s="31" t="n"/>
      <c r="B1768" s="36" t="n"/>
      <c r="C1768" s="38" t="n"/>
      <c r="D1768" s="32" t="n"/>
      <c r="E1768" s="43">
        <f>IF(OR(A1768="",B1768=""),"",SUMPRODUCT(MAX(($B$6:$B$2005=B1768)*($A$6:$A$2005&lt;A1768)*$A$6:$A$2005)))</f>
        <v/>
      </c>
      <c r="F1768" s="41">
        <f>IF(OR(E1768="",E1768=0),"",IFERROR(AVERAGEIFS($C$6:$C$2005,$B$6:$B$2005,B1768,$A$6:$A$2005,E1768),""))</f>
        <v/>
      </c>
      <c r="G1768" s="34">
        <f>IF(F1768="","",A1768-E1768)</f>
        <v/>
      </c>
      <c r="H1768" s="42">
        <f>IF(OR(F1768="",C1768=""),"",IFERROR((C1768-F1768)/G1768,""))</f>
        <v/>
      </c>
      <c r="I1768" s="39">
        <f>IF(B1768="","",IFERROR(INDEX('Animais'!$M$6:$M$1005,MATCH(B1768,'Animais'!$A$6:$A$1005,0)),"Brinco não cadastrado"))</f>
        <v/>
      </c>
    </row>
    <row r="1769">
      <c r="A1769" s="31" t="n"/>
      <c r="B1769" s="36" t="n"/>
      <c r="C1769" s="38" t="n"/>
      <c r="D1769" s="32" t="n"/>
      <c r="E1769" s="43">
        <f>IF(OR(A1769="",B1769=""),"",SUMPRODUCT(MAX(($B$6:$B$2005=B1769)*($A$6:$A$2005&lt;A1769)*$A$6:$A$2005)))</f>
        <v/>
      </c>
      <c r="F1769" s="41">
        <f>IF(OR(E1769="",E1769=0),"",IFERROR(AVERAGEIFS($C$6:$C$2005,$B$6:$B$2005,B1769,$A$6:$A$2005,E1769),""))</f>
        <v/>
      </c>
      <c r="G1769" s="34">
        <f>IF(F1769="","",A1769-E1769)</f>
        <v/>
      </c>
      <c r="H1769" s="42">
        <f>IF(OR(F1769="",C1769=""),"",IFERROR((C1769-F1769)/G1769,""))</f>
        <v/>
      </c>
      <c r="I1769" s="39">
        <f>IF(B1769="","",IFERROR(INDEX('Animais'!$M$6:$M$1005,MATCH(B1769,'Animais'!$A$6:$A$1005,0)),"Brinco não cadastrado"))</f>
        <v/>
      </c>
    </row>
    <row r="1770">
      <c r="A1770" s="31" t="n"/>
      <c r="B1770" s="36" t="n"/>
      <c r="C1770" s="38" t="n"/>
      <c r="D1770" s="32" t="n"/>
      <c r="E1770" s="43">
        <f>IF(OR(A1770="",B1770=""),"",SUMPRODUCT(MAX(($B$6:$B$2005=B1770)*($A$6:$A$2005&lt;A1770)*$A$6:$A$2005)))</f>
        <v/>
      </c>
      <c r="F1770" s="41">
        <f>IF(OR(E1770="",E1770=0),"",IFERROR(AVERAGEIFS($C$6:$C$2005,$B$6:$B$2005,B1770,$A$6:$A$2005,E1770),""))</f>
        <v/>
      </c>
      <c r="G1770" s="34">
        <f>IF(F1770="","",A1770-E1770)</f>
        <v/>
      </c>
      <c r="H1770" s="42">
        <f>IF(OR(F1770="",C1770=""),"",IFERROR((C1770-F1770)/G1770,""))</f>
        <v/>
      </c>
      <c r="I1770" s="39">
        <f>IF(B1770="","",IFERROR(INDEX('Animais'!$M$6:$M$1005,MATCH(B1770,'Animais'!$A$6:$A$1005,0)),"Brinco não cadastrado"))</f>
        <v/>
      </c>
    </row>
    <row r="1771">
      <c r="A1771" s="31" t="n"/>
      <c r="B1771" s="36" t="n"/>
      <c r="C1771" s="38" t="n"/>
      <c r="D1771" s="32" t="n"/>
      <c r="E1771" s="43">
        <f>IF(OR(A1771="",B1771=""),"",SUMPRODUCT(MAX(($B$6:$B$2005=B1771)*($A$6:$A$2005&lt;A1771)*$A$6:$A$2005)))</f>
        <v/>
      </c>
      <c r="F1771" s="41">
        <f>IF(OR(E1771="",E1771=0),"",IFERROR(AVERAGEIFS($C$6:$C$2005,$B$6:$B$2005,B1771,$A$6:$A$2005,E1771),""))</f>
        <v/>
      </c>
      <c r="G1771" s="34">
        <f>IF(F1771="","",A1771-E1771)</f>
        <v/>
      </c>
      <c r="H1771" s="42">
        <f>IF(OR(F1771="",C1771=""),"",IFERROR((C1771-F1771)/G1771,""))</f>
        <v/>
      </c>
      <c r="I1771" s="39">
        <f>IF(B1771="","",IFERROR(INDEX('Animais'!$M$6:$M$1005,MATCH(B1771,'Animais'!$A$6:$A$1005,0)),"Brinco não cadastrado"))</f>
        <v/>
      </c>
    </row>
    <row r="1772">
      <c r="A1772" s="31" t="n"/>
      <c r="B1772" s="36" t="n"/>
      <c r="C1772" s="38" t="n"/>
      <c r="D1772" s="32" t="n"/>
      <c r="E1772" s="43">
        <f>IF(OR(A1772="",B1772=""),"",SUMPRODUCT(MAX(($B$6:$B$2005=B1772)*($A$6:$A$2005&lt;A1772)*$A$6:$A$2005)))</f>
        <v/>
      </c>
      <c r="F1772" s="41">
        <f>IF(OR(E1772="",E1772=0),"",IFERROR(AVERAGEIFS($C$6:$C$2005,$B$6:$B$2005,B1772,$A$6:$A$2005,E1772),""))</f>
        <v/>
      </c>
      <c r="G1772" s="34">
        <f>IF(F1772="","",A1772-E1772)</f>
        <v/>
      </c>
      <c r="H1772" s="42">
        <f>IF(OR(F1772="",C1772=""),"",IFERROR((C1772-F1772)/G1772,""))</f>
        <v/>
      </c>
      <c r="I1772" s="39">
        <f>IF(B1772="","",IFERROR(INDEX('Animais'!$M$6:$M$1005,MATCH(B1772,'Animais'!$A$6:$A$1005,0)),"Brinco não cadastrado"))</f>
        <v/>
      </c>
    </row>
    <row r="1773">
      <c r="A1773" s="31" t="n"/>
      <c r="B1773" s="36" t="n"/>
      <c r="C1773" s="38" t="n"/>
      <c r="D1773" s="32" t="n"/>
      <c r="E1773" s="43">
        <f>IF(OR(A1773="",B1773=""),"",SUMPRODUCT(MAX(($B$6:$B$2005=B1773)*($A$6:$A$2005&lt;A1773)*$A$6:$A$2005)))</f>
        <v/>
      </c>
      <c r="F1773" s="41">
        <f>IF(OR(E1773="",E1773=0),"",IFERROR(AVERAGEIFS($C$6:$C$2005,$B$6:$B$2005,B1773,$A$6:$A$2005,E1773),""))</f>
        <v/>
      </c>
      <c r="G1773" s="34">
        <f>IF(F1773="","",A1773-E1773)</f>
        <v/>
      </c>
      <c r="H1773" s="42">
        <f>IF(OR(F1773="",C1773=""),"",IFERROR((C1773-F1773)/G1773,""))</f>
        <v/>
      </c>
      <c r="I1773" s="39">
        <f>IF(B1773="","",IFERROR(INDEX('Animais'!$M$6:$M$1005,MATCH(B1773,'Animais'!$A$6:$A$1005,0)),"Brinco não cadastrado"))</f>
        <v/>
      </c>
    </row>
    <row r="1774">
      <c r="A1774" s="31" t="n"/>
      <c r="B1774" s="36" t="n"/>
      <c r="C1774" s="38" t="n"/>
      <c r="D1774" s="32" t="n"/>
      <c r="E1774" s="43">
        <f>IF(OR(A1774="",B1774=""),"",SUMPRODUCT(MAX(($B$6:$B$2005=B1774)*($A$6:$A$2005&lt;A1774)*$A$6:$A$2005)))</f>
        <v/>
      </c>
      <c r="F1774" s="41">
        <f>IF(OR(E1774="",E1774=0),"",IFERROR(AVERAGEIFS($C$6:$C$2005,$B$6:$B$2005,B1774,$A$6:$A$2005,E1774),""))</f>
        <v/>
      </c>
      <c r="G1774" s="34">
        <f>IF(F1774="","",A1774-E1774)</f>
        <v/>
      </c>
      <c r="H1774" s="42">
        <f>IF(OR(F1774="",C1774=""),"",IFERROR((C1774-F1774)/G1774,""))</f>
        <v/>
      </c>
      <c r="I1774" s="39">
        <f>IF(B1774="","",IFERROR(INDEX('Animais'!$M$6:$M$1005,MATCH(B1774,'Animais'!$A$6:$A$1005,0)),"Brinco não cadastrado"))</f>
        <v/>
      </c>
    </row>
    <row r="1775">
      <c r="A1775" s="31" t="n"/>
      <c r="B1775" s="36" t="n"/>
      <c r="C1775" s="38" t="n"/>
      <c r="D1775" s="32" t="n"/>
      <c r="E1775" s="43">
        <f>IF(OR(A1775="",B1775=""),"",SUMPRODUCT(MAX(($B$6:$B$2005=B1775)*($A$6:$A$2005&lt;A1775)*$A$6:$A$2005)))</f>
        <v/>
      </c>
      <c r="F1775" s="41">
        <f>IF(OR(E1775="",E1775=0),"",IFERROR(AVERAGEIFS($C$6:$C$2005,$B$6:$B$2005,B1775,$A$6:$A$2005,E1775),""))</f>
        <v/>
      </c>
      <c r="G1775" s="34">
        <f>IF(F1775="","",A1775-E1775)</f>
        <v/>
      </c>
      <c r="H1775" s="42">
        <f>IF(OR(F1775="",C1775=""),"",IFERROR((C1775-F1775)/G1775,""))</f>
        <v/>
      </c>
      <c r="I1775" s="39">
        <f>IF(B1775="","",IFERROR(INDEX('Animais'!$M$6:$M$1005,MATCH(B1775,'Animais'!$A$6:$A$1005,0)),"Brinco não cadastrado"))</f>
        <v/>
      </c>
    </row>
    <row r="1776">
      <c r="A1776" s="31" t="n"/>
      <c r="B1776" s="36" t="n"/>
      <c r="C1776" s="38" t="n"/>
      <c r="D1776" s="32" t="n"/>
      <c r="E1776" s="43">
        <f>IF(OR(A1776="",B1776=""),"",SUMPRODUCT(MAX(($B$6:$B$2005=B1776)*($A$6:$A$2005&lt;A1776)*$A$6:$A$2005)))</f>
        <v/>
      </c>
      <c r="F1776" s="41">
        <f>IF(OR(E1776="",E1776=0),"",IFERROR(AVERAGEIFS($C$6:$C$2005,$B$6:$B$2005,B1776,$A$6:$A$2005,E1776),""))</f>
        <v/>
      </c>
      <c r="G1776" s="34">
        <f>IF(F1776="","",A1776-E1776)</f>
        <v/>
      </c>
      <c r="H1776" s="42">
        <f>IF(OR(F1776="",C1776=""),"",IFERROR((C1776-F1776)/G1776,""))</f>
        <v/>
      </c>
      <c r="I1776" s="39">
        <f>IF(B1776="","",IFERROR(INDEX('Animais'!$M$6:$M$1005,MATCH(B1776,'Animais'!$A$6:$A$1005,0)),"Brinco não cadastrado"))</f>
        <v/>
      </c>
    </row>
    <row r="1777">
      <c r="A1777" s="31" t="n"/>
      <c r="B1777" s="36" t="n"/>
      <c r="C1777" s="38" t="n"/>
      <c r="D1777" s="32" t="n"/>
      <c r="E1777" s="43">
        <f>IF(OR(A1777="",B1777=""),"",SUMPRODUCT(MAX(($B$6:$B$2005=B1777)*($A$6:$A$2005&lt;A1777)*$A$6:$A$2005)))</f>
        <v/>
      </c>
      <c r="F1777" s="41">
        <f>IF(OR(E1777="",E1777=0),"",IFERROR(AVERAGEIFS($C$6:$C$2005,$B$6:$B$2005,B1777,$A$6:$A$2005,E1777),""))</f>
        <v/>
      </c>
      <c r="G1777" s="34">
        <f>IF(F1777="","",A1777-E1777)</f>
        <v/>
      </c>
      <c r="H1777" s="42">
        <f>IF(OR(F1777="",C1777=""),"",IFERROR((C1777-F1777)/G1777,""))</f>
        <v/>
      </c>
      <c r="I1777" s="39">
        <f>IF(B1777="","",IFERROR(INDEX('Animais'!$M$6:$M$1005,MATCH(B1777,'Animais'!$A$6:$A$1005,0)),"Brinco não cadastrado"))</f>
        <v/>
      </c>
    </row>
    <row r="1778">
      <c r="A1778" s="31" t="n"/>
      <c r="B1778" s="36" t="n"/>
      <c r="C1778" s="38" t="n"/>
      <c r="D1778" s="32" t="n"/>
      <c r="E1778" s="43">
        <f>IF(OR(A1778="",B1778=""),"",SUMPRODUCT(MAX(($B$6:$B$2005=B1778)*($A$6:$A$2005&lt;A1778)*$A$6:$A$2005)))</f>
        <v/>
      </c>
      <c r="F1778" s="41">
        <f>IF(OR(E1778="",E1778=0),"",IFERROR(AVERAGEIFS($C$6:$C$2005,$B$6:$B$2005,B1778,$A$6:$A$2005,E1778),""))</f>
        <v/>
      </c>
      <c r="G1778" s="34">
        <f>IF(F1778="","",A1778-E1778)</f>
        <v/>
      </c>
      <c r="H1778" s="42">
        <f>IF(OR(F1778="",C1778=""),"",IFERROR((C1778-F1778)/G1778,""))</f>
        <v/>
      </c>
      <c r="I1778" s="39">
        <f>IF(B1778="","",IFERROR(INDEX('Animais'!$M$6:$M$1005,MATCH(B1778,'Animais'!$A$6:$A$1005,0)),"Brinco não cadastrado"))</f>
        <v/>
      </c>
    </row>
    <row r="1779">
      <c r="A1779" s="31" t="n"/>
      <c r="B1779" s="36" t="n"/>
      <c r="C1779" s="38" t="n"/>
      <c r="D1779" s="32" t="n"/>
      <c r="E1779" s="43">
        <f>IF(OR(A1779="",B1779=""),"",SUMPRODUCT(MAX(($B$6:$B$2005=B1779)*($A$6:$A$2005&lt;A1779)*$A$6:$A$2005)))</f>
        <v/>
      </c>
      <c r="F1779" s="41">
        <f>IF(OR(E1779="",E1779=0),"",IFERROR(AVERAGEIFS($C$6:$C$2005,$B$6:$B$2005,B1779,$A$6:$A$2005,E1779),""))</f>
        <v/>
      </c>
      <c r="G1779" s="34">
        <f>IF(F1779="","",A1779-E1779)</f>
        <v/>
      </c>
      <c r="H1779" s="42">
        <f>IF(OR(F1779="",C1779=""),"",IFERROR((C1779-F1779)/G1779,""))</f>
        <v/>
      </c>
      <c r="I1779" s="39">
        <f>IF(B1779="","",IFERROR(INDEX('Animais'!$M$6:$M$1005,MATCH(B1779,'Animais'!$A$6:$A$1005,0)),"Brinco não cadastrado"))</f>
        <v/>
      </c>
    </row>
    <row r="1780">
      <c r="A1780" s="31" t="n"/>
      <c r="B1780" s="36" t="n"/>
      <c r="C1780" s="38" t="n"/>
      <c r="D1780" s="32" t="n"/>
      <c r="E1780" s="43">
        <f>IF(OR(A1780="",B1780=""),"",SUMPRODUCT(MAX(($B$6:$B$2005=B1780)*($A$6:$A$2005&lt;A1780)*$A$6:$A$2005)))</f>
        <v/>
      </c>
      <c r="F1780" s="41">
        <f>IF(OR(E1780="",E1780=0),"",IFERROR(AVERAGEIFS($C$6:$C$2005,$B$6:$B$2005,B1780,$A$6:$A$2005,E1780),""))</f>
        <v/>
      </c>
      <c r="G1780" s="34">
        <f>IF(F1780="","",A1780-E1780)</f>
        <v/>
      </c>
      <c r="H1780" s="42">
        <f>IF(OR(F1780="",C1780=""),"",IFERROR((C1780-F1780)/G1780,""))</f>
        <v/>
      </c>
      <c r="I1780" s="39">
        <f>IF(B1780="","",IFERROR(INDEX('Animais'!$M$6:$M$1005,MATCH(B1780,'Animais'!$A$6:$A$1005,0)),"Brinco não cadastrado"))</f>
        <v/>
      </c>
    </row>
    <row r="1781">
      <c r="A1781" s="31" t="n"/>
      <c r="B1781" s="36" t="n"/>
      <c r="C1781" s="38" t="n"/>
      <c r="D1781" s="32" t="n"/>
      <c r="E1781" s="43">
        <f>IF(OR(A1781="",B1781=""),"",SUMPRODUCT(MAX(($B$6:$B$2005=B1781)*($A$6:$A$2005&lt;A1781)*$A$6:$A$2005)))</f>
        <v/>
      </c>
      <c r="F1781" s="41">
        <f>IF(OR(E1781="",E1781=0),"",IFERROR(AVERAGEIFS($C$6:$C$2005,$B$6:$B$2005,B1781,$A$6:$A$2005,E1781),""))</f>
        <v/>
      </c>
      <c r="G1781" s="34">
        <f>IF(F1781="","",A1781-E1781)</f>
        <v/>
      </c>
      <c r="H1781" s="42">
        <f>IF(OR(F1781="",C1781=""),"",IFERROR((C1781-F1781)/G1781,""))</f>
        <v/>
      </c>
      <c r="I1781" s="39">
        <f>IF(B1781="","",IFERROR(INDEX('Animais'!$M$6:$M$1005,MATCH(B1781,'Animais'!$A$6:$A$1005,0)),"Brinco não cadastrado"))</f>
        <v/>
      </c>
    </row>
    <row r="1782">
      <c r="A1782" s="31" t="n"/>
      <c r="B1782" s="36" t="n"/>
      <c r="C1782" s="38" t="n"/>
      <c r="D1782" s="32" t="n"/>
      <c r="E1782" s="43">
        <f>IF(OR(A1782="",B1782=""),"",SUMPRODUCT(MAX(($B$6:$B$2005=B1782)*($A$6:$A$2005&lt;A1782)*$A$6:$A$2005)))</f>
        <v/>
      </c>
      <c r="F1782" s="41">
        <f>IF(OR(E1782="",E1782=0),"",IFERROR(AVERAGEIFS($C$6:$C$2005,$B$6:$B$2005,B1782,$A$6:$A$2005,E1782),""))</f>
        <v/>
      </c>
      <c r="G1782" s="34">
        <f>IF(F1782="","",A1782-E1782)</f>
        <v/>
      </c>
      <c r="H1782" s="42">
        <f>IF(OR(F1782="",C1782=""),"",IFERROR((C1782-F1782)/G1782,""))</f>
        <v/>
      </c>
      <c r="I1782" s="39">
        <f>IF(B1782="","",IFERROR(INDEX('Animais'!$M$6:$M$1005,MATCH(B1782,'Animais'!$A$6:$A$1005,0)),"Brinco não cadastrado"))</f>
        <v/>
      </c>
    </row>
    <row r="1783">
      <c r="A1783" s="31" t="n"/>
      <c r="B1783" s="36" t="n"/>
      <c r="C1783" s="38" t="n"/>
      <c r="D1783" s="32" t="n"/>
      <c r="E1783" s="43">
        <f>IF(OR(A1783="",B1783=""),"",SUMPRODUCT(MAX(($B$6:$B$2005=B1783)*($A$6:$A$2005&lt;A1783)*$A$6:$A$2005)))</f>
        <v/>
      </c>
      <c r="F1783" s="41">
        <f>IF(OR(E1783="",E1783=0),"",IFERROR(AVERAGEIFS($C$6:$C$2005,$B$6:$B$2005,B1783,$A$6:$A$2005,E1783),""))</f>
        <v/>
      </c>
      <c r="G1783" s="34">
        <f>IF(F1783="","",A1783-E1783)</f>
        <v/>
      </c>
      <c r="H1783" s="42">
        <f>IF(OR(F1783="",C1783=""),"",IFERROR((C1783-F1783)/G1783,""))</f>
        <v/>
      </c>
      <c r="I1783" s="39">
        <f>IF(B1783="","",IFERROR(INDEX('Animais'!$M$6:$M$1005,MATCH(B1783,'Animais'!$A$6:$A$1005,0)),"Brinco não cadastrado"))</f>
        <v/>
      </c>
    </row>
    <row r="1784">
      <c r="A1784" s="31" t="n"/>
      <c r="B1784" s="36" t="n"/>
      <c r="C1784" s="38" t="n"/>
      <c r="D1784" s="32" t="n"/>
      <c r="E1784" s="43">
        <f>IF(OR(A1784="",B1784=""),"",SUMPRODUCT(MAX(($B$6:$B$2005=B1784)*($A$6:$A$2005&lt;A1784)*$A$6:$A$2005)))</f>
        <v/>
      </c>
      <c r="F1784" s="41">
        <f>IF(OR(E1784="",E1784=0),"",IFERROR(AVERAGEIFS($C$6:$C$2005,$B$6:$B$2005,B1784,$A$6:$A$2005,E1784),""))</f>
        <v/>
      </c>
      <c r="G1784" s="34">
        <f>IF(F1784="","",A1784-E1784)</f>
        <v/>
      </c>
      <c r="H1784" s="42">
        <f>IF(OR(F1784="",C1784=""),"",IFERROR((C1784-F1784)/G1784,""))</f>
        <v/>
      </c>
      <c r="I1784" s="39">
        <f>IF(B1784="","",IFERROR(INDEX('Animais'!$M$6:$M$1005,MATCH(B1784,'Animais'!$A$6:$A$1005,0)),"Brinco não cadastrado"))</f>
        <v/>
      </c>
    </row>
    <row r="1785">
      <c r="A1785" s="31" t="n"/>
      <c r="B1785" s="36" t="n"/>
      <c r="C1785" s="38" t="n"/>
      <c r="D1785" s="32" t="n"/>
      <c r="E1785" s="43">
        <f>IF(OR(A1785="",B1785=""),"",SUMPRODUCT(MAX(($B$6:$B$2005=B1785)*($A$6:$A$2005&lt;A1785)*$A$6:$A$2005)))</f>
        <v/>
      </c>
      <c r="F1785" s="41">
        <f>IF(OR(E1785="",E1785=0),"",IFERROR(AVERAGEIFS($C$6:$C$2005,$B$6:$B$2005,B1785,$A$6:$A$2005,E1785),""))</f>
        <v/>
      </c>
      <c r="G1785" s="34">
        <f>IF(F1785="","",A1785-E1785)</f>
        <v/>
      </c>
      <c r="H1785" s="42">
        <f>IF(OR(F1785="",C1785=""),"",IFERROR((C1785-F1785)/G1785,""))</f>
        <v/>
      </c>
      <c r="I1785" s="39">
        <f>IF(B1785="","",IFERROR(INDEX('Animais'!$M$6:$M$1005,MATCH(B1785,'Animais'!$A$6:$A$1005,0)),"Brinco não cadastrado"))</f>
        <v/>
      </c>
    </row>
    <row r="1786">
      <c r="A1786" s="31" t="n"/>
      <c r="B1786" s="36" t="n"/>
      <c r="C1786" s="38" t="n"/>
      <c r="D1786" s="32" t="n"/>
      <c r="E1786" s="43">
        <f>IF(OR(A1786="",B1786=""),"",SUMPRODUCT(MAX(($B$6:$B$2005=B1786)*($A$6:$A$2005&lt;A1786)*$A$6:$A$2005)))</f>
        <v/>
      </c>
      <c r="F1786" s="41">
        <f>IF(OR(E1786="",E1786=0),"",IFERROR(AVERAGEIFS($C$6:$C$2005,$B$6:$B$2005,B1786,$A$6:$A$2005,E1786),""))</f>
        <v/>
      </c>
      <c r="G1786" s="34">
        <f>IF(F1786="","",A1786-E1786)</f>
        <v/>
      </c>
      <c r="H1786" s="42">
        <f>IF(OR(F1786="",C1786=""),"",IFERROR((C1786-F1786)/G1786,""))</f>
        <v/>
      </c>
      <c r="I1786" s="39">
        <f>IF(B1786="","",IFERROR(INDEX('Animais'!$M$6:$M$1005,MATCH(B1786,'Animais'!$A$6:$A$1005,0)),"Brinco não cadastrado"))</f>
        <v/>
      </c>
    </row>
    <row r="1787">
      <c r="A1787" s="31" t="n"/>
      <c r="B1787" s="36" t="n"/>
      <c r="C1787" s="38" t="n"/>
      <c r="D1787" s="32" t="n"/>
      <c r="E1787" s="43">
        <f>IF(OR(A1787="",B1787=""),"",SUMPRODUCT(MAX(($B$6:$B$2005=B1787)*($A$6:$A$2005&lt;A1787)*$A$6:$A$2005)))</f>
        <v/>
      </c>
      <c r="F1787" s="41">
        <f>IF(OR(E1787="",E1787=0),"",IFERROR(AVERAGEIFS($C$6:$C$2005,$B$6:$B$2005,B1787,$A$6:$A$2005,E1787),""))</f>
        <v/>
      </c>
      <c r="G1787" s="34">
        <f>IF(F1787="","",A1787-E1787)</f>
        <v/>
      </c>
      <c r="H1787" s="42">
        <f>IF(OR(F1787="",C1787=""),"",IFERROR((C1787-F1787)/G1787,""))</f>
        <v/>
      </c>
      <c r="I1787" s="39">
        <f>IF(B1787="","",IFERROR(INDEX('Animais'!$M$6:$M$1005,MATCH(B1787,'Animais'!$A$6:$A$1005,0)),"Brinco não cadastrado"))</f>
        <v/>
      </c>
    </row>
    <row r="1788">
      <c r="A1788" s="31" t="n"/>
      <c r="B1788" s="36" t="n"/>
      <c r="C1788" s="38" t="n"/>
      <c r="D1788" s="32" t="n"/>
      <c r="E1788" s="43">
        <f>IF(OR(A1788="",B1788=""),"",SUMPRODUCT(MAX(($B$6:$B$2005=B1788)*($A$6:$A$2005&lt;A1788)*$A$6:$A$2005)))</f>
        <v/>
      </c>
      <c r="F1788" s="41">
        <f>IF(OR(E1788="",E1788=0),"",IFERROR(AVERAGEIFS($C$6:$C$2005,$B$6:$B$2005,B1788,$A$6:$A$2005,E1788),""))</f>
        <v/>
      </c>
      <c r="G1788" s="34">
        <f>IF(F1788="","",A1788-E1788)</f>
        <v/>
      </c>
      <c r="H1788" s="42">
        <f>IF(OR(F1788="",C1788=""),"",IFERROR((C1788-F1788)/G1788,""))</f>
        <v/>
      </c>
      <c r="I1788" s="39">
        <f>IF(B1788="","",IFERROR(INDEX('Animais'!$M$6:$M$1005,MATCH(B1788,'Animais'!$A$6:$A$1005,0)),"Brinco não cadastrado"))</f>
        <v/>
      </c>
    </row>
    <row r="1789">
      <c r="A1789" s="31" t="n"/>
      <c r="B1789" s="36" t="n"/>
      <c r="C1789" s="38" t="n"/>
      <c r="D1789" s="32" t="n"/>
      <c r="E1789" s="43">
        <f>IF(OR(A1789="",B1789=""),"",SUMPRODUCT(MAX(($B$6:$B$2005=B1789)*($A$6:$A$2005&lt;A1789)*$A$6:$A$2005)))</f>
        <v/>
      </c>
      <c r="F1789" s="41">
        <f>IF(OR(E1789="",E1789=0),"",IFERROR(AVERAGEIFS($C$6:$C$2005,$B$6:$B$2005,B1789,$A$6:$A$2005,E1789),""))</f>
        <v/>
      </c>
      <c r="G1789" s="34">
        <f>IF(F1789="","",A1789-E1789)</f>
        <v/>
      </c>
      <c r="H1789" s="42">
        <f>IF(OR(F1789="",C1789=""),"",IFERROR((C1789-F1789)/G1789,""))</f>
        <v/>
      </c>
      <c r="I1789" s="39">
        <f>IF(B1789="","",IFERROR(INDEX('Animais'!$M$6:$M$1005,MATCH(B1789,'Animais'!$A$6:$A$1005,0)),"Brinco não cadastrado"))</f>
        <v/>
      </c>
    </row>
    <row r="1790">
      <c r="A1790" s="31" t="n"/>
      <c r="B1790" s="36" t="n"/>
      <c r="C1790" s="38" t="n"/>
      <c r="D1790" s="32" t="n"/>
      <c r="E1790" s="43">
        <f>IF(OR(A1790="",B1790=""),"",SUMPRODUCT(MAX(($B$6:$B$2005=B1790)*($A$6:$A$2005&lt;A1790)*$A$6:$A$2005)))</f>
        <v/>
      </c>
      <c r="F1790" s="41">
        <f>IF(OR(E1790="",E1790=0),"",IFERROR(AVERAGEIFS($C$6:$C$2005,$B$6:$B$2005,B1790,$A$6:$A$2005,E1790),""))</f>
        <v/>
      </c>
      <c r="G1790" s="34">
        <f>IF(F1790="","",A1790-E1790)</f>
        <v/>
      </c>
      <c r="H1790" s="42">
        <f>IF(OR(F1790="",C1790=""),"",IFERROR((C1790-F1790)/G1790,""))</f>
        <v/>
      </c>
      <c r="I1790" s="39">
        <f>IF(B1790="","",IFERROR(INDEX('Animais'!$M$6:$M$1005,MATCH(B1790,'Animais'!$A$6:$A$1005,0)),"Brinco não cadastrado"))</f>
        <v/>
      </c>
    </row>
    <row r="1791">
      <c r="A1791" s="31" t="n"/>
      <c r="B1791" s="36" t="n"/>
      <c r="C1791" s="38" t="n"/>
      <c r="D1791" s="32" t="n"/>
      <c r="E1791" s="43">
        <f>IF(OR(A1791="",B1791=""),"",SUMPRODUCT(MAX(($B$6:$B$2005=B1791)*($A$6:$A$2005&lt;A1791)*$A$6:$A$2005)))</f>
        <v/>
      </c>
      <c r="F1791" s="41">
        <f>IF(OR(E1791="",E1791=0),"",IFERROR(AVERAGEIFS($C$6:$C$2005,$B$6:$B$2005,B1791,$A$6:$A$2005,E1791),""))</f>
        <v/>
      </c>
      <c r="G1791" s="34">
        <f>IF(F1791="","",A1791-E1791)</f>
        <v/>
      </c>
      <c r="H1791" s="42">
        <f>IF(OR(F1791="",C1791=""),"",IFERROR((C1791-F1791)/G1791,""))</f>
        <v/>
      </c>
      <c r="I1791" s="39">
        <f>IF(B1791="","",IFERROR(INDEX('Animais'!$M$6:$M$1005,MATCH(B1791,'Animais'!$A$6:$A$1005,0)),"Brinco não cadastrado"))</f>
        <v/>
      </c>
    </row>
    <row r="1792">
      <c r="A1792" s="31" t="n"/>
      <c r="B1792" s="36" t="n"/>
      <c r="C1792" s="38" t="n"/>
      <c r="D1792" s="32" t="n"/>
      <c r="E1792" s="43">
        <f>IF(OR(A1792="",B1792=""),"",SUMPRODUCT(MAX(($B$6:$B$2005=B1792)*($A$6:$A$2005&lt;A1792)*$A$6:$A$2005)))</f>
        <v/>
      </c>
      <c r="F1792" s="41">
        <f>IF(OR(E1792="",E1792=0),"",IFERROR(AVERAGEIFS($C$6:$C$2005,$B$6:$B$2005,B1792,$A$6:$A$2005,E1792),""))</f>
        <v/>
      </c>
      <c r="G1792" s="34">
        <f>IF(F1792="","",A1792-E1792)</f>
        <v/>
      </c>
      <c r="H1792" s="42">
        <f>IF(OR(F1792="",C1792=""),"",IFERROR((C1792-F1792)/G1792,""))</f>
        <v/>
      </c>
      <c r="I1792" s="39">
        <f>IF(B1792="","",IFERROR(INDEX('Animais'!$M$6:$M$1005,MATCH(B1792,'Animais'!$A$6:$A$1005,0)),"Brinco não cadastrado"))</f>
        <v/>
      </c>
    </row>
    <row r="1793">
      <c r="A1793" s="31" t="n"/>
      <c r="B1793" s="36" t="n"/>
      <c r="C1793" s="38" t="n"/>
      <c r="D1793" s="32" t="n"/>
      <c r="E1793" s="43">
        <f>IF(OR(A1793="",B1793=""),"",SUMPRODUCT(MAX(($B$6:$B$2005=B1793)*($A$6:$A$2005&lt;A1793)*$A$6:$A$2005)))</f>
        <v/>
      </c>
      <c r="F1793" s="41">
        <f>IF(OR(E1793="",E1793=0),"",IFERROR(AVERAGEIFS($C$6:$C$2005,$B$6:$B$2005,B1793,$A$6:$A$2005,E1793),""))</f>
        <v/>
      </c>
      <c r="G1793" s="34">
        <f>IF(F1793="","",A1793-E1793)</f>
        <v/>
      </c>
      <c r="H1793" s="42">
        <f>IF(OR(F1793="",C1793=""),"",IFERROR((C1793-F1793)/G1793,""))</f>
        <v/>
      </c>
      <c r="I1793" s="39">
        <f>IF(B1793="","",IFERROR(INDEX('Animais'!$M$6:$M$1005,MATCH(B1793,'Animais'!$A$6:$A$1005,0)),"Brinco não cadastrado"))</f>
        <v/>
      </c>
    </row>
    <row r="1794">
      <c r="A1794" s="31" t="n"/>
      <c r="B1794" s="36" t="n"/>
      <c r="C1794" s="38" t="n"/>
      <c r="D1794" s="32" t="n"/>
      <c r="E1794" s="43">
        <f>IF(OR(A1794="",B1794=""),"",SUMPRODUCT(MAX(($B$6:$B$2005=B1794)*($A$6:$A$2005&lt;A1794)*$A$6:$A$2005)))</f>
        <v/>
      </c>
      <c r="F1794" s="41">
        <f>IF(OR(E1794="",E1794=0),"",IFERROR(AVERAGEIFS($C$6:$C$2005,$B$6:$B$2005,B1794,$A$6:$A$2005,E1794),""))</f>
        <v/>
      </c>
      <c r="G1794" s="34">
        <f>IF(F1794="","",A1794-E1794)</f>
        <v/>
      </c>
      <c r="H1794" s="42">
        <f>IF(OR(F1794="",C1794=""),"",IFERROR((C1794-F1794)/G1794,""))</f>
        <v/>
      </c>
      <c r="I1794" s="39">
        <f>IF(B1794="","",IFERROR(INDEX('Animais'!$M$6:$M$1005,MATCH(B1794,'Animais'!$A$6:$A$1005,0)),"Brinco não cadastrado"))</f>
        <v/>
      </c>
    </row>
    <row r="1795">
      <c r="A1795" s="31" t="n"/>
      <c r="B1795" s="36" t="n"/>
      <c r="C1795" s="38" t="n"/>
      <c r="D1795" s="32" t="n"/>
      <c r="E1795" s="43">
        <f>IF(OR(A1795="",B1795=""),"",SUMPRODUCT(MAX(($B$6:$B$2005=B1795)*($A$6:$A$2005&lt;A1795)*$A$6:$A$2005)))</f>
        <v/>
      </c>
      <c r="F1795" s="41">
        <f>IF(OR(E1795="",E1795=0),"",IFERROR(AVERAGEIFS($C$6:$C$2005,$B$6:$B$2005,B1795,$A$6:$A$2005,E1795),""))</f>
        <v/>
      </c>
      <c r="G1795" s="34">
        <f>IF(F1795="","",A1795-E1795)</f>
        <v/>
      </c>
      <c r="H1795" s="42">
        <f>IF(OR(F1795="",C1795=""),"",IFERROR((C1795-F1795)/G1795,""))</f>
        <v/>
      </c>
      <c r="I1795" s="39">
        <f>IF(B1795="","",IFERROR(INDEX('Animais'!$M$6:$M$1005,MATCH(B1795,'Animais'!$A$6:$A$1005,0)),"Brinco não cadastrado"))</f>
        <v/>
      </c>
    </row>
    <row r="1796">
      <c r="A1796" s="31" t="n"/>
      <c r="B1796" s="36" t="n"/>
      <c r="C1796" s="38" t="n"/>
      <c r="D1796" s="32" t="n"/>
      <c r="E1796" s="43">
        <f>IF(OR(A1796="",B1796=""),"",SUMPRODUCT(MAX(($B$6:$B$2005=B1796)*($A$6:$A$2005&lt;A1796)*$A$6:$A$2005)))</f>
        <v/>
      </c>
      <c r="F1796" s="41">
        <f>IF(OR(E1796="",E1796=0),"",IFERROR(AVERAGEIFS($C$6:$C$2005,$B$6:$B$2005,B1796,$A$6:$A$2005,E1796),""))</f>
        <v/>
      </c>
      <c r="G1796" s="34">
        <f>IF(F1796="","",A1796-E1796)</f>
        <v/>
      </c>
      <c r="H1796" s="42">
        <f>IF(OR(F1796="",C1796=""),"",IFERROR((C1796-F1796)/G1796,""))</f>
        <v/>
      </c>
      <c r="I1796" s="39">
        <f>IF(B1796="","",IFERROR(INDEX('Animais'!$M$6:$M$1005,MATCH(B1796,'Animais'!$A$6:$A$1005,0)),"Brinco não cadastrado"))</f>
        <v/>
      </c>
    </row>
    <row r="1797">
      <c r="A1797" s="31" t="n"/>
      <c r="B1797" s="36" t="n"/>
      <c r="C1797" s="38" t="n"/>
      <c r="D1797" s="32" t="n"/>
      <c r="E1797" s="43">
        <f>IF(OR(A1797="",B1797=""),"",SUMPRODUCT(MAX(($B$6:$B$2005=B1797)*($A$6:$A$2005&lt;A1797)*$A$6:$A$2005)))</f>
        <v/>
      </c>
      <c r="F1797" s="41">
        <f>IF(OR(E1797="",E1797=0),"",IFERROR(AVERAGEIFS($C$6:$C$2005,$B$6:$B$2005,B1797,$A$6:$A$2005,E1797),""))</f>
        <v/>
      </c>
      <c r="G1797" s="34">
        <f>IF(F1797="","",A1797-E1797)</f>
        <v/>
      </c>
      <c r="H1797" s="42">
        <f>IF(OR(F1797="",C1797=""),"",IFERROR((C1797-F1797)/G1797,""))</f>
        <v/>
      </c>
      <c r="I1797" s="39">
        <f>IF(B1797="","",IFERROR(INDEX('Animais'!$M$6:$M$1005,MATCH(B1797,'Animais'!$A$6:$A$1005,0)),"Brinco não cadastrado"))</f>
        <v/>
      </c>
    </row>
    <row r="1798">
      <c r="A1798" s="31" t="n"/>
      <c r="B1798" s="36" t="n"/>
      <c r="C1798" s="38" t="n"/>
      <c r="D1798" s="32" t="n"/>
      <c r="E1798" s="43">
        <f>IF(OR(A1798="",B1798=""),"",SUMPRODUCT(MAX(($B$6:$B$2005=B1798)*($A$6:$A$2005&lt;A1798)*$A$6:$A$2005)))</f>
        <v/>
      </c>
      <c r="F1798" s="41">
        <f>IF(OR(E1798="",E1798=0),"",IFERROR(AVERAGEIFS($C$6:$C$2005,$B$6:$B$2005,B1798,$A$6:$A$2005,E1798),""))</f>
        <v/>
      </c>
      <c r="G1798" s="34">
        <f>IF(F1798="","",A1798-E1798)</f>
        <v/>
      </c>
      <c r="H1798" s="42">
        <f>IF(OR(F1798="",C1798=""),"",IFERROR((C1798-F1798)/G1798,""))</f>
        <v/>
      </c>
      <c r="I1798" s="39">
        <f>IF(B1798="","",IFERROR(INDEX('Animais'!$M$6:$M$1005,MATCH(B1798,'Animais'!$A$6:$A$1005,0)),"Brinco não cadastrado"))</f>
        <v/>
      </c>
    </row>
    <row r="1799">
      <c r="A1799" s="31" t="n"/>
      <c r="B1799" s="36" t="n"/>
      <c r="C1799" s="38" t="n"/>
      <c r="D1799" s="32" t="n"/>
      <c r="E1799" s="43">
        <f>IF(OR(A1799="",B1799=""),"",SUMPRODUCT(MAX(($B$6:$B$2005=B1799)*($A$6:$A$2005&lt;A1799)*$A$6:$A$2005)))</f>
        <v/>
      </c>
      <c r="F1799" s="41">
        <f>IF(OR(E1799="",E1799=0),"",IFERROR(AVERAGEIFS($C$6:$C$2005,$B$6:$B$2005,B1799,$A$6:$A$2005,E1799),""))</f>
        <v/>
      </c>
      <c r="G1799" s="34">
        <f>IF(F1799="","",A1799-E1799)</f>
        <v/>
      </c>
      <c r="H1799" s="42">
        <f>IF(OR(F1799="",C1799=""),"",IFERROR((C1799-F1799)/G1799,""))</f>
        <v/>
      </c>
      <c r="I1799" s="39">
        <f>IF(B1799="","",IFERROR(INDEX('Animais'!$M$6:$M$1005,MATCH(B1799,'Animais'!$A$6:$A$1005,0)),"Brinco não cadastrado"))</f>
        <v/>
      </c>
    </row>
    <row r="1800">
      <c r="A1800" s="31" t="n"/>
      <c r="B1800" s="36" t="n"/>
      <c r="C1800" s="38" t="n"/>
      <c r="D1800" s="32" t="n"/>
      <c r="E1800" s="43">
        <f>IF(OR(A1800="",B1800=""),"",SUMPRODUCT(MAX(($B$6:$B$2005=B1800)*($A$6:$A$2005&lt;A1800)*$A$6:$A$2005)))</f>
        <v/>
      </c>
      <c r="F1800" s="41">
        <f>IF(OR(E1800="",E1800=0),"",IFERROR(AVERAGEIFS($C$6:$C$2005,$B$6:$B$2005,B1800,$A$6:$A$2005,E1800),""))</f>
        <v/>
      </c>
      <c r="G1800" s="34">
        <f>IF(F1800="","",A1800-E1800)</f>
        <v/>
      </c>
      <c r="H1800" s="42">
        <f>IF(OR(F1800="",C1800=""),"",IFERROR((C1800-F1800)/G1800,""))</f>
        <v/>
      </c>
      <c r="I1800" s="39">
        <f>IF(B1800="","",IFERROR(INDEX('Animais'!$M$6:$M$1005,MATCH(B1800,'Animais'!$A$6:$A$1005,0)),"Brinco não cadastrado"))</f>
        <v/>
      </c>
    </row>
    <row r="1801">
      <c r="A1801" s="31" t="n"/>
      <c r="B1801" s="36" t="n"/>
      <c r="C1801" s="38" t="n"/>
      <c r="D1801" s="32" t="n"/>
      <c r="E1801" s="43">
        <f>IF(OR(A1801="",B1801=""),"",SUMPRODUCT(MAX(($B$6:$B$2005=B1801)*($A$6:$A$2005&lt;A1801)*$A$6:$A$2005)))</f>
        <v/>
      </c>
      <c r="F1801" s="41">
        <f>IF(OR(E1801="",E1801=0),"",IFERROR(AVERAGEIFS($C$6:$C$2005,$B$6:$B$2005,B1801,$A$6:$A$2005,E1801),""))</f>
        <v/>
      </c>
      <c r="G1801" s="34">
        <f>IF(F1801="","",A1801-E1801)</f>
        <v/>
      </c>
      <c r="H1801" s="42">
        <f>IF(OR(F1801="",C1801=""),"",IFERROR((C1801-F1801)/G1801,""))</f>
        <v/>
      </c>
      <c r="I1801" s="39">
        <f>IF(B1801="","",IFERROR(INDEX('Animais'!$M$6:$M$1005,MATCH(B1801,'Animais'!$A$6:$A$1005,0)),"Brinco não cadastrado"))</f>
        <v/>
      </c>
    </row>
    <row r="1802">
      <c r="A1802" s="31" t="n"/>
      <c r="B1802" s="36" t="n"/>
      <c r="C1802" s="38" t="n"/>
      <c r="D1802" s="32" t="n"/>
      <c r="E1802" s="43">
        <f>IF(OR(A1802="",B1802=""),"",SUMPRODUCT(MAX(($B$6:$B$2005=B1802)*($A$6:$A$2005&lt;A1802)*$A$6:$A$2005)))</f>
        <v/>
      </c>
      <c r="F1802" s="41">
        <f>IF(OR(E1802="",E1802=0),"",IFERROR(AVERAGEIFS($C$6:$C$2005,$B$6:$B$2005,B1802,$A$6:$A$2005,E1802),""))</f>
        <v/>
      </c>
      <c r="G1802" s="34">
        <f>IF(F1802="","",A1802-E1802)</f>
        <v/>
      </c>
      <c r="H1802" s="42">
        <f>IF(OR(F1802="",C1802=""),"",IFERROR((C1802-F1802)/G1802,""))</f>
        <v/>
      </c>
      <c r="I1802" s="39">
        <f>IF(B1802="","",IFERROR(INDEX('Animais'!$M$6:$M$1005,MATCH(B1802,'Animais'!$A$6:$A$1005,0)),"Brinco não cadastrado"))</f>
        <v/>
      </c>
    </row>
    <row r="1803">
      <c r="A1803" s="31" t="n"/>
      <c r="B1803" s="36" t="n"/>
      <c r="C1803" s="38" t="n"/>
      <c r="D1803" s="32" t="n"/>
      <c r="E1803" s="43">
        <f>IF(OR(A1803="",B1803=""),"",SUMPRODUCT(MAX(($B$6:$B$2005=B1803)*($A$6:$A$2005&lt;A1803)*$A$6:$A$2005)))</f>
        <v/>
      </c>
      <c r="F1803" s="41">
        <f>IF(OR(E1803="",E1803=0),"",IFERROR(AVERAGEIFS($C$6:$C$2005,$B$6:$B$2005,B1803,$A$6:$A$2005,E1803),""))</f>
        <v/>
      </c>
      <c r="G1803" s="34">
        <f>IF(F1803="","",A1803-E1803)</f>
        <v/>
      </c>
      <c r="H1803" s="42">
        <f>IF(OR(F1803="",C1803=""),"",IFERROR((C1803-F1803)/G1803,""))</f>
        <v/>
      </c>
      <c r="I1803" s="39">
        <f>IF(B1803="","",IFERROR(INDEX('Animais'!$M$6:$M$1005,MATCH(B1803,'Animais'!$A$6:$A$1005,0)),"Brinco não cadastrado"))</f>
        <v/>
      </c>
    </row>
    <row r="1804">
      <c r="A1804" s="31" t="n"/>
      <c r="B1804" s="36" t="n"/>
      <c r="C1804" s="38" t="n"/>
      <c r="D1804" s="32" t="n"/>
      <c r="E1804" s="43">
        <f>IF(OR(A1804="",B1804=""),"",SUMPRODUCT(MAX(($B$6:$B$2005=B1804)*($A$6:$A$2005&lt;A1804)*$A$6:$A$2005)))</f>
        <v/>
      </c>
      <c r="F1804" s="41">
        <f>IF(OR(E1804="",E1804=0),"",IFERROR(AVERAGEIFS($C$6:$C$2005,$B$6:$B$2005,B1804,$A$6:$A$2005,E1804),""))</f>
        <v/>
      </c>
      <c r="G1804" s="34">
        <f>IF(F1804="","",A1804-E1804)</f>
        <v/>
      </c>
      <c r="H1804" s="42">
        <f>IF(OR(F1804="",C1804=""),"",IFERROR((C1804-F1804)/G1804,""))</f>
        <v/>
      </c>
      <c r="I1804" s="39">
        <f>IF(B1804="","",IFERROR(INDEX('Animais'!$M$6:$M$1005,MATCH(B1804,'Animais'!$A$6:$A$1005,0)),"Brinco não cadastrado"))</f>
        <v/>
      </c>
    </row>
    <row r="1805">
      <c r="A1805" s="31" t="n"/>
      <c r="B1805" s="36" t="n"/>
      <c r="C1805" s="38" t="n"/>
      <c r="D1805" s="32" t="n"/>
      <c r="E1805" s="43">
        <f>IF(OR(A1805="",B1805=""),"",SUMPRODUCT(MAX(($B$6:$B$2005=B1805)*($A$6:$A$2005&lt;A1805)*$A$6:$A$2005)))</f>
        <v/>
      </c>
      <c r="F1805" s="41">
        <f>IF(OR(E1805="",E1805=0),"",IFERROR(AVERAGEIFS($C$6:$C$2005,$B$6:$B$2005,B1805,$A$6:$A$2005,E1805),""))</f>
        <v/>
      </c>
      <c r="G1805" s="34">
        <f>IF(F1805="","",A1805-E1805)</f>
        <v/>
      </c>
      <c r="H1805" s="42">
        <f>IF(OR(F1805="",C1805=""),"",IFERROR((C1805-F1805)/G1805,""))</f>
        <v/>
      </c>
      <c r="I1805" s="39">
        <f>IF(B1805="","",IFERROR(INDEX('Animais'!$M$6:$M$1005,MATCH(B1805,'Animais'!$A$6:$A$1005,0)),"Brinco não cadastrado"))</f>
        <v/>
      </c>
    </row>
    <row r="1806">
      <c r="A1806" s="31" t="n"/>
      <c r="B1806" s="36" t="n"/>
      <c r="C1806" s="38" t="n"/>
      <c r="D1806" s="32" t="n"/>
      <c r="E1806" s="43">
        <f>IF(OR(A1806="",B1806=""),"",SUMPRODUCT(MAX(($B$6:$B$2005=B1806)*($A$6:$A$2005&lt;A1806)*$A$6:$A$2005)))</f>
        <v/>
      </c>
      <c r="F1806" s="41">
        <f>IF(OR(E1806="",E1806=0),"",IFERROR(AVERAGEIFS($C$6:$C$2005,$B$6:$B$2005,B1806,$A$6:$A$2005,E1806),""))</f>
        <v/>
      </c>
      <c r="G1806" s="34">
        <f>IF(F1806="","",A1806-E1806)</f>
        <v/>
      </c>
      <c r="H1806" s="42">
        <f>IF(OR(F1806="",C1806=""),"",IFERROR((C1806-F1806)/G1806,""))</f>
        <v/>
      </c>
      <c r="I1806" s="39">
        <f>IF(B1806="","",IFERROR(INDEX('Animais'!$M$6:$M$1005,MATCH(B1806,'Animais'!$A$6:$A$1005,0)),"Brinco não cadastrado"))</f>
        <v/>
      </c>
    </row>
    <row r="1807">
      <c r="A1807" s="31" t="n"/>
      <c r="B1807" s="36" t="n"/>
      <c r="C1807" s="38" t="n"/>
      <c r="D1807" s="32" t="n"/>
      <c r="E1807" s="43">
        <f>IF(OR(A1807="",B1807=""),"",SUMPRODUCT(MAX(($B$6:$B$2005=B1807)*($A$6:$A$2005&lt;A1807)*$A$6:$A$2005)))</f>
        <v/>
      </c>
      <c r="F1807" s="41">
        <f>IF(OR(E1807="",E1807=0),"",IFERROR(AVERAGEIFS($C$6:$C$2005,$B$6:$B$2005,B1807,$A$6:$A$2005,E1807),""))</f>
        <v/>
      </c>
      <c r="G1807" s="34">
        <f>IF(F1807="","",A1807-E1807)</f>
        <v/>
      </c>
      <c r="H1807" s="42">
        <f>IF(OR(F1807="",C1807=""),"",IFERROR((C1807-F1807)/G1807,""))</f>
        <v/>
      </c>
      <c r="I1807" s="39">
        <f>IF(B1807="","",IFERROR(INDEX('Animais'!$M$6:$M$1005,MATCH(B1807,'Animais'!$A$6:$A$1005,0)),"Brinco não cadastrado"))</f>
        <v/>
      </c>
    </row>
    <row r="1808">
      <c r="A1808" s="31" t="n"/>
      <c r="B1808" s="36" t="n"/>
      <c r="C1808" s="38" t="n"/>
      <c r="D1808" s="32" t="n"/>
      <c r="E1808" s="43">
        <f>IF(OR(A1808="",B1808=""),"",SUMPRODUCT(MAX(($B$6:$B$2005=B1808)*($A$6:$A$2005&lt;A1808)*$A$6:$A$2005)))</f>
        <v/>
      </c>
      <c r="F1808" s="41">
        <f>IF(OR(E1808="",E1808=0),"",IFERROR(AVERAGEIFS($C$6:$C$2005,$B$6:$B$2005,B1808,$A$6:$A$2005,E1808),""))</f>
        <v/>
      </c>
      <c r="G1808" s="34">
        <f>IF(F1808="","",A1808-E1808)</f>
        <v/>
      </c>
      <c r="H1808" s="42">
        <f>IF(OR(F1808="",C1808=""),"",IFERROR((C1808-F1808)/G1808,""))</f>
        <v/>
      </c>
      <c r="I1808" s="39">
        <f>IF(B1808="","",IFERROR(INDEX('Animais'!$M$6:$M$1005,MATCH(B1808,'Animais'!$A$6:$A$1005,0)),"Brinco não cadastrado"))</f>
        <v/>
      </c>
    </row>
    <row r="1809">
      <c r="A1809" s="31" t="n"/>
      <c r="B1809" s="36" t="n"/>
      <c r="C1809" s="38" t="n"/>
      <c r="D1809" s="32" t="n"/>
      <c r="E1809" s="43">
        <f>IF(OR(A1809="",B1809=""),"",SUMPRODUCT(MAX(($B$6:$B$2005=B1809)*($A$6:$A$2005&lt;A1809)*$A$6:$A$2005)))</f>
        <v/>
      </c>
      <c r="F1809" s="41">
        <f>IF(OR(E1809="",E1809=0),"",IFERROR(AVERAGEIFS($C$6:$C$2005,$B$6:$B$2005,B1809,$A$6:$A$2005,E1809),""))</f>
        <v/>
      </c>
      <c r="G1809" s="34">
        <f>IF(F1809="","",A1809-E1809)</f>
        <v/>
      </c>
      <c r="H1809" s="42">
        <f>IF(OR(F1809="",C1809=""),"",IFERROR((C1809-F1809)/G1809,""))</f>
        <v/>
      </c>
      <c r="I1809" s="39">
        <f>IF(B1809="","",IFERROR(INDEX('Animais'!$M$6:$M$1005,MATCH(B1809,'Animais'!$A$6:$A$1005,0)),"Brinco não cadastrado"))</f>
        <v/>
      </c>
    </row>
    <row r="1810">
      <c r="A1810" s="31" t="n"/>
      <c r="B1810" s="36" t="n"/>
      <c r="C1810" s="38" t="n"/>
      <c r="D1810" s="32" t="n"/>
      <c r="E1810" s="43">
        <f>IF(OR(A1810="",B1810=""),"",SUMPRODUCT(MAX(($B$6:$B$2005=B1810)*($A$6:$A$2005&lt;A1810)*$A$6:$A$2005)))</f>
        <v/>
      </c>
      <c r="F1810" s="41">
        <f>IF(OR(E1810="",E1810=0),"",IFERROR(AVERAGEIFS($C$6:$C$2005,$B$6:$B$2005,B1810,$A$6:$A$2005,E1810),""))</f>
        <v/>
      </c>
      <c r="G1810" s="34">
        <f>IF(F1810="","",A1810-E1810)</f>
        <v/>
      </c>
      <c r="H1810" s="42">
        <f>IF(OR(F1810="",C1810=""),"",IFERROR((C1810-F1810)/G1810,""))</f>
        <v/>
      </c>
      <c r="I1810" s="39">
        <f>IF(B1810="","",IFERROR(INDEX('Animais'!$M$6:$M$1005,MATCH(B1810,'Animais'!$A$6:$A$1005,0)),"Brinco não cadastrado"))</f>
        <v/>
      </c>
    </row>
    <row r="1811">
      <c r="A1811" s="31" t="n"/>
      <c r="B1811" s="36" t="n"/>
      <c r="C1811" s="38" t="n"/>
      <c r="D1811" s="32" t="n"/>
      <c r="E1811" s="43">
        <f>IF(OR(A1811="",B1811=""),"",SUMPRODUCT(MAX(($B$6:$B$2005=B1811)*($A$6:$A$2005&lt;A1811)*$A$6:$A$2005)))</f>
        <v/>
      </c>
      <c r="F1811" s="41">
        <f>IF(OR(E1811="",E1811=0),"",IFERROR(AVERAGEIFS($C$6:$C$2005,$B$6:$B$2005,B1811,$A$6:$A$2005,E1811),""))</f>
        <v/>
      </c>
      <c r="G1811" s="34">
        <f>IF(F1811="","",A1811-E1811)</f>
        <v/>
      </c>
      <c r="H1811" s="42">
        <f>IF(OR(F1811="",C1811=""),"",IFERROR((C1811-F1811)/G1811,""))</f>
        <v/>
      </c>
      <c r="I1811" s="39">
        <f>IF(B1811="","",IFERROR(INDEX('Animais'!$M$6:$M$1005,MATCH(B1811,'Animais'!$A$6:$A$1005,0)),"Brinco não cadastrado"))</f>
        <v/>
      </c>
    </row>
    <row r="1812">
      <c r="A1812" s="31" t="n"/>
      <c r="B1812" s="36" t="n"/>
      <c r="C1812" s="38" t="n"/>
      <c r="D1812" s="32" t="n"/>
      <c r="E1812" s="43">
        <f>IF(OR(A1812="",B1812=""),"",SUMPRODUCT(MAX(($B$6:$B$2005=B1812)*($A$6:$A$2005&lt;A1812)*$A$6:$A$2005)))</f>
        <v/>
      </c>
      <c r="F1812" s="41">
        <f>IF(OR(E1812="",E1812=0),"",IFERROR(AVERAGEIFS($C$6:$C$2005,$B$6:$B$2005,B1812,$A$6:$A$2005,E1812),""))</f>
        <v/>
      </c>
      <c r="G1812" s="34">
        <f>IF(F1812="","",A1812-E1812)</f>
        <v/>
      </c>
      <c r="H1812" s="42">
        <f>IF(OR(F1812="",C1812=""),"",IFERROR((C1812-F1812)/G1812,""))</f>
        <v/>
      </c>
      <c r="I1812" s="39">
        <f>IF(B1812="","",IFERROR(INDEX('Animais'!$M$6:$M$1005,MATCH(B1812,'Animais'!$A$6:$A$1005,0)),"Brinco não cadastrado"))</f>
        <v/>
      </c>
    </row>
    <row r="1813">
      <c r="A1813" s="31" t="n"/>
      <c r="B1813" s="36" t="n"/>
      <c r="C1813" s="38" t="n"/>
      <c r="D1813" s="32" t="n"/>
      <c r="E1813" s="43">
        <f>IF(OR(A1813="",B1813=""),"",SUMPRODUCT(MAX(($B$6:$B$2005=B1813)*($A$6:$A$2005&lt;A1813)*$A$6:$A$2005)))</f>
        <v/>
      </c>
      <c r="F1813" s="41">
        <f>IF(OR(E1813="",E1813=0),"",IFERROR(AVERAGEIFS($C$6:$C$2005,$B$6:$B$2005,B1813,$A$6:$A$2005,E1813),""))</f>
        <v/>
      </c>
      <c r="G1813" s="34">
        <f>IF(F1813="","",A1813-E1813)</f>
        <v/>
      </c>
      <c r="H1813" s="42">
        <f>IF(OR(F1813="",C1813=""),"",IFERROR((C1813-F1813)/G1813,""))</f>
        <v/>
      </c>
      <c r="I1813" s="39">
        <f>IF(B1813="","",IFERROR(INDEX('Animais'!$M$6:$M$1005,MATCH(B1813,'Animais'!$A$6:$A$1005,0)),"Brinco não cadastrado"))</f>
        <v/>
      </c>
    </row>
    <row r="1814">
      <c r="A1814" s="31" t="n"/>
      <c r="B1814" s="36" t="n"/>
      <c r="C1814" s="38" t="n"/>
      <c r="D1814" s="32" t="n"/>
      <c r="E1814" s="43">
        <f>IF(OR(A1814="",B1814=""),"",SUMPRODUCT(MAX(($B$6:$B$2005=B1814)*($A$6:$A$2005&lt;A1814)*$A$6:$A$2005)))</f>
        <v/>
      </c>
      <c r="F1814" s="41">
        <f>IF(OR(E1814="",E1814=0),"",IFERROR(AVERAGEIFS($C$6:$C$2005,$B$6:$B$2005,B1814,$A$6:$A$2005,E1814),""))</f>
        <v/>
      </c>
      <c r="G1814" s="34">
        <f>IF(F1814="","",A1814-E1814)</f>
        <v/>
      </c>
      <c r="H1814" s="42">
        <f>IF(OR(F1814="",C1814=""),"",IFERROR((C1814-F1814)/G1814,""))</f>
        <v/>
      </c>
      <c r="I1814" s="39">
        <f>IF(B1814="","",IFERROR(INDEX('Animais'!$M$6:$M$1005,MATCH(B1814,'Animais'!$A$6:$A$1005,0)),"Brinco não cadastrado"))</f>
        <v/>
      </c>
    </row>
    <row r="1815">
      <c r="A1815" s="31" t="n"/>
      <c r="B1815" s="36" t="n"/>
      <c r="C1815" s="38" t="n"/>
      <c r="D1815" s="32" t="n"/>
      <c r="E1815" s="43">
        <f>IF(OR(A1815="",B1815=""),"",SUMPRODUCT(MAX(($B$6:$B$2005=B1815)*($A$6:$A$2005&lt;A1815)*$A$6:$A$2005)))</f>
        <v/>
      </c>
      <c r="F1815" s="41">
        <f>IF(OR(E1815="",E1815=0),"",IFERROR(AVERAGEIFS($C$6:$C$2005,$B$6:$B$2005,B1815,$A$6:$A$2005,E1815),""))</f>
        <v/>
      </c>
      <c r="G1815" s="34">
        <f>IF(F1815="","",A1815-E1815)</f>
        <v/>
      </c>
      <c r="H1815" s="42">
        <f>IF(OR(F1815="",C1815=""),"",IFERROR((C1815-F1815)/G1815,""))</f>
        <v/>
      </c>
      <c r="I1815" s="39">
        <f>IF(B1815="","",IFERROR(INDEX('Animais'!$M$6:$M$1005,MATCH(B1815,'Animais'!$A$6:$A$1005,0)),"Brinco não cadastrado"))</f>
        <v/>
      </c>
    </row>
    <row r="1816">
      <c r="A1816" s="31" t="n"/>
      <c r="B1816" s="36" t="n"/>
      <c r="C1816" s="38" t="n"/>
      <c r="D1816" s="32" t="n"/>
      <c r="E1816" s="43">
        <f>IF(OR(A1816="",B1816=""),"",SUMPRODUCT(MAX(($B$6:$B$2005=B1816)*($A$6:$A$2005&lt;A1816)*$A$6:$A$2005)))</f>
        <v/>
      </c>
      <c r="F1816" s="41">
        <f>IF(OR(E1816="",E1816=0),"",IFERROR(AVERAGEIFS($C$6:$C$2005,$B$6:$B$2005,B1816,$A$6:$A$2005,E1816),""))</f>
        <v/>
      </c>
      <c r="G1816" s="34">
        <f>IF(F1816="","",A1816-E1816)</f>
        <v/>
      </c>
      <c r="H1816" s="42">
        <f>IF(OR(F1816="",C1816=""),"",IFERROR((C1816-F1816)/G1816,""))</f>
        <v/>
      </c>
      <c r="I1816" s="39">
        <f>IF(B1816="","",IFERROR(INDEX('Animais'!$M$6:$M$1005,MATCH(B1816,'Animais'!$A$6:$A$1005,0)),"Brinco não cadastrado"))</f>
        <v/>
      </c>
    </row>
    <row r="1817">
      <c r="A1817" s="31" t="n"/>
      <c r="B1817" s="36" t="n"/>
      <c r="C1817" s="38" t="n"/>
      <c r="D1817" s="32" t="n"/>
      <c r="E1817" s="43">
        <f>IF(OR(A1817="",B1817=""),"",SUMPRODUCT(MAX(($B$6:$B$2005=B1817)*($A$6:$A$2005&lt;A1817)*$A$6:$A$2005)))</f>
        <v/>
      </c>
      <c r="F1817" s="41">
        <f>IF(OR(E1817="",E1817=0),"",IFERROR(AVERAGEIFS($C$6:$C$2005,$B$6:$B$2005,B1817,$A$6:$A$2005,E1817),""))</f>
        <v/>
      </c>
      <c r="G1817" s="34">
        <f>IF(F1817="","",A1817-E1817)</f>
        <v/>
      </c>
      <c r="H1817" s="42">
        <f>IF(OR(F1817="",C1817=""),"",IFERROR((C1817-F1817)/G1817,""))</f>
        <v/>
      </c>
      <c r="I1817" s="39">
        <f>IF(B1817="","",IFERROR(INDEX('Animais'!$M$6:$M$1005,MATCH(B1817,'Animais'!$A$6:$A$1005,0)),"Brinco não cadastrado"))</f>
        <v/>
      </c>
    </row>
    <row r="1818">
      <c r="A1818" s="31" t="n"/>
      <c r="B1818" s="36" t="n"/>
      <c r="C1818" s="38" t="n"/>
      <c r="D1818" s="32" t="n"/>
      <c r="E1818" s="43">
        <f>IF(OR(A1818="",B1818=""),"",SUMPRODUCT(MAX(($B$6:$B$2005=B1818)*($A$6:$A$2005&lt;A1818)*$A$6:$A$2005)))</f>
        <v/>
      </c>
      <c r="F1818" s="41">
        <f>IF(OR(E1818="",E1818=0),"",IFERROR(AVERAGEIFS($C$6:$C$2005,$B$6:$B$2005,B1818,$A$6:$A$2005,E1818),""))</f>
        <v/>
      </c>
      <c r="G1818" s="34">
        <f>IF(F1818="","",A1818-E1818)</f>
        <v/>
      </c>
      <c r="H1818" s="42">
        <f>IF(OR(F1818="",C1818=""),"",IFERROR((C1818-F1818)/G1818,""))</f>
        <v/>
      </c>
      <c r="I1818" s="39">
        <f>IF(B1818="","",IFERROR(INDEX('Animais'!$M$6:$M$1005,MATCH(B1818,'Animais'!$A$6:$A$1005,0)),"Brinco não cadastrado"))</f>
        <v/>
      </c>
    </row>
    <row r="1819">
      <c r="A1819" s="31" t="n"/>
      <c r="B1819" s="36" t="n"/>
      <c r="C1819" s="38" t="n"/>
      <c r="D1819" s="32" t="n"/>
      <c r="E1819" s="43">
        <f>IF(OR(A1819="",B1819=""),"",SUMPRODUCT(MAX(($B$6:$B$2005=B1819)*($A$6:$A$2005&lt;A1819)*$A$6:$A$2005)))</f>
        <v/>
      </c>
      <c r="F1819" s="41">
        <f>IF(OR(E1819="",E1819=0),"",IFERROR(AVERAGEIFS($C$6:$C$2005,$B$6:$B$2005,B1819,$A$6:$A$2005,E1819),""))</f>
        <v/>
      </c>
      <c r="G1819" s="34">
        <f>IF(F1819="","",A1819-E1819)</f>
        <v/>
      </c>
      <c r="H1819" s="42">
        <f>IF(OR(F1819="",C1819=""),"",IFERROR((C1819-F1819)/G1819,""))</f>
        <v/>
      </c>
      <c r="I1819" s="39">
        <f>IF(B1819="","",IFERROR(INDEX('Animais'!$M$6:$M$1005,MATCH(B1819,'Animais'!$A$6:$A$1005,0)),"Brinco não cadastrado"))</f>
        <v/>
      </c>
    </row>
    <row r="1820">
      <c r="A1820" s="31" t="n"/>
      <c r="B1820" s="36" t="n"/>
      <c r="C1820" s="38" t="n"/>
      <c r="D1820" s="32" t="n"/>
      <c r="E1820" s="43">
        <f>IF(OR(A1820="",B1820=""),"",SUMPRODUCT(MAX(($B$6:$B$2005=B1820)*($A$6:$A$2005&lt;A1820)*$A$6:$A$2005)))</f>
        <v/>
      </c>
      <c r="F1820" s="41">
        <f>IF(OR(E1820="",E1820=0),"",IFERROR(AVERAGEIFS($C$6:$C$2005,$B$6:$B$2005,B1820,$A$6:$A$2005,E1820),""))</f>
        <v/>
      </c>
      <c r="G1820" s="34">
        <f>IF(F1820="","",A1820-E1820)</f>
        <v/>
      </c>
      <c r="H1820" s="42">
        <f>IF(OR(F1820="",C1820=""),"",IFERROR((C1820-F1820)/G1820,""))</f>
        <v/>
      </c>
      <c r="I1820" s="39">
        <f>IF(B1820="","",IFERROR(INDEX('Animais'!$M$6:$M$1005,MATCH(B1820,'Animais'!$A$6:$A$1005,0)),"Brinco não cadastrado"))</f>
        <v/>
      </c>
    </row>
    <row r="1821">
      <c r="A1821" s="31" t="n"/>
      <c r="B1821" s="36" t="n"/>
      <c r="C1821" s="38" t="n"/>
      <c r="D1821" s="32" t="n"/>
      <c r="E1821" s="43">
        <f>IF(OR(A1821="",B1821=""),"",SUMPRODUCT(MAX(($B$6:$B$2005=B1821)*($A$6:$A$2005&lt;A1821)*$A$6:$A$2005)))</f>
        <v/>
      </c>
      <c r="F1821" s="41">
        <f>IF(OR(E1821="",E1821=0),"",IFERROR(AVERAGEIFS($C$6:$C$2005,$B$6:$B$2005,B1821,$A$6:$A$2005,E1821),""))</f>
        <v/>
      </c>
      <c r="G1821" s="34">
        <f>IF(F1821="","",A1821-E1821)</f>
        <v/>
      </c>
      <c r="H1821" s="42">
        <f>IF(OR(F1821="",C1821=""),"",IFERROR((C1821-F1821)/G1821,""))</f>
        <v/>
      </c>
      <c r="I1821" s="39">
        <f>IF(B1821="","",IFERROR(INDEX('Animais'!$M$6:$M$1005,MATCH(B1821,'Animais'!$A$6:$A$1005,0)),"Brinco não cadastrado"))</f>
        <v/>
      </c>
    </row>
    <row r="1822">
      <c r="A1822" s="31" t="n"/>
      <c r="B1822" s="36" t="n"/>
      <c r="C1822" s="38" t="n"/>
      <c r="D1822" s="32" t="n"/>
      <c r="E1822" s="43">
        <f>IF(OR(A1822="",B1822=""),"",SUMPRODUCT(MAX(($B$6:$B$2005=B1822)*($A$6:$A$2005&lt;A1822)*$A$6:$A$2005)))</f>
        <v/>
      </c>
      <c r="F1822" s="41">
        <f>IF(OR(E1822="",E1822=0),"",IFERROR(AVERAGEIFS($C$6:$C$2005,$B$6:$B$2005,B1822,$A$6:$A$2005,E1822),""))</f>
        <v/>
      </c>
      <c r="G1822" s="34">
        <f>IF(F1822="","",A1822-E1822)</f>
        <v/>
      </c>
      <c r="H1822" s="42">
        <f>IF(OR(F1822="",C1822=""),"",IFERROR((C1822-F1822)/G1822,""))</f>
        <v/>
      </c>
      <c r="I1822" s="39">
        <f>IF(B1822="","",IFERROR(INDEX('Animais'!$M$6:$M$1005,MATCH(B1822,'Animais'!$A$6:$A$1005,0)),"Brinco não cadastrado"))</f>
        <v/>
      </c>
    </row>
    <row r="1823">
      <c r="A1823" s="31" t="n"/>
      <c r="B1823" s="36" t="n"/>
      <c r="C1823" s="38" t="n"/>
      <c r="D1823" s="32" t="n"/>
      <c r="E1823" s="43">
        <f>IF(OR(A1823="",B1823=""),"",SUMPRODUCT(MAX(($B$6:$B$2005=B1823)*($A$6:$A$2005&lt;A1823)*$A$6:$A$2005)))</f>
        <v/>
      </c>
      <c r="F1823" s="41">
        <f>IF(OR(E1823="",E1823=0),"",IFERROR(AVERAGEIFS($C$6:$C$2005,$B$6:$B$2005,B1823,$A$6:$A$2005,E1823),""))</f>
        <v/>
      </c>
      <c r="G1823" s="34">
        <f>IF(F1823="","",A1823-E1823)</f>
        <v/>
      </c>
      <c r="H1823" s="42">
        <f>IF(OR(F1823="",C1823=""),"",IFERROR((C1823-F1823)/G1823,""))</f>
        <v/>
      </c>
      <c r="I1823" s="39">
        <f>IF(B1823="","",IFERROR(INDEX('Animais'!$M$6:$M$1005,MATCH(B1823,'Animais'!$A$6:$A$1005,0)),"Brinco não cadastrado"))</f>
        <v/>
      </c>
    </row>
    <row r="1824">
      <c r="A1824" s="31" t="n"/>
      <c r="B1824" s="36" t="n"/>
      <c r="C1824" s="38" t="n"/>
      <c r="D1824" s="32" t="n"/>
      <c r="E1824" s="43">
        <f>IF(OR(A1824="",B1824=""),"",SUMPRODUCT(MAX(($B$6:$B$2005=B1824)*($A$6:$A$2005&lt;A1824)*$A$6:$A$2005)))</f>
        <v/>
      </c>
      <c r="F1824" s="41">
        <f>IF(OR(E1824="",E1824=0),"",IFERROR(AVERAGEIFS($C$6:$C$2005,$B$6:$B$2005,B1824,$A$6:$A$2005,E1824),""))</f>
        <v/>
      </c>
      <c r="G1824" s="34">
        <f>IF(F1824="","",A1824-E1824)</f>
        <v/>
      </c>
      <c r="H1824" s="42">
        <f>IF(OR(F1824="",C1824=""),"",IFERROR((C1824-F1824)/G1824,""))</f>
        <v/>
      </c>
      <c r="I1824" s="39">
        <f>IF(B1824="","",IFERROR(INDEX('Animais'!$M$6:$M$1005,MATCH(B1824,'Animais'!$A$6:$A$1005,0)),"Brinco não cadastrado"))</f>
        <v/>
      </c>
    </row>
    <row r="1825">
      <c r="A1825" s="31" t="n"/>
      <c r="B1825" s="36" t="n"/>
      <c r="C1825" s="38" t="n"/>
      <c r="D1825" s="32" t="n"/>
      <c r="E1825" s="43">
        <f>IF(OR(A1825="",B1825=""),"",SUMPRODUCT(MAX(($B$6:$B$2005=B1825)*($A$6:$A$2005&lt;A1825)*$A$6:$A$2005)))</f>
        <v/>
      </c>
      <c r="F1825" s="41">
        <f>IF(OR(E1825="",E1825=0),"",IFERROR(AVERAGEIFS($C$6:$C$2005,$B$6:$B$2005,B1825,$A$6:$A$2005,E1825),""))</f>
        <v/>
      </c>
      <c r="G1825" s="34">
        <f>IF(F1825="","",A1825-E1825)</f>
        <v/>
      </c>
      <c r="H1825" s="42">
        <f>IF(OR(F1825="",C1825=""),"",IFERROR((C1825-F1825)/G1825,""))</f>
        <v/>
      </c>
      <c r="I1825" s="39">
        <f>IF(B1825="","",IFERROR(INDEX('Animais'!$M$6:$M$1005,MATCH(B1825,'Animais'!$A$6:$A$1005,0)),"Brinco não cadastrado"))</f>
        <v/>
      </c>
    </row>
    <row r="1826">
      <c r="A1826" s="31" t="n"/>
      <c r="B1826" s="36" t="n"/>
      <c r="C1826" s="38" t="n"/>
      <c r="D1826" s="32" t="n"/>
      <c r="E1826" s="43">
        <f>IF(OR(A1826="",B1826=""),"",SUMPRODUCT(MAX(($B$6:$B$2005=B1826)*($A$6:$A$2005&lt;A1826)*$A$6:$A$2005)))</f>
        <v/>
      </c>
      <c r="F1826" s="41">
        <f>IF(OR(E1826="",E1826=0),"",IFERROR(AVERAGEIFS($C$6:$C$2005,$B$6:$B$2005,B1826,$A$6:$A$2005,E1826),""))</f>
        <v/>
      </c>
      <c r="G1826" s="34">
        <f>IF(F1826="","",A1826-E1826)</f>
        <v/>
      </c>
      <c r="H1826" s="42">
        <f>IF(OR(F1826="",C1826=""),"",IFERROR((C1826-F1826)/G1826,""))</f>
        <v/>
      </c>
      <c r="I1826" s="39">
        <f>IF(B1826="","",IFERROR(INDEX('Animais'!$M$6:$M$1005,MATCH(B1826,'Animais'!$A$6:$A$1005,0)),"Brinco não cadastrado"))</f>
        <v/>
      </c>
    </row>
    <row r="1827">
      <c r="A1827" s="31" t="n"/>
      <c r="B1827" s="36" t="n"/>
      <c r="C1827" s="38" t="n"/>
      <c r="D1827" s="32" t="n"/>
      <c r="E1827" s="43">
        <f>IF(OR(A1827="",B1827=""),"",SUMPRODUCT(MAX(($B$6:$B$2005=B1827)*($A$6:$A$2005&lt;A1827)*$A$6:$A$2005)))</f>
        <v/>
      </c>
      <c r="F1827" s="41">
        <f>IF(OR(E1827="",E1827=0),"",IFERROR(AVERAGEIFS($C$6:$C$2005,$B$6:$B$2005,B1827,$A$6:$A$2005,E1827),""))</f>
        <v/>
      </c>
      <c r="G1827" s="34">
        <f>IF(F1827="","",A1827-E1827)</f>
        <v/>
      </c>
      <c r="H1827" s="42">
        <f>IF(OR(F1827="",C1827=""),"",IFERROR((C1827-F1827)/G1827,""))</f>
        <v/>
      </c>
      <c r="I1827" s="39">
        <f>IF(B1827="","",IFERROR(INDEX('Animais'!$M$6:$M$1005,MATCH(B1827,'Animais'!$A$6:$A$1005,0)),"Brinco não cadastrado"))</f>
        <v/>
      </c>
    </row>
    <row r="1828">
      <c r="A1828" s="31" t="n"/>
      <c r="B1828" s="36" t="n"/>
      <c r="C1828" s="38" t="n"/>
      <c r="D1828" s="32" t="n"/>
      <c r="E1828" s="43">
        <f>IF(OR(A1828="",B1828=""),"",SUMPRODUCT(MAX(($B$6:$B$2005=B1828)*($A$6:$A$2005&lt;A1828)*$A$6:$A$2005)))</f>
        <v/>
      </c>
      <c r="F1828" s="41">
        <f>IF(OR(E1828="",E1828=0),"",IFERROR(AVERAGEIFS($C$6:$C$2005,$B$6:$B$2005,B1828,$A$6:$A$2005,E1828),""))</f>
        <v/>
      </c>
      <c r="G1828" s="34">
        <f>IF(F1828="","",A1828-E1828)</f>
        <v/>
      </c>
      <c r="H1828" s="42">
        <f>IF(OR(F1828="",C1828=""),"",IFERROR((C1828-F1828)/G1828,""))</f>
        <v/>
      </c>
      <c r="I1828" s="39">
        <f>IF(B1828="","",IFERROR(INDEX('Animais'!$M$6:$M$1005,MATCH(B1828,'Animais'!$A$6:$A$1005,0)),"Brinco não cadastrado"))</f>
        <v/>
      </c>
    </row>
    <row r="1829">
      <c r="A1829" s="31" t="n"/>
      <c r="B1829" s="36" t="n"/>
      <c r="C1829" s="38" t="n"/>
      <c r="D1829" s="32" t="n"/>
      <c r="E1829" s="43">
        <f>IF(OR(A1829="",B1829=""),"",SUMPRODUCT(MAX(($B$6:$B$2005=B1829)*($A$6:$A$2005&lt;A1829)*$A$6:$A$2005)))</f>
        <v/>
      </c>
      <c r="F1829" s="41">
        <f>IF(OR(E1829="",E1829=0),"",IFERROR(AVERAGEIFS($C$6:$C$2005,$B$6:$B$2005,B1829,$A$6:$A$2005,E1829),""))</f>
        <v/>
      </c>
      <c r="G1829" s="34">
        <f>IF(F1829="","",A1829-E1829)</f>
        <v/>
      </c>
      <c r="H1829" s="42">
        <f>IF(OR(F1829="",C1829=""),"",IFERROR((C1829-F1829)/G1829,""))</f>
        <v/>
      </c>
      <c r="I1829" s="39">
        <f>IF(B1829="","",IFERROR(INDEX('Animais'!$M$6:$M$1005,MATCH(B1829,'Animais'!$A$6:$A$1005,0)),"Brinco não cadastrado"))</f>
        <v/>
      </c>
    </row>
    <row r="1830">
      <c r="A1830" s="31" t="n"/>
      <c r="B1830" s="36" t="n"/>
      <c r="C1830" s="38" t="n"/>
      <c r="D1830" s="32" t="n"/>
      <c r="E1830" s="43">
        <f>IF(OR(A1830="",B1830=""),"",SUMPRODUCT(MAX(($B$6:$B$2005=B1830)*($A$6:$A$2005&lt;A1830)*$A$6:$A$2005)))</f>
        <v/>
      </c>
      <c r="F1830" s="41">
        <f>IF(OR(E1830="",E1830=0),"",IFERROR(AVERAGEIFS($C$6:$C$2005,$B$6:$B$2005,B1830,$A$6:$A$2005,E1830),""))</f>
        <v/>
      </c>
      <c r="G1830" s="34">
        <f>IF(F1830="","",A1830-E1830)</f>
        <v/>
      </c>
      <c r="H1830" s="42">
        <f>IF(OR(F1830="",C1830=""),"",IFERROR((C1830-F1830)/G1830,""))</f>
        <v/>
      </c>
      <c r="I1830" s="39">
        <f>IF(B1830="","",IFERROR(INDEX('Animais'!$M$6:$M$1005,MATCH(B1830,'Animais'!$A$6:$A$1005,0)),"Brinco não cadastrado"))</f>
        <v/>
      </c>
    </row>
    <row r="1831">
      <c r="A1831" s="31" t="n"/>
      <c r="B1831" s="36" t="n"/>
      <c r="C1831" s="38" t="n"/>
      <c r="D1831" s="32" t="n"/>
      <c r="E1831" s="43">
        <f>IF(OR(A1831="",B1831=""),"",SUMPRODUCT(MAX(($B$6:$B$2005=B1831)*($A$6:$A$2005&lt;A1831)*$A$6:$A$2005)))</f>
        <v/>
      </c>
      <c r="F1831" s="41">
        <f>IF(OR(E1831="",E1831=0),"",IFERROR(AVERAGEIFS($C$6:$C$2005,$B$6:$B$2005,B1831,$A$6:$A$2005,E1831),""))</f>
        <v/>
      </c>
      <c r="G1831" s="34">
        <f>IF(F1831="","",A1831-E1831)</f>
        <v/>
      </c>
      <c r="H1831" s="42">
        <f>IF(OR(F1831="",C1831=""),"",IFERROR((C1831-F1831)/G1831,""))</f>
        <v/>
      </c>
      <c r="I1831" s="39">
        <f>IF(B1831="","",IFERROR(INDEX('Animais'!$M$6:$M$1005,MATCH(B1831,'Animais'!$A$6:$A$1005,0)),"Brinco não cadastrado"))</f>
        <v/>
      </c>
    </row>
    <row r="1832">
      <c r="A1832" s="31" t="n"/>
      <c r="B1832" s="36" t="n"/>
      <c r="C1832" s="38" t="n"/>
      <c r="D1832" s="32" t="n"/>
      <c r="E1832" s="43">
        <f>IF(OR(A1832="",B1832=""),"",SUMPRODUCT(MAX(($B$6:$B$2005=B1832)*($A$6:$A$2005&lt;A1832)*$A$6:$A$2005)))</f>
        <v/>
      </c>
      <c r="F1832" s="41">
        <f>IF(OR(E1832="",E1832=0),"",IFERROR(AVERAGEIFS($C$6:$C$2005,$B$6:$B$2005,B1832,$A$6:$A$2005,E1832),""))</f>
        <v/>
      </c>
      <c r="G1832" s="34">
        <f>IF(F1832="","",A1832-E1832)</f>
        <v/>
      </c>
      <c r="H1832" s="42">
        <f>IF(OR(F1832="",C1832=""),"",IFERROR((C1832-F1832)/G1832,""))</f>
        <v/>
      </c>
      <c r="I1832" s="39">
        <f>IF(B1832="","",IFERROR(INDEX('Animais'!$M$6:$M$1005,MATCH(B1832,'Animais'!$A$6:$A$1005,0)),"Brinco não cadastrado"))</f>
        <v/>
      </c>
    </row>
    <row r="1833">
      <c r="A1833" s="31" t="n"/>
      <c r="B1833" s="36" t="n"/>
      <c r="C1833" s="38" t="n"/>
      <c r="D1833" s="32" t="n"/>
      <c r="E1833" s="43">
        <f>IF(OR(A1833="",B1833=""),"",SUMPRODUCT(MAX(($B$6:$B$2005=B1833)*($A$6:$A$2005&lt;A1833)*$A$6:$A$2005)))</f>
        <v/>
      </c>
      <c r="F1833" s="41">
        <f>IF(OR(E1833="",E1833=0),"",IFERROR(AVERAGEIFS($C$6:$C$2005,$B$6:$B$2005,B1833,$A$6:$A$2005,E1833),""))</f>
        <v/>
      </c>
      <c r="G1833" s="34">
        <f>IF(F1833="","",A1833-E1833)</f>
        <v/>
      </c>
      <c r="H1833" s="42">
        <f>IF(OR(F1833="",C1833=""),"",IFERROR((C1833-F1833)/G1833,""))</f>
        <v/>
      </c>
      <c r="I1833" s="39">
        <f>IF(B1833="","",IFERROR(INDEX('Animais'!$M$6:$M$1005,MATCH(B1833,'Animais'!$A$6:$A$1005,0)),"Brinco não cadastrado"))</f>
        <v/>
      </c>
    </row>
    <row r="1834">
      <c r="A1834" s="31" t="n"/>
      <c r="B1834" s="36" t="n"/>
      <c r="C1834" s="38" t="n"/>
      <c r="D1834" s="32" t="n"/>
      <c r="E1834" s="43">
        <f>IF(OR(A1834="",B1834=""),"",SUMPRODUCT(MAX(($B$6:$B$2005=B1834)*($A$6:$A$2005&lt;A1834)*$A$6:$A$2005)))</f>
        <v/>
      </c>
      <c r="F1834" s="41">
        <f>IF(OR(E1834="",E1834=0),"",IFERROR(AVERAGEIFS($C$6:$C$2005,$B$6:$B$2005,B1834,$A$6:$A$2005,E1834),""))</f>
        <v/>
      </c>
      <c r="G1834" s="34">
        <f>IF(F1834="","",A1834-E1834)</f>
        <v/>
      </c>
      <c r="H1834" s="42">
        <f>IF(OR(F1834="",C1834=""),"",IFERROR((C1834-F1834)/G1834,""))</f>
        <v/>
      </c>
      <c r="I1834" s="39">
        <f>IF(B1834="","",IFERROR(INDEX('Animais'!$M$6:$M$1005,MATCH(B1834,'Animais'!$A$6:$A$1005,0)),"Brinco não cadastrado"))</f>
        <v/>
      </c>
    </row>
    <row r="1835">
      <c r="A1835" s="31" t="n"/>
      <c r="B1835" s="36" t="n"/>
      <c r="C1835" s="38" t="n"/>
      <c r="D1835" s="32" t="n"/>
      <c r="E1835" s="43">
        <f>IF(OR(A1835="",B1835=""),"",SUMPRODUCT(MAX(($B$6:$B$2005=B1835)*($A$6:$A$2005&lt;A1835)*$A$6:$A$2005)))</f>
        <v/>
      </c>
      <c r="F1835" s="41">
        <f>IF(OR(E1835="",E1835=0),"",IFERROR(AVERAGEIFS($C$6:$C$2005,$B$6:$B$2005,B1835,$A$6:$A$2005,E1835),""))</f>
        <v/>
      </c>
      <c r="G1835" s="34">
        <f>IF(F1835="","",A1835-E1835)</f>
        <v/>
      </c>
      <c r="H1835" s="42">
        <f>IF(OR(F1835="",C1835=""),"",IFERROR((C1835-F1835)/G1835,""))</f>
        <v/>
      </c>
      <c r="I1835" s="39">
        <f>IF(B1835="","",IFERROR(INDEX('Animais'!$M$6:$M$1005,MATCH(B1835,'Animais'!$A$6:$A$1005,0)),"Brinco não cadastrado"))</f>
        <v/>
      </c>
    </row>
    <row r="1836">
      <c r="A1836" s="31" t="n"/>
      <c r="B1836" s="36" t="n"/>
      <c r="C1836" s="38" t="n"/>
      <c r="D1836" s="32" t="n"/>
      <c r="E1836" s="43">
        <f>IF(OR(A1836="",B1836=""),"",SUMPRODUCT(MAX(($B$6:$B$2005=B1836)*($A$6:$A$2005&lt;A1836)*$A$6:$A$2005)))</f>
        <v/>
      </c>
      <c r="F1836" s="41">
        <f>IF(OR(E1836="",E1836=0),"",IFERROR(AVERAGEIFS($C$6:$C$2005,$B$6:$B$2005,B1836,$A$6:$A$2005,E1836),""))</f>
        <v/>
      </c>
      <c r="G1836" s="34">
        <f>IF(F1836="","",A1836-E1836)</f>
        <v/>
      </c>
      <c r="H1836" s="42">
        <f>IF(OR(F1836="",C1836=""),"",IFERROR((C1836-F1836)/G1836,""))</f>
        <v/>
      </c>
      <c r="I1836" s="39">
        <f>IF(B1836="","",IFERROR(INDEX('Animais'!$M$6:$M$1005,MATCH(B1836,'Animais'!$A$6:$A$1005,0)),"Brinco não cadastrado"))</f>
        <v/>
      </c>
    </row>
    <row r="1837">
      <c r="A1837" s="31" t="n"/>
      <c r="B1837" s="36" t="n"/>
      <c r="C1837" s="38" t="n"/>
      <c r="D1837" s="32" t="n"/>
      <c r="E1837" s="43">
        <f>IF(OR(A1837="",B1837=""),"",SUMPRODUCT(MAX(($B$6:$B$2005=B1837)*($A$6:$A$2005&lt;A1837)*$A$6:$A$2005)))</f>
        <v/>
      </c>
      <c r="F1837" s="41">
        <f>IF(OR(E1837="",E1837=0),"",IFERROR(AVERAGEIFS($C$6:$C$2005,$B$6:$B$2005,B1837,$A$6:$A$2005,E1837),""))</f>
        <v/>
      </c>
      <c r="G1837" s="34">
        <f>IF(F1837="","",A1837-E1837)</f>
        <v/>
      </c>
      <c r="H1837" s="42">
        <f>IF(OR(F1837="",C1837=""),"",IFERROR((C1837-F1837)/G1837,""))</f>
        <v/>
      </c>
      <c r="I1837" s="39">
        <f>IF(B1837="","",IFERROR(INDEX('Animais'!$M$6:$M$1005,MATCH(B1837,'Animais'!$A$6:$A$1005,0)),"Brinco não cadastrado"))</f>
        <v/>
      </c>
    </row>
    <row r="1838">
      <c r="A1838" s="31" t="n"/>
      <c r="B1838" s="36" t="n"/>
      <c r="C1838" s="38" t="n"/>
      <c r="D1838" s="32" t="n"/>
      <c r="E1838" s="43">
        <f>IF(OR(A1838="",B1838=""),"",SUMPRODUCT(MAX(($B$6:$B$2005=B1838)*($A$6:$A$2005&lt;A1838)*$A$6:$A$2005)))</f>
        <v/>
      </c>
      <c r="F1838" s="41">
        <f>IF(OR(E1838="",E1838=0),"",IFERROR(AVERAGEIFS($C$6:$C$2005,$B$6:$B$2005,B1838,$A$6:$A$2005,E1838),""))</f>
        <v/>
      </c>
      <c r="G1838" s="34">
        <f>IF(F1838="","",A1838-E1838)</f>
        <v/>
      </c>
      <c r="H1838" s="42">
        <f>IF(OR(F1838="",C1838=""),"",IFERROR((C1838-F1838)/G1838,""))</f>
        <v/>
      </c>
      <c r="I1838" s="39">
        <f>IF(B1838="","",IFERROR(INDEX('Animais'!$M$6:$M$1005,MATCH(B1838,'Animais'!$A$6:$A$1005,0)),"Brinco não cadastrado"))</f>
        <v/>
      </c>
    </row>
    <row r="1839">
      <c r="A1839" s="31" t="n"/>
      <c r="B1839" s="36" t="n"/>
      <c r="C1839" s="38" t="n"/>
      <c r="D1839" s="32" t="n"/>
      <c r="E1839" s="43">
        <f>IF(OR(A1839="",B1839=""),"",SUMPRODUCT(MAX(($B$6:$B$2005=B1839)*($A$6:$A$2005&lt;A1839)*$A$6:$A$2005)))</f>
        <v/>
      </c>
      <c r="F1839" s="41">
        <f>IF(OR(E1839="",E1839=0),"",IFERROR(AVERAGEIFS($C$6:$C$2005,$B$6:$B$2005,B1839,$A$6:$A$2005,E1839),""))</f>
        <v/>
      </c>
      <c r="G1839" s="34">
        <f>IF(F1839="","",A1839-E1839)</f>
        <v/>
      </c>
      <c r="H1839" s="42">
        <f>IF(OR(F1839="",C1839=""),"",IFERROR((C1839-F1839)/G1839,""))</f>
        <v/>
      </c>
      <c r="I1839" s="39">
        <f>IF(B1839="","",IFERROR(INDEX('Animais'!$M$6:$M$1005,MATCH(B1839,'Animais'!$A$6:$A$1005,0)),"Brinco não cadastrado"))</f>
        <v/>
      </c>
    </row>
    <row r="1840">
      <c r="A1840" s="31" t="n"/>
      <c r="B1840" s="36" t="n"/>
      <c r="C1840" s="38" t="n"/>
      <c r="D1840" s="32" t="n"/>
      <c r="E1840" s="43">
        <f>IF(OR(A1840="",B1840=""),"",SUMPRODUCT(MAX(($B$6:$B$2005=B1840)*($A$6:$A$2005&lt;A1840)*$A$6:$A$2005)))</f>
        <v/>
      </c>
      <c r="F1840" s="41">
        <f>IF(OR(E1840="",E1840=0),"",IFERROR(AVERAGEIFS($C$6:$C$2005,$B$6:$B$2005,B1840,$A$6:$A$2005,E1840),""))</f>
        <v/>
      </c>
      <c r="G1840" s="34">
        <f>IF(F1840="","",A1840-E1840)</f>
        <v/>
      </c>
      <c r="H1840" s="42">
        <f>IF(OR(F1840="",C1840=""),"",IFERROR((C1840-F1840)/G1840,""))</f>
        <v/>
      </c>
      <c r="I1840" s="39">
        <f>IF(B1840="","",IFERROR(INDEX('Animais'!$M$6:$M$1005,MATCH(B1840,'Animais'!$A$6:$A$1005,0)),"Brinco não cadastrado"))</f>
        <v/>
      </c>
    </row>
    <row r="1841">
      <c r="A1841" s="31" t="n"/>
      <c r="B1841" s="36" t="n"/>
      <c r="C1841" s="38" t="n"/>
      <c r="D1841" s="32" t="n"/>
      <c r="E1841" s="43">
        <f>IF(OR(A1841="",B1841=""),"",SUMPRODUCT(MAX(($B$6:$B$2005=B1841)*($A$6:$A$2005&lt;A1841)*$A$6:$A$2005)))</f>
        <v/>
      </c>
      <c r="F1841" s="41">
        <f>IF(OR(E1841="",E1841=0),"",IFERROR(AVERAGEIFS($C$6:$C$2005,$B$6:$B$2005,B1841,$A$6:$A$2005,E1841),""))</f>
        <v/>
      </c>
      <c r="G1841" s="34">
        <f>IF(F1841="","",A1841-E1841)</f>
        <v/>
      </c>
      <c r="H1841" s="42">
        <f>IF(OR(F1841="",C1841=""),"",IFERROR((C1841-F1841)/G1841,""))</f>
        <v/>
      </c>
      <c r="I1841" s="39">
        <f>IF(B1841="","",IFERROR(INDEX('Animais'!$M$6:$M$1005,MATCH(B1841,'Animais'!$A$6:$A$1005,0)),"Brinco não cadastrado"))</f>
        <v/>
      </c>
    </row>
    <row r="1842">
      <c r="A1842" s="31" t="n"/>
      <c r="B1842" s="36" t="n"/>
      <c r="C1842" s="38" t="n"/>
      <c r="D1842" s="32" t="n"/>
      <c r="E1842" s="43">
        <f>IF(OR(A1842="",B1842=""),"",SUMPRODUCT(MAX(($B$6:$B$2005=B1842)*($A$6:$A$2005&lt;A1842)*$A$6:$A$2005)))</f>
        <v/>
      </c>
      <c r="F1842" s="41">
        <f>IF(OR(E1842="",E1842=0),"",IFERROR(AVERAGEIFS($C$6:$C$2005,$B$6:$B$2005,B1842,$A$6:$A$2005,E1842),""))</f>
        <v/>
      </c>
      <c r="G1842" s="34">
        <f>IF(F1842="","",A1842-E1842)</f>
        <v/>
      </c>
      <c r="H1842" s="42">
        <f>IF(OR(F1842="",C1842=""),"",IFERROR((C1842-F1842)/G1842,""))</f>
        <v/>
      </c>
      <c r="I1842" s="39">
        <f>IF(B1842="","",IFERROR(INDEX('Animais'!$M$6:$M$1005,MATCH(B1842,'Animais'!$A$6:$A$1005,0)),"Brinco não cadastrado"))</f>
        <v/>
      </c>
    </row>
    <row r="1843">
      <c r="A1843" s="31" t="n"/>
      <c r="B1843" s="36" t="n"/>
      <c r="C1843" s="38" t="n"/>
      <c r="D1843" s="32" t="n"/>
      <c r="E1843" s="43">
        <f>IF(OR(A1843="",B1843=""),"",SUMPRODUCT(MAX(($B$6:$B$2005=B1843)*($A$6:$A$2005&lt;A1843)*$A$6:$A$2005)))</f>
        <v/>
      </c>
      <c r="F1843" s="41">
        <f>IF(OR(E1843="",E1843=0),"",IFERROR(AVERAGEIFS($C$6:$C$2005,$B$6:$B$2005,B1843,$A$6:$A$2005,E1843),""))</f>
        <v/>
      </c>
      <c r="G1843" s="34">
        <f>IF(F1843="","",A1843-E1843)</f>
        <v/>
      </c>
      <c r="H1843" s="42">
        <f>IF(OR(F1843="",C1843=""),"",IFERROR((C1843-F1843)/G1843,""))</f>
        <v/>
      </c>
      <c r="I1843" s="39">
        <f>IF(B1843="","",IFERROR(INDEX('Animais'!$M$6:$M$1005,MATCH(B1843,'Animais'!$A$6:$A$1005,0)),"Brinco não cadastrado"))</f>
        <v/>
      </c>
    </row>
    <row r="1844">
      <c r="A1844" s="31" t="n"/>
      <c r="B1844" s="36" t="n"/>
      <c r="C1844" s="38" t="n"/>
      <c r="D1844" s="32" t="n"/>
      <c r="E1844" s="43">
        <f>IF(OR(A1844="",B1844=""),"",SUMPRODUCT(MAX(($B$6:$B$2005=B1844)*($A$6:$A$2005&lt;A1844)*$A$6:$A$2005)))</f>
        <v/>
      </c>
      <c r="F1844" s="41">
        <f>IF(OR(E1844="",E1844=0),"",IFERROR(AVERAGEIFS($C$6:$C$2005,$B$6:$B$2005,B1844,$A$6:$A$2005,E1844),""))</f>
        <v/>
      </c>
      <c r="G1844" s="34">
        <f>IF(F1844="","",A1844-E1844)</f>
        <v/>
      </c>
      <c r="H1844" s="42">
        <f>IF(OR(F1844="",C1844=""),"",IFERROR((C1844-F1844)/G1844,""))</f>
        <v/>
      </c>
      <c r="I1844" s="39">
        <f>IF(B1844="","",IFERROR(INDEX('Animais'!$M$6:$M$1005,MATCH(B1844,'Animais'!$A$6:$A$1005,0)),"Brinco não cadastrado"))</f>
        <v/>
      </c>
    </row>
    <row r="1845">
      <c r="A1845" s="31" t="n"/>
      <c r="B1845" s="36" t="n"/>
      <c r="C1845" s="38" t="n"/>
      <c r="D1845" s="32" t="n"/>
      <c r="E1845" s="43">
        <f>IF(OR(A1845="",B1845=""),"",SUMPRODUCT(MAX(($B$6:$B$2005=B1845)*($A$6:$A$2005&lt;A1845)*$A$6:$A$2005)))</f>
        <v/>
      </c>
      <c r="F1845" s="41">
        <f>IF(OR(E1845="",E1845=0),"",IFERROR(AVERAGEIFS($C$6:$C$2005,$B$6:$B$2005,B1845,$A$6:$A$2005,E1845),""))</f>
        <v/>
      </c>
      <c r="G1845" s="34">
        <f>IF(F1845="","",A1845-E1845)</f>
        <v/>
      </c>
      <c r="H1845" s="42">
        <f>IF(OR(F1845="",C1845=""),"",IFERROR((C1845-F1845)/G1845,""))</f>
        <v/>
      </c>
      <c r="I1845" s="39">
        <f>IF(B1845="","",IFERROR(INDEX('Animais'!$M$6:$M$1005,MATCH(B1845,'Animais'!$A$6:$A$1005,0)),"Brinco não cadastrado"))</f>
        <v/>
      </c>
    </row>
    <row r="1846">
      <c r="A1846" s="31" t="n"/>
      <c r="B1846" s="36" t="n"/>
      <c r="C1846" s="38" t="n"/>
      <c r="D1846" s="32" t="n"/>
      <c r="E1846" s="43">
        <f>IF(OR(A1846="",B1846=""),"",SUMPRODUCT(MAX(($B$6:$B$2005=B1846)*($A$6:$A$2005&lt;A1846)*$A$6:$A$2005)))</f>
        <v/>
      </c>
      <c r="F1846" s="41">
        <f>IF(OR(E1846="",E1846=0),"",IFERROR(AVERAGEIFS($C$6:$C$2005,$B$6:$B$2005,B1846,$A$6:$A$2005,E1846),""))</f>
        <v/>
      </c>
      <c r="G1846" s="34">
        <f>IF(F1846="","",A1846-E1846)</f>
        <v/>
      </c>
      <c r="H1846" s="42">
        <f>IF(OR(F1846="",C1846=""),"",IFERROR((C1846-F1846)/G1846,""))</f>
        <v/>
      </c>
      <c r="I1846" s="39">
        <f>IF(B1846="","",IFERROR(INDEX('Animais'!$M$6:$M$1005,MATCH(B1846,'Animais'!$A$6:$A$1005,0)),"Brinco não cadastrado"))</f>
        <v/>
      </c>
    </row>
    <row r="1847">
      <c r="A1847" s="31" t="n"/>
      <c r="B1847" s="36" t="n"/>
      <c r="C1847" s="38" t="n"/>
      <c r="D1847" s="32" t="n"/>
      <c r="E1847" s="43">
        <f>IF(OR(A1847="",B1847=""),"",SUMPRODUCT(MAX(($B$6:$B$2005=B1847)*($A$6:$A$2005&lt;A1847)*$A$6:$A$2005)))</f>
        <v/>
      </c>
      <c r="F1847" s="41">
        <f>IF(OR(E1847="",E1847=0),"",IFERROR(AVERAGEIFS($C$6:$C$2005,$B$6:$B$2005,B1847,$A$6:$A$2005,E1847),""))</f>
        <v/>
      </c>
      <c r="G1847" s="34">
        <f>IF(F1847="","",A1847-E1847)</f>
        <v/>
      </c>
      <c r="H1847" s="42">
        <f>IF(OR(F1847="",C1847=""),"",IFERROR((C1847-F1847)/G1847,""))</f>
        <v/>
      </c>
      <c r="I1847" s="39">
        <f>IF(B1847="","",IFERROR(INDEX('Animais'!$M$6:$M$1005,MATCH(B1847,'Animais'!$A$6:$A$1005,0)),"Brinco não cadastrado"))</f>
        <v/>
      </c>
    </row>
    <row r="1848">
      <c r="A1848" s="31" t="n"/>
      <c r="B1848" s="36" t="n"/>
      <c r="C1848" s="38" t="n"/>
      <c r="D1848" s="32" t="n"/>
      <c r="E1848" s="43">
        <f>IF(OR(A1848="",B1848=""),"",SUMPRODUCT(MAX(($B$6:$B$2005=B1848)*($A$6:$A$2005&lt;A1848)*$A$6:$A$2005)))</f>
        <v/>
      </c>
      <c r="F1848" s="41">
        <f>IF(OR(E1848="",E1848=0),"",IFERROR(AVERAGEIFS($C$6:$C$2005,$B$6:$B$2005,B1848,$A$6:$A$2005,E1848),""))</f>
        <v/>
      </c>
      <c r="G1848" s="34">
        <f>IF(F1848="","",A1848-E1848)</f>
        <v/>
      </c>
      <c r="H1848" s="42">
        <f>IF(OR(F1848="",C1848=""),"",IFERROR((C1848-F1848)/G1848,""))</f>
        <v/>
      </c>
      <c r="I1848" s="39">
        <f>IF(B1848="","",IFERROR(INDEX('Animais'!$M$6:$M$1005,MATCH(B1848,'Animais'!$A$6:$A$1005,0)),"Brinco não cadastrado"))</f>
        <v/>
      </c>
    </row>
    <row r="1849">
      <c r="A1849" s="31" t="n"/>
      <c r="B1849" s="36" t="n"/>
      <c r="C1849" s="38" t="n"/>
      <c r="D1849" s="32" t="n"/>
      <c r="E1849" s="43">
        <f>IF(OR(A1849="",B1849=""),"",SUMPRODUCT(MAX(($B$6:$B$2005=B1849)*($A$6:$A$2005&lt;A1849)*$A$6:$A$2005)))</f>
        <v/>
      </c>
      <c r="F1849" s="41">
        <f>IF(OR(E1849="",E1849=0),"",IFERROR(AVERAGEIFS($C$6:$C$2005,$B$6:$B$2005,B1849,$A$6:$A$2005,E1849),""))</f>
        <v/>
      </c>
      <c r="G1849" s="34">
        <f>IF(F1849="","",A1849-E1849)</f>
        <v/>
      </c>
      <c r="H1849" s="42">
        <f>IF(OR(F1849="",C1849=""),"",IFERROR((C1849-F1849)/G1849,""))</f>
        <v/>
      </c>
      <c r="I1849" s="39">
        <f>IF(B1849="","",IFERROR(INDEX('Animais'!$M$6:$M$1005,MATCH(B1849,'Animais'!$A$6:$A$1005,0)),"Brinco não cadastrado"))</f>
        <v/>
      </c>
    </row>
    <row r="1850">
      <c r="A1850" s="31" t="n"/>
      <c r="B1850" s="36" t="n"/>
      <c r="C1850" s="38" t="n"/>
      <c r="D1850" s="32" t="n"/>
      <c r="E1850" s="43">
        <f>IF(OR(A1850="",B1850=""),"",SUMPRODUCT(MAX(($B$6:$B$2005=B1850)*($A$6:$A$2005&lt;A1850)*$A$6:$A$2005)))</f>
        <v/>
      </c>
      <c r="F1850" s="41">
        <f>IF(OR(E1850="",E1850=0),"",IFERROR(AVERAGEIFS($C$6:$C$2005,$B$6:$B$2005,B1850,$A$6:$A$2005,E1850),""))</f>
        <v/>
      </c>
      <c r="G1850" s="34">
        <f>IF(F1850="","",A1850-E1850)</f>
        <v/>
      </c>
      <c r="H1850" s="42">
        <f>IF(OR(F1850="",C1850=""),"",IFERROR((C1850-F1850)/G1850,""))</f>
        <v/>
      </c>
      <c r="I1850" s="39">
        <f>IF(B1850="","",IFERROR(INDEX('Animais'!$M$6:$M$1005,MATCH(B1850,'Animais'!$A$6:$A$1005,0)),"Brinco não cadastrado"))</f>
        <v/>
      </c>
    </row>
    <row r="1851">
      <c r="A1851" s="31" t="n"/>
      <c r="B1851" s="36" t="n"/>
      <c r="C1851" s="38" t="n"/>
      <c r="D1851" s="32" t="n"/>
      <c r="E1851" s="43">
        <f>IF(OR(A1851="",B1851=""),"",SUMPRODUCT(MAX(($B$6:$B$2005=B1851)*($A$6:$A$2005&lt;A1851)*$A$6:$A$2005)))</f>
        <v/>
      </c>
      <c r="F1851" s="41">
        <f>IF(OR(E1851="",E1851=0),"",IFERROR(AVERAGEIFS($C$6:$C$2005,$B$6:$B$2005,B1851,$A$6:$A$2005,E1851),""))</f>
        <v/>
      </c>
      <c r="G1851" s="34">
        <f>IF(F1851="","",A1851-E1851)</f>
        <v/>
      </c>
      <c r="H1851" s="42">
        <f>IF(OR(F1851="",C1851=""),"",IFERROR((C1851-F1851)/G1851,""))</f>
        <v/>
      </c>
      <c r="I1851" s="39">
        <f>IF(B1851="","",IFERROR(INDEX('Animais'!$M$6:$M$1005,MATCH(B1851,'Animais'!$A$6:$A$1005,0)),"Brinco não cadastrado"))</f>
        <v/>
      </c>
    </row>
    <row r="1852">
      <c r="A1852" s="31" t="n"/>
      <c r="B1852" s="36" t="n"/>
      <c r="C1852" s="38" t="n"/>
      <c r="D1852" s="32" t="n"/>
      <c r="E1852" s="43">
        <f>IF(OR(A1852="",B1852=""),"",SUMPRODUCT(MAX(($B$6:$B$2005=B1852)*($A$6:$A$2005&lt;A1852)*$A$6:$A$2005)))</f>
        <v/>
      </c>
      <c r="F1852" s="41">
        <f>IF(OR(E1852="",E1852=0),"",IFERROR(AVERAGEIFS($C$6:$C$2005,$B$6:$B$2005,B1852,$A$6:$A$2005,E1852),""))</f>
        <v/>
      </c>
      <c r="G1852" s="34">
        <f>IF(F1852="","",A1852-E1852)</f>
        <v/>
      </c>
      <c r="H1852" s="42">
        <f>IF(OR(F1852="",C1852=""),"",IFERROR((C1852-F1852)/G1852,""))</f>
        <v/>
      </c>
      <c r="I1852" s="39">
        <f>IF(B1852="","",IFERROR(INDEX('Animais'!$M$6:$M$1005,MATCH(B1852,'Animais'!$A$6:$A$1005,0)),"Brinco não cadastrado"))</f>
        <v/>
      </c>
    </row>
    <row r="1853">
      <c r="A1853" s="31" t="n"/>
      <c r="B1853" s="36" t="n"/>
      <c r="C1853" s="38" t="n"/>
      <c r="D1853" s="32" t="n"/>
      <c r="E1853" s="43">
        <f>IF(OR(A1853="",B1853=""),"",SUMPRODUCT(MAX(($B$6:$B$2005=B1853)*($A$6:$A$2005&lt;A1853)*$A$6:$A$2005)))</f>
        <v/>
      </c>
      <c r="F1853" s="41">
        <f>IF(OR(E1853="",E1853=0),"",IFERROR(AVERAGEIFS($C$6:$C$2005,$B$6:$B$2005,B1853,$A$6:$A$2005,E1853),""))</f>
        <v/>
      </c>
      <c r="G1853" s="34">
        <f>IF(F1853="","",A1853-E1853)</f>
        <v/>
      </c>
      <c r="H1853" s="42">
        <f>IF(OR(F1853="",C1853=""),"",IFERROR((C1853-F1853)/G1853,""))</f>
        <v/>
      </c>
      <c r="I1853" s="39">
        <f>IF(B1853="","",IFERROR(INDEX('Animais'!$M$6:$M$1005,MATCH(B1853,'Animais'!$A$6:$A$1005,0)),"Brinco não cadastrado"))</f>
        <v/>
      </c>
    </row>
    <row r="1854">
      <c r="A1854" s="31" t="n"/>
      <c r="B1854" s="36" t="n"/>
      <c r="C1854" s="38" t="n"/>
      <c r="D1854" s="32" t="n"/>
      <c r="E1854" s="43">
        <f>IF(OR(A1854="",B1854=""),"",SUMPRODUCT(MAX(($B$6:$B$2005=B1854)*($A$6:$A$2005&lt;A1854)*$A$6:$A$2005)))</f>
        <v/>
      </c>
      <c r="F1854" s="41">
        <f>IF(OR(E1854="",E1854=0),"",IFERROR(AVERAGEIFS($C$6:$C$2005,$B$6:$B$2005,B1854,$A$6:$A$2005,E1854),""))</f>
        <v/>
      </c>
      <c r="G1854" s="34">
        <f>IF(F1854="","",A1854-E1854)</f>
        <v/>
      </c>
      <c r="H1854" s="42">
        <f>IF(OR(F1854="",C1854=""),"",IFERROR((C1854-F1854)/G1854,""))</f>
        <v/>
      </c>
      <c r="I1854" s="39">
        <f>IF(B1854="","",IFERROR(INDEX('Animais'!$M$6:$M$1005,MATCH(B1854,'Animais'!$A$6:$A$1005,0)),"Brinco não cadastrado"))</f>
        <v/>
      </c>
    </row>
    <row r="1855">
      <c r="A1855" s="31" t="n"/>
      <c r="B1855" s="36" t="n"/>
      <c r="C1855" s="38" t="n"/>
      <c r="D1855" s="32" t="n"/>
      <c r="E1855" s="43">
        <f>IF(OR(A1855="",B1855=""),"",SUMPRODUCT(MAX(($B$6:$B$2005=B1855)*($A$6:$A$2005&lt;A1855)*$A$6:$A$2005)))</f>
        <v/>
      </c>
      <c r="F1855" s="41">
        <f>IF(OR(E1855="",E1855=0),"",IFERROR(AVERAGEIFS($C$6:$C$2005,$B$6:$B$2005,B1855,$A$6:$A$2005,E1855),""))</f>
        <v/>
      </c>
      <c r="G1855" s="34">
        <f>IF(F1855="","",A1855-E1855)</f>
        <v/>
      </c>
      <c r="H1855" s="42">
        <f>IF(OR(F1855="",C1855=""),"",IFERROR((C1855-F1855)/G1855,""))</f>
        <v/>
      </c>
      <c r="I1855" s="39">
        <f>IF(B1855="","",IFERROR(INDEX('Animais'!$M$6:$M$1005,MATCH(B1855,'Animais'!$A$6:$A$1005,0)),"Brinco não cadastrado"))</f>
        <v/>
      </c>
    </row>
    <row r="1856">
      <c r="A1856" s="31" t="n"/>
      <c r="B1856" s="36" t="n"/>
      <c r="C1856" s="38" t="n"/>
      <c r="D1856" s="32" t="n"/>
      <c r="E1856" s="43">
        <f>IF(OR(A1856="",B1856=""),"",SUMPRODUCT(MAX(($B$6:$B$2005=B1856)*($A$6:$A$2005&lt;A1856)*$A$6:$A$2005)))</f>
        <v/>
      </c>
      <c r="F1856" s="41">
        <f>IF(OR(E1856="",E1856=0),"",IFERROR(AVERAGEIFS($C$6:$C$2005,$B$6:$B$2005,B1856,$A$6:$A$2005,E1856),""))</f>
        <v/>
      </c>
      <c r="G1856" s="34">
        <f>IF(F1856="","",A1856-E1856)</f>
        <v/>
      </c>
      <c r="H1856" s="42">
        <f>IF(OR(F1856="",C1856=""),"",IFERROR((C1856-F1856)/G1856,""))</f>
        <v/>
      </c>
      <c r="I1856" s="39">
        <f>IF(B1856="","",IFERROR(INDEX('Animais'!$M$6:$M$1005,MATCH(B1856,'Animais'!$A$6:$A$1005,0)),"Brinco não cadastrado"))</f>
        <v/>
      </c>
    </row>
    <row r="1857">
      <c r="A1857" s="31" t="n"/>
      <c r="B1857" s="36" t="n"/>
      <c r="C1857" s="38" t="n"/>
      <c r="D1857" s="32" t="n"/>
      <c r="E1857" s="43">
        <f>IF(OR(A1857="",B1857=""),"",SUMPRODUCT(MAX(($B$6:$B$2005=B1857)*($A$6:$A$2005&lt;A1857)*$A$6:$A$2005)))</f>
        <v/>
      </c>
      <c r="F1857" s="41">
        <f>IF(OR(E1857="",E1857=0),"",IFERROR(AVERAGEIFS($C$6:$C$2005,$B$6:$B$2005,B1857,$A$6:$A$2005,E1857),""))</f>
        <v/>
      </c>
      <c r="G1857" s="34">
        <f>IF(F1857="","",A1857-E1857)</f>
        <v/>
      </c>
      <c r="H1857" s="42">
        <f>IF(OR(F1857="",C1857=""),"",IFERROR((C1857-F1857)/G1857,""))</f>
        <v/>
      </c>
      <c r="I1857" s="39">
        <f>IF(B1857="","",IFERROR(INDEX('Animais'!$M$6:$M$1005,MATCH(B1857,'Animais'!$A$6:$A$1005,0)),"Brinco não cadastrado"))</f>
        <v/>
      </c>
    </row>
    <row r="1858">
      <c r="A1858" s="31" t="n"/>
      <c r="B1858" s="36" t="n"/>
      <c r="C1858" s="38" t="n"/>
      <c r="D1858" s="32" t="n"/>
      <c r="E1858" s="43">
        <f>IF(OR(A1858="",B1858=""),"",SUMPRODUCT(MAX(($B$6:$B$2005=B1858)*($A$6:$A$2005&lt;A1858)*$A$6:$A$2005)))</f>
        <v/>
      </c>
      <c r="F1858" s="41">
        <f>IF(OR(E1858="",E1858=0),"",IFERROR(AVERAGEIFS($C$6:$C$2005,$B$6:$B$2005,B1858,$A$6:$A$2005,E1858),""))</f>
        <v/>
      </c>
      <c r="G1858" s="34">
        <f>IF(F1858="","",A1858-E1858)</f>
        <v/>
      </c>
      <c r="H1858" s="42">
        <f>IF(OR(F1858="",C1858=""),"",IFERROR((C1858-F1858)/G1858,""))</f>
        <v/>
      </c>
      <c r="I1858" s="39">
        <f>IF(B1858="","",IFERROR(INDEX('Animais'!$M$6:$M$1005,MATCH(B1858,'Animais'!$A$6:$A$1005,0)),"Brinco não cadastrado"))</f>
        <v/>
      </c>
    </row>
    <row r="1859">
      <c r="A1859" s="31" t="n"/>
      <c r="B1859" s="36" t="n"/>
      <c r="C1859" s="38" t="n"/>
      <c r="D1859" s="32" t="n"/>
      <c r="E1859" s="43">
        <f>IF(OR(A1859="",B1859=""),"",SUMPRODUCT(MAX(($B$6:$B$2005=B1859)*($A$6:$A$2005&lt;A1859)*$A$6:$A$2005)))</f>
        <v/>
      </c>
      <c r="F1859" s="41">
        <f>IF(OR(E1859="",E1859=0),"",IFERROR(AVERAGEIFS($C$6:$C$2005,$B$6:$B$2005,B1859,$A$6:$A$2005,E1859),""))</f>
        <v/>
      </c>
      <c r="G1859" s="34">
        <f>IF(F1859="","",A1859-E1859)</f>
        <v/>
      </c>
      <c r="H1859" s="42">
        <f>IF(OR(F1859="",C1859=""),"",IFERROR((C1859-F1859)/G1859,""))</f>
        <v/>
      </c>
      <c r="I1859" s="39">
        <f>IF(B1859="","",IFERROR(INDEX('Animais'!$M$6:$M$1005,MATCH(B1859,'Animais'!$A$6:$A$1005,0)),"Brinco não cadastrado"))</f>
        <v/>
      </c>
    </row>
    <row r="1860">
      <c r="A1860" s="31" t="n"/>
      <c r="B1860" s="36" t="n"/>
      <c r="C1860" s="38" t="n"/>
      <c r="D1860" s="32" t="n"/>
      <c r="E1860" s="43">
        <f>IF(OR(A1860="",B1860=""),"",SUMPRODUCT(MAX(($B$6:$B$2005=B1860)*($A$6:$A$2005&lt;A1860)*$A$6:$A$2005)))</f>
        <v/>
      </c>
      <c r="F1860" s="41">
        <f>IF(OR(E1860="",E1860=0),"",IFERROR(AVERAGEIFS($C$6:$C$2005,$B$6:$B$2005,B1860,$A$6:$A$2005,E1860),""))</f>
        <v/>
      </c>
      <c r="G1860" s="34">
        <f>IF(F1860="","",A1860-E1860)</f>
        <v/>
      </c>
      <c r="H1860" s="42">
        <f>IF(OR(F1860="",C1860=""),"",IFERROR((C1860-F1860)/G1860,""))</f>
        <v/>
      </c>
      <c r="I1860" s="39">
        <f>IF(B1860="","",IFERROR(INDEX('Animais'!$M$6:$M$1005,MATCH(B1860,'Animais'!$A$6:$A$1005,0)),"Brinco não cadastrado"))</f>
        <v/>
      </c>
    </row>
    <row r="1861">
      <c r="A1861" s="31" t="n"/>
      <c r="B1861" s="36" t="n"/>
      <c r="C1861" s="38" t="n"/>
      <c r="D1861" s="32" t="n"/>
      <c r="E1861" s="43">
        <f>IF(OR(A1861="",B1861=""),"",SUMPRODUCT(MAX(($B$6:$B$2005=B1861)*($A$6:$A$2005&lt;A1861)*$A$6:$A$2005)))</f>
        <v/>
      </c>
      <c r="F1861" s="41">
        <f>IF(OR(E1861="",E1861=0),"",IFERROR(AVERAGEIFS($C$6:$C$2005,$B$6:$B$2005,B1861,$A$6:$A$2005,E1861),""))</f>
        <v/>
      </c>
      <c r="G1861" s="34">
        <f>IF(F1861="","",A1861-E1861)</f>
        <v/>
      </c>
      <c r="H1861" s="42">
        <f>IF(OR(F1861="",C1861=""),"",IFERROR((C1861-F1861)/G1861,""))</f>
        <v/>
      </c>
      <c r="I1861" s="39">
        <f>IF(B1861="","",IFERROR(INDEX('Animais'!$M$6:$M$1005,MATCH(B1861,'Animais'!$A$6:$A$1005,0)),"Brinco não cadastrado"))</f>
        <v/>
      </c>
    </row>
    <row r="1862">
      <c r="A1862" s="31" t="n"/>
      <c r="B1862" s="36" t="n"/>
      <c r="C1862" s="38" t="n"/>
      <c r="D1862" s="32" t="n"/>
      <c r="E1862" s="43">
        <f>IF(OR(A1862="",B1862=""),"",SUMPRODUCT(MAX(($B$6:$B$2005=B1862)*($A$6:$A$2005&lt;A1862)*$A$6:$A$2005)))</f>
        <v/>
      </c>
      <c r="F1862" s="41">
        <f>IF(OR(E1862="",E1862=0),"",IFERROR(AVERAGEIFS($C$6:$C$2005,$B$6:$B$2005,B1862,$A$6:$A$2005,E1862),""))</f>
        <v/>
      </c>
      <c r="G1862" s="34">
        <f>IF(F1862="","",A1862-E1862)</f>
        <v/>
      </c>
      <c r="H1862" s="42">
        <f>IF(OR(F1862="",C1862=""),"",IFERROR((C1862-F1862)/G1862,""))</f>
        <v/>
      </c>
      <c r="I1862" s="39">
        <f>IF(B1862="","",IFERROR(INDEX('Animais'!$M$6:$M$1005,MATCH(B1862,'Animais'!$A$6:$A$1005,0)),"Brinco não cadastrado"))</f>
        <v/>
      </c>
    </row>
    <row r="1863">
      <c r="A1863" s="31" t="n"/>
      <c r="B1863" s="36" t="n"/>
      <c r="C1863" s="38" t="n"/>
      <c r="D1863" s="32" t="n"/>
      <c r="E1863" s="43">
        <f>IF(OR(A1863="",B1863=""),"",SUMPRODUCT(MAX(($B$6:$B$2005=B1863)*($A$6:$A$2005&lt;A1863)*$A$6:$A$2005)))</f>
        <v/>
      </c>
      <c r="F1863" s="41">
        <f>IF(OR(E1863="",E1863=0),"",IFERROR(AVERAGEIFS($C$6:$C$2005,$B$6:$B$2005,B1863,$A$6:$A$2005,E1863),""))</f>
        <v/>
      </c>
      <c r="G1863" s="34">
        <f>IF(F1863="","",A1863-E1863)</f>
        <v/>
      </c>
      <c r="H1863" s="42">
        <f>IF(OR(F1863="",C1863=""),"",IFERROR((C1863-F1863)/G1863,""))</f>
        <v/>
      </c>
      <c r="I1863" s="39">
        <f>IF(B1863="","",IFERROR(INDEX('Animais'!$M$6:$M$1005,MATCH(B1863,'Animais'!$A$6:$A$1005,0)),"Brinco não cadastrado"))</f>
        <v/>
      </c>
    </row>
    <row r="1864">
      <c r="A1864" s="31" t="n"/>
      <c r="B1864" s="36" t="n"/>
      <c r="C1864" s="38" t="n"/>
      <c r="D1864" s="32" t="n"/>
      <c r="E1864" s="43">
        <f>IF(OR(A1864="",B1864=""),"",SUMPRODUCT(MAX(($B$6:$B$2005=B1864)*($A$6:$A$2005&lt;A1864)*$A$6:$A$2005)))</f>
        <v/>
      </c>
      <c r="F1864" s="41">
        <f>IF(OR(E1864="",E1864=0),"",IFERROR(AVERAGEIFS($C$6:$C$2005,$B$6:$B$2005,B1864,$A$6:$A$2005,E1864),""))</f>
        <v/>
      </c>
      <c r="G1864" s="34">
        <f>IF(F1864="","",A1864-E1864)</f>
        <v/>
      </c>
      <c r="H1864" s="42">
        <f>IF(OR(F1864="",C1864=""),"",IFERROR((C1864-F1864)/G1864,""))</f>
        <v/>
      </c>
      <c r="I1864" s="39">
        <f>IF(B1864="","",IFERROR(INDEX('Animais'!$M$6:$M$1005,MATCH(B1864,'Animais'!$A$6:$A$1005,0)),"Brinco não cadastrado"))</f>
        <v/>
      </c>
    </row>
    <row r="1865">
      <c r="A1865" s="31" t="n"/>
      <c r="B1865" s="36" t="n"/>
      <c r="C1865" s="38" t="n"/>
      <c r="D1865" s="32" t="n"/>
      <c r="E1865" s="43">
        <f>IF(OR(A1865="",B1865=""),"",SUMPRODUCT(MAX(($B$6:$B$2005=B1865)*($A$6:$A$2005&lt;A1865)*$A$6:$A$2005)))</f>
        <v/>
      </c>
      <c r="F1865" s="41">
        <f>IF(OR(E1865="",E1865=0),"",IFERROR(AVERAGEIFS($C$6:$C$2005,$B$6:$B$2005,B1865,$A$6:$A$2005,E1865),""))</f>
        <v/>
      </c>
      <c r="G1865" s="34">
        <f>IF(F1865="","",A1865-E1865)</f>
        <v/>
      </c>
      <c r="H1865" s="42">
        <f>IF(OR(F1865="",C1865=""),"",IFERROR((C1865-F1865)/G1865,""))</f>
        <v/>
      </c>
      <c r="I1865" s="39">
        <f>IF(B1865="","",IFERROR(INDEX('Animais'!$M$6:$M$1005,MATCH(B1865,'Animais'!$A$6:$A$1005,0)),"Brinco não cadastrado"))</f>
        <v/>
      </c>
    </row>
    <row r="1866">
      <c r="A1866" s="31" t="n"/>
      <c r="B1866" s="36" t="n"/>
      <c r="C1866" s="38" t="n"/>
      <c r="D1866" s="32" t="n"/>
      <c r="E1866" s="43">
        <f>IF(OR(A1866="",B1866=""),"",SUMPRODUCT(MAX(($B$6:$B$2005=B1866)*($A$6:$A$2005&lt;A1866)*$A$6:$A$2005)))</f>
        <v/>
      </c>
      <c r="F1866" s="41">
        <f>IF(OR(E1866="",E1866=0),"",IFERROR(AVERAGEIFS($C$6:$C$2005,$B$6:$B$2005,B1866,$A$6:$A$2005,E1866),""))</f>
        <v/>
      </c>
      <c r="G1866" s="34">
        <f>IF(F1866="","",A1866-E1866)</f>
        <v/>
      </c>
      <c r="H1866" s="42">
        <f>IF(OR(F1866="",C1866=""),"",IFERROR((C1866-F1866)/G1866,""))</f>
        <v/>
      </c>
      <c r="I1866" s="39">
        <f>IF(B1866="","",IFERROR(INDEX('Animais'!$M$6:$M$1005,MATCH(B1866,'Animais'!$A$6:$A$1005,0)),"Brinco não cadastrado"))</f>
        <v/>
      </c>
    </row>
    <row r="1867">
      <c r="A1867" s="31" t="n"/>
      <c r="B1867" s="36" t="n"/>
      <c r="C1867" s="38" t="n"/>
      <c r="D1867" s="32" t="n"/>
      <c r="E1867" s="43">
        <f>IF(OR(A1867="",B1867=""),"",SUMPRODUCT(MAX(($B$6:$B$2005=B1867)*($A$6:$A$2005&lt;A1867)*$A$6:$A$2005)))</f>
        <v/>
      </c>
      <c r="F1867" s="41">
        <f>IF(OR(E1867="",E1867=0),"",IFERROR(AVERAGEIFS($C$6:$C$2005,$B$6:$B$2005,B1867,$A$6:$A$2005,E1867),""))</f>
        <v/>
      </c>
      <c r="G1867" s="34">
        <f>IF(F1867="","",A1867-E1867)</f>
        <v/>
      </c>
      <c r="H1867" s="42">
        <f>IF(OR(F1867="",C1867=""),"",IFERROR((C1867-F1867)/G1867,""))</f>
        <v/>
      </c>
      <c r="I1867" s="39">
        <f>IF(B1867="","",IFERROR(INDEX('Animais'!$M$6:$M$1005,MATCH(B1867,'Animais'!$A$6:$A$1005,0)),"Brinco não cadastrado"))</f>
        <v/>
      </c>
    </row>
    <row r="1868">
      <c r="A1868" s="31" t="n"/>
      <c r="B1868" s="36" t="n"/>
      <c r="C1868" s="38" t="n"/>
      <c r="D1868" s="32" t="n"/>
      <c r="E1868" s="43">
        <f>IF(OR(A1868="",B1868=""),"",SUMPRODUCT(MAX(($B$6:$B$2005=B1868)*($A$6:$A$2005&lt;A1868)*$A$6:$A$2005)))</f>
        <v/>
      </c>
      <c r="F1868" s="41">
        <f>IF(OR(E1868="",E1868=0),"",IFERROR(AVERAGEIFS($C$6:$C$2005,$B$6:$B$2005,B1868,$A$6:$A$2005,E1868),""))</f>
        <v/>
      </c>
      <c r="G1868" s="34">
        <f>IF(F1868="","",A1868-E1868)</f>
        <v/>
      </c>
      <c r="H1868" s="42">
        <f>IF(OR(F1868="",C1868=""),"",IFERROR((C1868-F1868)/G1868,""))</f>
        <v/>
      </c>
      <c r="I1868" s="39">
        <f>IF(B1868="","",IFERROR(INDEX('Animais'!$M$6:$M$1005,MATCH(B1868,'Animais'!$A$6:$A$1005,0)),"Brinco não cadastrado"))</f>
        <v/>
      </c>
    </row>
    <row r="1869">
      <c r="A1869" s="31" t="n"/>
      <c r="B1869" s="36" t="n"/>
      <c r="C1869" s="38" t="n"/>
      <c r="D1869" s="32" t="n"/>
      <c r="E1869" s="43">
        <f>IF(OR(A1869="",B1869=""),"",SUMPRODUCT(MAX(($B$6:$B$2005=B1869)*($A$6:$A$2005&lt;A1869)*$A$6:$A$2005)))</f>
        <v/>
      </c>
      <c r="F1869" s="41">
        <f>IF(OR(E1869="",E1869=0),"",IFERROR(AVERAGEIFS($C$6:$C$2005,$B$6:$B$2005,B1869,$A$6:$A$2005,E1869),""))</f>
        <v/>
      </c>
      <c r="G1869" s="34">
        <f>IF(F1869="","",A1869-E1869)</f>
        <v/>
      </c>
      <c r="H1869" s="42">
        <f>IF(OR(F1869="",C1869=""),"",IFERROR((C1869-F1869)/G1869,""))</f>
        <v/>
      </c>
      <c r="I1869" s="39">
        <f>IF(B1869="","",IFERROR(INDEX('Animais'!$M$6:$M$1005,MATCH(B1869,'Animais'!$A$6:$A$1005,0)),"Brinco não cadastrado"))</f>
        <v/>
      </c>
    </row>
    <row r="1870">
      <c r="A1870" s="31" t="n"/>
      <c r="B1870" s="36" t="n"/>
      <c r="C1870" s="38" t="n"/>
      <c r="D1870" s="32" t="n"/>
      <c r="E1870" s="43">
        <f>IF(OR(A1870="",B1870=""),"",SUMPRODUCT(MAX(($B$6:$B$2005=B1870)*($A$6:$A$2005&lt;A1870)*$A$6:$A$2005)))</f>
        <v/>
      </c>
      <c r="F1870" s="41">
        <f>IF(OR(E1870="",E1870=0),"",IFERROR(AVERAGEIFS($C$6:$C$2005,$B$6:$B$2005,B1870,$A$6:$A$2005,E1870),""))</f>
        <v/>
      </c>
      <c r="G1870" s="34">
        <f>IF(F1870="","",A1870-E1870)</f>
        <v/>
      </c>
      <c r="H1870" s="42">
        <f>IF(OR(F1870="",C1870=""),"",IFERROR((C1870-F1870)/G1870,""))</f>
        <v/>
      </c>
      <c r="I1870" s="39">
        <f>IF(B1870="","",IFERROR(INDEX('Animais'!$M$6:$M$1005,MATCH(B1870,'Animais'!$A$6:$A$1005,0)),"Brinco não cadastrado"))</f>
        <v/>
      </c>
    </row>
    <row r="1871">
      <c r="A1871" s="31" t="n"/>
      <c r="B1871" s="36" t="n"/>
      <c r="C1871" s="38" t="n"/>
      <c r="D1871" s="32" t="n"/>
      <c r="E1871" s="43">
        <f>IF(OR(A1871="",B1871=""),"",SUMPRODUCT(MAX(($B$6:$B$2005=B1871)*($A$6:$A$2005&lt;A1871)*$A$6:$A$2005)))</f>
        <v/>
      </c>
      <c r="F1871" s="41">
        <f>IF(OR(E1871="",E1871=0),"",IFERROR(AVERAGEIFS($C$6:$C$2005,$B$6:$B$2005,B1871,$A$6:$A$2005,E1871),""))</f>
        <v/>
      </c>
      <c r="G1871" s="34">
        <f>IF(F1871="","",A1871-E1871)</f>
        <v/>
      </c>
      <c r="H1871" s="42">
        <f>IF(OR(F1871="",C1871=""),"",IFERROR((C1871-F1871)/G1871,""))</f>
        <v/>
      </c>
      <c r="I1871" s="39">
        <f>IF(B1871="","",IFERROR(INDEX('Animais'!$M$6:$M$1005,MATCH(B1871,'Animais'!$A$6:$A$1005,0)),"Brinco não cadastrado"))</f>
        <v/>
      </c>
    </row>
    <row r="1872">
      <c r="A1872" s="31" t="n"/>
      <c r="B1872" s="36" t="n"/>
      <c r="C1872" s="38" t="n"/>
      <c r="D1872" s="32" t="n"/>
      <c r="E1872" s="43">
        <f>IF(OR(A1872="",B1872=""),"",SUMPRODUCT(MAX(($B$6:$B$2005=B1872)*($A$6:$A$2005&lt;A1872)*$A$6:$A$2005)))</f>
        <v/>
      </c>
      <c r="F1872" s="41">
        <f>IF(OR(E1872="",E1872=0),"",IFERROR(AVERAGEIFS($C$6:$C$2005,$B$6:$B$2005,B1872,$A$6:$A$2005,E1872),""))</f>
        <v/>
      </c>
      <c r="G1872" s="34">
        <f>IF(F1872="","",A1872-E1872)</f>
        <v/>
      </c>
      <c r="H1872" s="42">
        <f>IF(OR(F1872="",C1872=""),"",IFERROR((C1872-F1872)/G1872,""))</f>
        <v/>
      </c>
      <c r="I1872" s="39">
        <f>IF(B1872="","",IFERROR(INDEX('Animais'!$M$6:$M$1005,MATCH(B1872,'Animais'!$A$6:$A$1005,0)),"Brinco não cadastrado"))</f>
        <v/>
      </c>
    </row>
    <row r="1873">
      <c r="A1873" s="31" t="n"/>
      <c r="B1873" s="36" t="n"/>
      <c r="C1873" s="38" t="n"/>
      <c r="D1873" s="32" t="n"/>
      <c r="E1873" s="43">
        <f>IF(OR(A1873="",B1873=""),"",SUMPRODUCT(MAX(($B$6:$B$2005=B1873)*($A$6:$A$2005&lt;A1873)*$A$6:$A$2005)))</f>
        <v/>
      </c>
      <c r="F1873" s="41">
        <f>IF(OR(E1873="",E1873=0),"",IFERROR(AVERAGEIFS($C$6:$C$2005,$B$6:$B$2005,B1873,$A$6:$A$2005,E1873),""))</f>
        <v/>
      </c>
      <c r="G1873" s="34">
        <f>IF(F1873="","",A1873-E1873)</f>
        <v/>
      </c>
      <c r="H1873" s="42">
        <f>IF(OR(F1873="",C1873=""),"",IFERROR((C1873-F1873)/G1873,""))</f>
        <v/>
      </c>
      <c r="I1873" s="39">
        <f>IF(B1873="","",IFERROR(INDEX('Animais'!$M$6:$M$1005,MATCH(B1873,'Animais'!$A$6:$A$1005,0)),"Brinco não cadastrado"))</f>
        <v/>
      </c>
    </row>
    <row r="1874">
      <c r="A1874" s="31" t="n"/>
      <c r="B1874" s="36" t="n"/>
      <c r="C1874" s="38" t="n"/>
      <c r="D1874" s="32" t="n"/>
      <c r="E1874" s="43">
        <f>IF(OR(A1874="",B1874=""),"",SUMPRODUCT(MAX(($B$6:$B$2005=B1874)*($A$6:$A$2005&lt;A1874)*$A$6:$A$2005)))</f>
        <v/>
      </c>
      <c r="F1874" s="41">
        <f>IF(OR(E1874="",E1874=0),"",IFERROR(AVERAGEIFS($C$6:$C$2005,$B$6:$B$2005,B1874,$A$6:$A$2005,E1874),""))</f>
        <v/>
      </c>
      <c r="G1874" s="34">
        <f>IF(F1874="","",A1874-E1874)</f>
        <v/>
      </c>
      <c r="H1874" s="42">
        <f>IF(OR(F1874="",C1874=""),"",IFERROR((C1874-F1874)/G1874,""))</f>
        <v/>
      </c>
      <c r="I1874" s="39">
        <f>IF(B1874="","",IFERROR(INDEX('Animais'!$M$6:$M$1005,MATCH(B1874,'Animais'!$A$6:$A$1005,0)),"Brinco não cadastrado"))</f>
        <v/>
      </c>
    </row>
    <row r="1875">
      <c r="A1875" s="31" t="n"/>
      <c r="B1875" s="36" t="n"/>
      <c r="C1875" s="38" t="n"/>
      <c r="D1875" s="32" t="n"/>
      <c r="E1875" s="43">
        <f>IF(OR(A1875="",B1875=""),"",SUMPRODUCT(MAX(($B$6:$B$2005=B1875)*($A$6:$A$2005&lt;A1875)*$A$6:$A$2005)))</f>
        <v/>
      </c>
      <c r="F1875" s="41">
        <f>IF(OR(E1875="",E1875=0),"",IFERROR(AVERAGEIFS($C$6:$C$2005,$B$6:$B$2005,B1875,$A$6:$A$2005,E1875),""))</f>
        <v/>
      </c>
      <c r="G1875" s="34">
        <f>IF(F1875="","",A1875-E1875)</f>
        <v/>
      </c>
      <c r="H1875" s="42">
        <f>IF(OR(F1875="",C1875=""),"",IFERROR((C1875-F1875)/G1875,""))</f>
        <v/>
      </c>
      <c r="I1875" s="39">
        <f>IF(B1875="","",IFERROR(INDEX('Animais'!$M$6:$M$1005,MATCH(B1875,'Animais'!$A$6:$A$1005,0)),"Brinco não cadastrado"))</f>
        <v/>
      </c>
    </row>
    <row r="1876">
      <c r="A1876" s="31" t="n"/>
      <c r="B1876" s="36" t="n"/>
      <c r="C1876" s="38" t="n"/>
      <c r="D1876" s="32" t="n"/>
      <c r="E1876" s="43">
        <f>IF(OR(A1876="",B1876=""),"",SUMPRODUCT(MAX(($B$6:$B$2005=B1876)*($A$6:$A$2005&lt;A1876)*$A$6:$A$2005)))</f>
        <v/>
      </c>
      <c r="F1876" s="41">
        <f>IF(OR(E1876="",E1876=0),"",IFERROR(AVERAGEIFS($C$6:$C$2005,$B$6:$B$2005,B1876,$A$6:$A$2005,E1876),""))</f>
        <v/>
      </c>
      <c r="G1876" s="34">
        <f>IF(F1876="","",A1876-E1876)</f>
        <v/>
      </c>
      <c r="H1876" s="42">
        <f>IF(OR(F1876="",C1876=""),"",IFERROR((C1876-F1876)/G1876,""))</f>
        <v/>
      </c>
      <c r="I1876" s="39">
        <f>IF(B1876="","",IFERROR(INDEX('Animais'!$M$6:$M$1005,MATCH(B1876,'Animais'!$A$6:$A$1005,0)),"Brinco não cadastrado"))</f>
        <v/>
      </c>
    </row>
    <row r="1877">
      <c r="A1877" s="31" t="n"/>
      <c r="B1877" s="36" t="n"/>
      <c r="C1877" s="38" t="n"/>
      <c r="D1877" s="32" t="n"/>
      <c r="E1877" s="43">
        <f>IF(OR(A1877="",B1877=""),"",SUMPRODUCT(MAX(($B$6:$B$2005=B1877)*($A$6:$A$2005&lt;A1877)*$A$6:$A$2005)))</f>
        <v/>
      </c>
      <c r="F1877" s="41">
        <f>IF(OR(E1877="",E1877=0),"",IFERROR(AVERAGEIFS($C$6:$C$2005,$B$6:$B$2005,B1877,$A$6:$A$2005,E1877),""))</f>
        <v/>
      </c>
      <c r="G1877" s="34">
        <f>IF(F1877="","",A1877-E1877)</f>
        <v/>
      </c>
      <c r="H1877" s="42">
        <f>IF(OR(F1877="",C1877=""),"",IFERROR((C1877-F1877)/G1877,""))</f>
        <v/>
      </c>
      <c r="I1877" s="39">
        <f>IF(B1877="","",IFERROR(INDEX('Animais'!$M$6:$M$1005,MATCH(B1877,'Animais'!$A$6:$A$1005,0)),"Brinco não cadastrado"))</f>
        <v/>
      </c>
    </row>
    <row r="1878">
      <c r="A1878" s="31" t="n"/>
      <c r="B1878" s="36" t="n"/>
      <c r="C1878" s="38" t="n"/>
      <c r="D1878" s="32" t="n"/>
      <c r="E1878" s="43">
        <f>IF(OR(A1878="",B1878=""),"",SUMPRODUCT(MAX(($B$6:$B$2005=B1878)*($A$6:$A$2005&lt;A1878)*$A$6:$A$2005)))</f>
        <v/>
      </c>
      <c r="F1878" s="41">
        <f>IF(OR(E1878="",E1878=0),"",IFERROR(AVERAGEIFS($C$6:$C$2005,$B$6:$B$2005,B1878,$A$6:$A$2005,E1878),""))</f>
        <v/>
      </c>
      <c r="G1878" s="34">
        <f>IF(F1878="","",A1878-E1878)</f>
        <v/>
      </c>
      <c r="H1878" s="42">
        <f>IF(OR(F1878="",C1878=""),"",IFERROR((C1878-F1878)/G1878,""))</f>
        <v/>
      </c>
      <c r="I1878" s="39">
        <f>IF(B1878="","",IFERROR(INDEX('Animais'!$M$6:$M$1005,MATCH(B1878,'Animais'!$A$6:$A$1005,0)),"Brinco não cadastrado"))</f>
        <v/>
      </c>
    </row>
    <row r="1879">
      <c r="A1879" s="31" t="n"/>
      <c r="B1879" s="36" t="n"/>
      <c r="C1879" s="38" t="n"/>
      <c r="D1879" s="32" t="n"/>
      <c r="E1879" s="43">
        <f>IF(OR(A1879="",B1879=""),"",SUMPRODUCT(MAX(($B$6:$B$2005=B1879)*($A$6:$A$2005&lt;A1879)*$A$6:$A$2005)))</f>
        <v/>
      </c>
      <c r="F1879" s="41">
        <f>IF(OR(E1879="",E1879=0),"",IFERROR(AVERAGEIFS($C$6:$C$2005,$B$6:$B$2005,B1879,$A$6:$A$2005,E1879),""))</f>
        <v/>
      </c>
      <c r="G1879" s="34">
        <f>IF(F1879="","",A1879-E1879)</f>
        <v/>
      </c>
      <c r="H1879" s="42">
        <f>IF(OR(F1879="",C1879=""),"",IFERROR((C1879-F1879)/G1879,""))</f>
        <v/>
      </c>
      <c r="I1879" s="39">
        <f>IF(B1879="","",IFERROR(INDEX('Animais'!$M$6:$M$1005,MATCH(B1879,'Animais'!$A$6:$A$1005,0)),"Brinco não cadastrado"))</f>
        <v/>
      </c>
    </row>
    <row r="1880">
      <c r="A1880" s="31" t="n"/>
      <c r="B1880" s="36" t="n"/>
      <c r="C1880" s="38" t="n"/>
      <c r="D1880" s="32" t="n"/>
      <c r="E1880" s="43">
        <f>IF(OR(A1880="",B1880=""),"",SUMPRODUCT(MAX(($B$6:$B$2005=B1880)*($A$6:$A$2005&lt;A1880)*$A$6:$A$2005)))</f>
        <v/>
      </c>
      <c r="F1880" s="41">
        <f>IF(OR(E1880="",E1880=0),"",IFERROR(AVERAGEIFS($C$6:$C$2005,$B$6:$B$2005,B1880,$A$6:$A$2005,E1880),""))</f>
        <v/>
      </c>
      <c r="G1880" s="34">
        <f>IF(F1880="","",A1880-E1880)</f>
        <v/>
      </c>
      <c r="H1880" s="42">
        <f>IF(OR(F1880="",C1880=""),"",IFERROR((C1880-F1880)/G1880,""))</f>
        <v/>
      </c>
      <c r="I1880" s="39">
        <f>IF(B1880="","",IFERROR(INDEX('Animais'!$M$6:$M$1005,MATCH(B1880,'Animais'!$A$6:$A$1005,0)),"Brinco não cadastrado"))</f>
        <v/>
      </c>
    </row>
    <row r="1881">
      <c r="A1881" s="31" t="n"/>
      <c r="B1881" s="36" t="n"/>
      <c r="C1881" s="38" t="n"/>
      <c r="D1881" s="32" t="n"/>
      <c r="E1881" s="43">
        <f>IF(OR(A1881="",B1881=""),"",SUMPRODUCT(MAX(($B$6:$B$2005=B1881)*($A$6:$A$2005&lt;A1881)*$A$6:$A$2005)))</f>
        <v/>
      </c>
      <c r="F1881" s="41">
        <f>IF(OR(E1881="",E1881=0),"",IFERROR(AVERAGEIFS($C$6:$C$2005,$B$6:$B$2005,B1881,$A$6:$A$2005,E1881),""))</f>
        <v/>
      </c>
      <c r="G1881" s="34">
        <f>IF(F1881="","",A1881-E1881)</f>
        <v/>
      </c>
      <c r="H1881" s="42">
        <f>IF(OR(F1881="",C1881=""),"",IFERROR((C1881-F1881)/G1881,""))</f>
        <v/>
      </c>
      <c r="I1881" s="39">
        <f>IF(B1881="","",IFERROR(INDEX('Animais'!$M$6:$M$1005,MATCH(B1881,'Animais'!$A$6:$A$1005,0)),"Brinco não cadastrado"))</f>
        <v/>
      </c>
    </row>
    <row r="1882">
      <c r="A1882" s="31" t="n"/>
      <c r="B1882" s="36" t="n"/>
      <c r="C1882" s="38" t="n"/>
      <c r="D1882" s="32" t="n"/>
      <c r="E1882" s="43">
        <f>IF(OR(A1882="",B1882=""),"",SUMPRODUCT(MAX(($B$6:$B$2005=B1882)*($A$6:$A$2005&lt;A1882)*$A$6:$A$2005)))</f>
        <v/>
      </c>
      <c r="F1882" s="41">
        <f>IF(OR(E1882="",E1882=0),"",IFERROR(AVERAGEIFS($C$6:$C$2005,$B$6:$B$2005,B1882,$A$6:$A$2005,E1882),""))</f>
        <v/>
      </c>
      <c r="G1882" s="34">
        <f>IF(F1882="","",A1882-E1882)</f>
        <v/>
      </c>
      <c r="H1882" s="42">
        <f>IF(OR(F1882="",C1882=""),"",IFERROR((C1882-F1882)/G1882,""))</f>
        <v/>
      </c>
      <c r="I1882" s="39">
        <f>IF(B1882="","",IFERROR(INDEX('Animais'!$M$6:$M$1005,MATCH(B1882,'Animais'!$A$6:$A$1005,0)),"Brinco não cadastrado"))</f>
        <v/>
      </c>
    </row>
    <row r="1883">
      <c r="A1883" s="31" t="n"/>
      <c r="B1883" s="36" t="n"/>
      <c r="C1883" s="38" t="n"/>
      <c r="D1883" s="32" t="n"/>
      <c r="E1883" s="43">
        <f>IF(OR(A1883="",B1883=""),"",SUMPRODUCT(MAX(($B$6:$B$2005=B1883)*($A$6:$A$2005&lt;A1883)*$A$6:$A$2005)))</f>
        <v/>
      </c>
      <c r="F1883" s="41">
        <f>IF(OR(E1883="",E1883=0),"",IFERROR(AVERAGEIFS($C$6:$C$2005,$B$6:$B$2005,B1883,$A$6:$A$2005,E1883),""))</f>
        <v/>
      </c>
      <c r="G1883" s="34">
        <f>IF(F1883="","",A1883-E1883)</f>
        <v/>
      </c>
      <c r="H1883" s="42">
        <f>IF(OR(F1883="",C1883=""),"",IFERROR((C1883-F1883)/G1883,""))</f>
        <v/>
      </c>
      <c r="I1883" s="39">
        <f>IF(B1883="","",IFERROR(INDEX('Animais'!$M$6:$M$1005,MATCH(B1883,'Animais'!$A$6:$A$1005,0)),"Brinco não cadastrado"))</f>
        <v/>
      </c>
    </row>
    <row r="1884">
      <c r="A1884" s="31" t="n"/>
      <c r="B1884" s="36" t="n"/>
      <c r="C1884" s="38" t="n"/>
      <c r="D1884" s="32" t="n"/>
      <c r="E1884" s="43">
        <f>IF(OR(A1884="",B1884=""),"",SUMPRODUCT(MAX(($B$6:$B$2005=B1884)*($A$6:$A$2005&lt;A1884)*$A$6:$A$2005)))</f>
        <v/>
      </c>
      <c r="F1884" s="41">
        <f>IF(OR(E1884="",E1884=0),"",IFERROR(AVERAGEIFS($C$6:$C$2005,$B$6:$B$2005,B1884,$A$6:$A$2005,E1884),""))</f>
        <v/>
      </c>
      <c r="G1884" s="34">
        <f>IF(F1884="","",A1884-E1884)</f>
        <v/>
      </c>
      <c r="H1884" s="42">
        <f>IF(OR(F1884="",C1884=""),"",IFERROR((C1884-F1884)/G1884,""))</f>
        <v/>
      </c>
      <c r="I1884" s="39">
        <f>IF(B1884="","",IFERROR(INDEX('Animais'!$M$6:$M$1005,MATCH(B1884,'Animais'!$A$6:$A$1005,0)),"Brinco não cadastrado"))</f>
        <v/>
      </c>
    </row>
    <row r="1885">
      <c r="A1885" s="31" t="n"/>
      <c r="B1885" s="36" t="n"/>
      <c r="C1885" s="38" t="n"/>
      <c r="D1885" s="32" t="n"/>
      <c r="E1885" s="43">
        <f>IF(OR(A1885="",B1885=""),"",SUMPRODUCT(MAX(($B$6:$B$2005=B1885)*($A$6:$A$2005&lt;A1885)*$A$6:$A$2005)))</f>
        <v/>
      </c>
      <c r="F1885" s="41">
        <f>IF(OR(E1885="",E1885=0),"",IFERROR(AVERAGEIFS($C$6:$C$2005,$B$6:$B$2005,B1885,$A$6:$A$2005,E1885),""))</f>
        <v/>
      </c>
      <c r="G1885" s="34">
        <f>IF(F1885="","",A1885-E1885)</f>
        <v/>
      </c>
      <c r="H1885" s="42">
        <f>IF(OR(F1885="",C1885=""),"",IFERROR((C1885-F1885)/G1885,""))</f>
        <v/>
      </c>
      <c r="I1885" s="39">
        <f>IF(B1885="","",IFERROR(INDEX('Animais'!$M$6:$M$1005,MATCH(B1885,'Animais'!$A$6:$A$1005,0)),"Brinco não cadastrado"))</f>
        <v/>
      </c>
    </row>
    <row r="1886">
      <c r="A1886" s="31" t="n"/>
      <c r="B1886" s="36" t="n"/>
      <c r="C1886" s="38" t="n"/>
      <c r="D1886" s="32" t="n"/>
      <c r="E1886" s="43">
        <f>IF(OR(A1886="",B1886=""),"",SUMPRODUCT(MAX(($B$6:$B$2005=B1886)*($A$6:$A$2005&lt;A1886)*$A$6:$A$2005)))</f>
        <v/>
      </c>
      <c r="F1886" s="41">
        <f>IF(OR(E1886="",E1886=0),"",IFERROR(AVERAGEIFS($C$6:$C$2005,$B$6:$B$2005,B1886,$A$6:$A$2005,E1886),""))</f>
        <v/>
      </c>
      <c r="G1886" s="34">
        <f>IF(F1886="","",A1886-E1886)</f>
        <v/>
      </c>
      <c r="H1886" s="42">
        <f>IF(OR(F1886="",C1886=""),"",IFERROR((C1886-F1886)/G1886,""))</f>
        <v/>
      </c>
      <c r="I1886" s="39">
        <f>IF(B1886="","",IFERROR(INDEX('Animais'!$M$6:$M$1005,MATCH(B1886,'Animais'!$A$6:$A$1005,0)),"Brinco não cadastrado"))</f>
        <v/>
      </c>
    </row>
    <row r="1887">
      <c r="A1887" s="31" t="n"/>
      <c r="B1887" s="36" t="n"/>
      <c r="C1887" s="38" t="n"/>
      <c r="D1887" s="32" t="n"/>
      <c r="E1887" s="43">
        <f>IF(OR(A1887="",B1887=""),"",SUMPRODUCT(MAX(($B$6:$B$2005=B1887)*($A$6:$A$2005&lt;A1887)*$A$6:$A$2005)))</f>
        <v/>
      </c>
      <c r="F1887" s="41">
        <f>IF(OR(E1887="",E1887=0),"",IFERROR(AVERAGEIFS($C$6:$C$2005,$B$6:$B$2005,B1887,$A$6:$A$2005,E1887),""))</f>
        <v/>
      </c>
      <c r="G1887" s="34">
        <f>IF(F1887="","",A1887-E1887)</f>
        <v/>
      </c>
      <c r="H1887" s="42">
        <f>IF(OR(F1887="",C1887=""),"",IFERROR((C1887-F1887)/G1887,""))</f>
        <v/>
      </c>
      <c r="I1887" s="39">
        <f>IF(B1887="","",IFERROR(INDEX('Animais'!$M$6:$M$1005,MATCH(B1887,'Animais'!$A$6:$A$1005,0)),"Brinco não cadastrado"))</f>
        <v/>
      </c>
    </row>
    <row r="1888">
      <c r="A1888" s="31" t="n"/>
      <c r="B1888" s="36" t="n"/>
      <c r="C1888" s="38" t="n"/>
      <c r="D1888" s="32" t="n"/>
      <c r="E1888" s="43">
        <f>IF(OR(A1888="",B1888=""),"",SUMPRODUCT(MAX(($B$6:$B$2005=B1888)*($A$6:$A$2005&lt;A1888)*$A$6:$A$2005)))</f>
        <v/>
      </c>
      <c r="F1888" s="41">
        <f>IF(OR(E1888="",E1888=0),"",IFERROR(AVERAGEIFS($C$6:$C$2005,$B$6:$B$2005,B1888,$A$6:$A$2005,E1888),""))</f>
        <v/>
      </c>
      <c r="G1888" s="34">
        <f>IF(F1888="","",A1888-E1888)</f>
        <v/>
      </c>
      <c r="H1888" s="42">
        <f>IF(OR(F1888="",C1888=""),"",IFERROR((C1888-F1888)/G1888,""))</f>
        <v/>
      </c>
      <c r="I1888" s="39">
        <f>IF(B1888="","",IFERROR(INDEX('Animais'!$M$6:$M$1005,MATCH(B1888,'Animais'!$A$6:$A$1005,0)),"Brinco não cadastrado"))</f>
        <v/>
      </c>
    </row>
    <row r="1889">
      <c r="A1889" s="31" t="n"/>
      <c r="B1889" s="36" t="n"/>
      <c r="C1889" s="38" t="n"/>
      <c r="D1889" s="32" t="n"/>
      <c r="E1889" s="43">
        <f>IF(OR(A1889="",B1889=""),"",SUMPRODUCT(MAX(($B$6:$B$2005=B1889)*($A$6:$A$2005&lt;A1889)*$A$6:$A$2005)))</f>
        <v/>
      </c>
      <c r="F1889" s="41">
        <f>IF(OR(E1889="",E1889=0),"",IFERROR(AVERAGEIFS($C$6:$C$2005,$B$6:$B$2005,B1889,$A$6:$A$2005,E1889),""))</f>
        <v/>
      </c>
      <c r="G1889" s="34">
        <f>IF(F1889="","",A1889-E1889)</f>
        <v/>
      </c>
      <c r="H1889" s="42">
        <f>IF(OR(F1889="",C1889=""),"",IFERROR((C1889-F1889)/G1889,""))</f>
        <v/>
      </c>
      <c r="I1889" s="39">
        <f>IF(B1889="","",IFERROR(INDEX('Animais'!$M$6:$M$1005,MATCH(B1889,'Animais'!$A$6:$A$1005,0)),"Brinco não cadastrado"))</f>
        <v/>
      </c>
    </row>
    <row r="1890">
      <c r="A1890" s="31" t="n"/>
      <c r="B1890" s="36" t="n"/>
      <c r="C1890" s="38" t="n"/>
      <c r="D1890" s="32" t="n"/>
      <c r="E1890" s="43">
        <f>IF(OR(A1890="",B1890=""),"",SUMPRODUCT(MAX(($B$6:$B$2005=B1890)*($A$6:$A$2005&lt;A1890)*$A$6:$A$2005)))</f>
        <v/>
      </c>
      <c r="F1890" s="41">
        <f>IF(OR(E1890="",E1890=0),"",IFERROR(AVERAGEIFS($C$6:$C$2005,$B$6:$B$2005,B1890,$A$6:$A$2005,E1890),""))</f>
        <v/>
      </c>
      <c r="G1890" s="34">
        <f>IF(F1890="","",A1890-E1890)</f>
        <v/>
      </c>
      <c r="H1890" s="42">
        <f>IF(OR(F1890="",C1890=""),"",IFERROR((C1890-F1890)/G1890,""))</f>
        <v/>
      </c>
      <c r="I1890" s="39">
        <f>IF(B1890="","",IFERROR(INDEX('Animais'!$M$6:$M$1005,MATCH(B1890,'Animais'!$A$6:$A$1005,0)),"Brinco não cadastrado"))</f>
        <v/>
      </c>
    </row>
    <row r="1891">
      <c r="A1891" s="31" t="n"/>
      <c r="B1891" s="36" t="n"/>
      <c r="C1891" s="38" t="n"/>
      <c r="D1891" s="32" t="n"/>
      <c r="E1891" s="43">
        <f>IF(OR(A1891="",B1891=""),"",SUMPRODUCT(MAX(($B$6:$B$2005=B1891)*($A$6:$A$2005&lt;A1891)*$A$6:$A$2005)))</f>
        <v/>
      </c>
      <c r="F1891" s="41">
        <f>IF(OR(E1891="",E1891=0),"",IFERROR(AVERAGEIFS($C$6:$C$2005,$B$6:$B$2005,B1891,$A$6:$A$2005,E1891),""))</f>
        <v/>
      </c>
      <c r="G1891" s="34">
        <f>IF(F1891="","",A1891-E1891)</f>
        <v/>
      </c>
      <c r="H1891" s="42">
        <f>IF(OR(F1891="",C1891=""),"",IFERROR((C1891-F1891)/G1891,""))</f>
        <v/>
      </c>
      <c r="I1891" s="39">
        <f>IF(B1891="","",IFERROR(INDEX('Animais'!$M$6:$M$1005,MATCH(B1891,'Animais'!$A$6:$A$1005,0)),"Brinco não cadastrado"))</f>
        <v/>
      </c>
    </row>
    <row r="1892">
      <c r="A1892" s="31" t="n"/>
      <c r="B1892" s="36" t="n"/>
      <c r="C1892" s="38" t="n"/>
      <c r="D1892" s="32" t="n"/>
      <c r="E1892" s="43">
        <f>IF(OR(A1892="",B1892=""),"",SUMPRODUCT(MAX(($B$6:$B$2005=B1892)*($A$6:$A$2005&lt;A1892)*$A$6:$A$2005)))</f>
        <v/>
      </c>
      <c r="F1892" s="41">
        <f>IF(OR(E1892="",E1892=0),"",IFERROR(AVERAGEIFS($C$6:$C$2005,$B$6:$B$2005,B1892,$A$6:$A$2005,E1892),""))</f>
        <v/>
      </c>
      <c r="G1892" s="34">
        <f>IF(F1892="","",A1892-E1892)</f>
        <v/>
      </c>
      <c r="H1892" s="42">
        <f>IF(OR(F1892="",C1892=""),"",IFERROR((C1892-F1892)/G1892,""))</f>
        <v/>
      </c>
      <c r="I1892" s="39">
        <f>IF(B1892="","",IFERROR(INDEX('Animais'!$M$6:$M$1005,MATCH(B1892,'Animais'!$A$6:$A$1005,0)),"Brinco não cadastrado"))</f>
        <v/>
      </c>
    </row>
    <row r="1893">
      <c r="A1893" s="31" t="n"/>
      <c r="B1893" s="36" t="n"/>
      <c r="C1893" s="38" t="n"/>
      <c r="D1893" s="32" t="n"/>
      <c r="E1893" s="43">
        <f>IF(OR(A1893="",B1893=""),"",SUMPRODUCT(MAX(($B$6:$B$2005=B1893)*($A$6:$A$2005&lt;A1893)*$A$6:$A$2005)))</f>
        <v/>
      </c>
      <c r="F1893" s="41">
        <f>IF(OR(E1893="",E1893=0),"",IFERROR(AVERAGEIFS($C$6:$C$2005,$B$6:$B$2005,B1893,$A$6:$A$2005,E1893),""))</f>
        <v/>
      </c>
      <c r="G1893" s="34">
        <f>IF(F1893="","",A1893-E1893)</f>
        <v/>
      </c>
      <c r="H1893" s="42">
        <f>IF(OR(F1893="",C1893=""),"",IFERROR((C1893-F1893)/G1893,""))</f>
        <v/>
      </c>
      <c r="I1893" s="39">
        <f>IF(B1893="","",IFERROR(INDEX('Animais'!$M$6:$M$1005,MATCH(B1893,'Animais'!$A$6:$A$1005,0)),"Brinco não cadastrado"))</f>
        <v/>
      </c>
    </row>
    <row r="1894">
      <c r="A1894" s="31" t="n"/>
      <c r="B1894" s="36" t="n"/>
      <c r="C1894" s="38" t="n"/>
      <c r="D1894" s="32" t="n"/>
      <c r="E1894" s="43">
        <f>IF(OR(A1894="",B1894=""),"",SUMPRODUCT(MAX(($B$6:$B$2005=B1894)*($A$6:$A$2005&lt;A1894)*$A$6:$A$2005)))</f>
        <v/>
      </c>
      <c r="F1894" s="41">
        <f>IF(OR(E1894="",E1894=0),"",IFERROR(AVERAGEIFS($C$6:$C$2005,$B$6:$B$2005,B1894,$A$6:$A$2005,E1894),""))</f>
        <v/>
      </c>
      <c r="G1894" s="34">
        <f>IF(F1894="","",A1894-E1894)</f>
        <v/>
      </c>
      <c r="H1894" s="42">
        <f>IF(OR(F1894="",C1894=""),"",IFERROR((C1894-F1894)/G1894,""))</f>
        <v/>
      </c>
      <c r="I1894" s="39">
        <f>IF(B1894="","",IFERROR(INDEX('Animais'!$M$6:$M$1005,MATCH(B1894,'Animais'!$A$6:$A$1005,0)),"Brinco não cadastrado"))</f>
        <v/>
      </c>
    </row>
    <row r="1895">
      <c r="A1895" s="31" t="n"/>
      <c r="B1895" s="36" t="n"/>
      <c r="C1895" s="38" t="n"/>
      <c r="D1895" s="32" t="n"/>
      <c r="E1895" s="43">
        <f>IF(OR(A1895="",B1895=""),"",SUMPRODUCT(MAX(($B$6:$B$2005=B1895)*($A$6:$A$2005&lt;A1895)*$A$6:$A$2005)))</f>
        <v/>
      </c>
      <c r="F1895" s="41">
        <f>IF(OR(E1895="",E1895=0),"",IFERROR(AVERAGEIFS($C$6:$C$2005,$B$6:$B$2005,B1895,$A$6:$A$2005,E1895),""))</f>
        <v/>
      </c>
      <c r="G1895" s="34">
        <f>IF(F1895="","",A1895-E1895)</f>
        <v/>
      </c>
      <c r="H1895" s="42">
        <f>IF(OR(F1895="",C1895=""),"",IFERROR((C1895-F1895)/G1895,""))</f>
        <v/>
      </c>
      <c r="I1895" s="39">
        <f>IF(B1895="","",IFERROR(INDEX('Animais'!$M$6:$M$1005,MATCH(B1895,'Animais'!$A$6:$A$1005,0)),"Brinco não cadastrado"))</f>
        <v/>
      </c>
    </row>
    <row r="1896">
      <c r="A1896" s="31" t="n"/>
      <c r="B1896" s="36" t="n"/>
      <c r="C1896" s="38" t="n"/>
      <c r="D1896" s="32" t="n"/>
      <c r="E1896" s="43">
        <f>IF(OR(A1896="",B1896=""),"",SUMPRODUCT(MAX(($B$6:$B$2005=B1896)*($A$6:$A$2005&lt;A1896)*$A$6:$A$2005)))</f>
        <v/>
      </c>
      <c r="F1896" s="41">
        <f>IF(OR(E1896="",E1896=0),"",IFERROR(AVERAGEIFS($C$6:$C$2005,$B$6:$B$2005,B1896,$A$6:$A$2005,E1896),""))</f>
        <v/>
      </c>
      <c r="G1896" s="34">
        <f>IF(F1896="","",A1896-E1896)</f>
        <v/>
      </c>
      <c r="H1896" s="42">
        <f>IF(OR(F1896="",C1896=""),"",IFERROR((C1896-F1896)/G1896,""))</f>
        <v/>
      </c>
      <c r="I1896" s="39">
        <f>IF(B1896="","",IFERROR(INDEX('Animais'!$M$6:$M$1005,MATCH(B1896,'Animais'!$A$6:$A$1005,0)),"Brinco não cadastrado"))</f>
        <v/>
      </c>
    </row>
    <row r="1897">
      <c r="A1897" s="31" t="n"/>
      <c r="B1897" s="36" t="n"/>
      <c r="C1897" s="38" t="n"/>
      <c r="D1897" s="32" t="n"/>
      <c r="E1897" s="43">
        <f>IF(OR(A1897="",B1897=""),"",SUMPRODUCT(MAX(($B$6:$B$2005=B1897)*($A$6:$A$2005&lt;A1897)*$A$6:$A$2005)))</f>
        <v/>
      </c>
      <c r="F1897" s="41">
        <f>IF(OR(E1897="",E1897=0),"",IFERROR(AVERAGEIFS($C$6:$C$2005,$B$6:$B$2005,B1897,$A$6:$A$2005,E1897),""))</f>
        <v/>
      </c>
      <c r="G1897" s="34">
        <f>IF(F1897="","",A1897-E1897)</f>
        <v/>
      </c>
      <c r="H1897" s="42">
        <f>IF(OR(F1897="",C1897=""),"",IFERROR((C1897-F1897)/G1897,""))</f>
        <v/>
      </c>
      <c r="I1897" s="39">
        <f>IF(B1897="","",IFERROR(INDEX('Animais'!$M$6:$M$1005,MATCH(B1897,'Animais'!$A$6:$A$1005,0)),"Brinco não cadastrado"))</f>
        <v/>
      </c>
    </row>
    <row r="1898">
      <c r="A1898" s="31" t="n"/>
      <c r="B1898" s="36" t="n"/>
      <c r="C1898" s="38" t="n"/>
      <c r="D1898" s="32" t="n"/>
      <c r="E1898" s="43">
        <f>IF(OR(A1898="",B1898=""),"",SUMPRODUCT(MAX(($B$6:$B$2005=B1898)*($A$6:$A$2005&lt;A1898)*$A$6:$A$2005)))</f>
        <v/>
      </c>
      <c r="F1898" s="41">
        <f>IF(OR(E1898="",E1898=0),"",IFERROR(AVERAGEIFS($C$6:$C$2005,$B$6:$B$2005,B1898,$A$6:$A$2005,E1898),""))</f>
        <v/>
      </c>
      <c r="G1898" s="34">
        <f>IF(F1898="","",A1898-E1898)</f>
        <v/>
      </c>
      <c r="H1898" s="42">
        <f>IF(OR(F1898="",C1898=""),"",IFERROR((C1898-F1898)/G1898,""))</f>
        <v/>
      </c>
      <c r="I1898" s="39">
        <f>IF(B1898="","",IFERROR(INDEX('Animais'!$M$6:$M$1005,MATCH(B1898,'Animais'!$A$6:$A$1005,0)),"Brinco não cadastrado"))</f>
        <v/>
      </c>
    </row>
    <row r="1899">
      <c r="A1899" s="31" t="n"/>
      <c r="B1899" s="36" t="n"/>
      <c r="C1899" s="38" t="n"/>
      <c r="D1899" s="32" t="n"/>
      <c r="E1899" s="43">
        <f>IF(OR(A1899="",B1899=""),"",SUMPRODUCT(MAX(($B$6:$B$2005=B1899)*($A$6:$A$2005&lt;A1899)*$A$6:$A$2005)))</f>
        <v/>
      </c>
      <c r="F1899" s="41">
        <f>IF(OR(E1899="",E1899=0),"",IFERROR(AVERAGEIFS($C$6:$C$2005,$B$6:$B$2005,B1899,$A$6:$A$2005,E1899),""))</f>
        <v/>
      </c>
      <c r="G1899" s="34">
        <f>IF(F1899="","",A1899-E1899)</f>
        <v/>
      </c>
      <c r="H1899" s="42">
        <f>IF(OR(F1899="",C1899=""),"",IFERROR((C1899-F1899)/G1899,""))</f>
        <v/>
      </c>
      <c r="I1899" s="39">
        <f>IF(B1899="","",IFERROR(INDEX('Animais'!$M$6:$M$1005,MATCH(B1899,'Animais'!$A$6:$A$1005,0)),"Brinco não cadastrado"))</f>
        <v/>
      </c>
    </row>
    <row r="1900">
      <c r="A1900" s="31" t="n"/>
      <c r="B1900" s="36" t="n"/>
      <c r="C1900" s="38" t="n"/>
      <c r="D1900" s="32" t="n"/>
      <c r="E1900" s="43">
        <f>IF(OR(A1900="",B1900=""),"",SUMPRODUCT(MAX(($B$6:$B$2005=B1900)*($A$6:$A$2005&lt;A1900)*$A$6:$A$2005)))</f>
        <v/>
      </c>
      <c r="F1900" s="41">
        <f>IF(OR(E1900="",E1900=0),"",IFERROR(AVERAGEIFS($C$6:$C$2005,$B$6:$B$2005,B1900,$A$6:$A$2005,E1900),""))</f>
        <v/>
      </c>
      <c r="G1900" s="34">
        <f>IF(F1900="","",A1900-E1900)</f>
        <v/>
      </c>
      <c r="H1900" s="42">
        <f>IF(OR(F1900="",C1900=""),"",IFERROR((C1900-F1900)/G1900,""))</f>
        <v/>
      </c>
      <c r="I1900" s="39">
        <f>IF(B1900="","",IFERROR(INDEX('Animais'!$M$6:$M$1005,MATCH(B1900,'Animais'!$A$6:$A$1005,0)),"Brinco não cadastrado"))</f>
        <v/>
      </c>
    </row>
    <row r="1901">
      <c r="A1901" s="31" t="n"/>
      <c r="B1901" s="36" t="n"/>
      <c r="C1901" s="38" t="n"/>
      <c r="D1901" s="32" t="n"/>
      <c r="E1901" s="43">
        <f>IF(OR(A1901="",B1901=""),"",SUMPRODUCT(MAX(($B$6:$B$2005=B1901)*($A$6:$A$2005&lt;A1901)*$A$6:$A$2005)))</f>
        <v/>
      </c>
      <c r="F1901" s="41">
        <f>IF(OR(E1901="",E1901=0),"",IFERROR(AVERAGEIFS($C$6:$C$2005,$B$6:$B$2005,B1901,$A$6:$A$2005,E1901),""))</f>
        <v/>
      </c>
      <c r="G1901" s="34">
        <f>IF(F1901="","",A1901-E1901)</f>
        <v/>
      </c>
      <c r="H1901" s="42">
        <f>IF(OR(F1901="",C1901=""),"",IFERROR((C1901-F1901)/G1901,""))</f>
        <v/>
      </c>
      <c r="I1901" s="39">
        <f>IF(B1901="","",IFERROR(INDEX('Animais'!$M$6:$M$1005,MATCH(B1901,'Animais'!$A$6:$A$1005,0)),"Brinco não cadastrado"))</f>
        <v/>
      </c>
    </row>
    <row r="1902">
      <c r="A1902" s="31" t="n"/>
      <c r="B1902" s="36" t="n"/>
      <c r="C1902" s="38" t="n"/>
      <c r="D1902" s="32" t="n"/>
      <c r="E1902" s="43">
        <f>IF(OR(A1902="",B1902=""),"",SUMPRODUCT(MAX(($B$6:$B$2005=B1902)*($A$6:$A$2005&lt;A1902)*$A$6:$A$2005)))</f>
        <v/>
      </c>
      <c r="F1902" s="41">
        <f>IF(OR(E1902="",E1902=0),"",IFERROR(AVERAGEIFS($C$6:$C$2005,$B$6:$B$2005,B1902,$A$6:$A$2005,E1902),""))</f>
        <v/>
      </c>
      <c r="G1902" s="34">
        <f>IF(F1902="","",A1902-E1902)</f>
        <v/>
      </c>
      <c r="H1902" s="42">
        <f>IF(OR(F1902="",C1902=""),"",IFERROR((C1902-F1902)/G1902,""))</f>
        <v/>
      </c>
      <c r="I1902" s="39">
        <f>IF(B1902="","",IFERROR(INDEX('Animais'!$M$6:$M$1005,MATCH(B1902,'Animais'!$A$6:$A$1005,0)),"Brinco não cadastrado"))</f>
        <v/>
      </c>
    </row>
    <row r="1903">
      <c r="A1903" s="31" t="n"/>
      <c r="B1903" s="36" t="n"/>
      <c r="C1903" s="38" t="n"/>
      <c r="D1903" s="32" t="n"/>
      <c r="E1903" s="43">
        <f>IF(OR(A1903="",B1903=""),"",SUMPRODUCT(MAX(($B$6:$B$2005=B1903)*($A$6:$A$2005&lt;A1903)*$A$6:$A$2005)))</f>
        <v/>
      </c>
      <c r="F1903" s="41">
        <f>IF(OR(E1903="",E1903=0),"",IFERROR(AVERAGEIFS($C$6:$C$2005,$B$6:$B$2005,B1903,$A$6:$A$2005,E1903),""))</f>
        <v/>
      </c>
      <c r="G1903" s="34">
        <f>IF(F1903="","",A1903-E1903)</f>
        <v/>
      </c>
      <c r="H1903" s="42">
        <f>IF(OR(F1903="",C1903=""),"",IFERROR((C1903-F1903)/G1903,""))</f>
        <v/>
      </c>
      <c r="I1903" s="39">
        <f>IF(B1903="","",IFERROR(INDEX('Animais'!$M$6:$M$1005,MATCH(B1903,'Animais'!$A$6:$A$1005,0)),"Brinco não cadastrado"))</f>
        <v/>
      </c>
    </row>
    <row r="1904">
      <c r="A1904" s="31" t="n"/>
      <c r="B1904" s="36" t="n"/>
      <c r="C1904" s="38" t="n"/>
      <c r="D1904" s="32" t="n"/>
      <c r="E1904" s="43">
        <f>IF(OR(A1904="",B1904=""),"",SUMPRODUCT(MAX(($B$6:$B$2005=B1904)*($A$6:$A$2005&lt;A1904)*$A$6:$A$2005)))</f>
        <v/>
      </c>
      <c r="F1904" s="41">
        <f>IF(OR(E1904="",E1904=0),"",IFERROR(AVERAGEIFS($C$6:$C$2005,$B$6:$B$2005,B1904,$A$6:$A$2005,E1904),""))</f>
        <v/>
      </c>
      <c r="G1904" s="34">
        <f>IF(F1904="","",A1904-E1904)</f>
        <v/>
      </c>
      <c r="H1904" s="42">
        <f>IF(OR(F1904="",C1904=""),"",IFERROR((C1904-F1904)/G1904,""))</f>
        <v/>
      </c>
      <c r="I1904" s="39">
        <f>IF(B1904="","",IFERROR(INDEX('Animais'!$M$6:$M$1005,MATCH(B1904,'Animais'!$A$6:$A$1005,0)),"Brinco não cadastrado"))</f>
        <v/>
      </c>
    </row>
    <row r="1905">
      <c r="A1905" s="31" t="n"/>
      <c r="B1905" s="36" t="n"/>
      <c r="C1905" s="38" t="n"/>
      <c r="D1905" s="32" t="n"/>
      <c r="E1905" s="43">
        <f>IF(OR(A1905="",B1905=""),"",SUMPRODUCT(MAX(($B$6:$B$2005=B1905)*($A$6:$A$2005&lt;A1905)*$A$6:$A$2005)))</f>
        <v/>
      </c>
      <c r="F1905" s="41">
        <f>IF(OR(E1905="",E1905=0),"",IFERROR(AVERAGEIFS($C$6:$C$2005,$B$6:$B$2005,B1905,$A$6:$A$2005,E1905),""))</f>
        <v/>
      </c>
      <c r="G1905" s="34">
        <f>IF(F1905="","",A1905-E1905)</f>
        <v/>
      </c>
      <c r="H1905" s="42">
        <f>IF(OR(F1905="",C1905=""),"",IFERROR((C1905-F1905)/G1905,""))</f>
        <v/>
      </c>
      <c r="I1905" s="39">
        <f>IF(B1905="","",IFERROR(INDEX('Animais'!$M$6:$M$1005,MATCH(B1905,'Animais'!$A$6:$A$1005,0)),"Brinco não cadastrado"))</f>
        <v/>
      </c>
    </row>
    <row r="1906">
      <c r="A1906" s="31" t="n"/>
      <c r="B1906" s="36" t="n"/>
      <c r="C1906" s="38" t="n"/>
      <c r="D1906" s="32" t="n"/>
      <c r="E1906" s="43">
        <f>IF(OR(A1906="",B1906=""),"",SUMPRODUCT(MAX(($B$6:$B$2005=B1906)*($A$6:$A$2005&lt;A1906)*$A$6:$A$2005)))</f>
        <v/>
      </c>
      <c r="F1906" s="41">
        <f>IF(OR(E1906="",E1906=0),"",IFERROR(AVERAGEIFS($C$6:$C$2005,$B$6:$B$2005,B1906,$A$6:$A$2005,E1906),""))</f>
        <v/>
      </c>
      <c r="G1906" s="34">
        <f>IF(F1906="","",A1906-E1906)</f>
        <v/>
      </c>
      <c r="H1906" s="42">
        <f>IF(OR(F1906="",C1906=""),"",IFERROR((C1906-F1906)/G1906,""))</f>
        <v/>
      </c>
      <c r="I1906" s="39">
        <f>IF(B1906="","",IFERROR(INDEX('Animais'!$M$6:$M$1005,MATCH(B1906,'Animais'!$A$6:$A$1005,0)),"Brinco não cadastrado"))</f>
        <v/>
      </c>
    </row>
    <row r="1907">
      <c r="A1907" s="31" t="n"/>
      <c r="B1907" s="36" t="n"/>
      <c r="C1907" s="38" t="n"/>
      <c r="D1907" s="32" t="n"/>
      <c r="E1907" s="43">
        <f>IF(OR(A1907="",B1907=""),"",SUMPRODUCT(MAX(($B$6:$B$2005=B1907)*($A$6:$A$2005&lt;A1907)*$A$6:$A$2005)))</f>
        <v/>
      </c>
      <c r="F1907" s="41">
        <f>IF(OR(E1907="",E1907=0),"",IFERROR(AVERAGEIFS($C$6:$C$2005,$B$6:$B$2005,B1907,$A$6:$A$2005,E1907),""))</f>
        <v/>
      </c>
      <c r="G1907" s="34">
        <f>IF(F1907="","",A1907-E1907)</f>
        <v/>
      </c>
      <c r="H1907" s="42">
        <f>IF(OR(F1907="",C1907=""),"",IFERROR((C1907-F1907)/G1907,""))</f>
        <v/>
      </c>
      <c r="I1907" s="39">
        <f>IF(B1907="","",IFERROR(INDEX('Animais'!$M$6:$M$1005,MATCH(B1907,'Animais'!$A$6:$A$1005,0)),"Brinco não cadastrado"))</f>
        <v/>
      </c>
    </row>
    <row r="1908">
      <c r="A1908" s="31" t="n"/>
      <c r="B1908" s="36" t="n"/>
      <c r="C1908" s="38" t="n"/>
      <c r="D1908" s="32" t="n"/>
      <c r="E1908" s="43">
        <f>IF(OR(A1908="",B1908=""),"",SUMPRODUCT(MAX(($B$6:$B$2005=B1908)*($A$6:$A$2005&lt;A1908)*$A$6:$A$2005)))</f>
        <v/>
      </c>
      <c r="F1908" s="41">
        <f>IF(OR(E1908="",E1908=0),"",IFERROR(AVERAGEIFS($C$6:$C$2005,$B$6:$B$2005,B1908,$A$6:$A$2005,E1908),""))</f>
        <v/>
      </c>
      <c r="G1908" s="34">
        <f>IF(F1908="","",A1908-E1908)</f>
        <v/>
      </c>
      <c r="H1908" s="42">
        <f>IF(OR(F1908="",C1908=""),"",IFERROR((C1908-F1908)/G1908,""))</f>
        <v/>
      </c>
      <c r="I1908" s="39">
        <f>IF(B1908="","",IFERROR(INDEX('Animais'!$M$6:$M$1005,MATCH(B1908,'Animais'!$A$6:$A$1005,0)),"Brinco não cadastrado"))</f>
        <v/>
      </c>
    </row>
    <row r="1909">
      <c r="A1909" s="31" t="n"/>
      <c r="B1909" s="36" t="n"/>
      <c r="C1909" s="38" t="n"/>
      <c r="D1909" s="32" t="n"/>
      <c r="E1909" s="43">
        <f>IF(OR(A1909="",B1909=""),"",SUMPRODUCT(MAX(($B$6:$B$2005=B1909)*($A$6:$A$2005&lt;A1909)*$A$6:$A$2005)))</f>
        <v/>
      </c>
      <c r="F1909" s="41">
        <f>IF(OR(E1909="",E1909=0),"",IFERROR(AVERAGEIFS($C$6:$C$2005,$B$6:$B$2005,B1909,$A$6:$A$2005,E1909),""))</f>
        <v/>
      </c>
      <c r="G1909" s="34">
        <f>IF(F1909="","",A1909-E1909)</f>
        <v/>
      </c>
      <c r="H1909" s="42">
        <f>IF(OR(F1909="",C1909=""),"",IFERROR((C1909-F1909)/G1909,""))</f>
        <v/>
      </c>
      <c r="I1909" s="39">
        <f>IF(B1909="","",IFERROR(INDEX('Animais'!$M$6:$M$1005,MATCH(B1909,'Animais'!$A$6:$A$1005,0)),"Brinco não cadastrado"))</f>
        <v/>
      </c>
    </row>
    <row r="1910">
      <c r="A1910" s="31" t="n"/>
      <c r="B1910" s="36" t="n"/>
      <c r="C1910" s="38" t="n"/>
      <c r="D1910" s="32" t="n"/>
      <c r="E1910" s="43">
        <f>IF(OR(A1910="",B1910=""),"",SUMPRODUCT(MAX(($B$6:$B$2005=B1910)*($A$6:$A$2005&lt;A1910)*$A$6:$A$2005)))</f>
        <v/>
      </c>
      <c r="F1910" s="41">
        <f>IF(OR(E1910="",E1910=0),"",IFERROR(AVERAGEIFS($C$6:$C$2005,$B$6:$B$2005,B1910,$A$6:$A$2005,E1910),""))</f>
        <v/>
      </c>
      <c r="G1910" s="34">
        <f>IF(F1910="","",A1910-E1910)</f>
        <v/>
      </c>
      <c r="H1910" s="42">
        <f>IF(OR(F1910="",C1910=""),"",IFERROR((C1910-F1910)/G1910,""))</f>
        <v/>
      </c>
      <c r="I1910" s="39">
        <f>IF(B1910="","",IFERROR(INDEX('Animais'!$M$6:$M$1005,MATCH(B1910,'Animais'!$A$6:$A$1005,0)),"Brinco não cadastrado"))</f>
        <v/>
      </c>
    </row>
    <row r="1911">
      <c r="A1911" s="31" t="n"/>
      <c r="B1911" s="36" t="n"/>
      <c r="C1911" s="38" t="n"/>
      <c r="D1911" s="32" t="n"/>
      <c r="E1911" s="43">
        <f>IF(OR(A1911="",B1911=""),"",SUMPRODUCT(MAX(($B$6:$B$2005=B1911)*($A$6:$A$2005&lt;A1911)*$A$6:$A$2005)))</f>
        <v/>
      </c>
      <c r="F1911" s="41">
        <f>IF(OR(E1911="",E1911=0),"",IFERROR(AVERAGEIFS($C$6:$C$2005,$B$6:$B$2005,B1911,$A$6:$A$2005,E1911),""))</f>
        <v/>
      </c>
      <c r="G1911" s="34">
        <f>IF(F1911="","",A1911-E1911)</f>
        <v/>
      </c>
      <c r="H1911" s="42">
        <f>IF(OR(F1911="",C1911=""),"",IFERROR((C1911-F1911)/G1911,""))</f>
        <v/>
      </c>
      <c r="I1911" s="39">
        <f>IF(B1911="","",IFERROR(INDEX('Animais'!$M$6:$M$1005,MATCH(B1911,'Animais'!$A$6:$A$1005,0)),"Brinco não cadastrado"))</f>
        <v/>
      </c>
    </row>
    <row r="1912">
      <c r="A1912" s="31" t="n"/>
      <c r="B1912" s="36" t="n"/>
      <c r="C1912" s="38" t="n"/>
      <c r="D1912" s="32" t="n"/>
      <c r="E1912" s="43">
        <f>IF(OR(A1912="",B1912=""),"",SUMPRODUCT(MAX(($B$6:$B$2005=B1912)*($A$6:$A$2005&lt;A1912)*$A$6:$A$2005)))</f>
        <v/>
      </c>
      <c r="F1912" s="41">
        <f>IF(OR(E1912="",E1912=0),"",IFERROR(AVERAGEIFS($C$6:$C$2005,$B$6:$B$2005,B1912,$A$6:$A$2005,E1912),""))</f>
        <v/>
      </c>
      <c r="G1912" s="34">
        <f>IF(F1912="","",A1912-E1912)</f>
        <v/>
      </c>
      <c r="H1912" s="42">
        <f>IF(OR(F1912="",C1912=""),"",IFERROR((C1912-F1912)/G1912,""))</f>
        <v/>
      </c>
      <c r="I1912" s="39">
        <f>IF(B1912="","",IFERROR(INDEX('Animais'!$M$6:$M$1005,MATCH(B1912,'Animais'!$A$6:$A$1005,0)),"Brinco não cadastrado"))</f>
        <v/>
      </c>
    </row>
    <row r="1913">
      <c r="A1913" s="31" t="n"/>
      <c r="B1913" s="36" t="n"/>
      <c r="C1913" s="38" t="n"/>
      <c r="D1913" s="32" t="n"/>
      <c r="E1913" s="43">
        <f>IF(OR(A1913="",B1913=""),"",SUMPRODUCT(MAX(($B$6:$B$2005=B1913)*($A$6:$A$2005&lt;A1913)*$A$6:$A$2005)))</f>
        <v/>
      </c>
      <c r="F1913" s="41">
        <f>IF(OR(E1913="",E1913=0),"",IFERROR(AVERAGEIFS($C$6:$C$2005,$B$6:$B$2005,B1913,$A$6:$A$2005,E1913),""))</f>
        <v/>
      </c>
      <c r="G1913" s="34">
        <f>IF(F1913="","",A1913-E1913)</f>
        <v/>
      </c>
      <c r="H1913" s="42">
        <f>IF(OR(F1913="",C1913=""),"",IFERROR((C1913-F1913)/G1913,""))</f>
        <v/>
      </c>
      <c r="I1913" s="39">
        <f>IF(B1913="","",IFERROR(INDEX('Animais'!$M$6:$M$1005,MATCH(B1913,'Animais'!$A$6:$A$1005,0)),"Brinco não cadastrado"))</f>
        <v/>
      </c>
    </row>
    <row r="1914">
      <c r="A1914" s="31" t="n"/>
      <c r="B1914" s="36" t="n"/>
      <c r="C1914" s="38" t="n"/>
      <c r="D1914" s="32" t="n"/>
      <c r="E1914" s="43">
        <f>IF(OR(A1914="",B1914=""),"",SUMPRODUCT(MAX(($B$6:$B$2005=B1914)*($A$6:$A$2005&lt;A1914)*$A$6:$A$2005)))</f>
        <v/>
      </c>
      <c r="F1914" s="41">
        <f>IF(OR(E1914="",E1914=0),"",IFERROR(AVERAGEIFS($C$6:$C$2005,$B$6:$B$2005,B1914,$A$6:$A$2005,E1914),""))</f>
        <v/>
      </c>
      <c r="G1914" s="34">
        <f>IF(F1914="","",A1914-E1914)</f>
        <v/>
      </c>
      <c r="H1914" s="42">
        <f>IF(OR(F1914="",C1914=""),"",IFERROR((C1914-F1914)/G1914,""))</f>
        <v/>
      </c>
      <c r="I1914" s="39">
        <f>IF(B1914="","",IFERROR(INDEX('Animais'!$M$6:$M$1005,MATCH(B1914,'Animais'!$A$6:$A$1005,0)),"Brinco não cadastrado"))</f>
        <v/>
      </c>
    </row>
    <row r="1915">
      <c r="A1915" s="31" t="n"/>
      <c r="B1915" s="36" t="n"/>
      <c r="C1915" s="38" t="n"/>
      <c r="D1915" s="32" t="n"/>
      <c r="E1915" s="43">
        <f>IF(OR(A1915="",B1915=""),"",SUMPRODUCT(MAX(($B$6:$B$2005=B1915)*($A$6:$A$2005&lt;A1915)*$A$6:$A$2005)))</f>
        <v/>
      </c>
      <c r="F1915" s="41">
        <f>IF(OR(E1915="",E1915=0),"",IFERROR(AVERAGEIFS($C$6:$C$2005,$B$6:$B$2005,B1915,$A$6:$A$2005,E1915),""))</f>
        <v/>
      </c>
      <c r="G1915" s="34">
        <f>IF(F1915="","",A1915-E1915)</f>
        <v/>
      </c>
      <c r="H1915" s="42">
        <f>IF(OR(F1915="",C1915=""),"",IFERROR((C1915-F1915)/G1915,""))</f>
        <v/>
      </c>
      <c r="I1915" s="39">
        <f>IF(B1915="","",IFERROR(INDEX('Animais'!$M$6:$M$1005,MATCH(B1915,'Animais'!$A$6:$A$1005,0)),"Brinco não cadastrado"))</f>
        <v/>
      </c>
    </row>
    <row r="1916">
      <c r="A1916" s="31" t="n"/>
      <c r="B1916" s="36" t="n"/>
      <c r="C1916" s="38" t="n"/>
      <c r="D1916" s="32" t="n"/>
      <c r="E1916" s="43">
        <f>IF(OR(A1916="",B1916=""),"",SUMPRODUCT(MAX(($B$6:$B$2005=B1916)*($A$6:$A$2005&lt;A1916)*$A$6:$A$2005)))</f>
        <v/>
      </c>
      <c r="F1916" s="41">
        <f>IF(OR(E1916="",E1916=0),"",IFERROR(AVERAGEIFS($C$6:$C$2005,$B$6:$B$2005,B1916,$A$6:$A$2005,E1916),""))</f>
        <v/>
      </c>
      <c r="G1916" s="34">
        <f>IF(F1916="","",A1916-E1916)</f>
        <v/>
      </c>
      <c r="H1916" s="42">
        <f>IF(OR(F1916="",C1916=""),"",IFERROR((C1916-F1916)/G1916,""))</f>
        <v/>
      </c>
      <c r="I1916" s="39">
        <f>IF(B1916="","",IFERROR(INDEX('Animais'!$M$6:$M$1005,MATCH(B1916,'Animais'!$A$6:$A$1005,0)),"Brinco não cadastrado"))</f>
        <v/>
      </c>
    </row>
    <row r="1917">
      <c r="A1917" s="31" t="n"/>
      <c r="B1917" s="36" t="n"/>
      <c r="C1917" s="38" t="n"/>
      <c r="D1917" s="32" t="n"/>
      <c r="E1917" s="43">
        <f>IF(OR(A1917="",B1917=""),"",SUMPRODUCT(MAX(($B$6:$B$2005=B1917)*($A$6:$A$2005&lt;A1917)*$A$6:$A$2005)))</f>
        <v/>
      </c>
      <c r="F1917" s="41">
        <f>IF(OR(E1917="",E1917=0),"",IFERROR(AVERAGEIFS($C$6:$C$2005,$B$6:$B$2005,B1917,$A$6:$A$2005,E1917),""))</f>
        <v/>
      </c>
      <c r="G1917" s="34">
        <f>IF(F1917="","",A1917-E1917)</f>
        <v/>
      </c>
      <c r="H1917" s="42">
        <f>IF(OR(F1917="",C1917=""),"",IFERROR((C1917-F1917)/G1917,""))</f>
        <v/>
      </c>
      <c r="I1917" s="39">
        <f>IF(B1917="","",IFERROR(INDEX('Animais'!$M$6:$M$1005,MATCH(B1917,'Animais'!$A$6:$A$1005,0)),"Brinco não cadastrado"))</f>
        <v/>
      </c>
    </row>
    <row r="1918">
      <c r="A1918" s="31" t="n"/>
      <c r="B1918" s="36" t="n"/>
      <c r="C1918" s="38" t="n"/>
      <c r="D1918" s="32" t="n"/>
      <c r="E1918" s="43">
        <f>IF(OR(A1918="",B1918=""),"",SUMPRODUCT(MAX(($B$6:$B$2005=B1918)*($A$6:$A$2005&lt;A1918)*$A$6:$A$2005)))</f>
        <v/>
      </c>
      <c r="F1918" s="41">
        <f>IF(OR(E1918="",E1918=0),"",IFERROR(AVERAGEIFS($C$6:$C$2005,$B$6:$B$2005,B1918,$A$6:$A$2005,E1918),""))</f>
        <v/>
      </c>
      <c r="G1918" s="34">
        <f>IF(F1918="","",A1918-E1918)</f>
        <v/>
      </c>
      <c r="H1918" s="42">
        <f>IF(OR(F1918="",C1918=""),"",IFERROR((C1918-F1918)/G1918,""))</f>
        <v/>
      </c>
      <c r="I1918" s="39">
        <f>IF(B1918="","",IFERROR(INDEX('Animais'!$M$6:$M$1005,MATCH(B1918,'Animais'!$A$6:$A$1005,0)),"Brinco não cadastrado"))</f>
        <v/>
      </c>
    </row>
    <row r="1919">
      <c r="A1919" s="31" t="n"/>
      <c r="B1919" s="36" t="n"/>
      <c r="C1919" s="38" t="n"/>
      <c r="D1919" s="32" t="n"/>
      <c r="E1919" s="43">
        <f>IF(OR(A1919="",B1919=""),"",SUMPRODUCT(MAX(($B$6:$B$2005=B1919)*($A$6:$A$2005&lt;A1919)*$A$6:$A$2005)))</f>
        <v/>
      </c>
      <c r="F1919" s="41">
        <f>IF(OR(E1919="",E1919=0),"",IFERROR(AVERAGEIFS($C$6:$C$2005,$B$6:$B$2005,B1919,$A$6:$A$2005,E1919),""))</f>
        <v/>
      </c>
      <c r="G1919" s="34">
        <f>IF(F1919="","",A1919-E1919)</f>
        <v/>
      </c>
      <c r="H1919" s="42">
        <f>IF(OR(F1919="",C1919=""),"",IFERROR((C1919-F1919)/G1919,""))</f>
        <v/>
      </c>
      <c r="I1919" s="39">
        <f>IF(B1919="","",IFERROR(INDEX('Animais'!$M$6:$M$1005,MATCH(B1919,'Animais'!$A$6:$A$1005,0)),"Brinco não cadastrado"))</f>
        <v/>
      </c>
    </row>
    <row r="1920">
      <c r="A1920" s="31" t="n"/>
      <c r="B1920" s="36" t="n"/>
      <c r="C1920" s="38" t="n"/>
      <c r="D1920" s="32" t="n"/>
      <c r="E1920" s="43">
        <f>IF(OR(A1920="",B1920=""),"",SUMPRODUCT(MAX(($B$6:$B$2005=B1920)*($A$6:$A$2005&lt;A1920)*$A$6:$A$2005)))</f>
        <v/>
      </c>
      <c r="F1920" s="41">
        <f>IF(OR(E1920="",E1920=0),"",IFERROR(AVERAGEIFS($C$6:$C$2005,$B$6:$B$2005,B1920,$A$6:$A$2005,E1920),""))</f>
        <v/>
      </c>
      <c r="G1920" s="34">
        <f>IF(F1920="","",A1920-E1920)</f>
        <v/>
      </c>
      <c r="H1920" s="42">
        <f>IF(OR(F1920="",C1920=""),"",IFERROR((C1920-F1920)/G1920,""))</f>
        <v/>
      </c>
      <c r="I1920" s="39">
        <f>IF(B1920="","",IFERROR(INDEX('Animais'!$M$6:$M$1005,MATCH(B1920,'Animais'!$A$6:$A$1005,0)),"Brinco não cadastrado"))</f>
        <v/>
      </c>
    </row>
    <row r="1921">
      <c r="A1921" s="31" t="n"/>
      <c r="B1921" s="36" t="n"/>
      <c r="C1921" s="38" t="n"/>
      <c r="D1921" s="32" t="n"/>
      <c r="E1921" s="43">
        <f>IF(OR(A1921="",B1921=""),"",SUMPRODUCT(MAX(($B$6:$B$2005=B1921)*($A$6:$A$2005&lt;A1921)*$A$6:$A$2005)))</f>
        <v/>
      </c>
      <c r="F1921" s="41">
        <f>IF(OR(E1921="",E1921=0),"",IFERROR(AVERAGEIFS($C$6:$C$2005,$B$6:$B$2005,B1921,$A$6:$A$2005,E1921),""))</f>
        <v/>
      </c>
      <c r="G1921" s="34">
        <f>IF(F1921="","",A1921-E1921)</f>
        <v/>
      </c>
      <c r="H1921" s="42">
        <f>IF(OR(F1921="",C1921=""),"",IFERROR((C1921-F1921)/G1921,""))</f>
        <v/>
      </c>
      <c r="I1921" s="39">
        <f>IF(B1921="","",IFERROR(INDEX('Animais'!$M$6:$M$1005,MATCH(B1921,'Animais'!$A$6:$A$1005,0)),"Brinco não cadastrado"))</f>
        <v/>
      </c>
    </row>
    <row r="1922">
      <c r="A1922" s="31" t="n"/>
      <c r="B1922" s="36" t="n"/>
      <c r="C1922" s="38" t="n"/>
      <c r="D1922" s="32" t="n"/>
      <c r="E1922" s="43">
        <f>IF(OR(A1922="",B1922=""),"",SUMPRODUCT(MAX(($B$6:$B$2005=B1922)*($A$6:$A$2005&lt;A1922)*$A$6:$A$2005)))</f>
        <v/>
      </c>
      <c r="F1922" s="41">
        <f>IF(OR(E1922="",E1922=0),"",IFERROR(AVERAGEIFS($C$6:$C$2005,$B$6:$B$2005,B1922,$A$6:$A$2005,E1922),""))</f>
        <v/>
      </c>
      <c r="G1922" s="34">
        <f>IF(F1922="","",A1922-E1922)</f>
        <v/>
      </c>
      <c r="H1922" s="42">
        <f>IF(OR(F1922="",C1922=""),"",IFERROR((C1922-F1922)/G1922,""))</f>
        <v/>
      </c>
      <c r="I1922" s="39">
        <f>IF(B1922="","",IFERROR(INDEX('Animais'!$M$6:$M$1005,MATCH(B1922,'Animais'!$A$6:$A$1005,0)),"Brinco não cadastrado"))</f>
        <v/>
      </c>
    </row>
    <row r="1923">
      <c r="A1923" s="31" t="n"/>
      <c r="B1923" s="36" t="n"/>
      <c r="C1923" s="38" t="n"/>
      <c r="D1923" s="32" t="n"/>
      <c r="E1923" s="43">
        <f>IF(OR(A1923="",B1923=""),"",SUMPRODUCT(MAX(($B$6:$B$2005=B1923)*($A$6:$A$2005&lt;A1923)*$A$6:$A$2005)))</f>
        <v/>
      </c>
      <c r="F1923" s="41">
        <f>IF(OR(E1923="",E1923=0),"",IFERROR(AVERAGEIFS($C$6:$C$2005,$B$6:$B$2005,B1923,$A$6:$A$2005,E1923),""))</f>
        <v/>
      </c>
      <c r="G1923" s="34">
        <f>IF(F1923="","",A1923-E1923)</f>
        <v/>
      </c>
      <c r="H1923" s="42">
        <f>IF(OR(F1923="",C1923=""),"",IFERROR((C1923-F1923)/G1923,""))</f>
        <v/>
      </c>
      <c r="I1923" s="39">
        <f>IF(B1923="","",IFERROR(INDEX('Animais'!$M$6:$M$1005,MATCH(B1923,'Animais'!$A$6:$A$1005,0)),"Brinco não cadastrado"))</f>
        <v/>
      </c>
    </row>
    <row r="1924">
      <c r="A1924" s="31" t="n"/>
      <c r="B1924" s="36" t="n"/>
      <c r="C1924" s="38" t="n"/>
      <c r="D1924" s="32" t="n"/>
      <c r="E1924" s="43">
        <f>IF(OR(A1924="",B1924=""),"",SUMPRODUCT(MAX(($B$6:$B$2005=B1924)*($A$6:$A$2005&lt;A1924)*$A$6:$A$2005)))</f>
        <v/>
      </c>
      <c r="F1924" s="41">
        <f>IF(OR(E1924="",E1924=0),"",IFERROR(AVERAGEIFS($C$6:$C$2005,$B$6:$B$2005,B1924,$A$6:$A$2005,E1924),""))</f>
        <v/>
      </c>
      <c r="G1924" s="34">
        <f>IF(F1924="","",A1924-E1924)</f>
        <v/>
      </c>
      <c r="H1924" s="42">
        <f>IF(OR(F1924="",C1924=""),"",IFERROR((C1924-F1924)/G1924,""))</f>
        <v/>
      </c>
      <c r="I1924" s="39">
        <f>IF(B1924="","",IFERROR(INDEX('Animais'!$M$6:$M$1005,MATCH(B1924,'Animais'!$A$6:$A$1005,0)),"Brinco não cadastrado"))</f>
        <v/>
      </c>
    </row>
    <row r="1925">
      <c r="A1925" s="31" t="n"/>
      <c r="B1925" s="36" t="n"/>
      <c r="C1925" s="38" t="n"/>
      <c r="D1925" s="32" t="n"/>
      <c r="E1925" s="43">
        <f>IF(OR(A1925="",B1925=""),"",SUMPRODUCT(MAX(($B$6:$B$2005=B1925)*($A$6:$A$2005&lt;A1925)*$A$6:$A$2005)))</f>
        <v/>
      </c>
      <c r="F1925" s="41">
        <f>IF(OR(E1925="",E1925=0),"",IFERROR(AVERAGEIFS($C$6:$C$2005,$B$6:$B$2005,B1925,$A$6:$A$2005,E1925),""))</f>
        <v/>
      </c>
      <c r="G1925" s="34">
        <f>IF(F1925="","",A1925-E1925)</f>
        <v/>
      </c>
      <c r="H1925" s="42">
        <f>IF(OR(F1925="",C1925=""),"",IFERROR((C1925-F1925)/G1925,""))</f>
        <v/>
      </c>
      <c r="I1925" s="39">
        <f>IF(B1925="","",IFERROR(INDEX('Animais'!$M$6:$M$1005,MATCH(B1925,'Animais'!$A$6:$A$1005,0)),"Brinco não cadastrado"))</f>
        <v/>
      </c>
    </row>
    <row r="1926">
      <c r="A1926" s="31" t="n"/>
      <c r="B1926" s="36" t="n"/>
      <c r="C1926" s="38" t="n"/>
      <c r="D1926" s="32" t="n"/>
      <c r="E1926" s="43">
        <f>IF(OR(A1926="",B1926=""),"",SUMPRODUCT(MAX(($B$6:$B$2005=B1926)*($A$6:$A$2005&lt;A1926)*$A$6:$A$2005)))</f>
        <v/>
      </c>
      <c r="F1926" s="41">
        <f>IF(OR(E1926="",E1926=0),"",IFERROR(AVERAGEIFS($C$6:$C$2005,$B$6:$B$2005,B1926,$A$6:$A$2005,E1926),""))</f>
        <v/>
      </c>
      <c r="G1926" s="34">
        <f>IF(F1926="","",A1926-E1926)</f>
        <v/>
      </c>
      <c r="H1926" s="42">
        <f>IF(OR(F1926="",C1926=""),"",IFERROR((C1926-F1926)/G1926,""))</f>
        <v/>
      </c>
      <c r="I1926" s="39">
        <f>IF(B1926="","",IFERROR(INDEX('Animais'!$M$6:$M$1005,MATCH(B1926,'Animais'!$A$6:$A$1005,0)),"Brinco não cadastrado"))</f>
        <v/>
      </c>
    </row>
    <row r="1927">
      <c r="A1927" s="31" t="n"/>
      <c r="B1927" s="36" t="n"/>
      <c r="C1927" s="38" t="n"/>
      <c r="D1927" s="32" t="n"/>
      <c r="E1927" s="43">
        <f>IF(OR(A1927="",B1927=""),"",SUMPRODUCT(MAX(($B$6:$B$2005=B1927)*($A$6:$A$2005&lt;A1927)*$A$6:$A$2005)))</f>
        <v/>
      </c>
      <c r="F1927" s="41">
        <f>IF(OR(E1927="",E1927=0),"",IFERROR(AVERAGEIFS($C$6:$C$2005,$B$6:$B$2005,B1927,$A$6:$A$2005,E1927),""))</f>
        <v/>
      </c>
      <c r="G1927" s="34">
        <f>IF(F1927="","",A1927-E1927)</f>
        <v/>
      </c>
      <c r="H1927" s="42">
        <f>IF(OR(F1927="",C1927=""),"",IFERROR((C1927-F1927)/G1927,""))</f>
        <v/>
      </c>
      <c r="I1927" s="39">
        <f>IF(B1927="","",IFERROR(INDEX('Animais'!$M$6:$M$1005,MATCH(B1927,'Animais'!$A$6:$A$1005,0)),"Brinco não cadastrado"))</f>
        <v/>
      </c>
    </row>
    <row r="1928">
      <c r="A1928" s="31" t="n"/>
      <c r="B1928" s="36" t="n"/>
      <c r="C1928" s="38" t="n"/>
      <c r="D1928" s="32" t="n"/>
      <c r="E1928" s="43">
        <f>IF(OR(A1928="",B1928=""),"",SUMPRODUCT(MAX(($B$6:$B$2005=B1928)*($A$6:$A$2005&lt;A1928)*$A$6:$A$2005)))</f>
        <v/>
      </c>
      <c r="F1928" s="41">
        <f>IF(OR(E1928="",E1928=0),"",IFERROR(AVERAGEIFS($C$6:$C$2005,$B$6:$B$2005,B1928,$A$6:$A$2005,E1928),""))</f>
        <v/>
      </c>
      <c r="G1928" s="34">
        <f>IF(F1928="","",A1928-E1928)</f>
        <v/>
      </c>
      <c r="H1928" s="42">
        <f>IF(OR(F1928="",C1928=""),"",IFERROR((C1928-F1928)/G1928,""))</f>
        <v/>
      </c>
      <c r="I1928" s="39">
        <f>IF(B1928="","",IFERROR(INDEX('Animais'!$M$6:$M$1005,MATCH(B1928,'Animais'!$A$6:$A$1005,0)),"Brinco não cadastrado"))</f>
        <v/>
      </c>
    </row>
    <row r="1929">
      <c r="A1929" s="31" t="n"/>
      <c r="B1929" s="36" t="n"/>
      <c r="C1929" s="38" t="n"/>
      <c r="D1929" s="32" t="n"/>
      <c r="E1929" s="43">
        <f>IF(OR(A1929="",B1929=""),"",SUMPRODUCT(MAX(($B$6:$B$2005=B1929)*($A$6:$A$2005&lt;A1929)*$A$6:$A$2005)))</f>
        <v/>
      </c>
      <c r="F1929" s="41">
        <f>IF(OR(E1929="",E1929=0),"",IFERROR(AVERAGEIFS($C$6:$C$2005,$B$6:$B$2005,B1929,$A$6:$A$2005,E1929),""))</f>
        <v/>
      </c>
      <c r="G1929" s="34">
        <f>IF(F1929="","",A1929-E1929)</f>
        <v/>
      </c>
      <c r="H1929" s="42">
        <f>IF(OR(F1929="",C1929=""),"",IFERROR((C1929-F1929)/G1929,""))</f>
        <v/>
      </c>
      <c r="I1929" s="39">
        <f>IF(B1929="","",IFERROR(INDEX('Animais'!$M$6:$M$1005,MATCH(B1929,'Animais'!$A$6:$A$1005,0)),"Brinco não cadastrado"))</f>
        <v/>
      </c>
    </row>
    <row r="1930">
      <c r="A1930" s="31" t="n"/>
      <c r="B1930" s="36" t="n"/>
      <c r="C1930" s="38" t="n"/>
      <c r="D1930" s="32" t="n"/>
      <c r="E1930" s="43">
        <f>IF(OR(A1930="",B1930=""),"",SUMPRODUCT(MAX(($B$6:$B$2005=B1930)*($A$6:$A$2005&lt;A1930)*$A$6:$A$2005)))</f>
        <v/>
      </c>
      <c r="F1930" s="41">
        <f>IF(OR(E1930="",E1930=0),"",IFERROR(AVERAGEIFS($C$6:$C$2005,$B$6:$B$2005,B1930,$A$6:$A$2005,E1930),""))</f>
        <v/>
      </c>
      <c r="G1930" s="34">
        <f>IF(F1930="","",A1930-E1930)</f>
        <v/>
      </c>
      <c r="H1930" s="42">
        <f>IF(OR(F1930="",C1930=""),"",IFERROR((C1930-F1930)/G1930,""))</f>
        <v/>
      </c>
      <c r="I1930" s="39">
        <f>IF(B1930="","",IFERROR(INDEX('Animais'!$M$6:$M$1005,MATCH(B1930,'Animais'!$A$6:$A$1005,0)),"Brinco não cadastrado"))</f>
        <v/>
      </c>
    </row>
    <row r="1931">
      <c r="A1931" s="31" t="n"/>
      <c r="B1931" s="36" t="n"/>
      <c r="C1931" s="38" t="n"/>
      <c r="D1931" s="32" t="n"/>
      <c r="E1931" s="43">
        <f>IF(OR(A1931="",B1931=""),"",SUMPRODUCT(MAX(($B$6:$B$2005=B1931)*($A$6:$A$2005&lt;A1931)*$A$6:$A$2005)))</f>
        <v/>
      </c>
      <c r="F1931" s="41">
        <f>IF(OR(E1931="",E1931=0),"",IFERROR(AVERAGEIFS($C$6:$C$2005,$B$6:$B$2005,B1931,$A$6:$A$2005,E1931),""))</f>
        <v/>
      </c>
      <c r="G1931" s="34">
        <f>IF(F1931="","",A1931-E1931)</f>
        <v/>
      </c>
      <c r="H1931" s="42">
        <f>IF(OR(F1931="",C1931=""),"",IFERROR((C1931-F1931)/G1931,""))</f>
        <v/>
      </c>
      <c r="I1931" s="39">
        <f>IF(B1931="","",IFERROR(INDEX('Animais'!$M$6:$M$1005,MATCH(B1931,'Animais'!$A$6:$A$1005,0)),"Brinco não cadastrado"))</f>
        <v/>
      </c>
    </row>
    <row r="1932">
      <c r="A1932" s="31" t="n"/>
      <c r="B1932" s="36" t="n"/>
      <c r="C1932" s="38" t="n"/>
      <c r="D1932" s="32" t="n"/>
      <c r="E1932" s="43">
        <f>IF(OR(A1932="",B1932=""),"",SUMPRODUCT(MAX(($B$6:$B$2005=B1932)*($A$6:$A$2005&lt;A1932)*$A$6:$A$2005)))</f>
        <v/>
      </c>
      <c r="F1932" s="41">
        <f>IF(OR(E1932="",E1932=0),"",IFERROR(AVERAGEIFS($C$6:$C$2005,$B$6:$B$2005,B1932,$A$6:$A$2005,E1932),""))</f>
        <v/>
      </c>
      <c r="G1932" s="34">
        <f>IF(F1932="","",A1932-E1932)</f>
        <v/>
      </c>
      <c r="H1932" s="42">
        <f>IF(OR(F1932="",C1932=""),"",IFERROR((C1932-F1932)/G1932,""))</f>
        <v/>
      </c>
      <c r="I1932" s="39">
        <f>IF(B1932="","",IFERROR(INDEX('Animais'!$M$6:$M$1005,MATCH(B1932,'Animais'!$A$6:$A$1005,0)),"Brinco não cadastrado"))</f>
        <v/>
      </c>
    </row>
    <row r="1933">
      <c r="A1933" s="31" t="n"/>
      <c r="B1933" s="36" t="n"/>
      <c r="C1933" s="38" t="n"/>
      <c r="D1933" s="32" t="n"/>
      <c r="E1933" s="43">
        <f>IF(OR(A1933="",B1933=""),"",SUMPRODUCT(MAX(($B$6:$B$2005=B1933)*($A$6:$A$2005&lt;A1933)*$A$6:$A$2005)))</f>
        <v/>
      </c>
      <c r="F1933" s="41">
        <f>IF(OR(E1933="",E1933=0),"",IFERROR(AVERAGEIFS($C$6:$C$2005,$B$6:$B$2005,B1933,$A$6:$A$2005,E1933),""))</f>
        <v/>
      </c>
      <c r="G1933" s="34">
        <f>IF(F1933="","",A1933-E1933)</f>
        <v/>
      </c>
      <c r="H1933" s="42">
        <f>IF(OR(F1933="",C1933=""),"",IFERROR((C1933-F1933)/G1933,""))</f>
        <v/>
      </c>
      <c r="I1933" s="39">
        <f>IF(B1933="","",IFERROR(INDEX('Animais'!$M$6:$M$1005,MATCH(B1933,'Animais'!$A$6:$A$1005,0)),"Brinco não cadastrado"))</f>
        <v/>
      </c>
    </row>
    <row r="1934">
      <c r="A1934" s="31" t="n"/>
      <c r="B1934" s="36" t="n"/>
      <c r="C1934" s="38" t="n"/>
      <c r="D1934" s="32" t="n"/>
      <c r="E1934" s="43">
        <f>IF(OR(A1934="",B1934=""),"",SUMPRODUCT(MAX(($B$6:$B$2005=B1934)*($A$6:$A$2005&lt;A1934)*$A$6:$A$2005)))</f>
        <v/>
      </c>
      <c r="F1934" s="41">
        <f>IF(OR(E1934="",E1934=0),"",IFERROR(AVERAGEIFS($C$6:$C$2005,$B$6:$B$2005,B1934,$A$6:$A$2005,E1934),""))</f>
        <v/>
      </c>
      <c r="G1934" s="34">
        <f>IF(F1934="","",A1934-E1934)</f>
        <v/>
      </c>
      <c r="H1934" s="42">
        <f>IF(OR(F1934="",C1934=""),"",IFERROR((C1934-F1934)/G1934,""))</f>
        <v/>
      </c>
      <c r="I1934" s="39">
        <f>IF(B1934="","",IFERROR(INDEX('Animais'!$M$6:$M$1005,MATCH(B1934,'Animais'!$A$6:$A$1005,0)),"Brinco não cadastrado"))</f>
        <v/>
      </c>
    </row>
    <row r="1935">
      <c r="A1935" s="31" t="n"/>
      <c r="B1935" s="36" t="n"/>
      <c r="C1935" s="38" t="n"/>
      <c r="D1935" s="32" t="n"/>
      <c r="E1935" s="43">
        <f>IF(OR(A1935="",B1935=""),"",SUMPRODUCT(MAX(($B$6:$B$2005=B1935)*($A$6:$A$2005&lt;A1935)*$A$6:$A$2005)))</f>
        <v/>
      </c>
      <c r="F1935" s="41">
        <f>IF(OR(E1935="",E1935=0),"",IFERROR(AVERAGEIFS($C$6:$C$2005,$B$6:$B$2005,B1935,$A$6:$A$2005,E1935),""))</f>
        <v/>
      </c>
      <c r="G1935" s="34">
        <f>IF(F1935="","",A1935-E1935)</f>
        <v/>
      </c>
      <c r="H1935" s="42">
        <f>IF(OR(F1935="",C1935=""),"",IFERROR((C1935-F1935)/G1935,""))</f>
        <v/>
      </c>
      <c r="I1935" s="39">
        <f>IF(B1935="","",IFERROR(INDEX('Animais'!$M$6:$M$1005,MATCH(B1935,'Animais'!$A$6:$A$1005,0)),"Brinco não cadastrado"))</f>
        <v/>
      </c>
    </row>
    <row r="1936">
      <c r="A1936" s="31" t="n"/>
      <c r="B1936" s="36" t="n"/>
      <c r="C1936" s="38" t="n"/>
      <c r="D1936" s="32" t="n"/>
      <c r="E1936" s="43">
        <f>IF(OR(A1936="",B1936=""),"",SUMPRODUCT(MAX(($B$6:$B$2005=B1936)*($A$6:$A$2005&lt;A1936)*$A$6:$A$2005)))</f>
        <v/>
      </c>
      <c r="F1936" s="41">
        <f>IF(OR(E1936="",E1936=0),"",IFERROR(AVERAGEIFS($C$6:$C$2005,$B$6:$B$2005,B1936,$A$6:$A$2005,E1936),""))</f>
        <v/>
      </c>
      <c r="G1936" s="34">
        <f>IF(F1936="","",A1936-E1936)</f>
        <v/>
      </c>
      <c r="H1936" s="42">
        <f>IF(OR(F1936="",C1936=""),"",IFERROR((C1936-F1936)/G1936,""))</f>
        <v/>
      </c>
      <c r="I1936" s="39">
        <f>IF(B1936="","",IFERROR(INDEX('Animais'!$M$6:$M$1005,MATCH(B1936,'Animais'!$A$6:$A$1005,0)),"Brinco não cadastrado"))</f>
        <v/>
      </c>
    </row>
    <row r="1937">
      <c r="A1937" s="31" t="n"/>
      <c r="B1937" s="36" t="n"/>
      <c r="C1937" s="38" t="n"/>
      <c r="D1937" s="32" t="n"/>
      <c r="E1937" s="43">
        <f>IF(OR(A1937="",B1937=""),"",SUMPRODUCT(MAX(($B$6:$B$2005=B1937)*($A$6:$A$2005&lt;A1937)*$A$6:$A$2005)))</f>
        <v/>
      </c>
      <c r="F1937" s="41">
        <f>IF(OR(E1937="",E1937=0),"",IFERROR(AVERAGEIFS($C$6:$C$2005,$B$6:$B$2005,B1937,$A$6:$A$2005,E1937),""))</f>
        <v/>
      </c>
      <c r="G1937" s="34">
        <f>IF(F1937="","",A1937-E1937)</f>
        <v/>
      </c>
      <c r="H1937" s="42">
        <f>IF(OR(F1937="",C1937=""),"",IFERROR((C1937-F1937)/G1937,""))</f>
        <v/>
      </c>
      <c r="I1937" s="39">
        <f>IF(B1937="","",IFERROR(INDEX('Animais'!$M$6:$M$1005,MATCH(B1937,'Animais'!$A$6:$A$1005,0)),"Brinco não cadastrado"))</f>
        <v/>
      </c>
    </row>
    <row r="1938">
      <c r="A1938" s="31" t="n"/>
      <c r="B1938" s="36" t="n"/>
      <c r="C1938" s="38" t="n"/>
      <c r="D1938" s="32" t="n"/>
      <c r="E1938" s="43">
        <f>IF(OR(A1938="",B1938=""),"",SUMPRODUCT(MAX(($B$6:$B$2005=B1938)*($A$6:$A$2005&lt;A1938)*$A$6:$A$2005)))</f>
        <v/>
      </c>
      <c r="F1938" s="41">
        <f>IF(OR(E1938="",E1938=0),"",IFERROR(AVERAGEIFS($C$6:$C$2005,$B$6:$B$2005,B1938,$A$6:$A$2005,E1938),""))</f>
        <v/>
      </c>
      <c r="G1938" s="34">
        <f>IF(F1938="","",A1938-E1938)</f>
        <v/>
      </c>
      <c r="H1938" s="42">
        <f>IF(OR(F1938="",C1938=""),"",IFERROR((C1938-F1938)/G1938,""))</f>
        <v/>
      </c>
      <c r="I1938" s="39">
        <f>IF(B1938="","",IFERROR(INDEX('Animais'!$M$6:$M$1005,MATCH(B1938,'Animais'!$A$6:$A$1005,0)),"Brinco não cadastrado"))</f>
        <v/>
      </c>
    </row>
    <row r="1939">
      <c r="A1939" s="31" t="n"/>
      <c r="B1939" s="36" t="n"/>
      <c r="C1939" s="38" t="n"/>
      <c r="D1939" s="32" t="n"/>
      <c r="E1939" s="43">
        <f>IF(OR(A1939="",B1939=""),"",SUMPRODUCT(MAX(($B$6:$B$2005=B1939)*($A$6:$A$2005&lt;A1939)*$A$6:$A$2005)))</f>
        <v/>
      </c>
      <c r="F1939" s="41">
        <f>IF(OR(E1939="",E1939=0),"",IFERROR(AVERAGEIFS($C$6:$C$2005,$B$6:$B$2005,B1939,$A$6:$A$2005,E1939),""))</f>
        <v/>
      </c>
      <c r="G1939" s="34">
        <f>IF(F1939="","",A1939-E1939)</f>
        <v/>
      </c>
      <c r="H1939" s="42">
        <f>IF(OR(F1939="",C1939=""),"",IFERROR((C1939-F1939)/G1939,""))</f>
        <v/>
      </c>
      <c r="I1939" s="39">
        <f>IF(B1939="","",IFERROR(INDEX('Animais'!$M$6:$M$1005,MATCH(B1939,'Animais'!$A$6:$A$1005,0)),"Brinco não cadastrado"))</f>
        <v/>
      </c>
    </row>
    <row r="1940">
      <c r="A1940" s="31" t="n"/>
      <c r="B1940" s="36" t="n"/>
      <c r="C1940" s="38" t="n"/>
      <c r="D1940" s="32" t="n"/>
      <c r="E1940" s="43">
        <f>IF(OR(A1940="",B1940=""),"",SUMPRODUCT(MAX(($B$6:$B$2005=B1940)*($A$6:$A$2005&lt;A1940)*$A$6:$A$2005)))</f>
        <v/>
      </c>
      <c r="F1940" s="41">
        <f>IF(OR(E1940="",E1940=0),"",IFERROR(AVERAGEIFS($C$6:$C$2005,$B$6:$B$2005,B1940,$A$6:$A$2005,E1940),""))</f>
        <v/>
      </c>
      <c r="G1940" s="34">
        <f>IF(F1940="","",A1940-E1940)</f>
        <v/>
      </c>
      <c r="H1940" s="42">
        <f>IF(OR(F1940="",C1940=""),"",IFERROR((C1940-F1940)/G1940,""))</f>
        <v/>
      </c>
      <c r="I1940" s="39">
        <f>IF(B1940="","",IFERROR(INDEX('Animais'!$M$6:$M$1005,MATCH(B1940,'Animais'!$A$6:$A$1005,0)),"Brinco não cadastrado"))</f>
        <v/>
      </c>
    </row>
    <row r="1941">
      <c r="A1941" s="31" t="n"/>
      <c r="B1941" s="36" t="n"/>
      <c r="C1941" s="38" t="n"/>
      <c r="D1941" s="32" t="n"/>
      <c r="E1941" s="43">
        <f>IF(OR(A1941="",B1941=""),"",SUMPRODUCT(MAX(($B$6:$B$2005=B1941)*($A$6:$A$2005&lt;A1941)*$A$6:$A$2005)))</f>
        <v/>
      </c>
      <c r="F1941" s="41">
        <f>IF(OR(E1941="",E1941=0),"",IFERROR(AVERAGEIFS($C$6:$C$2005,$B$6:$B$2005,B1941,$A$6:$A$2005,E1941),""))</f>
        <v/>
      </c>
      <c r="G1941" s="34">
        <f>IF(F1941="","",A1941-E1941)</f>
        <v/>
      </c>
      <c r="H1941" s="42">
        <f>IF(OR(F1941="",C1941=""),"",IFERROR((C1941-F1941)/G1941,""))</f>
        <v/>
      </c>
      <c r="I1941" s="39">
        <f>IF(B1941="","",IFERROR(INDEX('Animais'!$M$6:$M$1005,MATCH(B1941,'Animais'!$A$6:$A$1005,0)),"Brinco não cadastrado"))</f>
        <v/>
      </c>
    </row>
    <row r="1942">
      <c r="A1942" s="31" t="n"/>
      <c r="B1942" s="36" t="n"/>
      <c r="C1942" s="38" t="n"/>
      <c r="D1942" s="32" t="n"/>
      <c r="E1942" s="43">
        <f>IF(OR(A1942="",B1942=""),"",SUMPRODUCT(MAX(($B$6:$B$2005=B1942)*($A$6:$A$2005&lt;A1942)*$A$6:$A$2005)))</f>
        <v/>
      </c>
      <c r="F1942" s="41">
        <f>IF(OR(E1942="",E1942=0),"",IFERROR(AVERAGEIFS($C$6:$C$2005,$B$6:$B$2005,B1942,$A$6:$A$2005,E1942),""))</f>
        <v/>
      </c>
      <c r="G1942" s="34">
        <f>IF(F1942="","",A1942-E1942)</f>
        <v/>
      </c>
      <c r="H1942" s="42">
        <f>IF(OR(F1942="",C1942=""),"",IFERROR((C1942-F1942)/G1942,""))</f>
        <v/>
      </c>
      <c r="I1942" s="39">
        <f>IF(B1942="","",IFERROR(INDEX('Animais'!$M$6:$M$1005,MATCH(B1942,'Animais'!$A$6:$A$1005,0)),"Brinco não cadastrado"))</f>
        <v/>
      </c>
    </row>
    <row r="1943">
      <c r="A1943" s="31" t="n"/>
      <c r="B1943" s="36" t="n"/>
      <c r="C1943" s="38" t="n"/>
      <c r="D1943" s="32" t="n"/>
      <c r="E1943" s="43">
        <f>IF(OR(A1943="",B1943=""),"",SUMPRODUCT(MAX(($B$6:$B$2005=B1943)*($A$6:$A$2005&lt;A1943)*$A$6:$A$2005)))</f>
        <v/>
      </c>
      <c r="F1943" s="41">
        <f>IF(OR(E1943="",E1943=0),"",IFERROR(AVERAGEIFS($C$6:$C$2005,$B$6:$B$2005,B1943,$A$6:$A$2005,E1943),""))</f>
        <v/>
      </c>
      <c r="G1943" s="34">
        <f>IF(F1943="","",A1943-E1943)</f>
        <v/>
      </c>
      <c r="H1943" s="42">
        <f>IF(OR(F1943="",C1943=""),"",IFERROR((C1943-F1943)/G1943,""))</f>
        <v/>
      </c>
      <c r="I1943" s="39">
        <f>IF(B1943="","",IFERROR(INDEX('Animais'!$M$6:$M$1005,MATCH(B1943,'Animais'!$A$6:$A$1005,0)),"Brinco não cadastrado"))</f>
        <v/>
      </c>
    </row>
    <row r="1944">
      <c r="A1944" s="31" t="n"/>
      <c r="B1944" s="36" t="n"/>
      <c r="C1944" s="38" t="n"/>
      <c r="D1944" s="32" t="n"/>
      <c r="E1944" s="43">
        <f>IF(OR(A1944="",B1944=""),"",SUMPRODUCT(MAX(($B$6:$B$2005=B1944)*($A$6:$A$2005&lt;A1944)*$A$6:$A$2005)))</f>
        <v/>
      </c>
      <c r="F1944" s="41">
        <f>IF(OR(E1944="",E1944=0),"",IFERROR(AVERAGEIFS($C$6:$C$2005,$B$6:$B$2005,B1944,$A$6:$A$2005,E1944),""))</f>
        <v/>
      </c>
      <c r="G1944" s="34">
        <f>IF(F1944="","",A1944-E1944)</f>
        <v/>
      </c>
      <c r="H1944" s="42">
        <f>IF(OR(F1944="",C1944=""),"",IFERROR((C1944-F1944)/G1944,""))</f>
        <v/>
      </c>
      <c r="I1944" s="39">
        <f>IF(B1944="","",IFERROR(INDEX('Animais'!$M$6:$M$1005,MATCH(B1944,'Animais'!$A$6:$A$1005,0)),"Brinco não cadastrado"))</f>
        <v/>
      </c>
    </row>
    <row r="1945">
      <c r="A1945" s="31" t="n"/>
      <c r="B1945" s="36" t="n"/>
      <c r="C1945" s="38" t="n"/>
      <c r="D1945" s="32" t="n"/>
      <c r="E1945" s="43">
        <f>IF(OR(A1945="",B1945=""),"",SUMPRODUCT(MAX(($B$6:$B$2005=B1945)*($A$6:$A$2005&lt;A1945)*$A$6:$A$2005)))</f>
        <v/>
      </c>
      <c r="F1945" s="41">
        <f>IF(OR(E1945="",E1945=0),"",IFERROR(AVERAGEIFS($C$6:$C$2005,$B$6:$B$2005,B1945,$A$6:$A$2005,E1945),""))</f>
        <v/>
      </c>
      <c r="G1945" s="34">
        <f>IF(F1945="","",A1945-E1945)</f>
        <v/>
      </c>
      <c r="H1945" s="42">
        <f>IF(OR(F1945="",C1945=""),"",IFERROR((C1945-F1945)/G1945,""))</f>
        <v/>
      </c>
      <c r="I1945" s="39">
        <f>IF(B1945="","",IFERROR(INDEX('Animais'!$M$6:$M$1005,MATCH(B1945,'Animais'!$A$6:$A$1005,0)),"Brinco não cadastrado"))</f>
        <v/>
      </c>
    </row>
    <row r="1946">
      <c r="A1946" s="31" t="n"/>
      <c r="B1946" s="36" t="n"/>
      <c r="C1946" s="38" t="n"/>
      <c r="D1946" s="32" t="n"/>
      <c r="E1946" s="43">
        <f>IF(OR(A1946="",B1946=""),"",SUMPRODUCT(MAX(($B$6:$B$2005=B1946)*($A$6:$A$2005&lt;A1946)*$A$6:$A$2005)))</f>
        <v/>
      </c>
      <c r="F1946" s="41">
        <f>IF(OR(E1946="",E1946=0),"",IFERROR(AVERAGEIFS($C$6:$C$2005,$B$6:$B$2005,B1946,$A$6:$A$2005,E1946),""))</f>
        <v/>
      </c>
      <c r="G1946" s="34">
        <f>IF(F1946="","",A1946-E1946)</f>
        <v/>
      </c>
      <c r="H1946" s="42">
        <f>IF(OR(F1946="",C1946=""),"",IFERROR((C1946-F1946)/G1946,""))</f>
        <v/>
      </c>
      <c r="I1946" s="39">
        <f>IF(B1946="","",IFERROR(INDEX('Animais'!$M$6:$M$1005,MATCH(B1946,'Animais'!$A$6:$A$1005,0)),"Brinco não cadastrado"))</f>
        <v/>
      </c>
    </row>
    <row r="1947">
      <c r="A1947" s="31" t="n"/>
      <c r="B1947" s="36" t="n"/>
      <c r="C1947" s="38" t="n"/>
      <c r="D1947" s="32" t="n"/>
      <c r="E1947" s="43">
        <f>IF(OR(A1947="",B1947=""),"",SUMPRODUCT(MAX(($B$6:$B$2005=B1947)*($A$6:$A$2005&lt;A1947)*$A$6:$A$2005)))</f>
        <v/>
      </c>
      <c r="F1947" s="41">
        <f>IF(OR(E1947="",E1947=0),"",IFERROR(AVERAGEIFS($C$6:$C$2005,$B$6:$B$2005,B1947,$A$6:$A$2005,E1947),""))</f>
        <v/>
      </c>
      <c r="G1947" s="34">
        <f>IF(F1947="","",A1947-E1947)</f>
        <v/>
      </c>
      <c r="H1947" s="42">
        <f>IF(OR(F1947="",C1947=""),"",IFERROR((C1947-F1947)/G1947,""))</f>
        <v/>
      </c>
      <c r="I1947" s="39">
        <f>IF(B1947="","",IFERROR(INDEX('Animais'!$M$6:$M$1005,MATCH(B1947,'Animais'!$A$6:$A$1005,0)),"Brinco não cadastrado"))</f>
        <v/>
      </c>
    </row>
    <row r="1948">
      <c r="A1948" s="31" t="n"/>
      <c r="B1948" s="36" t="n"/>
      <c r="C1948" s="38" t="n"/>
      <c r="D1948" s="32" t="n"/>
      <c r="E1948" s="43">
        <f>IF(OR(A1948="",B1948=""),"",SUMPRODUCT(MAX(($B$6:$B$2005=B1948)*($A$6:$A$2005&lt;A1948)*$A$6:$A$2005)))</f>
        <v/>
      </c>
      <c r="F1948" s="41">
        <f>IF(OR(E1948="",E1948=0),"",IFERROR(AVERAGEIFS($C$6:$C$2005,$B$6:$B$2005,B1948,$A$6:$A$2005,E1948),""))</f>
        <v/>
      </c>
      <c r="G1948" s="34">
        <f>IF(F1948="","",A1948-E1948)</f>
        <v/>
      </c>
      <c r="H1948" s="42">
        <f>IF(OR(F1948="",C1948=""),"",IFERROR((C1948-F1948)/G1948,""))</f>
        <v/>
      </c>
      <c r="I1948" s="39">
        <f>IF(B1948="","",IFERROR(INDEX('Animais'!$M$6:$M$1005,MATCH(B1948,'Animais'!$A$6:$A$1005,0)),"Brinco não cadastrado"))</f>
        <v/>
      </c>
    </row>
    <row r="1949">
      <c r="A1949" s="31" t="n"/>
      <c r="B1949" s="36" t="n"/>
      <c r="C1949" s="38" t="n"/>
      <c r="D1949" s="32" t="n"/>
      <c r="E1949" s="43">
        <f>IF(OR(A1949="",B1949=""),"",SUMPRODUCT(MAX(($B$6:$B$2005=B1949)*($A$6:$A$2005&lt;A1949)*$A$6:$A$2005)))</f>
        <v/>
      </c>
      <c r="F1949" s="41">
        <f>IF(OR(E1949="",E1949=0),"",IFERROR(AVERAGEIFS($C$6:$C$2005,$B$6:$B$2005,B1949,$A$6:$A$2005,E1949),""))</f>
        <v/>
      </c>
      <c r="G1949" s="34">
        <f>IF(F1949="","",A1949-E1949)</f>
        <v/>
      </c>
      <c r="H1949" s="42">
        <f>IF(OR(F1949="",C1949=""),"",IFERROR((C1949-F1949)/G1949,""))</f>
        <v/>
      </c>
      <c r="I1949" s="39">
        <f>IF(B1949="","",IFERROR(INDEX('Animais'!$M$6:$M$1005,MATCH(B1949,'Animais'!$A$6:$A$1005,0)),"Brinco não cadastrado"))</f>
        <v/>
      </c>
    </row>
    <row r="1950">
      <c r="A1950" s="31" t="n"/>
      <c r="B1950" s="36" t="n"/>
      <c r="C1950" s="38" t="n"/>
      <c r="D1950" s="32" t="n"/>
      <c r="E1950" s="43">
        <f>IF(OR(A1950="",B1950=""),"",SUMPRODUCT(MAX(($B$6:$B$2005=B1950)*($A$6:$A$2005&lt;A1950)*$A$6:$A$2005)))</f>
        <v/>
      </c>
      <c r="F1950" s="41">
        <f>IF(OR(E1950="",E1950=0),"",IFERROR(AVERAGEIFS($C$6:$C$2005,$B$6:$B$2005,B1950,$A$6:$A$2005,E1950),""))</f>
        <v/>
      </c>
      <c r="G1950" s="34">
        <f>IF(F1950="","",A1950-E1950)</f>
        <v/>
      </c>
      <c r="H1950" s="42">
        <f>IF(OR(F1950="",C1950=""),"",IFERROR((C1950-F1950)/G1950,""))</f>
        <v/>
      </c>
      <c r="I1950" s="39">
        <f>IF(B1950="","",IFERROR(INDEX('Animais'!$M$6:$M$1005,MATCH(B1950,'Animais'!$A$6:$A$1005,0)),"Brinco não cadastrado"))</f>
        <v/>
      </c>
    </row>
    <row r="1951">
      <c r="A1951" s="31" t="n"/>
      <c r="B1951" s="36" t="n"/>
      <c r="C1951" s="38" t="n"/>
      <c r="D1951" s="32" t="n"/>
      <c r="E1951" s="43">
        <f>IF(OR(A1951="",B1951=""),"",SUMPRODUCT(MAX(($B$6:$B$2005=B1951)*($A$6:$A$2005&lt;A1951)*$A$6:$A$2005)))</f>
        <v/>
      </c>
      <c r="F1951" s="41">
        <f>IF(OR(E1951="",E1951=0),"",IFERROR(AVERAGEIFS($C$6:$C$2005,$B$6:$B$2005,B1951,$A$6:$A$2005,E1951),""))</f>
        <v/>
      </c>
      <c r="G1951" s="34">
        <f>IF(F1951="","",A1951-E1951)</f>
        <v/>
      </c>
      <c r="H1951" s="42">
        <f>IF(OR(F1951="",C1951=""),"",IFERROR((C1951-F1951)/G1951,""))</f>
        <v/>
      </c>
      <c r="I1951" s="39">
        <f>IF(B1951="","",IFERROR(INDEX('Animais'!$M$6:$M$1005,MATCH(B1951,'Animais'!$A$6:$A$1005,0)),"Brinco não cadastrado"))</f>
        <v/>
      </c>
    </row>
    <row r="1952">
      <c r="A1952" s="31" t="n"/>
      <c r="B1952" s="36" t="n"/>
      <c r="C1952" s="38" t="n"/>
      <c r="D1952" s="32" t="n"/>
      <c r="E1952" s="43">
        <f>IF(OR(A1952="",B1952=""),"",SUMPRODUCT(MAX(($B$6:$B$2005=B1952)*($A$6:$A$2005&lt;A1952)*$A$6:$A$2005)))</f>
        <v/>
      </c>
      <c r="F1952" s="41">
        <f>IF(OR(E1952="",E1952=0),"",IFERROR(AVERAGEIFS($C$6:$C$2005,$B$6:$B$2005,B1952,$A$6:$A$2005,E1952),""))</f>
        <v/>
      </c>
      <c r="G1952" s="34">
        <f>IF(F1952="","",A1952-E1952)</f>
        <v/>
      </c>
      <c r="H1952" s="42">
        <f>IF(OR(F1952="",C1952=""),"",IFERROR((C1952-F1952)/G1952,""))</f>
        <v/>
      </c>
      <c r="I1952" s="39">
        <f>IF(B1952="","",IFERROR(INDEX('Animais'!$M$6:$M$1005,MATCH(B1952,'Animais'!$A$6:$A$1005,0)),"Brinco não cadastrado"))</f>
        <v/>
      </c>
    </row>
    <row r="1953">
      <c r="A1953" s="31" t="n"/>
      <c r="B1953" s="36" t="n"/>
      <c r="C1953" s="38" t="n"/>
      <c r="D1953" s="32" t="n"/>
      <c r="E1953" s="43">
        <f>IF(OR(A1953="",B1953=""),"",SUMPRODUCT(MAX(($B$6:$B$2005=B1953)*($A$6:$A$2005&lt;A1953)*$A$6:$A$2005)))</f>
        <v/>
      </c>
      <c r="F1953" s="41">
        <f>IF(OR(E1953="",E1953=0),"",IFERROR(AVERAGEIFS($C$6:$C$2005,$B$6:$B$2005,B1953,$A$6:$A$2005,E1953),""))</f>
        <v/>
      </c>
      <c r="G1953" s="34">
        <f>IF(F1953="","",A1953-E1953)</f>
        <v/>
      </c>
      <c r="H1953" s="42">
        <f>IF(OR(F1953="",C1953=""),"",IFERROR((C1953-F1953)/G1953,""))</f>
        <v/>
      </c>
      <c r="I1953" s="39">
        <f>IF(B1953="","",IFERROR(INDEX('Animais'!$M$6:$M$1005,MATCH(B1953,'Animais'!$A$6:$A$1005,0)),"Brinco não cadastrado"))</f>
        <v/>
      </c>
    </row>
    <row r="1954">
      <c r="A1954" s="31" t="n"/>
      <c r="B1954" s="36" t="n"/>
      <c r="C1954" s="38" t="n"/>
      <c r="D1954" s="32" t="n"/>
      <c r="E1954" s="43">
        <f>IF(OR(A1954="",B1954=""),"",SUMPRODUCT(MAX(($B$6:$B$2005=B1954)*($A$6:$A$2005&lt;A1954)*$A$6:$A$2005)))</f>
        <v/>
      </c>
      <c r="F1954" s="41">
        <f>IF(OR(E1954="",E1954=0),"",IFERROR(AVERAGEIFS($C$6:$C$2005,$B$6:$B$2005,B1954,$A$6:$A$2005,E1954),""))</f>
        <v/>
      </c>
      <c r="G1954" s="34">
        <f>IF(F1954="","",A1954-E1954)</f>
        <v/>
      </c>
      <c r="H1954" s="42">
        <f>IF(OR(F1954="",C1954=""),"",IFERROR((C1954-F1954)/G1954,""))</f>
        <v/>
      </c>
      <c r="I1954" s="39">
        <f>IF(B1954="","",IFERROR(INDEX('Animais'!$M$6:$M$1005,MATCH(B1954,'Animais'!$A$6:$A$1005,0)),"Brinco não cadastrado"))</f>
        <v/>
      </c>
    </row>
    <row r="1955">
      <c r="A1955" s="31" t="n"/>
      <c r="B1955" s="36" t="n"/>
      <c r="C1955" s="38" t="n"/>
      <c r="D1955" s="32" t="n"/>
      <c r="E1955" s="43">
        <f>IF(OR(A1955="",B1955=""),"",SUMPRODUCT(MAX(($B$6:$B$2005=B1955)*($A$6:$A$2005&lt;A1955)*$A$6:$A$2005)))</f>
        <v/>
      </c>
      <c r="F1955" s="41">
        <f>IF(OR(E1955="",E1955=0),"",IFERROR(AVERAGEIFS($C$6:$C$2005,$B$6:$B$2005,B1955,$A$6:$A$2005,E1955),""))</f>
        <v/>
      </c>
      <c r="G1955" s="34">
        <f>IF(F1955="","",A1955-E1955)</f>
        <v/>
      </c>
      <c r="H1955" s="42">
        <f>IF(OR(F1955="",C1955=""),"",IFERROR((C1955-F1955)/G1955,""))</f>
        <v/>
      </c>
      <c r="I1955" s="39">
        <f>IF(B1955="","",IFERROR(INDEX('Animais'!$M$6:$M$1005,MATCH(B1955,'Animais'!$A$6:$A$1005,0)),"Brinco não cadastrado"))</f>
        <v/>
      </c>
    </row>
    <row r="1956">
      <c r="A1956" s="31" t="n"/>
      <c r="B1956" s="36" t="n"/>
      <c r="C1956" s="38" t="n"/>
      <c r="D1956" s="32" t="n"/>
      <c r="E1956" s="43">
        <f>IF(OR(A1956="",B1956=""),"",SUMPRODUCT(MAX(($B$6:$B$2005=B1956)*($A$6:$A$2005&lt;A1956)*$A$6:$A$2005)))</f>
        <v/>
      </c>
      <c r="F1956" s="41">
        <f>IF(OR(E1956="",E1956=0),"",IFERROR(AVERAGEIFS($C$6:$C$2005,$B$6:$B$2005,B1956,$A$6:$A$2005,E1956),""))</f>
        <v/>
      </c>
      <c r="G1956" s="34">
        <f>IF(F1956="","",A1956-E1956)</f>
        <v/>
      </c>
      <c r="H1956" s="42">
        <f>IF(OR(F1956="",C1956=""),"",IFERROR((C1956-F1956)/G1956,""))</f>
        <v/>
      </c>
      <c r="I1956" s="39">
        <f>IF(B1956="","",IFERROR(INDEX('Animais'!$M$6:$M$1005,MATCH(B1956,'Animais'!$A$6:$A$1005,0)),"Brinco não cadastrado"))</f>
        <v/>
      </c>
    </row>
    <row r="1957">
      <c r="A1957" s="31" t="n"/>
      <c r="B1957" s="36" t="n"/>
      <c r="C1957" s="38" t="n"/>
      <c r="D1957" s="32" t="n"/>
      <c r="E1957" s="43">
        <f>IF(OR(A1957="",B1957=""),"",SUMPRODUCT(MAX(($B$6:$B$2005=B1957)*($A$6:$A$2005&lt;A1957)*$A$6:$A$2005)))</f>
        <v/>
      </c>
      <c r="F1957" s="41">
        <f>IF(OR(E1957="",E1957=0),"",IFERROR(AVERAGEIFS($C$6:$C$2005,$B$6:$B$2005,B1957,$A$6:$A$2005,E1957),""))</f>
        <v/>
      </c>
      <c r="G1957" s="34">
        <f>IF(F1957="","",A1957-E1957)</f>
        <v/>
      </c>
      <c r="H1957" s="42">
        <f>IF(OR(F1957="",C1957=""),"",IFERROR((C1957-F1957)/G1957,""))</f>
        <v/>
      </c>
      <c r="I1957" s="39">
        <f>IF(B1957="","",IFERROR(INDEX('Animais'!$M$6:$M$1005,MATCH(B1957,'Animais'!$A$6:$A$1005,0)),"Brinco não cadastrado"))</f>
        <v/>
      </c>
    </row>
    <row r="1958">
      <c r="A1958" s="31" t="n"/>
      <c r="B1958" s="36" t="n"/>
      <c r="C1958" s="38" t="n"/>
      <c r="D1958" s="32" t="n"/>
      <c r="E1958" s="43">
        <f>IF(OR(A1958="",B1958=""),"",SUMPRODUCT(MAX(($B$6:$B$2005=B1958)*($A$6:$A$2005&lt;A1958)*$A$6:$A$2005)))</f>
        <v/>
      </c>
      <c r="F1958" s="41">
        <f>IF(OR(E1958="",E1958=0),"",IFERROR(AVERAGEIFS($C$6:$C$2005,$B$6:$B$2005,B1958,$A$6:$A$2005,E1958),""))</f>
        <v/>
      </c>
      <c r="G1958" s="34">
        <f>IF(F1958="","",A1958-E1958)</f>
        <v/>
      </c>
      <c r="H1958" s="42">
        <f>IF(OR(F1958="",C1958=""),"",IFERROR((C1958-F1958)/G1958,""))</f>
        <v/>
      </c>
      <c r="I1958" s="39">
        <f>IF(B1958="","",IFERROR(INDEX('Animais'!$M$6:$M$1005,MATCH(B1958,'Animais'!$A$6:$A$1005,0)),"Brinco não cadastrado"))</f>
        <v/>
      </c>
    </row>
    <row r="1959">
      <c r="A1959" s="31" t="n"/>
      <c r="B1959" s="36" t="n"/>
      <c r="C1959" s="38" t="n"/>
      <c r="D1959" s="32" t="n"/>
      <c r="E1959" s="43">
        <f>IF(OR(A1959="",B1959=""),"",SUMPRODUCT(MAX(($B$6:$B$2005=B1959)*($A$6:$A$2005&lt;A1959)*$A$6:$A$2005)))</f>
        <v/>
      </c>
      <c r="F1959" s="41">
        <f>IF(OR(E1959="",E1959=0),"",IFERROR(AVERAGEIFS($C$6:$C$2005,$B$6:$B$2005,B1959,$A$6:$A$2005,E1959),""))</f>
        <v/>
      </c>
      <c r="G1959" s="34">
        <f>IF(F1959="","",A1959-E1959)</f>
        <v/>
      </c>
      <c r="H1959" s="42">
        <f>IF(OR(F1959="",C1959=""),"",IFERROR((C1959-F1959)/G1959,""))</f>
        <v/>
      </c>
      <c r="I1959" s="39">
        <f>IF(B1959="","",IFERROR(INDEX('Animais'!$M$6:$M$1005,MATCH(B1959,'Animais'!$A$6:$A$1005,0)),"Brinco não cadastrado"))</f>
        <v/>
      </c>
    </row>
    <row r="1960">
      <c r="A1960" s="31" t="n"/>
      <c r="B1960" s="36" t="n"/>
      <c r="C1960" s="38" t="n"/>
      <c r="D1960" s="32" t="n"/>
      <c r="E1960" s="43">
        <f>IF(OR(A1960="",B1960=""),"",SUMPRODUCT(MAX(($B$6:$B$2005=B1960)*($A$6:$A$2005&lt;A1960)*$A$6:$A$2005)))</f>
        <v/>
      </c>
      <c r="F1960" s="41">
        <f>IF(OR(E1960="",E1960=0),"",IFERROR(AVERAGEIFS($C$6:$C$2005,$B$6:$B$2005,B1960,$A$6:$A$2005,E1960),""))</f>
        <v/>
      </c>
      <c r="G1960" s="34">
        <f>IF(F1960="","",A1960-E1960)</f>
        <v/>
      </c>
      <c r="H1960" s="42">
        <f>IF(OR(F1960="",C1960=""),"",IFERROR((C1960-F1960)/G1960,""))</f>
        <v/>
      </c>
      <c r="I1960" s="39">
        <f>IF(B1960="","",IFERROR(INDEX('Animais'!$M$6:$M$1005,MATCH(B1960,'Animais'!$A$6:$A$1005,0)),"Brinco não cadastrado"))</f>
        <v/>
      </c>
    </row>
    <row r="1961">
      <c r="A1961" s="31" t="n"/>
      <c r="B1961" s="36" t="n"/>
      <c r="C1961" s="38" t="n"/>
      <c r="D1961" s="32" t="n"/>
      <c r="E1961" s="43">
        <f>IF(OR(A1961="",B1961=""),"",SUMPRODUCT(MAX(($B$6:$B$2005=B1961)*($A$6:$A$2005&lt;A1961)*$A$6:$A$2005)))</f>
        <v/>
      </c>
      <c r="F1961" s="41">
        <f>IF(OR(E1961="",E1961=0),"",IFERROR(AVERAGEIFS($C$6:$C$2005,$B$6:$B$2005,B1961,$A$6:$A$2005,E1961),""))</f>
        <v/>
      </c>
      <c r="G1961" s="34">
        <f>IF(F1961="","",A1961-E1961)</f>
        <v/>
      </c>
      <c r="H1961" s="42">
        <f>IF(OR(F1961="",C1961=""),"",IFERROR((C1961-F1961)/G1961,""))</f>
        <v/>
      </c>
      <c r="I1961" s="39">
        <f>IF(B1961="","",IFERROR(INDEX('Animais'!$M$6:$M$1005,MATCH(B1961,'Animais'!$A$6:$A$1005,0)),"Brinco não cadastrado"))</f>
        <v/>
      </c>
    </row>
    <row r="1962">
      <c r="A1962" s="31" t="n"/>
      <c r="B1962" s="36" t="n"/>
      <c r="C1962" s="38" t="n"/>
      <c r="D1962" s="32" t="n"/>
      <c r="E1962" s="43">
        <f>IF(OR(A1962="",B1962=""),"",SUMPRODUCT(MAX(($B$6:$B$2005=B1962)*($A$6:$A$2005&lt;A1962)*$A$6:$A$2005)))</f>
        <v/>
      </c>
      <c r="F1962" s="41">
        <f>IF(OR(E1962="",E1962=0),"",IFERROR(AVERAGEIFS($C$6:$C$2005,$B$6:$B$2005,B1962,$A$6:$A$2005,E1962),""))</f>
        <v/>
      </c>
      <c r="G1962" s="34">
        <f>IF(F1962="","",A1962-E1962)</f>
        <v/>
      </c>
      <c r="H1962" s="42">
        <f>IF(OR(F1962="",C1962=""),"",IFERROR((C1962-F1962)/G1962,""))</f>
        <v/>
      </c>
      <c r="I1962" s="39">
        <f>IF(B1962="","",IFERROR(INDEX('Animais'!$M$6:$M$1005,MATCH(B1962,'Animais'!$A$6:$A$1005,0)),"Brinco não cadastrado"))</f>
        <v/>
      </c>
    </row>
    <row r="1963">
      <c r="A1963" s="31" t="n"/>
      <c r="B1963" s="36" t="n"/>
      <c r="C1963" s="38" t="n"/>
      <c r="D1963" s="32" t="n"/>
      <c r="E1963" s="43">
        <f>IF(OR(A1963="",B1963=""),"",SUMPRODUCT(MAX(($B$6:$B$2005=B1963)*($A$6:$A$2005&lt;A1963)*$A$6:$A$2005)))</f>
        <v/>
      </c>
      <c r="F1963" s="41">
        <f>IF(OR(E1963="",E1963=0),"",IFERROR(AVERAGEIFS($C$6:$C$2005,$B$6:$B$2005,B1963,$A$6:$A$2005,E1963),""))</f>
        <v/>
      </c>
      <c r="G1963" s="34">
        <f>IF(F1963="","",A1963-E1963)</f>
        <v/>
      </c>
      <c r="H1963" s="42">
        <f>IF(OR(F1963="",C1963=""),"",IFERROR((C1963-F1963)/G1963,""))</f>
        <v/>
      </c>
      <c r="I1963" s="39">
        <f>IF(B1963="","",IFERROR(INDEX('Animais'!$M$6:$M$1005,MATCH(B1963,'Animais'!$A$6:$A$1005,0)),"Brinco não cadastrado"))</f>
        <v/>
      </c>
    </row>
    <row r="1964">
      <c r="A1964" s="31" t="n"/>
      <c r="B1964" s="36" t="n"/>
      <c r="C1964" s="38" t="n"/>
      <c r="D1964" s="32" t="n"/>
      <c r="E1964" s="43">
        <f>IF(OR(A1964="",B1964=""),"",SUMPRODUCT(MAX(($B$6:$B$2005=B1964)*($A$6:$A$2005&lt;A1964)*$A$6:$A$2005)))</f>
        <v/>
      </c>
      <c r="F1964" s="41">
        <f>IF(OR(E1964="",E1964=0),"",IFERROR(AVERAGEIFS($C$6:$C$2005,$B$6:$B$2005,B1964,$A$6:$A$2005,E1964),""))</f>
        <v/>
      </c>
      <c r="G1964" s="34">
        <f>IF(F1964="","",A1964-E1964)</f>
        <v/>
      </c>
      <c r="H1964" s="42">
        <f>IF(OR(F1964="",C1964=""),"",IFERROR((C1964-F1964)/G1964,""))</f>
        <v/>
      </c>
      <c r="I1964" s="39">
        <f>IF(B1964="","",IFERROR(INDEX('Animais'!$M$6:$M$1005,MATCH(B1964,'Animais'!$A$6:$A$1005,0)),"Brinco não cadastrado"))</f>
        <v/>
      </c>
    </row>
    <row r="1965">
      <c r="A1965" s="31" t="n"/>
      <c r="B1965" s="36" t="n"/>
      <c r="C1965" s="38" t="n"/>
      <c r="D1965" s="32" t="n"/>
      <c r="E1965" s="43">
        <f>IF(OR(A1965="",B1965=""),"",SUMPRODUCT(MAX(($B$6:$B$2005=B1965)*($A$6:$A$2005&lt;A1965)*$A$6:$A$2005)))</f>
        <v/>
      </c>
      <c r="F1965" s="41">
        <f>IF(OR(E1965="",E1965=0),"",IFERROR(AVERAGEIFS($C$6:$C$2005,$B$6:$B$2005,B1965,$A$6:$A$2005,E1965),""))</f>
        <v/>
      </c>
      <c r="G1965" s="34">
        <f>IF(F1965="","",A1965-E1965)</f>
        <v/>
      </c>
      <c r="H1965" s="42">
        <f>IF(OR(F1965="",C1965=""),"",IFERROR((C1965-F1965)/G1965,""))</f>
        <v/>
      </c>
      <c r="I1965" s="39">
        <f>IF(B1965="","",IFERROR(INDEX('Animais'!$M$6:$M$1005,MATCH(B1965,'Animais'!$A$6:$A$1005,0)),"Brinco não cadastrado"))</f>
        <v/>
      </c>
    </row>
    <row r="1966">
      <c r="A1966" s="31" t="n"/>
      <c r="B1966" s="36" t="n"/>
      <c r="C1966" s="38" t="n"/>
      <c r="D1966" s="32" t="n"/>
      <c r="E1966" s="43">
        <f>IF(OR(A1966="",B1966=""),"",SUMPRODUCT(MAX(($B$6:$B$2005=B1966)*($A$6:$A$2005&lt;A1966)*$A$6:$A$2005)))</f>
        <v/>
      </c>
      <c r="F1966" s="41">
        <f>IF(OR(E1966="",E1966=0),"",IFERROR(AVERAGEIFS($C$6:$C$2005,$B$6:$B$2005,B1966,$A$6:$A$2005,E1966),""))</f>
        <v/>
      </c>
      <c r="G1966" s="34">
        <f>IF(F1966="","",A1966-E1966)</f>
        <v/>
      </c>
      <c r="H1966" s="42">
        <f>IF(OR(F1966="",C1966=""),"",IFERROR((C1966-F1966)/G1966,""))</f>
        <v/>
      </c>
      <c r="I1966" s="39">
        <f>IF(B1966="","",IFERROR(INDEX('Animais'!$M$6:$M$1005,MATCH(B1966,'Animais'!$A$6:$A$1005,0)),"Brinco não cadastrado"))</f>
        <v/>
      </c>
    </row>
    <row r="1967">
      <c r="A1967" s="31" t="n"/>
      <c r="B1967" s="36" t="n"/>
      <c r="C1967" s="38" t="n"/>
      <c r="D1967" s="32" t="n"/>
      <c r="E1967" s="43">
        <f>IF(OR(A1967="",B1967=""),"",SUMPRODUCT(MAX(($B$6:$B$2005=B1967)*($A$6:$A$2005&lt;A1967)*$A$6:$A$2005)))</f>
        <v/>
      </c>
      <c r="F1967" s="41">
        <f>IF(OR(E1967="",E1967=0),"",IFERROR(AVERAGEIFS($C$6:$C$2005,$B$6:$B$2005,B1967,$A$6:$A$2005,E1967),""))</f>
        <v/>
      </c>
      <c r="G1967" s="34">
        <f>IF(F1967="","",A1967-E1967)</f>
        <v/>
      </c>
      <c r="H1967" s="42">
        <f>IF(OR(F1967="",C1967=""),"",IFERROR((C1967-F1967)/G1967,""))</f>
        <v/>
      </c>
      <c r="I1967" s="39">
        <f>IF(B1967="","",IFERROR(INDEX('Animais'!$M$6:$M$1005,MATCH(B1967,'Animais'!$A$6:$A$1005,0)),"Brinco não cadastrado"))</f>
        <v/>
      </c>
    </row>
    <row r="1968">
      <c r="A1968" s="31" t="n"/>
      <c r="B1968" s="36" t="n"/>
      <c r="C1968" s="38" t="n"/>
      <c r="D1968" s="32" t="n"/>
      <c r="E1968" s="43">
        <f>IF(OR(A1968="",B1968=""),"",SUMPRODUCT(MAX(($B$6:$B$2005=B1968)*($A$6:$A$2005&lt;A1968)*$A$6:$A$2005)))</f>
        <v/>
      </c>
      <c r="F1968" s="41">
        <f>IF(OR(E1968="",E1968=0),"",IFERROR(AVERAGEIFS($C$6:$C$2005,$B$6:$B$2005,B1968,$A$6:$A$2005,E1968),""))</f>
        <v/>
      </c>
      <c r="G1968" s="34">
        <f>IF(F1968="","",A1968-E1968)</f>
        <v/>
      </c>
      <c r="H1968" s="42">
        <f>IF(OR(F1968="",C1968=""),"",IFERROR((C1968-F1968)/G1968,""))</f>
        <v/>
      </c>
      <c r="I1968" s="39">
        <f>IF(B1968="","",IFERROR(INDEX('Animais'!$M$6:$M$1005,MATCH(B1968,'Animais'!$A$6:$A$1005,0)),"Brinco não cadastrado"))</f>
        <v/>
      </c>
    </row>
    <row r="1969">
      <c r="A1969" s="31" t="n"/>
      <c r="B1969" s="36" t="n"/>
      <c r="C1969" s="38" t="n"/>
      <c r="D1969" s="32" t="n"/>
      <c r="E1969" s="43">
        <f>IF(OR(A1969="",B1969=""),"",SUMPRODUCT(MAX(($B$6:$B$2005=B1969)*($A$6:$A$2005&lt;A1969)*$A$6:$A$2005)))</f>
        <v/>
      </c>
      <c r="F1969" s="41">
        <f>IF(OR(E1969="",E1969=0),"",IFERROR(AVERAGEIFS($C$6:$C$2005,$B$6:$B$2005,B1969,$A$6:$A$2005,E1969),""))</f>
        <v/>
      </c>
      <c r="G1969" s="34">
        <f>IF(F1969="","",A1969-E1969)</f>
        <v/>
      </c>
      <c r="H1969" s="42">
        <f>IF(OR(F1969="",C1969=""),"",IFERROR((C1969-F1969)/G1969,""))</f>
        <v/>
      </c>
      <c r="I1969" s="39">
        <f>IF(B1969="","",IFERROR(INDEX('Animais'!$M$6:$M$1005,MATCH(B1969,'Animais'!$A$6:$A$1005,0)),"Brinco não cadastrado"))</f>
        <v/>
      </c>
    </row>
    <row r="1970">
      <c r="A1970" s="31" t="n"/>
      <c r="B1970" s="36" t="n"/>
      <c r="C1970" s="38" t="n"/>
      <c r="D1970" s="32" t="n"/>
      <c r="E1970" s="43">
        <f>IF(OR(A1970="",B1970=""),"",SUMPRODUCT(MAX(($B$6:$B$2005=B1970)*($A$6:$A$2005&lt;A1970)*$A$6:$A$2005)))</f>
        <v/>
      </c>
      <c r="F1970" s="41">
        <f>IF(OR(E1970="",E1970=0),"",IFERROR(AVERAGEIFS($C$6:$C$2005,$B$6:$B$2005,B1970,$A$6:$A$2005,E1970),""))</f>
        <v/>
      </c>
      <c r="G1970" s="34">
        <f>IF(F1970="","",A1970-E1970)</f>
        <v/>
      </c>
      <c r="H1970" s="42">
        <f>IF(OR(F1970="",C1970=""),"",IFERROR((C1970-F1970)/G1970,""))</f>
        <v/>
      </c>
      <c r="I1970" s="39">
        <f>IF(B1970="","",IFERROR(INDEX('Animais'!$M$6:$M$1005,MATCH(B1970,'Animais'!$A$6:$A$1005,0)),"Brinco não cadastrado"))</f>
        <v/>
      </c>
    </row>
    <row r="1971">
      <c r="A1971" s="31" t="n"/>
      <c r="B1971" s="36" t="n"/>
      <c r="C1971" s="38" t="n"/>
      <c r="D1971" s="32" t="n"/>
      <c r="E1971" s="43">
        <f>IF(OR(A1971="",B1971=""),"",SUMPRODUCT(MAX(($B$6:$B$2005=B1971)*($A$6:$A$2005&lt;A1971)*$A$6:$A$2005)))</f>
        <v/>
      </c>
      <c r="F1971" s="41">
        <f>IF(OR(E1971="",E1971=0),"",IFERROR(AVERAGEIFS($C$6:$C$2005,$B$6:$B$2005,B1971,$A$6:$A$2005,E1971),""))</f>
        <v/>
      </c>
      <c r="G1971" s="34">
        <f>IF(F1971="","",A1971-E1971)</f>
        <v/>
      </c>
      <c r="H1971" s="42">
        <f>IF(OR(F1971="",C1971=""),"",IFERROR((C1971-F1971)/G1971,""))</f>
        <v/>
      </c>
      <c r="I1971" s="39">
        <f>IF(B1971="","",IFERROR(INDEX('Animais'!$M$6:$M$1005,MATCH(B1971,'Animais'!$A$6:$A$1005,0)),"Brinco não cadastrado"))</f>
        <v/>
      </c>
    </row>
    <row r="1972">
      <c r="A1972" s="31" t="n"/>
      <c r="B1972" s="36" t="n"/>
      <c r="C1972" s="38" t="n"/>
      <c r="D1972" s="32" t="n"/>
      <c r="E1972" s="43">
        <f>IF(OR(A1972="",B1972=""),"",SUMPRODUCT(MAX(($B$6:$B$2005=B1972)*($A$6:$A$2005&lt;A1972)*$A$6:$A$2005)))</f>
        <v/>
      </c>
      <c r="F1972" s="41">
        <f>IF(OR(E1972="",E1972=0),"",IFERROR(AVERAGEIFS($C$6:$C$2005,$B$6:$B$2005,B1972,$A$6:$A$2005,E1972),""))</f>
        <v/>
      </c>
      <c r="G1972" s="34">
        <f>IF(F1972="","",A1972-E1972)</f>
        <v/>
      </c>
      <c r="H1972" s="42">
        <f>IF(OR(F1972="",C1972=""),"",IFERROR((C1972-F1972)/G1972,""))</f>
        <v/>
      </c>
      <c r="I1972" s="39">
        <f>IF(B1972="","",IFERROR(INDEX('Animais'!$M$6:$M$1005,MATCH(B1972,'Animais'!$A$6:$A$1005,0)),"Brinco não cadastrado"))</f>
        <v/>
      </c>
    </row>
    <row r="1973">
      <c r="A1973" s="31" t="n"/>
      <c r="B1973" s="36" t="n"/>
      <c r="C1973" s="38" t="n"/>
      <c r="D1973" s="32" t="n"/>
      <c r="E1973" s="43">
        <f>IF(OR(A1973="",B1973=""),"",SUMPRODUCT(MAX(($B$6:$B$2005=B1973)*($A$6:$A$2005&lt;A1973)*$A$6:$A$2005)))</f>
        <v/>
      </c>
      <c r="F1973" s="41">
        <f>IF(OR(E1973="",E1973=0),"",IFERROR(AVERAGEIFS($C$6:$C$2005,$B$6:$B$2005,B1973,$A$6:$A$2005,E1973),""))</f>
        <v/>
      </c>
      <c r="G1973" s="34">
        <f>IF(F1973="","",A1973-E1973)</f>
        <v/>
      </c>
      <c r="H1973" s="42">
        <f>IF(OR(F1973="",C1973=""),"",IFERROR((C1973-F1973)/G1973,""))</f>
        <v/>
      </c>
      <c r="I1973" s="39">
        <f>IF(B1973="","",IFERROR(INDEX('Animais'!$M$6:$M$1005,MATCH(B1973,'Animais'!$A$6:$A$1005,0)),"Brinco não cadastrado"))</f>
        <v/>
      </c>
    </row>
    <row r="1974">
      <c r="A1974" s="31" t="n"/>
      <c r="B1974" s="36" t="n"/>
      <c r="C1974" s="38" t="n"/>
      <c r="D1974" s="32" t="n"/>
      <c r="E1974" s="43">
        <f>IF(OR(A1974="",B1974=""),"",SUMPRODUCT(MAX(($B$6:$B$2005=B1974)*($A$6:$A$2005&lt;A1974)*$A$6:$A$2005)))</f>
        <v/>
      </c>
      <c r="F1974" s="41">
        <f>IF(OR(E1974="",E1974=0),"",IFERROR(AVERAGEIFS($C$6:$C$2005,$B$6:$B$2005,B1974,$A$6:$A$2005,E1974),""))</f>
        <v/>
      </c>
      <c r="G1974" s="34">
        <f>IF(F1974="","",A1974-E1974)</f>
        <v/>
      </c>
      <c r="H1974" s="42">
        <f>IF(OR(F1974="",C1974=""),"",IFERROR((C1974-F1974)/G1974,""))</f>
        <v/>
      </c>
      <c r="I1974" s="39">
        <f>IF(B1974="","",IFERROR(INDEX('Animais'!$M$6:$M$1005,MATCH(B1974,'Animais'!$A$6:$A$1005,0)),"Brinco não cadastrado"))</f>
        <v/>
      </c>
    </row>
    <row r="1975">
      <c r="A1975" s="31" t="n"/>
      <c r="B1975" s="36" t="n"/>
      <c r="C1975" s="38" t="n"/>
      <c r="D1975" s="32" t="n"/>
      <c r="E1975" s="43">
        <f>IF(OR(A1975="",B1975=""),"",SUMPRODUCT(MAX(($B$6:$B$2005=B1975)*($A$6:$A$2005&lt;A1975)*$A$6:$A$2005)))</f>
        <v/>
      </c>
      <c r="F1975" s="41">
        <f>IF(OR(E1975="",E1975=0),"",IFERROR(AVERAGEIFS($C$6:$C$2005,$B$6:$B$2005,B1975,$A$6:$A$2005,E1975),""))</f>
        <v/>
      </c>
      <c r="G1975" s="34">
        <f>IF(F1975="","",A1975-E1975)</f>
        <v/>
      </c>
      <c r="H1975" s="42">
        <f>IF(OR(F1975="",C1975=""),"",IFERROR((C1975-F1975)/G1975,""))</f>
        <v/>
      </c>
      <c r="I1975" s="39">
        <f>IF(B1975="","",IFERROR(INDEX('Animais'!$M$6:$M$1005,MATCH(B1975,'Animais'!$A$6:$A$1005,0)),"Brinco não cadastrado"))</f>
        <v/>
      </c>
    </row>
    <row r="1976">
      <c r="A1976" s="31" t="n"/>
      <c r="B1976" s="36" t="n"/>
      <c r="C1976" s="38" t="n"/>
      <c r="D1976" s="32" t="n"/>
      <c r="E1976" s="43">
        <f>IF(OR(A1976="",B1976=""),"",SUMPRODUCT(MAX(($B$6:$B$2005=B1976)*($A$6:$A$2005&lt;A1976)*$A$6:$A$2005)))</f>
        <v/>
      </c>
      <c r="F1976" s="41">
        <f>IF(OR(E1976="",E1976=0),"",IFERROR(AVERAGEIFS($C$6:$C$2005,$B$6:$B$2005,B1976,$A$6:$A$2005,E1976),""))</f>
        <v/>
      </c>
      <c r="G1976" s="34">
        <f>IF(F1976="","",A1976-E1976)</f>
        <v/>
      </c>
      <c r="H1976" s="42">
        <f>IF(OR(F1976="",C1976=""),"",IFERROR((C1976-F1976)/G1976,""))</f>
        <v/>
      </c>
      <c r="I1976" s="39">
        <f>IF(B1976="","",IFERROR(INDEX('Animais'!$M$6:$M$1005,MATCH(B1976,'Animais'!$A$6:$A$1005,0)),"Brinco não cadastrado"))</f>
        <v/>
      </c>
    </row>
    <row r="1977">
      <c r="A1977" s="31" t="n"/>
      <c r="B1977" s="36" t="n"/>
      <c r="C1977" s="38" t="n"/>
      <c r="D1977" s="32" t="n"/>
      <c r="E1977" s="43">
        <f>IF(OR(A1977="",B1977=""),"",SUMPRODUCT(MAX(($B$6:$B$2005=B1977)*($A$6:$A$2005&lt;A1977)*$A$6:$A$2005)))</f>
        <v/>
      </c>
      <c r="F1977" s="41">
        <f>IF(OR(E1977="",E1977=0),"",IFERROR(AVERAGEIFS($C$6:$C$2005,$B$6:$B$2005,B1977,$A$6:$A$2005,E1977),""))</f>
        <v/>
      </c>
      <c r="G1977" s="34">
        <f>IF(F1977="","",A1977-E1977)</f>
        <v/>
      </c>
      <c r="H1977" s="42">
        <f>IF(OR(F1977="",C1977=""),"",IFERROR((C1977-F1977)/G1977,""))</f>
        <v/>
      </c>
      <c r="I1977" s="39">
        <f>IF(B1977="","",IFERROR(INDEX('Animais'!$M$6:$M$1005,MATCH(B1977,'Animais'!$A$6:$A$1005,0)),"Brinco não cadastrado"))</f>
        <v/>
      </c>
    </row>
    <row r="1978">
      <c r="A1978" s="31" t="n"/>
      <c r="B1978" s="36" t="n"/>
      <c r="C1978" s="38" t="n"/>
      <c r="D1978" s="32" t="n"/>
      <c r="E1978" s="43">
        <f>IF(OR(A1978="",B1978=""),"",SUMPRODUCT(MAX(($B$6:$B$2005=B1978)*($A$6:$A$2005&lt;A1978)*$A$6:$A$2005)))</f>
        <v/>
      </c>
      <c r="F1978" s="41">
        <f>IF(OR(E1978="",E1978=0),"",IFERROR(AVERAGEIFS($C$6:$C$2005,$B$6:$B$2005,B1978,$A$6:$A$2005,E1978),""))</f>
        <v/>
      </c>
      <c r="G1978" s="34">
        <f>IF(F1978="","",A1978-E1978)</f>
        <v/>
      </c>
      <c r="H1978" s="42">
        <f>IF(OR(F1978="",C1978=""),"",IFERROR((C1978-F1978)/G1978,""))</f>
        <v/>
      </c>
      <c r="I1978" s="39">
        <f>IF(B1978="","",IFERROR(INDEX('Animais'!$M$6:$M$1005,MATCH(B1978,'Animais'!$A$6:$A$1005,0)),"Brinco não cadastrado"))</f>
        <v/>
      </c>
    </row>
    <row r="1979">
      <c r="A1979" s="31" t="n"/>
      <c r="B1979" s="36" t="n"/>
      <c r="C1979" s="38" t="n"/>
      <c r="D1979" s="32" t="n"/>
      <c r="E1979" s="43">
        <f>IF(OR(A1979="",B1979=""),"",SUMPRODUCT(MAX(($B$6:$B$2005=B1979)*($A$6:$A$2005&lt;A1979)*$A$6:$A$2005)))</f>
        <v/>
      </c>
      <c r="F1979" s="41">
        <f>IF(OR(E1979="",E1979=0),"",IFERROR(AVERAGEIFS($C$6:$C$2005,$B$6:$B$2005,B1979,$A$6:$A$2005,E1979),""))</f>
        <v/>
      </c>
      <c r="G1979" s="34">
        <f>IF(F1979="","",A1979-E1979)</f>
        <v/>
      </c>
      <c r="H1979" s="42">
        <f>IF(OR(F1979="",C1979=""),"",IFERROR((C1979-F1979)/G1979,""))</f>
        <v/>
      </c>
      <c r="I1979" s="39">
        <f>IF(B1979="","",IFERROR(INDEX('Animais'!$M$6:$M$1005,MATCH(B1979,'Animais'!$A$6:$A$1005,0)),"Brinco não cadastrado"))</f>
        <v/>
      </c>
    </row>
    <row r="1980">
      <c r="A1980" s="31" t="n"/>
      <c r="B1980" s="36" t="n"/>
      <c r="C1980" s="38" t="n"/>
      <c r="D1980" s="32" t="n"/>
      <c r="E1980" s="43">
        <f>IF(OR(A1980="",B1980=""),"",SUMPRODUCT(MAX(($B$6:$B$2005=B1980)*($A$6:$A$2005&lt;A1980)*$A$6:$A$2005)))</f>
        <v/>
      </c>
      <c r="F1980" s="41">
        <f>IF(OR(E1980="",E1980=0),"",IFERROR(AVERAGEIFS($C$6:$C$2005,$B$6:$B$2005,B1980,$A$6:$A$2005,E1980),""))</f>
        <v/>
      </c>
      <c r="G1980" s="34">
        <f>IF(F1980="","",A1980-E1980)</f>
        <v/>
      </c>
      <c r="H1980" s="42">
        <f>IF(OR(F1980="",C1980=""),"",IFERROR((C1980-F1980)/G1980,""))</f>
        <v/>
      </c>
      <c r="I1980" s="39">
        <f>IF(B1980="","",IFERROR(INDEX('Animais'!$M$6:$M$1005,MATCH(B1980,'Animais'!$A$6:$A$1005,0)),"Brinco não cadastrado"))</f>
        <v/>
      </c>
    </row>
    <row r="1981">
      <c r="A1981" s="31" t="n"/>
      <c r="B1981" s="36" t="n"/>
      <c r="C1981" s="38" t="n"/>
      <c r="D1981" s="32" t="n"/>
      <c r="E1981" s="43">
        <f>IF(OR(A1981="",B1981=""),"",SUMPRODUCT(MAX(($B$6:$B$2005=B1981)*($A$6:$A$2005&lt;A1981)*$A$6:$A$2005)))</f>
        <v/>
      </c>
      <c r="F1981" s="41">
        <f>IF(OR(E1981="",E1981=0),"",IFERROR(AVERAGEIFS($C$6:$C$2005,$B$6:$B$2005,B1981,$A$6:$A$2005,E1981),""))</f>
        <v/>
      </c>
      <c r="G1981" s="34">
        <f>IF(F1981="","",A1981-E1981)</f>
        <v/>
      </c>
      <c r="H1981" s="42">
        <f>IF(OR(F1981="",C1981=""),"",IFERROR((C1981-F1981)/G1981,""))</f>
        <v/>
      </c>
      <c r="I1981" s="39">
        <f>IF(B1981="","",IFERROR(INDEX('Animais'!$M$6:$M$1005,MATCH(B1981,'Animais'!$A$6:$A$1005,0)),"Brinco não cadastrado"))</f>
        <v/>
      </c>
    </row>
    <row r="1982">
      <c r="A1982" s="31" t="n"/>
      <c r="B1982" s="36" t="n"/>
      <c r="C1982" s="38" t="n"/>
      <c r="D1982" s="32" t="n"/>
      <c r="E1982" s="43">
        <f>IF(OR(A1982="",B1982=""),"",SUMPRODUCT(MAX(($B$6:$B$2005=B1982)*($A$6:$A$2005&lt;A1982)*$A$6:$A$2005)))</f>
        <v/>
      </c>
      <c r="F1982" s="41">
        <f>IF(OR(E1982="",E1982=0),"",IFERROR(AVERAGEIFS($C$6:$C$2005,$B$6:$B$2005,B1982,$A$6:$A$2005,E1982),""))</f>
        <v/>
      </c>
      <c r="G1982" s="34">
        <f>IF(F1982="","",A1982-E1982)</f>
        <v/>
      </c>
      <c r="H1982" s="42">
        <f>IF(OR(F1982="",C1982=""),"",IFERROR((C1982-F1982)/G1982,""))</f>
        <v/>
      </c>
      <c r="I1982" s="39">
        <f>IF(B1982="","",IFERROR(INDEX('Animais'!$M$6:$M$1005,MATCH(B1982,'Animais'!$A$6:$A$1005,0)),"Brinco não cadastrado"))</f>
        <v/>
      </c>
    </row>
    <row r="1983">
      <c r="A1983" s="31" t="n"/>
      <c r="B1983" s="36" t="n"/>
      <c r="C1983" s="38" t="n"/>
      <c r="D1983" s="32" t="n"/>
      <c r="E1983" s="43">
        <f>IF(OR(A1983="",B1983=""),"",SUMPRODUCT(MAX(($B$6:$B$2005=B1983)*($A$6:$A$2005&lt;A1983)*$A$6:$A$2005)))</f>
        <v/>
      </c>
      <c r="F1983" s="41">
        <f>IF(OR(E1983="",E1983=0),"",IFERROR(AVERAGEIFS($C$6:$C$2005,$B$6:$B$2005,B1983,$A$6:$A$2005,E1983),""))</f>
        <v/>
      </c>
      <c r="G1983" s="34">
        <f>IF(F1983="","",A1983-E1983)</f>
        <v/>
      </c>
      <c r="H1983" s="42">
        <f>IF(OR(F1983="",C1983=""),"",IFERROR((C1983-F1983)/G1983,""))</f>
        <v/>
      </c>
      <c r="I1983" s="39">
        <f>IF(B1983="","",IFERROR(INDEX('Animais'!$M$6:$M$1005,MATCH(B1983,'Animais'!$A$6:$A$1005,0)),"Brinco não cadastrado"))</f>
        <v/>
      </c>
    </row>
    <row r="1984">
      <c r="A1984" s="31" t="n"/>
      <c r="B1984" s="36" t="n"/>
      <c r="C1984" s="38" t="n"/>
      <c r="D1984" s="32" t="n"/>
      <c r="E1984" s="43">
        <f>IF(OR(A1984="",B1984=""),"",SUMPRODUCT(MAX(($B$6:$B$2005=B1984)*($A$6:$A$2005&lt;A1984)*$A$6:$A$2005)))</f>
        <v/>
      </c>
      <c r="F1984" s="41">
        <f>IF(OR(E1984="",E1984=0),"",IFERROR(AVERAGEIFS($C$6:$C$2005,$B$6:$B$2005,B1984,$A$6:$A$2005,E1984),""))</f>
        <v/>
      </c>
      <c r="G1984" s="34">
        <f>IF(F1984="","",A1984-E1984)</f>
        <v/>
      </c>
      <c r="H1984" s="42">
        <f>IF(OR(F1984="",C1984=""),"",IFERROR((C1984-F1984)/G1984,""))</f>
        <v/>
      </c>
      <c r="I1984" s="39">
        <f>IF(B1984="","",IFERROR(INDEX('Animais'!$M$6:$M$1005,MATCH(B1984,'Animais'!$A$6:$A$1005,0)),"Brinco não cadastrado"))</f>
        <v/>
      </c>
    </row>
    <row r="1985">
      <c r="A1985" s="31" t="n"/>
      <c r="B1985" s="36" t="n"/>
      <c r="C1985" s="38" t="n"/>
      <c r="D1985" s="32" t="n"/>
      <c r="E1985" s="43">
        <f>IF(OR(A1985="",B1985=""),"",SUMPRODUCT(MAX(($B$6:$B$2005=B1985)*($A$6:$A$2005&lt;A1985)*$A$6:$A$2005)))</f>
        <v/>
      </c>
      <c r="F1985" s="41">
        <f>IF(OR(E1985="",E1985=0),"",IFERROR(AVERAGEIFS($C$6:$C$2005,$B$6:$B$2005,B1985,$A$6:$A$2005,E1985),""))</f>
        <v/>
      </c>
      <c r="G1985" s="34">
        <f>IF(F1985="","",A1985-E1985)</f>
        <v/>
      </c>
      <c r="H1985" s="42">
        <f>IF(OR(F1985="",C1985=""),"",IFERROR((C1985-F1985)/G1985,""))</f>
        <v/>
      </c>
      <c r="I1985" s="39">
        <f>IF(B1985="","",IFERROR(INDEX('Animais'!$M$6:$M$1005,MATCH(B1985,'Animais'!$A$6:$A$1005,0)),"Brinco não cadastrado"))</f>
        <v/>
      </c>
    </row>
    <row r="1986">
      <c r="A1986" s="31" t="n"/>
      <c r="B1986" s="36" t="n"/>
      <c r="C1986" s="38" t="n"/>
      <c r="D1986" s="32" t="n"/>
      <c r="E1986" s="43">
        <f>IF(OR(A1986="",B1986=""),"",SUMPRODUCT(MAX(($B$6:$B$2005=B1986)*($A$6:$A$2005&lt;A1986)*$A$6:$A$2005)))</f>
        <v/>
      </c>
      <c r="F1986" s="41">
        <f>IF(OR(E1986="",E1986=0),"",IFERROR(AVERAGEIFS($C$6:$C$2005,$B$6:$B$2005,B1986,$A$6:$A$2005,E1986),""))</f>
        <v/>
      </c>
      <c r="G1986" s="34">
        <f>IF(F1986="","",A1986-E1986)</f>
        <v/>
      </c>
      <c r="H1986" s="42">
        <f>IF(OR(F1986="",C1986=""),"",IFERROR((C1986-F1986)/G1986,""))</f>
        <v/>
      </c>
      <c r="I1986" s="39">
        <f>IF(B1986="","",IFERROR(INDEX('Animais'!$M$6:$M$1005,MATCH(B1986,'Animais'!$A$6:$A$1005,0)),"Brinco não cadastrado"))</f>
        <v/>
      </c>
    </row>
    <row r="1987">
      <c r="A1987" s="31" t="n"/>
      <c r="B1987" s="36" t="n"/>
      <c r="C1987" s="38" t="n"/>
      <c r="D1987" s="32" t="n"/>
      <c r="E1987" s="43">
        <f>IF(OR(A1987="",B1987=""),"",SUMPRODUCT(MAX(($B$6:$B$2005=B1987)*($A$6:$A$2005&lt;A1987)*$A$6:$A$2005)))</f>
        <v/>
      </c>
      <c r="F1987" s="41">
        <f>IF(OR(E1987="",E1987=0),"",IFERROR(AVERAGEIFS($C$6:$C$2005,$B$6:$B$2005,B1987,$A$6:$A$2005,E1987),""))</f>
        <v/>
      </c>
      <c r="G1987" s="34">
        <f>IF(F1987="","",A1987-E1987)</f>
        <v/>
      </c>
      <c r="H1987" s="42">
        <f>IF(OR(F1987="",C1987=""),"",IFERROR((C1987-F1987)/G1987,""))</f>
        <v/>
      </c>
      <c r="I1987" s="39">
        <f>IF(B1987="","",IFERROR(INDEX('Animais'!$M$6:$M$1005,MATCH(B1987,'Animais'!$A$6:$A$1005,0)),"Brinco não cadastrado"))</f>
        <v/>
      </c>
    </row>
    <row r="1988">
      <c r="A1988" s="31" t="n"/>
      <c r="B1988" s="36" t="n"/>
      <c r="C1988" s="38" t="n"/>
      <c r="D1988" s="32" t="n"/>
      <c r="E1988" s="43">
        <f>IF(OR(A1988="",B1988=""),"",SUMPRODUCT(MAX(($B$6:$B$2005=B1988)*($A$6:$A$2005&lt;A1988)*$A$6:$A$2005)))</f>
        <v/>
      </c>
      <c r="F1988" s="41">
        <f>IF(OR(E1988="",E1988=0),"",IFERROR(AVERAGEIFS($C$6:$C$2005,$B$6:$B$2005,B1988,$A$6:$A$2005,E1988),""))</f>
        <v/>
      </c>
      <c r="G1988" s="34">
        <f>IF(F1988="","",A1988-E1988)</f>
        <v/>
      </c>
      <c r="H1988" s="42">
        <f>IF(OR(F1988="",C1988=""),"",IFERROR((C1988-F1988)/G1988,""))</f>
        <v/>
      </c>
      <c r="I1988" s="39">
        <f>IF(B1988="","",IFERROR(INDEX('Animais'!$M$6:$M$1005,MATCH(B1988,'Animais'!$A$6:$A$1005,0)),"Brinco não cadastrado"))</f>
        <v/>
      </c>
    </row>
    <row r="1989">
      <c r="A1989" s="31" t="n"/>
      <c r="B1989" s="36" t="n"/>
      <c r="C1989" s="38" t="n"/>
      <c r="D1989" s="32" t="n"/>
      <c r="E1989" s="43">
        <f>IF(OR(A1989="",B1989=""),"",SUMPRODUCT(MAX(($B$6:$B$2005=B1989)*($A$6:$A$2005&lt;A1989)*$A$6:$A$2005)))</f>
        <v/>
      </c>
      <c r="F1989" s="41">
        <f>IF(OR(E1989="",E1989=0),"",IFERROR(AVERAGEIFS($C$6:$C$2005,$B$6:$B$2005,B1989,$A$6:$A$2005,E1989),""))</f>
        <v/>
      </c>
      <c r="G1989" s="34">
        <f>IF(F1989="","",A1989-E1989)</f>
        <v/>
      </c>
      <c r="H1989" s="42">
        <f>IF(OR(F1989="",C1989=""),"",IFERROR((C1989-F1989)/G1989,""))</f>
        <v/>
      </c>
      <c r="I1989" s="39">
        <f>IF(B1989="","",IFERROR(INDEX('Animais'!$M$6:$M$1005,MATCH(B1989,'Animais'!$A$6:$A$1005,0)),"Brinco não cadastrado"))</f>
        <v/>
      </c>
    </row>
    <row r="1990">
      <c r="A1990" s="31" t="n"/>
      <c r="B1990" s="36" t="n"/>
      <c r="C1990" s="38" t="n"/>
      <c r="D1990" s="32" t="n"/>
      <c r="E1990" s="43">
        <f>IF(OR(A1990="",B1990=""),"",SUMPRODUCT(MAX(($B$6:$B$2005=B1990)*($A$6:$A$2005&lt;A1990)*$A$6:$A$2005)))</f>
        <v/>
      </c>
      <c r="F1990" s="41">
        <f>IF(OR(E1990="",E1990=0),"",IFERROR(AVERAGEIFS($C$6:$C$2005,$B$6:$B$2005,B1990,$A$6:$A$2005,E1990),""))</f>
        <v/>
      </c>
      <c r="G1990" s="34">
        <f>IF(F1990="","",A1990-E1990)</f>
        <v/>
      </c>
      <c r="H1990" s="42">
        <f>IF(OR(F1990="",C1990=""),"",IFERROR((C1990-F1990)/G1990,""))</f>
        <v/>
      </c>
      <c r="I1990" s="39">
        <f>IF(B1990="","",IFERROR(INDEX('Animais'!$M$6:$M$1005,MATCH(B1990,'Animais'!$A$6:$A$1005,0)),"Brinco não cadastrado"))</f>
        <v/>
      </c>
    </row>
    <row r="1991">
      <c r="A1991" s="31" t="n"/>
      <c r="B1991" s="36" t="n"/>
      <c r="C1991" s="38" t="n"/>
      <c r="D1991" s="32" t="n"/>
      <c r="E1991" s="43">
        <f>IF(OR(A1991="",B1991=""),"",SUMPRODUCT(MAX(($B$6:$B$2005=B1991)*($A$6:$A$2005&lt;A1991)*$A$6:$A$2005)))</f>
        <v/>
      </c>
      <c r="F1991" s="41">
        <f>IF(OR(E1991="",E1991=0),"",IFERROR(AVERAGEIFS($C$6:$C$2005,$B$6:$B$2005,B1991,$A$6:$A$2005,E1991),""))</f>
        <v/>
      </c>
      <c r="G1991" s="34">
        <f>IF(F1991="","",A1991-E1991)</f>
        <v/>
      </c>
      <c r="H1991" s="42">
        <f>IF(OR(F1991="",C1991=""),"",IFERROR((C1991-F1991)/G1991,""))</f>
        <v/>
      </c>
      <c r="I1991" s="39">
        <f>IF(B1991="","",IFERROR(INDEX('Animais'!$M$6:$M$1005,MATCH(B1991,'Animais'!$A$6:$A$1005,0)),"Brinco não cadastrado"))</f>
        <v/>
      </c>
    </row>
    <row r="1992">
      <c r="A1992" s="31" t="n"/>
      <c r="B1992" s="36" t="n"/>
      <c r="C1992" s="38" t="n"/>
      <c r="D1992" s="32" t="n"/>
      <c r="E1992" s="43">
        <f>IF(OR(A1992="",B1992=""),"",SUMPRODUCT(MAX(($B$6:$B$2005=B1992)*($A$6:$A$2005&lt;A1992)*$A$6:$A$2005)))</f>
        <v/>
      </c>
      <c r="F1992" s="41">
        <f>IF(OR(E1992="",E1992=0),"",IFERROR(AVERAGEIFS($C$6:$C$2005,$B$6:$B$2005,B1992,$A$6:$A$2005,E1992),""))</f>
        <v/>
      </c>
      <c r="G1992" s="34">
        <f>IF(F1992="","",A1992-E1992)</f>
        <v/>
      </c>
      <c r="H1992" s="42">
        <f>IF(OR(F1992="",C1992=""),"",IFERROR((C1992-F1992)/G1992,""))</f>
        <v/>
      </c>
      <c r="I1992" s="39">
        <f>IF(B1992="","",IFERROR(INDEX('Animais'!$M$6:$M$1005,MATCH(B1992,'Animais'!$A$6:$A$1005,0)),"Brinco não cadastrado"))</f>
        <v/>
      </c>
    </row>
    <row r="1993">
      <c r="A1993" s="31" t="n"/>
      <c r="B1993" s="36" t="n"/>
      <c r="C1993" s="38" t="n"/>
      <c r="D1993" s="32" t="n"/>
      <c r="E1993" s="43">
        <f>IF(OR(A1993="",B1993=""),"",SUMPRODUCT(MAX(($B$6:$B$2005=B1993)*($A$6:$A$2005&lt;A1993)*$A$6:$A$2005)))</f>
        <v/>
      </c>
      <c r="F1993" s="41">
        <f>IF(OR(E1993="",E1993=0),"",IFERROR(AVERAGEIFS($C$6:$C$2005,$B$6:$B$2005,B1993,$A$6:$A$2005,E1993),""))</f>
        <v/>
      </c>
      <c r="G1993" s="34">
        <f>IF(F1993="","",A1993-E1993)</f>
        <v/>
      </c>
      <c r="H1993" s="42">
        <f>IF(OR(F1993="",C1993=""),"",IFERROR((C1993-F1993)/G1993,""))</f>
        <v/>
      </c>
      <c r="I1993" s="39">
        <f>IF(B1993="","",IFERROR(INDEX('Animais'!$M$6:$M$1005,MATCH(B1993,'Animais'!$A$6:$A$1005,0)),"Brinco não cadastrado"))</f>
        <v/>
      </c>
    </row>
    <row r="1994">
      <c r="A1994" s="31" t="n"/>
      <c r="B1994" s="36" t="n"/>
      <c r="C1994" s="38" t="n"/>
      <c r="D1994" s="32" t="n"/>
      <c r="E1994" s="43">
        <f>IF(OR(A1994="",B1994=""),"",SUMPRODUCT(MAX(($B$6:$B$2005=B1994)*($A$6:$A$2005&lt;A1994)*$A$6:$A$2005)))</f>
        <v/>
      </c>
      <c r="F1994" s="41">
        <f>IF(OR(E1994="",E1994=0),"",IFERROR(AVERAGEIFS($C$6:$C$2005,$B$6:$B$2005,B1994,$A$6:$A$2005,E1994),""))</f>
        <v/>
      </c>
      <c r="G1994" s="34">
        <f>IF(F1994="","",A1994-E1994)</f>
        <v/>
      </c>
      <c r="H1994" s="42">
        <f>IF(OR(F1994="",C1994=""),"",IFERROR((C1994-F1994)/G1994,""))</f>
        <v/>
      </c>
      <c r="I1994" s="39">
        <f>IF(B1994="","",IFERROR(INDEX('Animais'!$M$6:$M$1005,MATCH(B1994,'Animais'!$A$6:$A$1005,0)),"Brinco não cadastrado"))</f>
        <v/>
      </c>
    </row>
    <row r="1995">
      <c r="A1995" s="31" t="n"/>
      <c r="B1995" s="36" t="n"/>
      <c r="C1995" s="38" t="n"/>
      <c r="D1995" s="32" t="n"/>
      <c r="E1995" s="43">
        <f>IF(OR(A1995="",B1995=""),"",SUMPRODUCT(MAX(($B$6:$B$2005=B1995)*($A$6:$A$2005&lt;A1995)*$A$6:$A$2005)))</f>
        <v/>
      </c>
      <c r="F1995" s="41">
        <f>IF(OR(E1995="",E1995=0),"",IFERROR(AVERAGEIFS($C$6:$C$2005,$B$6:$B$2005,B1995,$A$6:$A$2005,E1995),""))</f>
        <v/>
      </c>
      <c r="G1995" s="34">
        <f>IF(F1995="","",A1995-E1995)</f>
        <v/>
      </c>
      <c r="H1995" s="42">
        <f>IF(OR(F1995="",C1995=""),"",IFERROR((C1995-F1995)/G1995,""))</f>
        <v/>
      </c>
      <c r="I1995" s="39">
        <f>IF(B1995="","",IFERROR(INDEX('Animais'!$M$6:$M$1005,MATCH(B1995,'Animais'!$A$6:$A$1005,0)),"Brinco não cadastrado"))</f>
        <v/>
      </c>
    </row>
    <row r="1996">
      <c r="A1996" s="31" t="n"/>
      <c r="B1996" s="36" t="n"/>
      <c r="C1996" s="38" t="n"/>
      <c r="D1996" s="32" t="n"/>
      <c r="E1996" s="43">
        <f>IF(OR(A1996="",B1996=""),"",SUMPRODUCT(MAX(($B$6:$B$2005=B1996)*($A$6:$A$2005&lt;A1996)*$A$6:$A$2005)))</f>
        <v/>
      </c>
      <c r="F1996" s="41">
        <f>IF(OR(E1996="",E1996=0),"",IFERROR(AVERAGEIFS($C$6:$C$2005,$B$6:$B$2005,B1996,$A$6:$A$2005,E1996),""))</f>
        <v/>
      </c>
      <c r="G1996" s="34">
        <f>IF(F1996="","",A1996-E1996)</f>
        <v/>
      </c>
      <c r="H1996" s="42">
        <f>IF(OR(F1996="",C1996=""),"",IFERROR((C1996-F1996)/G1996,""))</f>
        <v/>
      </c>
      <c r="I1996" s="39">
        <f>IF(B1996="","",IFERROR(INDEX('Animais'!$M$6:$M$1005,MATCH(B1996,'Animais'!$A$6:$A$1005,0)),"Brinco não cadastrado"))</f>
        <v/>
      </c>
    </row>
    <row r="1997">
      <c r="A1997" s="31" t="n"/>
      <c r="B1997" s="36" t="n"/>
      <c r="C1997" s="38" t="n"/>
      <c r="D1997" s="32" t="n"/>
      <c r="E1997" s="43">
        <f>IF(OR(A1997="",B1997=""),"",SUMPRODUCT(MAX(($B$6:$B$2005=B1997)*($A$6:$A$2005&lt;A1997)*$A$6:$A$2005)))</f>
        <v/>
      </c>
      <c r="F1997" s="41">
        <f>IF(OR(E1997="",E1997=0),"",IFERROR(AVERAGEIFS($C$6:$C$2005,$B$6:$B$2005,B1997,$A$6:$A$2005,E1997),""))</f>
        <v/>
      </c>
      <c r="G1997" s="34">
        <f>IF(F1997="","",A1997-E1997)</f>
        <v/>
      </c>
      <c r="H1997" s="42">
        <f>IF(OR(F1997="",C1997=""),"",IFERROR((C1997-F1997)/G1997,""))</f>
        <v/>
      </c>
      <c r="I1997" s="39">
        <f>IF(B1997="","",IFERROR(INDEX('Animais'!$M$6:$M$1005,MATCH(B1997,'Animais'!$A$6:$A$1005,0)),"Brinco não cadastrado"))</f>
        <v/>
      </c>
    </row>
    <row r="1998">
      <c r="A1998" s="31" t="n"/>
      <c r="B1998" s="36" t="n"/>
      <c r="C1998" s="38" t="n"/>
      <c r="D1998" s="32" t="n"/>
      <c r="E1998" s="43">
        <f>IF(OR(A1998="",B1998=""),"",SUMPRODUCT(MAX(($B$6:$B$2005=B1998)*($A$6:$A$2005&lt;A1998)*$A$6:$A$2005)))</f>
        <v/>
      </c>
      <c r="F1998" s="41">
        <f>IF(OR(E1998="",E1998=0),"",IFERROR(AVERAGEIFS($C$6:$C$2005,$B$6:$B$2005,B1998,$A$6:$A$2005,E1998),""))</f>
        <v/>
      </c>
      <c r="G1998" s="34">
        <f>IF(F1998="","",A1998-E1998)</f>
        <v/>
      </c>
      <c r="H1998" s="42">
        <f>IF(OR(F1998="",C1998=""),"",IFERROR((C1998-F1998)/G1998,""))</f>
        <v/>
      </c>
      <c r="I1998" s="39">
        <f>IF(B1998="","",IFERROR(INDEX('Animais'!$M$6:$M$1005,MATCH(B1998,'Animais'!$A$6:$A$1005,0)),"Brinco não cadastrado"))</f>
        <v/>
      </c>
    </row>
    <row r="1999">
      <c r="A1999" s="31" t="n"/>
      <c r="B1999" s="36" t="n"/>
      <c r="C1999" s="38" t="n"/>
      <c r="D1999" s="32" t="n"/>
      <c r="E1999" s="43">
        <f>IF(OR(A1999="",B1999=""),"",SUMPRODUCT(MAX(($B$6:$B$2005=B1999)*($A$6:$A$2005&lt;A1999)*$A$6:$A$2005)))</f>
        <v/>
      </c>
      <c r="F1999" s="41">
        <f>IF(OR(E1999="",E1999=0),"",IFERROR(AVERAGEIFS($C$6:$C$2005,$B$6:$B$2005,B1999,$A$6:$A$2005,E1999),""))</f>
        <v/>
      </c>
      <c r="G1999" s="34">
        <f>IF(F1999="","",A1999-E1999)</f>
        <v/>
      </c>
      <c r="H1999" s="42">
        <f>IF(OR(F1999="",C1999=""),"",IFERROR((C1999-F1999)/G1999,""))</f>
        <v/>
      </c>
      <c r="I1999" s="39">
        <f>IF(B1999="","",IFERROR(INDEX('Animais'!$M$6:$M$1005,MATCH(B1999,'Animais'!$A$6:$A$1005,0)),"Brinco não cadastrado"))</f>
        <v/>
      </c>
    </row>
    <row r="2000">
      <c r="A2000" s="31" t="n"/>
      <c r="B2000" s="36" t="n"/>
      <c r="C2000" s="38" t="n"/>
      <c r="D2000" s="32" t="n"/>
      <c r="E2000" s="43">
        <f>IF(OR(A2000="",B2000=""),"",SUMPRODUCT(MAX(($B$6:$B$2005=B2000)*($A$6:$A$2005&lt;A2000)*$A$6:$A$2005)))</f>
        <v/>
      </c>
      <c r="F2000" s="41">
        <f>IF(OR(E2000="",E2000=0),"",IFERROR(AVERAGEIFS($C$6:$C$2005,$B$6:$B$2005,B2000,$A$6:$A$2005,E2000),""))</f>
        <v/>
      </c>
      <c r="G2000" s="34">
        <f>IF(F2000="","",A2000-E2000)</f>
        <v/>
      </c>
      <c r="H2000" s="42">
        <f>IF(OR(F2000="",C2000=""),"",IFERROR((C2000-F2000)/G2000,""))</f>
        <v/>
      </c>
      <c r="I2000" s="39">
        <f>IF(B2000="","",IFERROR(INDEX('Animais'!$M$6:$M$1005,MATCH(B2000,'Animais'!$A$6:$A$1005,0)),"Brinco não cadastrado"))</f>
        <v/>
      </c>
    </row>
    <row r="2001">
      <c r="A2001" s="31" t="n"/>
      <c r="B2001" s="36" t="n"/>
      <c r="C2001" s="38" t="n"/>
      <c r="D2001" s="32" t="n"/>
      <c r="E2001" s="43">
        <f>IF(OR(A2001="",B2001=""),"",SUMPRODUCT(MAX(($B$6:$B$2005=B2001)*($A$6:$A$2005&lt;A2001)*$A$6:$A$2005)))</f>
        <v/>
      </c>
      <c r="F2001" s="41">
        <f>IF(OR(E2001="",E2001=0),"",IFERROR(AVERAGEIFS($C$6:$C$2005,$B$6:$B$2005,B2001,$A$6:$A$2005,E2001),""))</f>
        <v/>
      </c>
      <c r="G2001" s="34">
        <f>IF(F2001="","",A2001-E2001)</f>
        <v/>
      </c>
      <c r="H2001" s="42">
        <f>IF(OR(F2001="",C2001=""),"",IFERROR((C2001-F2001)/G2001,""))</f>
        <v/>
      </c>
      <c r="I2001" s="39">
        <f>IF(B2001="","",IFERROR(INDEX('Animais'!$M$6:$M$1005,MATCH(B2001,'Animais'!$A$6:$A$1005,0)),"Brinco não cadastrado"))</f>
        <v/>
      </c>
    </row>
    <row r="2002">
      <c r="A2002" s="31" t="n"/>
      <c r="B2002" s="36" t="n"/>
      <c r="C2002" s="38" t="n"/>
      <c r="D2002" s="32" t="n"/>
      <c r="E2002" s="43">
        <f>IF(OR(A2002="",B2002=""),"",SUMPRODUCT(MAX(($B$6:$B$2005=B2002)*($A$6:$A$2005&lt;A2002)*$A$6:$A$2005)))</f>
        <v/>
      </c>
      <c r="F2002" s="41">
        <f>IF(OR(E2002="",E2002=0),"",IFERROR(AVERAGEIFS($C$6:$C$2005,$B$6:$B$2005,B2002,$A$6:$A$2005,E2002),""))</f>
        <v/>
      </c>
      <c r="G2002" s="34">
        <f>IF(F2002="","",A2002-E2002)</f>
        <v/>
      </c>
      <c r="H2002" s="42">
        <f>IF(OR(F2002="",C2002=""),"",IFERROR((C2002-F2002)/G2002,""))</f>
        <v/>
      </c>
      <c r="I2002" s="39">
        <f>IF(B2002="","",IFERROR(INDEX('Animais'!$M$6:$M$1005,MATCH(B2002,'Animais'!$A$6:$A$1005,0)),"Brinco não cadastrado"))</f>
        <v/>
      </c>
    </row>
    <row r="2003">
      <c r="A2003" s="31" t="n"/>
      <c r="B2003" s="36" t="n"/>
      <c r="C2003" s="38" t="n"/>
      <c r="D2003" s="32" t="n"/>
      <c r="E2003" s="43">
        <f>IF(OR(A2003="",B2003=""),"",SUMPRODUCT(MAX(($B$6:$B$2005=B2003)*($A$6:$A$2005&lt;A2003)*$A$6:$A$2005)))</f>
        <v/>
      </c>
      <c r="F2003" s="41">
        <f>IF(OR(E2003="",E2003=0),"",IFERROR(AVERAGEIFS($C$6:$C$2005,$B$6:$B$2005,B2003,$A$6:$A$2005,E2003),""))</f>
        <v/>
      </c>
      <c r="G2003" s="34">
        <f>IF(F2003="","",A2003-E2003)</f>
        <v/>
      </c>
      <c r="H2003" s="42">
        <f>IF(OR(F2003="",C2003=""),"",IFERROR((C2003-F2003)/G2003,""))</f>
        <v/>
      </c>
      <c r="I2003" s="39">
        <f>IF(B2003="","",IFERROR(INDEX('Animais'!$M$6:$M$1005,MATCH(B2003,'Animais'!$A$6:$A$1005,0)),"Brinco não cadastrado"))</f>
        <v/>
      </c>
    </row>
    <row r="2004">
      <c r="A2004" s="31" t="n"/>
      <c r="B2004" s="36" t="n"/>
      <c r="C2004" s="38" t="n"/>
      <c r="D2004" s="32" t="n"/>
      <c r="E2004" s="43">
        <f>IF(OR(A2004="",B2004=""),"",SUMPRODUCT(MAX(($B$6:$B$2005=B2004)*($A$6:$A$2005&lt;A2004)*$A$6:$A$2005)))</f>
        <v/>
      </c>
      <c r="F2004" s="41">
        <f>IF(OR(E2004="",E2004=0),"",IFERROR(AVERAGEIFS($C$6:$C$2005,$B$6:$B$2005,B2004,$A$6:$A$2005,E2004),""))</f>
        <v/>
      </c>
      <c r="G2004" s="34">
        <f>IF(F2004="","",A2004-E2004)</f>
        <v/>
      </c>
      <c r="H2004" s="42">
        <f>IF(OR(F2004="",C2004=""),"",IFERROR((C2004-F2004)/G2004,""))</f>
        <v/>
      </c>
      <c r="I2004" s="39">
        <f>IF(B2004="","",IFERROR(INDEX('Animais'!$M$6:$M$1005,MATCH(B2004,'Animais'!$A$6:$A$1005,0)),"Brinco não cadastrado"))</f>
        <v/>
      </c>
    </row>
    <row r="2005">
      <c r="A2005" s="31" t="n"/>
      <c r="B2005" s="36" t="n"/>
      <c r="C2005" s="38" t="n"/>
      <c r="D2005" s="32" t="n"/>
      <c r="E2005" s="43">
        <f>IF(OR(A2005="",B2005=""),"",SUMPRODUCT(MAX(($B$6:$B$2005=B2005)*($A$6:$A$2005&lt;A2005)*$A$6:$A$2005)))</f>
        <v/>
      </c>
      <c r="F2005" s="41">
        <f>IF(OR(E2005="",E2005=0),"",IFERROR(AVERAGEIFS($C$6:$C$2005,$B$6:$B$2005,B2005,$A$6:$A$2005,E2005),""))</f>
        <v/>
      </c>
      <c r="G2005" s="34">
        <f>IF(F2005="","",A2005-E2005)</f>
        <v/>
      </c>
      <c r="H2005" s="42">
        <f>IF(OR(F2005="",C2005=""),"",IFERROR((C2005-F2005)/G2005,""))</f>
        <v/>
      </c>
      <c r="I2005" s="39">
        <f>IF(B2005="","",IFERROR(INDEX('Animais'!$M$6:$M$1005,MATCH(B2005,'Animais'!$A$6:$A$1005,0)),"Brinco não cadastrado"))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I2005"/>
  <conditionalFormatting sqref="I6:I2005">
    <cfRule type="cellIs" priority="1" operator="equal" dxfId="1">
      <formula>"Brinco não cadastrado"</formula>
    </cfRule>
  </conditionalFormatting>
  <dataValidations count="3">
    <dataValidation sqref="A6:A2005" showDropDown="0" showInputMessage="0" showErrorMessage="1" allowBlank="1" errorTitle="Data inválida" error="Digite uma data válida (dd/mm/aaaa)." type="date" operator="between">
      <formula1>DATE(1990,1,1)</formula1>
      <formula2>DATE(2100,12,31)</formula2>
    </dataValidation>
    <dataValidation sqref="B6:B2005" showDropDown="0" showInputMessage="1" showErrorMessage="1" allowBlank="1" errorTitle="Valor inválido" error="Escolha um valor da lista." prompt="Brinco cadastrado na aba Animais" type="list" errorStyle="stop">
      <formula1>'Animais'!$A$6:$A$1005</formula1>
    </dataValidation>
    <dataValidation sqref="C6:C2005" showDropDown="0" showInputMessage="0" showErrorMessage="1" allowBlank="1" errorTitle="Valor inválido" error="Peso em kg (0 a 2000)." type="decimal" operator="between">
      <formula1>0</formula1>
      <formula2>2000</formula2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05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4" customWidth="1" min="5" max="5"/>
    <col width="28" customWidth="1" min="6" max="6"/>
    <col width="24" customWidth="1" min="7" max="7"/>
    <col width="18" customWidth="1" min="8" max="8"/>
    <col width="8" customWidth="1" min="9" max="9"/>
    <col width="11" customWidth="1" min="10" max="10"/>
  </cols>
  <sheetData>
    <row r="1" ht="36" customHeight="1">
      <c r="A1" s="1" t="inlineStr">
        <is>
          <t>Movimentações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Nascimentos, compras, vendas e mortes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5" ht="32" customHeight="1">
      <c r="A5" s="18" t="inlineStr">
        <is>
          <t>Data</t>
        </is>
      </c>
      <c r="B5" s="18" t="inlineStr">
        <is>
          <t>Tipo</t>
        </is>
      </c>
      <c r="C5" s="18" t="inlineStr">
        <is>
          <t>Brinco</t>
        </is>
      </c>
      <c r="D5" s="18" t="inlineStr">
        <is>
          <t>Peso (kg)</t>
        </is>
      </c>
      <c r="E5" s="18" t="inlineStr">
        <is>
          <t>Valor (R$)</t>
        </is>
      </c>
      <c r="F5" s="18" t="inlineStr">
        <is>
          <t>Comprador / fornecedor / causa</t>
        </is>
      </c>
      <c r="G5" s="18" t="inlineStr">
        <is>
          <t>Observação</t>
        </is>
      </c>
      <c r="H5" s="18" t="inlineStr">
        <is>
          <t>Categoria</t>
        </is>
      </c>
      <c r="I5" s="18" t="inlineStr">
        <is>
          <t>Ano</t>
        </is>
      </c>
      <c r="J5" s="18" t="inlineStr">
        <is>
          <t>R$ por kg</t>
        </is>
      </c>
    </row>
    <row r="6">
      <c r="A6" s="31" t="n"/>
      <c r="B6" s="37" t="n"/>
      <c r="C6" s="36" t="n"/>
      <c r="D6" s="38" t="n"/>
      <c r="E6" s="44" t="n"/>
      <c r="F6" s="32" t="n"/>
      <c r="G6" s="32" t="n"/>
      <c r="H6" s="39">
        <f>IF(C6="","",IFERROR(INDEX('Animais'!$M$6:$M$1005,MATCH(C6,'Animais'!$A$6:$A$1005,0)),"Brinco não cadastrado"))</f>
        <v/>
      </c>
      <c r="I6" s="34">
        <f>IF(A6="","",YEAR(A6))</f>
        <v/>
      </c>
      <c r="J6" s="45">
        <f>IF(OR(N(D6)=0,N(E6)=0),"",IFERROR(E6/D6,""))</f>
        <v/>
      </c>
    </row>
    <row r="7">
      <c r="A7" s="31" t="n"/>
      <c r="B7" s="37" t="n"/>
      <c r="C7" s="36" t="n"/>
      <c r="D7" s="38" t="n"/>
      <c r="E7" s="44" t="n"/>
      <c r="F7" s="32" t="n"/>
      <c r="G7" s="32" t="n"/>
      <c r="H7" s="39">
        <f>IF(C7="","",IFERROR(INDEX('Animais'!$M$6:$M$1005,MATCH(C7,'Animais'!$A$6:$A$1005,0)),"Brinco não cadastrado"))</f>
        <v/>
      </c>
      <c r="I7" s="34">
        <f>IF(A7="","",YEAR(A7))</f>
        <v/>
      </c>
      <c r="J7" s="45">
        <f>IF(OR(N(D7)=0,N(E7)=0),"",IFERROR(E7/D7,""))</f>
        <v/>
      </c>
    </row>
    <row r="8">
      <c r="A8" s="31" t="n"/>
      <c r="B8" s="37" t="n"/>
      <c r="C8" s="36" t="n"/>
      <c r="D8" s="38" t="n"/>
      <c r="E8" s="44" t="n"/>
      <c r="F8" s="32" t="n"/>
      <c r="G8" s="32" t="n"/>
      <c r="H8" s="39">
        <f>IF(C8="","",IFERROR(INDEX('Animais'!$M$6:$M$1005,MATCH(C8,'Animais'!$A$6:$A$1005,0)),"Brinco não cadastrado"))</f>
        <v/>
      </c>
      <c r="I8" s="34">
        <f>IF(A8="","",YEAR(A8))</f>
        <v/>
      </c>
      <c r="J8" s="45">
        <f>IF(OR(N(D8)=0,N(E8)=0),"",IFERROR(E8/D8,""))</f>
        <v/>
      </c>
    </row>
    <row r="9">
      <c r="A9" s="31" t="n"/>
      <c r="B9" s="37" t="n"/>
      <c r="C9" s="36" t="n"/>
      <c r="D9" s="38" t="n"/>
      <c r="E9" s="44" t="n"/>
      <c r="F9" s="32" t="n"/>
      <c r="G9" s="32" t="n"/>
      <c r="H9" s="39">
        <f>IF(C9="","",IFERROR(INDEX('Animais'!$M$6:$M$1005,MATCH(C9,'Animais'!$A$6:$A$1005,0)),"Brinco não cadastrado"))</f>
        <v/>
      </c>
      <c r="I9" s="34">
        <f>IF(A9="","",YEAR(A9))</f>
        <v/>
      </c>
      <c r="J9" s="45">
        <f>IF(OR(N(D9)=0,N(E9)=0),"",IFERROR(E9/D9,""))</f>
        <v/>
      </c>
    </row>
    <row r="10">
      <c r="A10" s="31" t="n"/>
      <c r="B10" s="37" t="n"/>
      <c r="C10" s="36" t="n"/>
      <c r="D10" s="38" t="n"/>
      <c r="E10" s="44" t="n"/>
      <c r="F10" s="32" t="n"/>
      <c r="G10" s="32" t="n"/>
      <c r="H10" s="39">
        <f>IF(C10="","",IFERROR(INDEX('Animais'!$M$6:$M$1005,MATCH(C10,'Animais'!$A$6:$A$1005,0)),"Brinco não cadastrado"))</f>
        <v/>
      </c>
      <c r="I10" s="34">
        <f>IF(A10="","",YEAR(A10))</f>
        <v/>
      </c>
      <c r="J10" s="45">
        <f>IF(OR(N(D10)=0,N(E10)=0),"",IFERROR(E10/D10,""))</f>
        <v/>
      </c>
    </row>
    <row r="11">
      <c r="A11" s="31" t="n"/>
      <c r="B11" s="37" t="n"/>
      <c r="C11" s="36" t="n"/>
      <c r="D11" s="38" t="n"/>
      <c r="E11" s="44" t="n"/>
      <c r="F11" s="32" t="n"/>
      <c r="G11" s="32" t="n"/>
      <c r="H11" s="39">
        <f>IF(C11="","",IFERROR(INDEX('Animais'!$M$6:$M$1005,MATCH(C11,'Animais'!$A$6:$A$1005,0)),"Brinco não cadastrado"))</f>
        <v/>
      </c>
      <c r="I11" s="34">
        <f>IF(A11="","",YEAR(A11))</f>
        <v/>
      </c>
      <c r="J11" s="45">
        <f>IF(OR(N(D11)=0,N(E11)=0),"",IFERROR(E11/D11,""))</f>
        <v/>
      </c>
    </row>
    <row r="12">
      <c r="A12" s="31" t="n"/>
      <c r="B12" s="37" t="n"/>
      <c r="C12" s="36" t="n"/>
      <c r="D12" s="38" t="n"/>
      <c r="E12" s="44" t="n"/>
      <c r="F12" s="32" t="n"/>
      <c r="G12" s="32" t="n"/>
      <c r="H12" s="39">
        <f>IF(C12="","",IFERROR(INDEX('Animais'!$M$6:$M$1005,MATCH(C12,'Animais'!$A$6:$A$1005,0)),"Brinco não cadastrado"))</f>
        <v/>
      </c>
      <c r="I12" s="34">
        <f>IF(A12="","",YEAR(A12))</f>
        <v/>
      </c>
      <c r="J12" s="45">
        <f>IF(OR(N(D12)=0,N(E12)=0),"",IFERROR(E12/D12,""))</f>
        <v/>
      </c>
    </row>
    <row r="13">
      <c r="A13" s="31" t="n"/>
      <c r="B13" s="37" t="n"/>
      <c r="C13" s="36" t="n"/>
      <c r="D13" s="38" t="n"/>
      <c r="E13" s="44" t="n"/>
      <c r="F13" s="32" t="n"/>
      <c r="G13" s="32" t="n"/>
      <c r="H13" s="39">
        <f>IF(C13="","",IFERROR(INDEX('Animais'!$M$6:$M$1005,MATCH(C13,'Animais'!$A$6:$A$1005,0)),"Brinco não cadastrado"))</f>
        <v/>
      </c>
      <c r="I13" s="34">
        <f>IF(A13="","",YEAR(A13))</f>
        <v/>
      </c>
      <c r="J13" s="45">
        <f>IF(OR(N(D13)=0,N(E13)=0),"",IFERROR(E13/D13,""))</f>
        <v/>
      </c>
    </row>
    <row r="14">
      <c r="A14" s="31" t="n"/>
      <c r="B14" s="37" t="n"/>
      <c r="C14" s="36" t="n"/>
      <c r="D14" s="38" t="n"/>
      <c r="E14" s="44" t="n"/>
      <c r="F14" s="32" t="n"/>
      <c r="G14" s="32" t="n"/>
      <c r="H14" s="39">
        <f>IF(C14="","",IFERROR(INDEX('Animais'!$M$6:$M$1005,MATCH(C14,'Animais'!$A$6:$A$1005,0)),"Brinco não cadastrado"))</f>
        <v/>
      </c>
      <c r="I14" s="34">
        <f>IF(A14="","",YEAR(A14))</f>
        <v/>
      </c>
      <c r="J14" s="45">
        <f>IF(OR(N(D14)=0,N(E14)=0),"",IFERROR(E14/D14,""))</f>
        <v/>
      </c>
    </row>
    <row r="15">
      <c r="A15" s="31" t="n"/>
      <c r="B15" s="37" t="n"/>
      <c r="C15" s="36" t="n"/>
      <c r="D15" s="38" t="n"/>
      <c r="E15" s="44" t="n"/>
      <c r="F15" s="32" t="n"/>
      <c r="G15" s="32" t="n"/>
      <c r="H15" s="39">
        <f>IF(C15="","",IFERROR(INDEX('Animais'!$M$6:$M$1005,MATCH(C15,'Animais'!$A$6:$A$1005,0)),"Brinco não cadastrado"))</f>
        <v/>
      </c>
      <c r="I15" s="34">
        <f>IF(A15="","",YEAR(A15))</f>
        <v/>
      </c>
      <c r="J15" s="45">
        <f>IF(OR(N(D15)=0,N(E15)=0),"",IFERROR(E15/D15,""))</f>
        <v/>
      </c>
    </row>
    <row r="16">
      <c r="A16" s="31" t="n"/>
      <c r="B16" s="37" t="n"/>
      <c r="C16" s="36" t="n"/>
      <c r="D16" s="38" t="n"/>
      <c r="E16" s="44" t="n"/>
      <c r="F16" s="32" t="n"/>
      <c r="G16" s="32" t="n"/>
      <c r="H16" s="39">
        <f>IF(C16="","",IFERROR(INDEX('Animais'!$M$6:$M$1005,MATCH(C16,'Animais'!$A$6:$A$1005,0)),"Brinco não cadastrado"))</f>
        <v/>
      </c>
      <c r="I16" s="34">
        <f>IF(A16="","",YEAR(A16))</f>
        <v/>
      </c>
      <c r="J16" s="45">
        <f>IF(OR(N(D16)=0,N(E16)=0),"",IFERROR(E16/D16,""))</f>
        <v/>
      </c>
    </row>
    <row r="17">
      <c r="A17" s="31" t="n"/>
      <c r="B17" s="37" t="n"/>
      <c r="C17" s="36" t="n"/>
      <c r="D17" s="38" t="n"/>
      <c r="E17" s="44" t="n"/>
      <c r="F17" s="32" t="n"/>
      <c r="G17" s="32" t="n"/>
      <c r="H17" s="39">
        <f>IF(C17="","",IFERROR(INDEX('Animais'!$M$6:$M$1005,MATCH(C17,'Animais'!$A$6:$A$1005,0)),"Brinco não cadastrado"))</f>
        <v/>
      </c>
      <c r="I17" s="34">
        <f>IF(A17="","",YEAR(A17))</f>
        <v/>
      </c>
      <c r="J17" s="45">
        <f>IF(OR(N(D17)=0,N(E17)=0),"",IFERROR(E17/D17,""))</f>
        <v/>
      </c>
    </row>
    <row r="18">
      <c r="A18" s="31" t="n"/>
      <c r="B18" s="37" t="n"/>
      <c r="C18" s="36" t="n"/>
      <c r="D18" s="38" t="n"/>
      <c r="E18" s="44" t="n"/>
      <c r="F18" s="32" t="n"/>
      <c r="G18" s="32" t="n"/>
      <c r="H18" s="39">
        <f>IF(C18="","",IFERROR(INDEX('Animais'!$M$6:$M$1005,MATCH(C18,'Animais'!$A$6:$A$1005,0)),"Brinco não cadastrado"))</f>
        <v/>
      </c>
      <c r="I18" s="34">
        <f>IF(A18="","",YEAR(A18))</f>
        <v/>
      </c>
      <c r="J18" s="45">
        <f>IF(OR(N(D18)=0,N(E18)=0),"",IFERROR(E18/D18,""))</f>
        <v/>
      </c>
    </row>
    <row r="19">
      <c r="A19" s="31" t="n"/>
      <c r="B19" s="37" t="n"/>
      <c r="C19" s="36" t="n"/>
      <c r="D19" s="38" t="n"/>
      <c r="E19" s="44" t="n"/>
      <c r="F19" s="32" t="n"/>
      <c r="G19" s="32" t="n"/>
      <c r="H19" s="39">
        <f>IF(C19="","",IFERROR(INDEX('Animais'!$M$6:$M$1005,MATCH(C19,'Animais'!$A$6:$A$1005,0)),"Brinco não cadastrado"))</f>
        <v/>
      </c>
      <c r="I19" s="34">
        <f>IF(A19="","",YEAR(A19))</f>
        <v/>
      </c>
      <c r="J19" s="45">
        <f>IF(OR(N(D19)=0,N(E19)=0),"",IFERROR(E19/D19,""))</f>
        <v/>
      </c>
    </row>
    <row r="20">
      <c r="A20" s="31" t="n"/>
      <c r="B20" s="37" t="n"/>
      <c r="C20" s="36" t="n"/>
      <c r="D20" s="38" t="n"/>
      <c r="E20" s="44" t="n"/>
      <c r="F20" s="32" t="n"/>
      <c r="G20" s="32" t="n"/>
      <c r="H20" s="39">
        <f>IF(C20="","",IFERROR(INDEX('Animais'!$M$6:$M$1005,MATCH(C20,'Animais'!$A$6:$A$1005,0)),"Brinco não cadastrado"))</f>
        <v/>
      </c>
      <c r="I20" s="34">
        <f>IF(A20="","",YEAR(A20))</f>
        <v/>
      </c>
      <c r="J20" s="45">
        <f>IF(OR(N(D20)=0,N(E20)=0),"",IFERROR(E20/D20,""))</f>
        <v/>
      </c>
    </row>
    <row r="21">
      <c r="A21" s="31" t="n"/>
      <c r="B21" s="37" t="n"/>
      <c r="C21" s="36" t="n"/>
      <c r="D21" s="38" t="n"/>
      <c r="E21" s="44" t="n"/>
      <c r="F21" s="32" t="n"/>
      <c r="G21" s="32" t="n"/>
      <c r="H21" s="39">
        <f>IF(C21="","",IFERROR(INDEX('Animais'!$M$6:$M$1005,MATCH(C21,'Animais'!$A$6:$A$1005,0)),"Brinco não cadastrado"))</f>
        <v/>
      </c>
      <c r="I21" s="34">
        <f>IF(A21="","",YEAR(A21))</f>
        <v/>
      </c>
      <c r="J21" s="45">
        <f>IF(OR(N(D21)=0,N(E21)=0),"",IFERROR(E21/D21,""))</f>
        <v/>
      </c>
    </row>
    <row r="22">
      <c r="A22" s="31" t="n"/>
      <c r="B22" s="37" t="n"/>
      <c r="C22" s="36" t="n"/>
      <c r="D22" s="38" t="n"/>
      <c r="E22" s="44" t="n"/>
      <c r="F22" s="32" t="n"/>
      <c r="G22" s="32" t="n"/>
      <c r="H22" s="39">
        <f>IF(C22="","",IFERROR(INDEX('Animais'!$M$6:$M$1005,MATCH(C22,'Animais'!$A$6:$A$1005,0)),"Brinco não cadastrado"))</f>
        <v/>
      </c>
      <c r="I22" s="34">
        <f>IF(A22="","",YEAR(A22))</f>
        <v/>
      </c>
      <c r="J22" s="45">
        <f>IF(OR(N(D22)=0,N(E22)=0),"",IFERROR(E22/D22,""))</f>
        <v/>
      </c>
    </row>
    <row r="23">
      <c r="A23" s="31" t="n"/>
      <c r="B23" s="37" t="n"/>
      <c r="C23" s="36" t="n"/>
      <c r="D23" s="38" t="n"/>
      <c r="E23" s="44" t="n"/>
      <c r="F23" s="32" t="n"/>
      <c r="G23" s="32" t="n"/>
      <c r="H23" s="39">
        <f>IF(C23="","",IFERROR(INDEX('Animais'!$M$6:$M$1005,MATCH(C23,'Animais'!$A$6:$A$1005,0)),"Brinco não cadastrado"))</f>
        <v/>
      </c>
      <c r="I23" s="34">
        <f>IF(A23="","",YEAR(A23))</f>
        <v/>
      </c>
      <c r="J23" s="45">
        <f>IF(OR(N(D23)=0,N(E23)=0),"",IFERROR(E23/D23,""))</f>
        <v/>
      </c>
    </row>
    <row r="24">
      <c r="A24" s="31" t="n"/>
      <c r="B24" s="37" t="n"/>
      <c r="C24" s="36" t="n"/>
      <c r="D24" s="38" t="n"/>
      <c r="E24" s="44" t="n"/>
      <c r="F24" s="32" t="n"/>
      <c r="G24" s="32" t="n"/>
      <c r="H24" s="39">
        <f>IF(C24="","",IFERROR(INDEX('Animais'!$M$6:$M$1005,MATCH(C24,'Animais'!$A$6:$A$1005,0)),"Brinco não cadastrado"))</f>
        <v/>
      </c>
      <c r="I24" s="34">
        <f>IF(A24="","",YEAR(A24))</f>
        <v/>
      </c>
      <c r="J24" s="45">
        <f>IF(OR(N(D24)=0,N(E24)=0),"",IFERROR(E24/D24,""))</f>
        <v/>
      </c>
    </row>
    <row r="25">
      <c r="A25" s="31" t="n"/>
      <c r="B25" s="37" t="n"/>
      <c r="C25" s="36" t="n"/>
      <c r="D25" s="38" t="n"/>
      <c r="E25" s="44" t="n"/>
      <c r="F25" s="32" t="n"/>
      <c r="G25" s="32" t="n"/>
      <c r="H25" s="39">
        <f>IF(C25="","",IFERROR(INDEX('Animais'!$M$6:$M$1005,MATCH(C25,'Animais'!$A$6:$A$1005,0)),"Brinco não cadastrado"))</f>
        <v/>
      </c>
      <c r="I25" s="34">
        <f>IF(A25="","",YEAR(A25))</f>
        <v/>
      </c>
      <c r="J25" s="45">
        <f>IF(OR(N(D25)=0,N(E25)=0),"",IFERROR(E25/D25,""))</f>
        <v/>
      </c>
    </row>
    <row r="26">
      <c r="A26" s="31" t="n"/>
      <c r="B26" s="37" t="n"/>
      <c r="C26" s="36" t="n"/>
      <c r="D26" s="38" t="n"/>
      <c r="E26" s="44" t="n"/>
      <c r="F26" s="32" t="n"/>
      <c r="G26" s="32" t="n"/>
      <c r="H26" s="39">
        <f>IF(C26="","",IFERROR(INDEX('Animais'!$M$6:$M$1005,MATCH(C26,'Animais'!$A$6:$A$1005,0)),"Brinco não cadastrado"))</f>
        <v/>
      </c>
      <c r="I26" s="34">
        <f>IF(A26="","",YEAR(A26))</f>
        <v/>
      </c>
      <c r="J26" s="45">
        <f>IF(OR(N(D26)=0,N(E26)=0),"",IFERROR(E26/D26,""))</f>
        <v/>
      </c>
    </row>
    <row r="27">
      <c r="A27" s="31" t="n"/>
      <c r="B27" s="37" t="n"/>
      <c r="C27" s="36" t="n"/>
      <c r="D27" s="38" t="n"/>
      <c r="E27" s="44" t="n"/>
      <c r="F27" s="32" t="n"/>
      <c r="G27" s="32" t="n"/>
      <c r="H27" s="39">
        <f>IF(C27="","",IFERROR(INDEX('Animais'!$M$6:$M$1005,MATCH(C27,'Animais'!$A$6:$A$1005,0)),"Brinco não cadastrado"))</f>
        <v/>
      </c>
      <c r="I27" s="34">
        <f>IF(A27="","",YEAR(A27))</f>
        <v/>
      </c>
      <c r="J27" s="45">
        <f>IF(OR(N(D27)=0,N(E27)=0),"",IFERROR(E27/D27,""))</f>
        <v/>
      </c>
    </row>
    <row r="28">
      <c r="A28" s="31" t="n"/>
      <c r="B28" s="37" t="n"/>
      <c r="C28" s="36" t="n"/>
      <c r="D28" s="38" t="n"/>
      <c r="E28" s="44" t="n"/>
      <c r="F28" s="32" t="n"/>
      <c r="G28" s="32" t="n"/>
      <c r="H28" s="39">
        <f>IF(C28="","",IFERROR(INDEX('Animais'!$M$6:$M$1005,MATCH(C28,'Animais'!$A$6:$A$1005,0)),"Brinco não cadastrado"))</f>
        <v/>
      </c>
      <c r="I28" s="34">
        <f>IF(A28="","",YEAR(A28))</f>
        <v/>
      </c>
      <c r="J28" s="45">
        <f>IF(OR(N(D28)=0,N(E28)=0),"",IFERROR(E28/D28,""))</f>
        <v/>
      </c>
    </row>
    <row r="29">
      <c r="A29" s="31" t="n"/>
      <c r="B29" s="37" t="n"/>
      <c r="C29" s="36" t="n"/>
      <c r="D29" s="38" t="n"/>
      <c r="E29" s="44" t="n"/>
      <c r="F29" s="32" t="n"/>
      <c r="G29" s="32" t="n"/>
      <c r="H29" s="39">
        <f>IF(C29="","",IFERROR(INDEX('Animais'!$M$6:$M$1005,MATCH(C29,'Animais'!$A$6:$A$1005,0)),"Brinco não cadastrado"))</f>
        <v/>
      </c>
      <c r="I29" s="34">
        <f>IF(A29="","",YEAR(A29))</f>
        <v/>
      </c>
      <c r="J29" s="45">
        <f>IF(OR(N(D29)=0,N(E29)=0),"",IFERROR(E29/D29,""))</f>
        <v/>
      </c>
    </row>
    <row r="30">
      <c r="A30" s="31" t="n"/>
      <c r="B30" s="37" t="n"/>
      <c r="C30" s="36" t="n"/>
      <c r="D30" s="38" t="n"/>
      <c r="E30" s="44" t="n"/>
      <c r="F30" s="32" t="n"/>
      <c r="G30" s="32" t="n"/>
      <c r="H30" s="39">
        <f>IF(C30="","",IFERROR(INDEX('Animais'!$M$6:$M$1005,MATCH(C30,'Animais'!$A$6:$A$1005,0)),"Brinco não cadastrado"))</f>
        <v/>
      </c>
      <c r="I30" s="34">
        <f>IF(A30="","",YEAR(A30))</f>
        <v/>
      </c>
      <c r="J30" s="45">
        <f>IF(OR(N(D30)=0,N(E30)=0),"",IFERROR(E30/D30,""))</f>
        <v/>
      </c>
    </row>
    <row r="31">
      <c r="A31" s="31" t="n"/>
      <c r="B31" s="37" t="n"/>
      <c r="C31" s="36" t="n"/>
      <c r="D31" s="38" t="n"/>
      <c r="E31" s="44" t="n"/>
      <c r="F31" s="32" t="n"/>
      <c r="G31" s="32" t="n"/>
      <c r="H31" s="39">
        <f>IF(C31="","",IFERROR(INDEX('Animais'!$M$6:$M$1005,MATCH(C31,'Animais'!$A$6:$A$1005,0)),"Brinco não cadastrado"))</f>
        <v/>
      </c>
      <c r="I31" s="34">
        <f>IF(A31="","",YEAR(A31))</f>
        <v/>
      </c>
      <c r="J31" s="45">
        <f>IF(OR(N(D31)=0,N(E31)=0),"",IFERROR(E31/D31,""))</f>
        <v/>
      </c>
    </row>
    <row r="32">
      <c r="A32" s="31" t="n"/>
      <c r="B32" s="37" t="n"/>
      <c r="C32" s="36" t="n"/>
      <c r="D32" s="38" t="n"/>
      <c r="E32" s="44" t="n"/>
      <c r="F32" s="32" t="n"/>
      <c r="G32" s="32" t="n"/>
      <c r="H32" s="39">
        <f>IF(C32="","",IFERROR(INDEX('Animais'!$M$6:$M$1005,MATCH(C32,'Animais'!$A$6:$A$1005,0)),"Brinco não cadastrado"))</f>
        <v/>
      </c>
      <c r="I32" s="34">
        <f>IF(A32="","",YEAR(A32))</f>
        <v/>
      </c>
      <c r="J32" s="45">
        <f>IF(OR(N(D32)=0,N(E32)=0),"",IFERROR(E32/D32,""))</f>
        <v/>
      </c>
    </row>
    <row r="33">
      <c r="A33" s="31" t="n"/>
      <c r="B33" s="37" t="n"/>
      <c r="C33" s="36" t="n"/>
      <c r="D33" s="38" t="n"/>
      <c r="E33" s="44" t="n"/>
      <c r="F33" s="32" t="n"/>
      <c r="G33" s="32" t="n"/>
      <c r="H33" s="39">
        <f>IF(C33="","",IFERROR(INDEX('Animais'!$M$6:$M$1005,MATCH(C33,'Animais'!$A$6:$A$1005,0)),"Brinco não cadastrado"))</f>
        <v/>
      </c>
      <c r="I33" s="34">
        <f>IF(A33="","",YEAR(A33))</f>
        <v/>
      </c>
      <c r="J33" s="45">
        <f>IF(OR(N(D33)=0,N(E33)=0),"",IFERROR(E33/D33,""))</f>
        <v/>
      </c>
    </row>
    <row r="34">
      <c r="A34" s="31" t="n"/>
      <c r="B34" s="37" t="n"/>
      <c r="C34" s="36" t="n"/>
      <c r="D34" s="38" t="n"/>
      <c r="E34" s="44" t="n"/>
      <c r="F34" s="32" t="n"/>
      <c r="G34" s="32" t="n"/>
      <c r="H34" s="39">
        <f>IF(C34="","",IFERROR(INDEX('Animais'!$M$6:$M$1005,MATCH(C34,'Animais'!$A$6:$A$1005,0)),"Brinco não cadastrado"))</f>
        <v/>
      </c>
      <c r="I34" s="34">
        <f>IF(A34="","",YEAR(A34))</f>
        <v/>
      </c>
      <c r="J34" s="45">
        <f>IF(OR(N(D34)=0,N(E34)=0),"",IFERROR(E34/D34,""))</f>
        <v/>
      </c>
    </row>
    <row r="35">
      <c r="A35" s="31" t="n"/>
      <c r="B35" s="37" t="n"/>
      <c r="C35" s="36" t="n"/>
      <c r="D35" s="38" t="n"/>
      <c r="E35" s="44" t="n"/>
      <c r="F35" s="32" t="n"/>
      <c r="G35" s="32" t="n"/>
      <c r="H35" s="39">
        <f>IF(C35="","",IFERROR(INDEX('Animais'!$M$6:$M$1005,MATCH(C35,'Animais'!$A$6:$A$1005,0)),"Brinco não cadastrado"))</f>
        <v/>
      </c>
      <c r="I35" s="34">
        <f>IF(A35="","",YEAR(A35))</f>
        <v/>
      </c>
      <c r="J35" s="45">
        <f>IF(OR(N(D35)=0,N(E35)=0),"",IFERROR(E35/D35,""))</f>
        <v/>
      </c>
    </row>
    <row r="36">
      <c r="A36" s="31" t="n"/>
      <c r="B36" s="37" t="n"/>
      <c r="C36" s="36" t="n"/>
      <c r="D36" s="38" t="n"/>
      <c r="E36" s="44" t="n"/>
      <c r="F36" s="32" t="n"/>
      <c r="G36" s="32" t="n"/>
      <c r="H36" s="39">
        <f>IF(C36="","",IFERROR(INDEX('Animais'!$M$6:$M$1005,MATCH(C36,'Animais'!$A$6:$A$1005,0)),"Brinco não cadastrado"))</f>
        <v/>
      </c>
      <c r="I36" s="34">
        <f>IF(A36="","",YEAR(A36))</f>
        <v/>
      </c>
      <c r="J36" s="45">
        <f>IF(OR(N(D36)=0,N(E36)=0),"",IFERROR(E36/D36,""))</f>
        <v/>
      </c>
    </row>
    <row r="37">
      <c r="A37" s="31" t="n"/>
      <c r="B37" s="37" t="n"/>
      <c r="C37" s="36" t="n"/>
      <c r="D37" s="38" t="n"/>
      <c r="E37" s="44" t="n"/>
      <c r="F37" s="32" t="n"/>
      <c r="G37" s="32" t="n"/>
      <c r="H37" s="39">
        <f>IF(C37="","",IFERROR(INDEX('Animais'!$M$6:$M$1005,MATCH(C37,'Animais'!$A$6:$A$1005,0)),"Brinco não cadastrado"))</f>
        <v/>
      </c>
      <c r="I37" s="34">
        <f>IF(A37="","",YEAR(A37))</f>
        <v/>
      </c>
      <c r="J37" s="45">
        <f>IF(OR(N(D37)=0,N(E37)=0),"",IFERROR(E37/D37,""))</f>
        <v/>
      </c>
    </row>
    <row r="38">
      <c r="A38" s="31" t="n"/>
      <c r="B38" s="37" t="n"/>
      <c r="C38" s="36" t="n"/>
      <c r="D38" s="38" t="n"/>
      <c r="E38" s="44" t="n"/>
      <c r="F38" s="32" t="n"/>
      <c r="G38" s="32" t="n"/>
      <c r="H38" s="39">
        <f>IF(C38="","",IFERROR(INDEX('Animais'!$M$6:$M$1005,MATCH(C38,'Animais'!$A$6:$A$1005,0)),"Brinco não cadastrado"))</f>
        <v/>
      </c>
      <c r="I38" s="34">
        <f>IF(A38="","",YEAR(A38))</f>
        <v/>
      </c>
      <c r="J38" s="45">
        <f>IF(OR(N(D38)=0,N(E38)=0),"",IFERROR(E38/D38,""))</f>
        <v/>
      </c>
    </row>
    <row r="39">
      <c r="A39" s="31" t="n"/>
      <c r="B39" s="37" t="n"/>
      <c r="C39" s="36" t="n"/>
      <c r="D39" s="38" t="n"/>
      <c r="E39" s="44" t="n"/>
      <c r="F39" s="32" t="n"/>
      <c r="G39" s="32" t="n"/>
      <c r="H39" s="39">
        <f>IF(C39="","",IFERROR(INDEX('Animais'!$M$6:$M$1005,MATCH(C39,'Animais'!$A$6:$A$1005,0)),"Brinco não cadastrado"))</f>
        <v/>
      </c>
      <c r="I39" s="34">
        <f>IF(A39="","",YEAR(A39))</f>
        <v/>
      </c>
      <c r="J39" s="45">
        <f>IF(OR(N(D39)=0,N(E39)=0),"",IFERROR(E39/D39,""))</f>
        <v/>
      </c>
    </row>
    <row r="40">
      <c r="A40" s="31" t="n"/>
      <c r="B40" s="37" t="n"/>
      <c r="C40" s="36" t="n"/>
      <c r="D40" s="38" t="n"/>
      <c r="E40" s="44" t="n"/>
      <c r="F40" s="32" t="n"/>
      <c r="G40" s="32" t="n"/>
      <c r="H40" s="39">
        <f>IF(C40="","",IFERROR(INDEX('Animais'!$M$6:$M$1005,MATCH(C40,'Animais'!$A$6:$A$1005,0)),"Brinco não cadastrado"))</f>
        <v/>
      </c>
      <c r="I40" s="34">
        <f>IF(A40="","",YEAR(A40))</f>
        <v/>
      </c>
      <c r="J40" s="45">
        <f>IF(OR(N(D40)=0,N(E40)=0),"",IFERROR(E40/D40,""))</f>
        <v/>
      </c>
    </row>
    <row r="41">
      <c r="A41" s="31" t="n"/>
      <c r="B41" s="37" t="n"/>
      <c r="C41" s="36" t="n"/>
      <c r="D41" s="38" t="n"/>
      <c r="E41" s="44" t="n"/>
      <c r="F41" s="32" t="n"/>
      <c r="G41" s="32" t="n"/>
      <c r="H41" s="39">
        <f>IF(C41="","",IFERROR(INDEX('Animais'!$M$6:$M$1005,MATCH(C41,'Animais'!$A$6:$A$1005,0)),"Brinco não cadastrado"))</f>
        <v/>
      </c>
      <c r="I41" s="34">
        <f>IF(A41="","",YEAR(A41))</f>
        <v/>
      </c>
      <c r="J41" s="45">
        <f>IF(OR(N(D41)=0,N(E41)=0),"",IFERROR(E41/D41,""))</f>
        <v/>
      </c>
    </row>
    <row r="42">
      <c r="A42" s="31" t="n"/>
      <c r="B42" s="37" t="n"/>
      <c r="C42" s="36" t="n"/>
      <c r="D42" s="38" t="n"/>
      <c r="E42" s="44" t="n"/>
      <c r="F42" s="32" t="n"/>
      <c r="G42" s="32" t="n"/>
      <c r="H42" s="39">
        <f>IF(C42="","",IFERROR(INDEX('Animais'!$M$6:$M$1005,MATCH(C42,'Animais'!$A$6:$A$1005,0)),"Brinco não cadastrado"))</f>
        <v/>
      </c>
      <c r="I42" s="34">
        <f>IF(A42="","",YEAR(A42))</f>
        <v/>
      </c>
      <c r="J42" s="45">
        <f>IF(OR(N(D42)=0,N(E42)=0),"",IFERROR(E42/D42,""))</f>
        <v/>
      </c>
    </row>
    <row r="43">
      <c r="A43" s="31" t="n"/>
      <c r="B43" s="37" t="n"/>
      <c r="C43" s="36" t="n"/>
      <c r="D43" s="38" t="n"/>
      <c r="E43" s="44" t="n"/>
      <c r="F43" s="32" t="n"/>
      <c r="G43" s="32" t="n"/>
      <c r="H43" s="39">
        <f>IF(C43="","",IFERROR(INDEX('Animais'!$M$6:$M$1005,MATCH(C43,'Animais'!$A$6:$A$1005,0)),"Brinco não cadastrado"))</f>
        <v/>
      </c>
      <c r="I43" s="34">
        <f>IF(A43="","",YEAR(A43))</f>
        <v/>
      </c>
      <c r="J43" s="45">
        <f>IF(OR(N(D43)=0,N(E43)=0),"",IFERROR(E43/D43,""))</f>
        <v/>
      </c>
    </row>
    <row r="44">
      <c r="A44" s="31" t="n"/>
      <c r="B44" s="37" t="n"/>
      <c r="C44" s="36" t="n"/>
      <c r="D44" s="38" t="n"/>
      <c r="E44" s="44" t="n"/>
      <c r="F44" s="32" t="n"/>
      <c r="G44" s="32" t="n"/>
      <c r="H44" s="39">
        <f>IF(C44="","",IFERROR(INDEX('Animais'!$M$6:$M$1005,MATCH(C44,'Animais'!$A$6:$A$1005,0)),"Brinco não cadastrado"))</f>
        <v/>
      </c>
      <c r="I44" s="34">
        <f>IF(A44="","",YEAR(A44))</f>
        <v/>
      </c>
      <c r="J44" s="45">
        <f>IF(OR(N(D44)=0,N(E44)=0),"",IFERROR(E44/D44,""))</f>
        <v/>
      </c>
    </row>
    <row r="45">
      <c r="A45" s="31" t="n"/>
      <c r="B45" s="37" t="n"/>
      <c r="C45" s="36" t="n"/>
      <c r="D45" s="38" t="n"/>
      <c r="E45" s="44" t="n"/>
      <c r="F45" s="32" t="n"/>
      <c r="G45" s="32" t="n"/>
      <c r="H45" s="39">
        <f>IF(C45="","",IFERROR(INDEX('Animais'!$M$6:$M$1005,MATCH(C45,'Animais'!$A$6:$A$1005,0)),"Brinco não cadastrado"))</f>
        <v/>
      </c>
      <c r="I45" s="34">
        <f>IF(A45="","",YEAR(A45))</f>
        <v/>
      </c>
      <c r="J45" s="45">
        <f>IF(OR(N(D45)=0,N(E45)=0),"",IFERROR(E45/D45,""))</f>
        <v/>
      </c>
    </row>
    <row r="46">
      <c r="A46" s="31" t="n"/>
      <c r="B46" s="37" t="n"/>
      <c r="C46" s="36" t="n"/>
      <c r="D46" s="38" t="n"/>
      <c r="E46" s="44" t="n"/>
      <c r="F46" s="32" t="n"/>
      <c r="G46" s="32" t="n"/>
      <c r="H46" s="39">
        <f>IF(C46="","",IFERROR(INDEX('Animais'!$M$6:$M$1005,MATCH(C46,'Animais'!$A$6:$A$1005,0)),"Brinco não cadastrado"))</f>
        <v/>
      </c>
      <c r="I46" s="34">
        <f>IF(A46="","",YEAR(A46))</f>
        <v/>
      </c>
      <c r="J46" s="45">
        <f>IF(OR(N(D46)=0,N(E46)=0),"",IFERROR(E46/D46,""))</f>
        <v/>
      </c>
    </row>
    <row r="47">
      <c r="A47" s="31" t="n"/>
      <c r="B47" s="37" t="n"/>
      <c r="C47" s="36" t="n"/>
      <c r="D47" s="38" t="n"/>
      <c r="E47" s="44" t="n"/>
      <c r="F47" s="32" t="n"/>
      <c r="G47" s="32" t="n"/>
      <c r="H47" s="39">
        <f>IF(C47="","",IFERROR(INDEX('Animais'!$M$6:$M$1005,MATCH(C47,'Animais'!$A$6:$A$1005,0)),"Brinco não cadastrado"))</f>
        <v/>
      </c>
      <c r="I47" s="34">
        <f>IF(A47="","",YEAR(A47))</f>
        <v/>
      </c>
      <c r="J47" s="45">
        <f>IF(OR(N(D47)=0,N(E47)=0),"",IFERROR(E47/D47,""))</f>
        <v/>
      </c>
    </row>
    <row r="48">
      <c r="A48" s="31" t="n"/>
      <c r="B48" s="37" t="n"/>
      <c r="C48" s="36" t="n"/>
      <c r="D48" s="38" t="n"/>
      <c r="E48" s="44" t="n"/>
      <c r="F48" s="32" t="n"/>
      <c r="G48" s="32" t="n"/>
      <c r="H48" s="39">
        <f>IF(C48="","",IFERROR(INDEX('Animais'!$M$6:$M$1005,MATCH(C48,'Animais'!$A$6:$A$1005,0)),"Brinco não cadastrado"))</f>
        <v/>
      </c>
      <c r="I48" s="34">
        <f>IF(A48="","",YEAR(A48))</f>
        <v/>
      </c>
      <c r="J48" s="45">
        <f>IF(OR(N(D48)=0,N(E48)=0),"",IFERROR(E48/D48,""))</f>
        <v/>
      </c>
    </row>
    <row r="49">
      <c r="A49" s="31" t="n"/>
      <c r="B49" s="37" t="n"/>
      <c r="C49" s="36" t="n"/>
      <c r="D49" s="38" t="n"/>
      <c r="E49" s="44" t="n"/>
      <c r="F49" s="32" t="n"/>
      <c r="G49" s="32" t="n"/>
      <c r="H49" s="39">
        <f>IF(C49="","",IFERROR(INDEX('Animais'!$M$6:$M$1005,MATCH(C49,'Animais'!$A$6:$A$1005,0)),"Brinco não cadastrado"))</f>
        <v/>
      </c>
      <c r="I49" s="34">
        <f>IF(A49="","",YEAR(A49))</f>
        <v/>
      </c>
      <c r="J49" s="45">
        <f>IF(OR(N(D49)=0,N(E49)=0),"",IFERROR(E49/D49,""))</f>
        <v/>
      </c>
    </row>
    <row r="50">
      <c r="A50" s="31" t="n"/>
      <c r="B50" s="37" t="n"/>
      <c r="C50" s="36" t="n"/>
      <c r="D50" s="38" t="n"/>
      <c r="E50" s="44" t="n"/>
      <c r="F50" s="32" t="n"/>
      <c r="G50" s="32" t="n"/>
      <c r="H50" s="39">
        <f>IF(C50="","",IFERROR(INDEX('Animais'!$M$6:$M$1005,MATCH(C50,'Animais'!$A$6:$A$1005,0)),"Brinco não cadastrado"))</f>
        <v/>
      </c>
      <c r="I50" s="34">
        <f>IF(A50="","",YEAR(A50))</f>
        <v/>
      </c>
      <c r="J50" s="45">
        <f>IF(OR(N(D50)=0,N(E50)=0),"",IFERROR(E50/D50,""))</f>
        <v/>
      </c>
    </row>
    <row r="51">
      <c r="A51" s="31" t="n"/>
      <c r="B51" s="37" t="n"/>
      <c r="C51" s="36" t="n"/>
      <c r="D51" s="38" t="n"/>
      <c r="E51" s="44" t="n"/>
      <c r="F51" s="32" t="n"/>
      <c r="G51" s="32" t="n"/>
      <c r="H51" s="39">
        <f>IF(C51="","",IFERROR(INDEX('Animais'!$M$6:$M$1005,MATCH(C51,'Animais'!$A$6:$A$1005,0)),"Brinco não cadastrado"))</f>
        <v/>
      </c>
      <c r="I51" s="34">
        <f>IF(A51="","",YEAR(A51))</f>
        <v/>
      </c>
      <c r="J51" s="45">
        <f>IF(OR(N(D51)=0,N(E51)=0),"",IFERROR(E51/D51,""))</f>
        <v/>
      </c>
    </row>
    <row r="52">
      <c r="A52" s="31" t="n"/>
      <c r="B52" s="37" t="n"/>
      <c r="C52" s="36" t="n"/>
      <c r="D52" s="38" t="n"/>
      <c r="E52" s="44" t="n"/>
      <c r="F52" s="32" t="n"/>
      <c r="G52" s="32" t="n"/>
      <c r="H52" s="39">
        <f>IF(C52="","",IFERROR(INDEX('Animais'!$M$6:$M$1005,MATCH(C52,'Animais'!$A$6:$A$1005,0)),"Brinco não cadastrado"))</f>
        <v/>
      </c>
      <c r="I52" s="34">
        <f>IF(A52="","",YEAR(A52))</f>
        <v/>
      </c>
      <c r="J52" s="45">
        <f>IF(OR(N(D52)=0,N(E52)=0),"",IFERROR(E52/D52,""))</f>
        <v/>
      </c>
    </row>
    <row r="53">
      <c r="A53" s="31" t="n"/>
      <c r="B53" s="37" t="n"/>
      <c r="C53" s="36" t="n"/>
      <c r="D53" s="38" t="n"/>
      <c r="E53" s="44" t="n"/>
      <c r="F53" s="32" t="n"/>
      <c r="G53" s="32" t="n"/>
      <c r="H53" s="39">
        <f>IF(C53="","",IFERROR(INDEX('Animais'!$M$6:$M$1005,MATCH(C53,'Animais'!$A$6:$A$1005,0)),"Brinco não cadastrado"))</f>
        <v/>
      </c>
      <c r="I53" s="34">
        <f>IF(A53="","",YEAR(A53))</f>
        <v/>
      </c>
      <c r="J53" s="45">
        <f>IF(OR(N(D53)=0,N(E53)=0),"",IFERROR(E53/D53,""))</f>
        <v/>
      </c>
    </row>
    <row r="54">
      <c r="A54" s="31" t="n"/>
      <c r="B54" s="37" t="n"/>
      <c r="C54" s="36" t="n"/>
      <c r="D54" s="38" t="n"/>
      <c r="E54" s="44" t="n"/>
      <c r="F54" s="32" t="n"/>
      <c r="G54" s="32" t="n"/>
      <c r="H54" s="39">
        <f>IF(C54="","",IFERROR(INDEX('Animais'!$M$6:$M$1005,MATCH(C54,'Animais'!$A$6:$A$1005,0)),"Brinco não cadastrado"))</f>
        <v/>
      </c>
      <c r="I54" s="34">
        <f>IF(A54="","",YEAR(A54))</f>
        <v/>
      </c>
      <c r="J54" s="45">
        <f>IF(OR(N(D54)=0,N(E54)=0),"",IFERROR(E54/D54,""))</f>
        <v/>
      </c>
    </row>
    <row r="55">
      <c r="A55" s="31" t="n"/>
      <c r="B55" s="37" t="n"/>
      <c r="C55" s="36" t="n"/>
      <c r="D55" s="38" t="n"/>
      <c r="E55" s="44" t="n"/>
      <c r="F55" s="32" t="n"/>
      <c r="G55" s="32" t="n"/>
      <c r="H55" s="39">
        <f>IF(C55="","",IFERROR(INDEX('Animais'!$M$6:$M$1005,MATCH(C55,'Animais'!$A$6:$A$1005,0)),"Brinco não cadastrado"))</f>
        <v/>
      </c>
      <c r="I55" s="34">
        <f>IF(A55="","",YEAR(A55))</f>
        <v/>
      </c>
      <c r="J55" s="45">
        <f>IF(OR(N(D55)=0,N(E55)=0),"",IFERROR(E55/D55,""))</f>
        <v/>
      </c>
    </row>
    <row r="56">
      <c r="A56" s="31" t="n"/>
      <c r="B56" s="37" t="n"/>
      <c r="C56" s="36" t="n"/>
      <c r="D56" s="38" t="n"/>
      <c r="E56" s="44" t="n"/>
      <c r="F56" s="32" t="n"/>
      <c r="G56" s="32" t="n"/>
      <c r="H56" s="39">
        <f>IF(C56="","",IFERROR(INDEX('Animais'!$M$6:$M$1005,MATCH(C56,'Animais'!$A$6:$A$1005,0)),"Brinco não cadastrado"))</f>
        <v/>
      </c>
      <c r="I56" s="34">
        <f>IF(A56="","",YEAR(A56))</f>
        <v/>
      </c>
      <c r="J56" s="45">
        <f>IF(OR(N(D56)=0,N(E56)=0),"",IFERROR(E56/D56,""))</f>
        <v/>
      </c>
    </row>
    <row r="57">
      <c r="A57" s="31" t="n"/>
      <c r="B57" s="37" t="n"/>
      <c r="C57" s="36" t="n"/>
      <c r="D57" s="38" t="n"/>
      <c r="E57" s="44" t="n"/>
      <c r="F57" s="32" t="n"/>
      <c r="G57" s="32" t="n"/>
      <c r="H57" s="39">
        <f>IF(C57="","",IFERROR(INDEX('Animais'!$M$6:$M$1005,MATCH(C57,'Animais'!$A$6:$A$1005,0)),"Brinco não cadastrado"))</f>
        <v/>
      </c>
      <c r="I57" s="34">
        <f>IF(A57="","",YEAR(A57))</f>
        <v/>
      </c>
      <c r="J57" s="45">
        <f>IF(OR(N(D57)=0,N(E57)=0),"",IFERROR(E57/D57,""))</f>
        <v/>
      </c>
    </row>
    <row r="58">
      <c r="A58" s="31" t="n"/>
      <c r="B58" s="37" t="n"/>
      <c r="C58" s="36" t="n"/>
      <c r="D58" s="38" t="n"/>
      <c r="E58" s="44" t="n"/>
      <c r="F58" s="32" t="n"/>
      <c r="G58" s="32" t="n"/>
      <c r="H58" s="39">
        <f>IF(C58="","",IFERROR(INDEX('Animais'!$M$6:$M$1005,MATCH(C58,'Animais'!$A$6:$A$1005,0)),"Brinco não cadastrado"))</f>
        <v/>
      </c>
      <c r="I58" s="34">
        <f>IF(A58="","",YEAR(A58))</f>
        <v/>
      </c>
      <c r="J58" s="45">
        <f>IF(OR(N(D58)=0,N(E58)=0),"",IFERROR(E58/D58,""))</f>
        <v/>
      </c>
    </row>
    <row r="59">
      <c r="A59" s="31" t="n"/>
      <c r="B59" s="37" t="n"/>
      <c r="C59" s="36" t="n"/>
      <c r="D59" s="38" t="n"/>
      <c r="E59" s="44" t="n"/>
      <c r="F59" s="32" t="n"/>
      <c r="G59" s="32" t="n"/>
      <c r="H59" s="39">
        <f>IF(C59="","",IFERROR(INDEX('Animais'!$M$6:$M$1005,MATCH(C59,'Animais'!$A$6:$A$1005,0)),"Brinco não cadastrado"))</f>
        <v/>
      </c>
      <c r="I59" s="34">
        <f>IF(A59="","",YEAR(A59))</f>
        <v/>
      </c>
      <c r="J59" s="45">
        <f>IF(OR(N(D59)=0,N(E59)=0),"",IFERROR(E59/D59,""))</f>
        <v/>
      </c>
    </row>
    <row r="60">
      <c r="A60" s="31" t="n"/>
      <c r="B60" s="37" t="n"/>
      <c r="C60" s="36" t="n"/>
      <c r="D60" s="38" t="n"/>
      <c r="E60" s="44" t="n"/>
      <c r="F60" s="32" t="n"/>
      <c r="G60" s="32" t="n"/>
      <c r="H60" s="39">
        <f>IF(C60="","",IFERROR(INDEX('Animais'!$M$6:$M$1005,MATCH(C60,'Animais'!$A$6:$A$1005,0)),"Brinco não cadastrado"))</f>
        <v/>
      </c>
      <c r="I60" s="34">
        <f>IF(A60="","",YEAR(A60))</f>
        <v/>
      </c>
      <c r="J60" s="45">
        <f>IF(OR(N(D60)=0,N(E60)=0),"",IFERROR(E60/D60,""))</f>
        <v/>
      </c>
    </row>
    <row r="61">
      <c r="A61" s="31" t="n"/>
      <c r="B61" s="37" t="n"/>
      <c r="C61" s="36" t="n"/>
      <c r="D61" s="38" t="n"/>
      <c r="E61" s="44" t="n"/>
      <c r="F61" s="32" t="n"/>
      <c r="G61" s="32" t="n"/>
      <c r="H61" s="39">
        <f>IF(C61="","",IFERROR(INDEX('Animais'!$M$6:$M$1005,MATCH(C61,'Animais'!$A$6:$A$1005,0)),"Brinco não cadastrado"))</f>
        <v/>
      </c>
      <c r="I61" s="34">
        <f>IF(A61="","",YEAR(A61))</f>
        <v/>
      </c>
      <c r="J61" s="45">
        <f>IF(OR(N(D61)=0,N(E61)=0),"",IFERROR(E61/D61,""))</f>
        <v/>
      </c>
    </row>
    <row r="62">
      <c r="A62" s="31" t="n"/>
      <c r="B62" s="37" t="n"/>
      <c r="C62" s="36" t="n"/>
      <c r="D62" s="38" t="n"/>
      <c r="E62" s="44" t="n"/>
      <c r="F62" s="32" t="n"/>
      <c r="G62" s="32" t="n"/>
      <c r="H62" s="39">
        <f>IF(C62="","",IFERROR(INDEX('Animais'!$M$6:$M$1005,MATCH(C62,'Animais'!$A$6:$A$1005,0)),"Brinco não cadastrado"))</f>
        <v/>
      </c>
      <c r="I62" s="34">
        <f>IF(A62="","",YEAR(A62))</f>
        <v/>
      </c>
      <c r="J62" s="45">
        <f>IF(OR(N(D62)=0,N(E62)=0),"",IFERROR(E62/D62,""))</f>
        <v/>
      </c>
    </row>
    <row r="63">
      <c r="A63" s="31" t="n"/>
      <c r="B63" s="37" t="n"/>
      <c r="C63" s="36" t="n"/>
      <c r="D63" s="38" t="n"/>
      <c r="E63" s="44" t="n"/>
      <c r="F63" s="32" t="n"/>
      <c r="G63" s="32" t="n"/>
      <c r="H63" s="39">
        <f>IF(C63="","",IFERROR(INDEX('Animais'!$M$6:$M$1005,MATCH(C63,'Animais'!$A$6:$A$1005,0)),"Brinco não cadastrado"))</f>
        <v/>
      </c>
      <c r="I63" s="34">
        <f>IF(A63="","",YEAR(A63))</f>
        <v/>
      </c>
      <c r="J63" s="45">
        <f>IF(OR(N(D63)=0,N(E63)=0),"",IFERROR(E63/D63,""))</f>
        <v/>
      </c>
    </row>
    <row r="64">
      <c r="A64" s="31" t="n"/>
      <c r="B64" s="37" t="n"/>
      <c r="C64" s="36" t="n"/>
      <c r="D64" s="38" t="n"/>
      <c r="E64" s="44" t="n"/>
      <c r="F64" s="32" t="n"/>
      <c r="G64" s="32" t="n"/>
      <c r="H64" s="39">
        <f>IF(C64="","",IFERROR(INDEX('Animais'!$M$6:$M$1005,MATCH(C64,'Animais'!$A$6:$A$1005,0)),"Brinco não cadastrado"))</f>
        <v/>
      </c>
      <c r="I64" s="34">
        <f>IF(A64="","",YEAR(A64))</f>
        <v/>
      </c>
      <c r="J64" s="45">
        <f>IF(OR(N(D64)=0,N(E64)=0),"",IFERROR(E64/D64,""))</f>
        <v/>
      </c>
    </row>
    <row r="65">
      <c r="A65" s="31" t="n"/>
      <c r="B65" s="37" t="n"/>
      <c r="C65" s="36" t="n"/>
      <c r="D65" s="38" t="n"/>
      <c r="E65" s="44" t="n"/>
      <c r="F65" s="32" t="n"/>
      <c r="G65" s="32" t="n"/>
      <c r="H65" s="39">
        <f>IF(C65="","",IFERROR(INDEX('Animais'!$M$6:$M$1005,MATCH(C65,'Animais'!$A$6:$A$1005,0)),"Brinco não cadastrado"))</f>
        <v/>
      </c>
      <c r="I65" s="34">
        <f>IF(A65="","",YEAR(A65))</f>
        <v/>
      </c>
      <c r="J65" s="45">
        <f>IF(OR(N(D65)=0,N(E65)=0),"",IFERROR(E65/D65,""))</f>
        <v/>
      </c>
    </row>
    <row r="66">
      <c r="A66" s="31" t="n"/>
      <c r="B66" s="37" t="n"/>
      <c r="C66" s="36" t="n"/>
      <c r="D66" s="38" t="n"/>
      <c r="E66" s="44" t="n"/>
      <c r="F66" s="32" t="n"/>
      <c r="G66" s="32" t="n"/>
      <c r="H66" s="39">
        <f>IF(C66="","",IFERROR(INDEX('Animais'!$M$6:$M$1005,MATCH(C66,'Animais'!$A$6:$A$1005,0)),"Brinco não cadastrado"))</f>
        <v/>
      </c>
      <c r="I66" s="34">
        <f>IF(A66="","",YEAR(A66))</f>
        <v/>
      </c>
      <c r="J66" s="45">
        <f>IF(OR(N(D66)=0,N(E66)=0),"",IFERROR(E66/D66,""))</f>
        <v/>
      </c>
    </row>
    <row r="67">
      <c r="A67" s="31" t="n"/>
      <c r="B67" s="37" t="n"/>
      <c r="C67" s="36" t="n"/>
      <c r="D67" s="38" t="n"/>
      <c r="E67" s="44" t="n"/>
      <c r="F67" s="32" t="n"/>
      <c r="G67" s="32" t="n"/>
      <c r="H67" s="39">
        <f>IF(C67="","",IFERROR(INDEX('Animais'!$M$6:$M$1005,MATCH(C67,'Animais'!$A$6:$A$1005,0)),"Brinco não cadastrado"))</f>
        <v/>
      </c>
      <c r="I67" s="34">
        <f>IF(A67="","",YEAR(A67))</f>
        <v/>
      </c>
      <c r="J67" s="45">
        <f>IF(OR(N(D67)=0,N(E67)=0),"",IFERROR(E67/D67,""))</f>
        <v/>
      </c>
    </row>
    <row r="68">
      <c r="A68" s="31" t="n"/>
      <c r="B68" s="37" t="n"/>
      <c r="C68" s="36" t="n"/>
      <c r="D68" s="38" t="n"/>
      <c r="E68" s="44" t="n"/>
      <c r="F68" s="32" t="n"/>
      <c r="G68" s="32" t="n"/>
      <c r="H68" s="39">
        <f>IF(C68="","",IFERROR(INDEX('Animais'!$M$6:$M$1005,MATCH(C68,'Animais'!$A$6:$A$1005,0)),"Brinco não cadastrado"))</f>
        <v/>
      </c>
      <c r="I68" s="34">
        <f>IF(A68="","",YEAR(A68))</f>
        <v/>
      </c>
      <c r="J68" s="45">
        <f>IF(OR(N(D68)=0,N(E68)=0),"",IFERROR(E68/D68,""))</f>
        <v/>
      </c>
    </row>
    <row r="69">
      <c r="A69" s="31" t="n"/>
      <c r="B69" s="37" t="n"/>
      <c r="C69" s="36" t="n"/>
      <c r="D69" s="38" t="n"/>
      <c r="E69" s="44" t="n"/>
      <c r="F69" s="32" t="n"/>
      <c r="G69" s="32" t="n"/>
      <c r="H69" s="39">
        <f>IF(C69="","",IFERROR(INDEX('Animais'!$M$6:$M$1005,MATCH(C69,'Animais'!$A$6:$A$1005,0)),"Brinco não cadastrado"))</f>
        <v/>
      </c>
      <c r="I69" s="34">
        <f>IF(A69="","",YEAR(A69))</f>
        <v/>
      </c>
      <c r="J69" s="45">
        <f>IF(OR(N(D69)=0,N(E69)=0),"",IFERROR(E69/D69,""))</f>
        <v/>
      </c>
    </row>
    <row r="70">
      <c r="A70" s="31" t="n"/>
      <c r="B70" s="37" t="n"/>
      <c r="C70" s="36" t="n"/>
      <c r="D70" s="38" t="n"/>
      <c r="E70" s="44" t="n"/>
      <c r="F70" s="32" t="n"/>
      <c r="G70" s="32" t="n"/>
      <c r="H70" s="39">
        <f>IF(C70="","",IFERROR(INDEX('Animais'!$M$6:$M$1005,MATCH(C70,'Animais'!$A$6:$A$1005,0)),"Brinco não cadastrado"))</f>
        <v/>
      </c>
      <c r="I70" s="34">
        <f>IF(A70="","",YEAR(A70))</f>
        <v/>
      </c>
      <c r="J70" s="45">
        <f>IF(OR(N(D70)=0,N(E70)=0),"",IFERROR(E70/D70,""))</f>
        <v/>
      </c>
    </row>
    <row r="71">
      <c r="A71" s="31" t="n"/>
      <c r="B71" s="37" t="n"/>
      <c r="C71" s="36" t="n"/>
      <c r="D71" s="38" t="n"/>
      <c r="E71" s="44" t="n"/>
      <c r="F71" s="32" t="n"/>
      <c r="G71" s="32" t="n"/>
      <c r="H71" s="39">
        <f>IF(C71="","",IFERROR(INDEX('Animais'!$M$6:$M$1005,MATCH(C71,'Animais'!$A$6:$A$1005,0)),"Brinco não cadastrado"))</f>
        <v/>
      </c>
      <c r="I71" s="34">
        <f>IF(A71="","",YEAR(A71))</f>
        <v/>
      </c>
      <c r="J71" s="45">
        <f>IF(OR(N(D71)=0,N(E71)=0),"",IFERROR(E71/D71,""))</f>
        <v/>
      </c>
    </row>
    <row r="72">
      <c r="A72" s="31" t="n"/>
      <c r="B72" s="37" t="n"/>
      <c r="C72" s="36" t="n"/>
      <c r="D72" s="38" t="n"/>
      <c r="E72" s="44" t="n"/>
      <c r="F72" s="32" t="n"/>
      <c r="G72" s="32" t="n"/>
      <c r="H72" s="39">
        <f>IF(C72="","",IFERROR(INDEX('Animais'!$M$6:$M$1005,MATCH(C72,'Animais'!$A$6:$A$1005,0)),"Brinco não cadastrado"))</f>
        <v/>
      </c>
      <c r="I72" s="34">
        <f>IF(A72="","",YEAR(A72))</f>
        <v/>
      </c>
      <c r="J72" s="45">
        <f>IF(OR(N(D72)=0,N(E72)=0),"",IFERROR(E72/D72,""))</f>
        <v/>
      </c>
    </row>
    <row r="73">
      <c r="A73" s="31" t="n"/>
      <c r="B73" s="37" t="n"/>
      <c r="C73" s="36" t="n"/>
      <c r="D73" s="38" t="n"/>
      <c r="E73" s="44" t="n"/>
      <c r="F73" s="32" t="n"/>
      <c r="G73" s="32" t="n"/>
      <c r="H73" s="39">
        <f>IF(C73="","",IFERROR(INDEX('Animais'!$M$6:$M$1005,MATCH(C73,'Animais'!$A$6:$A$1005,0)),"Brinco não cadastrado"))</f>
        <v/>
      </c>
      <c r="I73" s="34">
        <f>IF(A73="","",YEAR(A73))</f>
        <v/>
      </c>
      <c r="J73" s="45">
        <f>IF(OR(N(D73)=0,N(E73)=0),"",IFERROR(E73/D73,""))</f>
        <v/>
      </c>
    </row>
    <row r="74">
      <c r="A74" s="31" t="n"/>
      <c r="B74" s="37" t="n"/>
      <c r="C74" s="36" t="n"/>
      <c r="D74" s="38" t="n"/>
      <c r="E74" s="44" t="n"/>
      <c r="F74" s="32" t="n"/>
      <c r="G74" s="32" t="n"/>
      <c r="H74" s="39">
        <f>IF(C74="","",IFERROR(INDEX('Animais'!$M$6:$M$1005,MATCH(C74,'Animais'!$A$6:$A$1005,0)),"Brinco não cadastrado"))</f>
        <v/>
      </c>
      <c r="I74" s="34">
        <f>IF(A74="","",YEAR(A74))</f>
        <v/>
      </c>
      <c r="J74" s="45">
        <f>IF(OR(N(D74)=0,N(E74)=0),"",IFERROR(E74/D74,""))</f>
        <v/>
      </c>
    </row>
    <row r="75">
      <c r="A75" s="31" t="n"/>
      <c r="B75" s="37" t="n"/>
      <c r="C75" s="36" t="n"/>
      <c r="D75" s="38" t="n"/>
      <c r="E75" s="44" t="n"/>
      <c r="F75" s="32" t="n"/>
      <c r="G75" s="32" t="n"/>
      <c r="H75" s="39">
        <f>IF(C75="","",IFERROR(INDEX('Animais'!$M$6:$M$1005,MATCH(C75,'Animais'!$A$6:$A$1005,0)),"Brinco não cadastrado"))</f>
        <v/>
      </c>
      <c r="I75" s="34">
        <f>IF(A75="","",YEAR(A75))</f>
        <v/>
      </c>
      <c r="J75" s="45">
        <f>IF(OR(N(D75)=0,N(E75)=0),"",IFERROR(E75/D75,""))</f>
        <v/>
      </c>
    </row>
    <row r="76">
      <c r="A76" s="31" t="n"/>
      <c r="B76" s="37" t="n"/>
      <c r="C76" s="36" t="n"/>
      <c r="D76" s="38" t="n"/>
      <c r="E76" s="44" t="n"/>
      <c r="F76" s="32" t="n"/>
      <c r="G76" s="32" t="n"/>
      <c r="H76" s="39">
        <f>IF(C76="","",IFERROR(INDEX('Animais'!$M$6:$M$1005,MATCH(C76,'Animais'!$A$6:$A$1005,0)),"Brinco não cadastrado"))</f>
        <v/>
      </c>
      <c r="I76" s="34">
        <f>IF(A76="","",YEAR(A76))</f>
        <v/>
      </c>
      <c r="J76" s="45">
        <f>IF(OR(N(D76)=0,N(E76)=0),"",IFERROR(E76/D76,""))</f>
        <v/>
      </c>
    </row>
    <row r="77">
      <c r="A77" s="31" t="n"/>
      <c r="B77" s="37" t="n"/>
      <c r="C77" s="36" t="n"/>
      <c r="D77" s="38" t="n"/>
      <c r="E77" s="44" t="n"/>
      <c r="F77" s="32" t="n"/>
      <c r="G77" s="32" t="n"/>
      <c r="H77" s="39">
        <f>IF(C77="","",IFERROR(INDEX('Animais'!$M$6:$M$1005,MATCH(C77,'Animais'!$A$6:$A$1005,0)),"Brinco não cadastrado"))</f>
        <v/>
      </c>
      <c r="I77" s="34">
        <f>IF(A77="","",YEAR(A77))</f>
        <v/>
      </c>
      <c r="J77" s="45">
        <f>IF(OR(N(D77)=0,N(E77)=0),"",IFERROR(E77/D77,""))</f>
        <v/>
      </c>
    </row>
    <row r="78">
      <c r="A78" s="31" t="n"/>
      <c r="B78" s="37" t="n"/>
      <c r="C78" s="36" t="n"/>
      <c r="D78" s="38" t="n"/>
      <c r="E78" s="44" t="n"/>
      <c r="F78" s="32" t="n"/>
      <c r="G78" s="32" t="n"/>
      <c r="H78" s="39">
        <f>IF(C78="","",IFERROR(INDEX('Animais'!$M$6:$M$1005,MATCH(C78,'Animais'!$A$6:$A$1005,0)),"Brinco não cadastrado"))</f>
        <v/>
      </c>
      <c r="I78" s="34">
        <f>IF(A78="","",YEAR(A78))</f>
        <v/>
      </c>
      <c r="J78" s="45">
        <f>IF(OR(N(D78)=0,N(E78)=0),"",IFERROR(E78/D78,""))</f>
        <v/>
      </c>
    </row>
    <row r="79">
      <c r="A79" s="31" t="n"/>
      <c r="B79" s="37" t="n"/>
      <c r="C79" s="36" t="n"/>
      <c r="D79" s="38" t="n"/>
      <c r="E79" s="44" t="n"/>
      <c r="F79" s="32" t="n"/>
      <c r="G79" s="32" t="n"/>
      <c r="H79" s="39">
        <f>IF(C79="","",IFERROR(INDEX('Animais'!$M$6:$M$1005,MATCH(C79,'Animais'!$A$6:$A$1005,0)),"Brinco não cadastrado"))</f>
        <v/>
      </c>
      <c r="I79" s="34">
        <f>IF(A79="","",YEAR(A79))</f>
        <v/>
      </c>
      <c r="J79" s="45">
        <f>IF(OR(N(D79)=0,N(E79)=0),"",IFERROR(E79/D79,""))</f>
        <v/>
      </c>
    </row>
    <row r="80">
      <c r="A80" s="31" t="n"/>
      <c r="B80" s="37" t="n"/>
      <c r="C80" s="36" t="n"/>
      <c r="D80" s="38" t="n"/>
      <c r="E80" s="44" t="n"/>
      <c r="F80" s="32" t="n"/>
      <c r="G80" s="32" t="n"/>
      <c r="H80" s="39">
        <f>IF(C80="","",IFERROR(INDEX('Animais'!$M$6:$M$1005,MATCH(C80,'Animais'!$A$6:$A$1005,0)),"Brinco não cadastrado"))</f>
        <v/>
      </c>
      <c r="I80" s="34">
        <f>IF(A80="","",YEAR(A80))</f>
        <v/>
      </c>
      <c r="J80" s="45">
        <f>IF(OR(N(D80)=0,N(E80)=0),"",IFERROR(E80/D80,""))</f>
        <v/>
      </c>
    </row>
    <row r="81">
      <c r="A81" s="31" t="n"/>
      <c r="B81" s="37" t="n"/>
      <c r="C81" s="36" t="n"/>
      <c r="D81" s="38" t="n"/>
      <c r="E81" s="44" t="n"/>
      <c r="F81" s="32" t="n"/>
      <c r="G81" s="32" t="n"/>
      <c r="H81" s="39">
        <f>IF(C81="","",IFERROR(INDEX('Animais'!$M$6:$M$1005,MATCH(C81,'Animais'!$A$6:$A$1005,0)),"Brinco não cadastrado"))</f>
        <v/>
      </c>
      <c r="I81" s="34">
        <f>IF(A81="","",YEAR(A81))</f>
        <v/>
      </c>
      <c r="J81" s="45">
        <f>IF(OR(N(D81)=0,N(E81)=0),"",IFERROR(E81/D81,""))</f>
        <v/>
      </c>
    </row>
    <row r="82">
      <c r="A82" s="31" t="n"/>
      <c r="B82" s="37" t="n"/>
      <c r="C82" s="36" t="n"/>
      <c r="D82" s="38" t="n"/>
      <c r="E82" s="44" t="n"/>
      <c r="F82" s="32" t="n"/>
      <c r="G82" s="32" t="n"/>
      <c r="H82" s="39">
        <f>IF(C82="","",IFERROR(INDEX('Animais'!$M$6:$M$1005,MATCH(C82,'Animais'!$A$6:$A$1005,0)),"Brinco não cadastrado"))</f>
        <v/>
      </c>
      <c r="I82" s="34">
        <f>IF(A82="","",YEAR(A82))</f>
        <v/>
      </c>
      <c r="J82" s="45">
        <f>IF(OR(N(D82)=0,N(E82)=0),"",IFERROR(E82/D82,""))</f>
        <v/>
      </c>
    </row>
    <row r="83">
      <c r="A83" s="31" t="n"/>
      <c r="B83" s="37" t="n"/>
      <c r="C83" s="36" t="n"/>
      <c r="D83" s="38" t="n"/>
      <c r="E83" s="44" t="n"/>
      <c r="F83" s="32" t="n"/>
      <c r="G83" s="32" t="n"/>
      <c r="H83" s="39">
        <f>IF(C83="","",IFERROR(INDEX('Animais'!$M$6:$M$1005,MATCH(C83,'Animais'!$A$6:$A$1005,0)),"Brinco não cadastrado"))</f>
        <v/>
      </c>
      <c r="I83" s="34">
        <f>IF(A83="","",YEAR(A83))</f>
        <v/>
      </c>
      <c r="J83" s="45">
        <f>IF(OR(N(D83)=0,N(E83)=0),"",IFERROR(E83/D83,""))</f>
        <v/>
      </c>
    </row>
    <row r="84">
      <c r="A84" s="31" t="n"/>
      <c r="B84" s="37" t="n"/>
      <c r="C84" s="36" t="n"/>
      <c r="D84" s="38" t="n"/>
      <c r="E84" s="44" t="n"/>
      <c r="F84" s="32" t="n"/>
      <c r="G84" s="32" t="n"/>
      <c r="H84" s="39">
        <f>IF(C84="","",IFERROR(INDEX('Animais'!$M$6:$M$1005,MATCH(C84,'Animais'!$A$6:$A$1005,0)),"Brinco não cadastrado"))</f>
        <v/>
      </c>
      <c r="I84" s="34">
        <f>IF(A84="","",YEAR(A84))</f>
        <v/>
      </c>
      <c r="J84" s="45">
        <f>IF(OR(N(D84)=0,N(E84)=0),"",IFERROR(E84/D84,""))</f>
        <v/>
      </c>
    </row>
    <row r="85">
      <c r="A85" s="31" t="n"/>
      <c r="B85" s="37" t="n"/>
      <c r="C85" s="36" t="n"/>
      <c r="D85" s="38" t="n"/>
      <c r="E85" s="44" t="n"/>
      <c r="F85" s="32" t="n"/>
      <c r="G85" s="32" t="n"/>
      <c r="H85" s="39">
        <f>IF(C85="","",IFERROR(INDEX('Animais'!$M$6:$M$1005,MATCH(C85,'Animais'!$A$6:$A$1005,0)),"Brinco não cadastrado"))</f>
        <v/>
      </c>
      <c r="I85" s="34">
        <f>IF(A85="","",YEAR(A85))</f>
        <v/>
      </c>
      <c r="J85" s="45">
        <f>IF(OR(N(D85)=0,N(E85)=0),"",IFERROR(E85/D85,""))</f>
        <v/>
      </c>
    </row>
    <row r="86">
      <c r="A86" s="31" t="n"/>
      <c r="B86" s="37" t="n"/>
      <c r="C86" s="36" t="n"/>
      <c r="D86" s="38" t="n"/>
      <c r="E86" s="44" t="n"/>
      <c r="F86" s="32" t="n"/>
      <c r="G86" s="32" t="n"/>
      <c r="H86" s="39">
        <f>IF(C86="","",IFERROR(INDEX('Animais'!$M$6:$M$1005,MATCH(C86,'Animais'!$A$6:$A$1005,0)),"Brinco não cadastrado"))</f>
        <v/>
      </c>
      <c r="I86" s="34">
        <f>IF(A86="","",YEAR(A86))</f>
        <v/>
      </c>
      <c r="J86" s="45">
        <f>IF(OR(N(D86)=0,N(E86)=0),"",IFERROR(E86/D86,""))</f>
        <v/>
      </c>
    </row>
    <row r="87">
      <c r="A87" s="31" t="n"/>
      <c r="B87" s="37" t="n"/>
      <c r="C87" s="36" t="n"/>
      <c r="D87" s="38" t="n"/>
      <c r="E87" s="44" t="n"/>
      <c r="F87" s="32" t="n"/>
      <c r="G87" s="32" t="n"/>
      <c r="H87" s="39">
        <f>IF(C87="","",IFERROR(INDEX('Animais'!$M$6:$M$1005,MATCH(C87,'Animais'!$A$6:$A$1005,0)),"Brinco não cadastrado"))</f>
        <v/>
      </c>
      <c r="I87" s="34">
        <f>IF(A87="","",YEAR(A87))</f>
        <v/>
      </c>
      <c r="J87" s="45">
        <f>IF(OR(N(D87)=0,N(E87)=0),"",IFERROR(E87/D87,""))</f>
        <v/>
      </c>
    </row>
    <row r="88">
      <c r="A88" s="31" t="n"/>
      <c r="B88" s="37" t="n"/>
      <c r="C88" s="36" t="n"/>
      <c r="D88" s="38" t="n"/>
      <c r="E88" s="44" t="n"/>
      <c r="F88" s="32" t="n"/>
      <c r="G88" s="32" t="n"/>
      <c r="H88" s="39">
        <f>IF(C88="","",IFERROR(INDEX('Animais'!$M$6:$M$1005,MATCH(C88,'Animais'!$A$6:$A$1005,0)),"Brinco não cadastrado"))</f>
        <v/>
      </c>
      <c r="I88" s="34">
        <f>IF(A88="","",YEAR(A88))</f>
        <v/>
      </c>
      <c r="J88" s="45">
        <f>IF(OR(N(D88)=0,N(E88)=0),"",IFERROR(E88/D88,""))</f>
        <v/>
      </c>
    </row>
    <row r="89">
      <c r="A89" s="31" t="n"/>
      <c r="B89" s="37" t="n"/>
      <c r="C89" s="36" t="n"/>
      <c r="D89" s="38" t="n"/>
      <c r="E89" s="44" t="n"/>
      <c r="F89" s="32" t="n"/>
      <c r="G89" s="32" t="n"/>
      <c r="H89" s="39">
        <f>IF(C89="","",IFERROR(INDEX('Animais'!$M$6:$M$1005,MATCH(C89,'Animais'!$A$6:$A$1005,0)),"Brinco não cadastrado"))</f>
        <v/>
      </c>
      <c r="I89" s="34">
        <f>IF(A89="","",YEAR(A89))</f>
        <v/>
      </c>
      <c r="J89" s="45">
        <f>IF(OR(N(D89)=0,N(E89)=0),"",IFERROR(E89/D89,""))</f>
        <v/>
      </c>
    </row>
    <row r="90">
      <c r="A90" s="31" t="n"/>
      <c r="B90" s="37" t="n"/>
      <c r="C90" s="36" t="n"/>
      <c r="D90" s="38" t="n"/>
      <c r="E90" s="44" t="n"/>
      <c r="F90" s="32" t="n"/>
      <c r="G90" s="32" t="n"/>
      <c r="H90" s="39">
        <f>IF(C90="","",IFERROR(INDEX('Animais'!$M$6:$M$1005,MATCH(C90,'Animais'!$A$6:$A$1005,0)),"Brinco não cadastrado"))</f>
        <v/>
      </c>
      <c r="I90" s="34">
        <f>IF(A90="","",YEAR(A90))</f>
        <v/>
      </c>
      <c r="J90" s="45">
        <f>IF(OR(N(D90)=0,N(E90)=0),"",IFERROR(E90/D90,""))</f>
        <v/>
      </c>
    </row>
    <row r="91">
      <c r="A91" s="31" t="n"/>
      <c r="B91" s="37" t="n"/>
      <c r="C91" s="36" t="n"/>
      <c r="D91" s="38" t="n"/>
      <c r="E91" s="44" t="n"/>
      <c r="F91" s="32" t="n"/>
      <c r="G91" s="32" t="n"/>
      <c r="H91" s="39">
        <f>IF(C91="","",IFERROR(INDEX('Animais'!$M$6:$M$1005,MATCH(C91,'Animais'!$A$6:$A$1005,0)),"Brinco não cadastrado"))</f>
        <v/>
      </c>
      <c r="I91" s="34">
        <f>IF(A91="","",YEAR(A91))</f>
        <v/>
      </c>
      <c r="J91" s="45">
        <f>IF(OR(N(D91)=0,N(E91)=0),"",IFERROR(E91/D91,""))</f>
        <v/>
      </c>
    </row>
    <row r="92">
      <c r="A92" s="31" t="n"/>
      <c r="B92" s="37" t="n"/>
      <c r="C92" s="36" t="n"/>
      <c r="D92" s="38" t="n"/>
      <c r="E92" s="44" t="n"/>
      <c r="F92" s="32" t="n"/>
      <c r="G92" s="32" t="n"/>
      <c r="H92" s="39">
        <f>IF(C92="","",IFERROR(INDEX('Animais'!$M$6:$M$1005,MATCH(C92,'Animais'!$A$6:$A$1005,0)),"Brinco não cadastrado"))</f>
        <v/>
      </c>
      <c r="I92" s="34">
        <f>IF(A92="","",YEAR(A92))</f>
        <v/>
      </c>
      <c r="J92" s="45">
        <f>IF(OR(N(D92)=0,N(E92)=0),"",IFERROR(E92/D92,""))</f>
        <v/>
      </c>
    </row>
    <row r="93">
      <c r="A93" s="31" t="n"/>
      <c r="B93" s="37" t="n"/>
      <c r="C93" s="36" t="n"/>
      <c r="D93" s="38" t="n"/>
      <c r="E93" s="44" t="n"/>
      <c r="F93" s="32" t="n"/>
      <c r="G93" s="32" t="n"/>
      <c r="H93" s="39">
        <f>IF(C93="","",IFERROR(INDEX('Animais'!$M$6:$M$1005,MATCH(C93,'Animais'!$A$6:$A$1005,0)),"Brinco não cadastrado"))</f>
        <v/>
      </c>
      <c r="I93" s="34">
        <f>IF(A93="","",YEAR(A93))</f>
        <v/>
      </c>
      <c r="J93" s="45">
        <f>IF(OR(N(D93)=0,N(E93)=0),"",IFERROR(E93/D93,""))</f>
        <v/>
      </c>
    </row>
    <row r="94">
      <c r="A94" s="31" t="n"/>
      <c r="B94" s="37" t="n"/>
      <c r="C94" s="36" t="n"/>
      <c r="D94" s="38" t="n"/>
      <c r="E94" s="44" t="n"/>
      <c r="F94" s="32" t="n"/>
      <c r="G94" s="32" t="n"/>
      <c r="H94" s="39">
        <f>IF(C94="","",IFERROR(INDEX('Animais'!$M$6:$M$1005,MATCH(C94,'Animais'!$A$6:$A$1005,0)),"Brinco não cadastrado"))</f>
        <v/>
      </c>
      <c r="I94" s="34">
        <f>IF(A94="","",YEAR(A94))</f>
        <v/>
      </c>
      <c r="J94" s="45">
        <f>IF(OR(N(D94)=0,N(E94)=0),"",IFERROR(E94/D94,""))</f>
        <v/>
      </c>
    </row>
    <row r="95">
      <c r="A95" s="31" t="n"/>
      <c r="B95" s="37" t="n"/>
      <c r="C95" s="36" t="n"/>
      <c r="D95" s="38" t="n"/>
      <c r="E95" s="44" t="n"/>
      <c r="F95" s="32" t="n"/>
      <c r="G95" s="32" t="n"/>
      <c r="H95" s="39">
        <f>IF(C95="","",IFERROR(INDEX('Animais'!$M$6:$M$1005,MATCH(C95,'Animais'!$A$6:$A$1005,0)),"Brinco não cadastrado"))</f>
        <v/>
      </c>
      <c r="I95" s="34">
        <f>IF(A95="","",YEAR(A95))</f>
        <v/>
      </c>
      <c r="J95" s="45">
        <f>IF(OR(N(D95)=0,N(E95)=0),"",IFERROR(E95/D95,""))</f>
        <v/>
      </c>
    </row>
    <row r="96">
      <c r="A96" s="31" t="n"/>
      <c r="B96" s="37" t="n"/>
      <c r="C96" s="36" t="n"/>
      <c r="D96" s="38" t="n"/>
      <c r="E96" s="44" t="n"/>
      <c r="F96" s="32" t="n"/>
      <c r="G96" s="32" t="n"/>
      <c r="H96" s="39">
        <f>IF(C96="","",IFERROR(INDEX('Animais'!$M$6:$M$1005,MATCH(C96,'Animais'!$A$6:$A$1005,0)),"Brinco não cadastrado"))</f>
        <v/>
      </c>
      <c r="I96" s="34">
        <f>IF(A96="","",YEAR(A96))</f>
        <v/>
      </c>
      <c r="J96" s="45">
        <f>IF(OR(N(D96)=0,N(E96)=0),"",IFERROR(E96/D96,""))</f>
        <v/>
      </c>
    </row>
    <row r="97">
      <c r="A97" s="31" t="n"/>
      <c r="B97" s="37" t="n"/>
      <c r="C97" s="36" t="n"/>
      <c r="D97" s="38" t="n"/>
      <c r="E97" s="44" t="n"/>
      <c r="F97" s="32" t="n"/>
      <c r="G97" s="32" t="n"/>
      <c r="H97" s="39">
        <f>IF(C97="","",IFERROR(INDEX('Animais'!$M$6:$M$1005,MATCH(C97,'Animais'!$A$6:$A$1005,0)),"Brinco não cadastrado"))</f>
        <v/>
      </c>
      <c r="I97" s="34">
        <f>IF(A97="","",YEAR(A97))</f>
        <v/>
      </c>
      <c r="J97" s="45">
        <f>IF(OR(N(D97)=0,N(E97)=0),"",IFERROR(E97/D97,""))</f>
        <v/>
      </c>
    </row>
    <row r="98">
      <c r="A98" s="31" t="n"/>
      <c r="B98" s="37" t="n"/>
      <c r="C98" s="36" t="n"/>
      <c r="D98" s="38" t="n"/>
      <c r="E98" s="44" t="n"/>
      <c r="F98" s="32" t="n"/>
      <c r="G98" s="32" t="n"/>
      <c r="H98" s="39">
        <f>IF(C98="","",IFERROR(INDEX('Animais'!$M$6:$M$1005,MATCH(C98,'Animais'!$A$6:$A$1005,0)),"Brinco não cadastrado"))</f>
        <v/>
      </c>
      <c r="I98" s="34">
        <f>IF(A98="","",YEAR(A98))</f>
        <v/>
      </c>
      <c r="J98" s="45">
        <f>IF(OR(N(D98)=0,N(E98)=0),"",IFERROR(E98/D98,""))</f>
        <v/>
      </c>
    </row>
    <row r="99">
      <c r="A99" s="31" t="n"/>
      <c r="B99" s="37" t="n"/>
      <c r="C99" s="36" t="n"/>
      <c r="D99" s="38" t="n"/>
      <c r="E99" s="44" t="n"/>
      <c r="F99" s="32" t="n"/>
      <c r="G99" s="32" t="n"/>
      <c r="H99" s="39">
        <f>IF(C99="","",IFERROR(INDEX('Animais'!$M$6:$M$1005,MATCH(C99,'Animais'!$A$6:$A$1005,0)),"Brinco não cadastrado"))</f>
        <v/>
      </c>
      <c r="I99" s="34">
        <f>IF(A99="","",YEAR(A99))</f>
        <v/>
      </c>
      <c r="J99" s="45">
        <f>IF(OR(N(D99)=0,N(E99)=0),"",IFERROR(E99/D99,""))</f>
        <v/>
      </c>
    </row>
    <row r="100">
      <c r="A100" s="31" t="n"/>
      <c r="B100" s="37" t="n"/>
      <c r="C100" s="36" t="n"/>
      <c r="D100" s="38" t="n"/>
      <c r="E100" s="44" t="n"/>
      <c r="F100" s="32" t="n"/>
      <c r="G100" s="32" t="n"/>
      <c r="H100" s="39">
        <f>IF(C100="","",IFERROR(INDEX('Animais'!$M$6:$M$1005,MATCH(C100,'Animais'!$A$6:$A$1005,0)),"Brinco não cadastrado"))</f>
        <v/>
      </c>
      <c r="I100" s="34">
        <f>IF(A100="","",YEAR(A100))</f>
        <v/>
      </c>
      <c r="J100" s="45">
        <f>IF(OR(N(D100)=0,N(E100)=0),"",IFERROR(E100/D100,""))</f>
        <v/>
      </c>
    </row>
    <row r="101">
      <c r="A101" s="31" t="n"/>
      <c r="B101" s="37" t="n"/>
      <c r="C101" s="36" t="n"/>
      <c r="D101" s="38" t="n"/>
      <c r="E101" s="44" t="n"/>
      <c r="F101" s="32" t="n"/>
      <c r="G101" s="32" t="n"/>
      <c r="H101" s="39">
        <f>IF(C101="","",IFERROR(INDEX('Animais'!$M$6:$M$1005,MATCH(C101,'Animais'!$A$6:$A$1005,0)),"Brinco não cadastrado"))</f>
        <v/>
      </c>
      <c r="I101" s="34">
        <f>IF(A101="","",YEAR(A101))</f>
        <v/>
      </c>
      <c r="J101" s="45">
        <f>IF(OR(N(D101)=0,N(E101)=0),"",IFERROR(E101/D101,""))</f>
        <v/>
      </c>
    </row>
    <row r="102">
      <c r="A102" s="31" t="n"/>
      <c r="B102" s="37" t="n"/>
      <c r="C102" s="36" t="n"/>
      <c r="D102" s="38" t="n"/>
      <c r="E102" s="44" t="n"/>
      <c r="F102" s="32" t="n"/>
      <c r="G102" s="32" t="n"/>
      <c r="H102" s="39">
        <f>IF(C102="","",IFERROR(INDEX('Animais'!$M$6:$M$1005,MATCH(C102,'Animais'!$A$6:$A$1005,0)),"Brinco não cadastrado"))</f>
        <v/>
      </c>
      <c r="I102" s="34">
        <f>IF(A102="","",YEAR(A102))</f>
        <v/>
      </c>
      <c r="J102" s="45">
        <f>IF(OR(N(D102)=0,N(E102)=0),"",IFERROR(E102/D102,""))</f>
        <v/>
      </c>
    </row>
    <row r="103">
      <c r="A103" s="31" t="n"/>
      <c r="B103" s="37" t="n"/>
      <c r="C103" s="36" t="n"/>
      <c r="D103" s="38" t="n"/>
      <c r="E103" s="44" t="n"/>
      <c r="F103" s="32" t="n"/>
      <c r="G103" s="32" t="n"/>
      <c r="H103" s="39">
        <f>IF(C103="","",IFERROR(INDEX('Animais'!$M$6:$M$1005,MATCH(C103,'Animais'!$A$6:$A$1005,0)),"Brinco não cadastrado"))</f>
        <v/>
      </c>
      <c r="I103" s="34">
        <f>IF(A103="","",YEAR(A103))</f>
        <v/>
      </c>
      <c r="J103" s="45">
        <f>IF(OR(N(D103)=0,N(E103)=0),"",IFERROR(E103/D103,""))</f>
        <v/>
      </c>
    </row>
    <row r="104">
      <c r="A104" s="31" t="n"/>
      <c r="B104" s="37" t="n"/>
      <c r="C104" s="36" t="n"/>
      <c r="D104" s="38" t="n"/>
      <c r="E104" s="44" t="n"/>
      <c r="F104" s="32" t="n"/>
      <c r="G104" s="32" t="n"/>
      <c r="H104" s="39">
        <f>IF(C104="","",IFERROR(INDEX('Animais'!$M$6:$M$1005,MATCH(C104,'Animais'!$A$6:$A$1005,0)),"Brinco não cadastrado"))</f>
        <v/>
      </c>
      <c r="I104" s="34">
        <f>IF(A104="","",YEAR(A104))</f>
        <v/>
      </c>
      <c r="J104" s="45">
        <f>IF(OR(N(D104)=0,N(E104)=0),"",IFERROR(E104/D104,""))</f>
        <v/>
      </c>
    </row>
    <row r="105">
      <c r="A105" s="31" t="n"/>
      <c r="B105" s="37" t="n"/>
      <c r="C105" s="36" t="n"/>
      <c r="D105" s="38" t="n"/>
      <c r="E105" s="44" t="n"/>
      <c r="F105" s="32" t="n"/>
      <c r="G105" s="32" t="n"/>
      <c r="H105" s="39">
        <f>IF(C105="","",IFERROR(INDEX('Animais'!$M$6:$M$1005,MATCH(C105,'Animais'!$A$6:$A$1005,0)),"Brinco não cadastrado"))</f>
        <v/>
      </c>
      <c r="I105" s="34">
        <f>IF(A105="","",YEAR(A105))</f>
        <v/>
      </c>
      <c r="J105" s="45">
        <f>IF(OR(N(D105)=0,N(E105)=0),"",IFERROR(E105/D105,""))</f>
        <v/>
      </c>
    </row>
    <row r="106">
      <c r="A106" s="31" t="n"/>
      <c r="B106" s="37" t="n"/>
      <c r="C106" s="36" t="n"/>
      <c r="D106" s="38" t="n"/>
      <c r="E106" s="44" t="n"/>
      <c r="F106" s="32" t="n"/>
      <c r="G106" s="32" t="n"/>
      <c r="H106" s="39">
        <f>IF(C106="","",IFERROR(INDEX('Animais'!$M$6:$M$1005,MATCH(C106,'Animais'!$A$6:$A$1005,0)),"Brinco não cadastrado"))</f>
        <v/>
      </c>
      <c r="I106" s="34">
        <f>IF(A106="","",YEAR(A106))</f>
        <v/>
      </c>
      <c r="J106" s="45">
        <f>IF(OR(N(D106)=0,N(E106)=0),"",IFERROR(E106/D106,""))</f>
        <v/>
      </c>
    </row>
    <row r="107">
      <c r="A107" s="31" t="n"/>
      <c r="B107" s="37" t="n"/>
      <c r="C107" s="36" t="n"/>
      <c r="D107" s="38" t="n"/>
      <c r="E107" s="44" t="n"/>
      <c r="F107" s="32" t="n"/>
      <c r="G107" s="32" t="n"/>
      <c r="H107" s="39">
        <f>IF(C107="","",IFERROR(INDEX('Animais'!$M$6:$M$1005,MATCH(C107,'Animais'!$A$6:$A$1005,0)),"Brinco não cadastrado"))</f>
        <v/>
      </c>
      <c r="I107" s="34">
        <f>IF(A107="","",YEAR(A107))</f>
        <v/>
      </c>
      <c r="J107" s="45">
        <f>IF(OR(N(D107)=0,N(E107)=0),"",IFERROR(E107/D107,""))</f>
        <v/>
      </c>
    </row>
    <row r="108">
      <c r="A108" s="31" t="n"/>
      <c r="B108" s="37" t="n"/>
      <c r="C108" s="36" t="n"/>
      <c r="D108" s="38" t="n"/>
      <c r="E108" s="44" t="n"/>
      <c r="F108" s="32" t="n"/>
      <c r="G108" s="32" t="n"/>
      <c r="H108" s="39">
        <f>IF(C108="","",IFERROR(INDEX('Animais'!$M$6:$M$1005,MATCH(C108,'Animais'!$A$6:$A$1005,0)),"Brinco não cadastrado"))</f>
        <v/>
      </c>
      <c r="I108" s="34">
        <f>IF(A108="","",YEAR(A108))</f>
        <v/>
      </c>
      <c r="J108" s="45">
        <f>IF(OR(N(D108)=0,N(E108)=0),"",IFERROR(E108/D108,""))</f>
        <v/>
      </c>
    </row>
    <row r="109">
      <c r="A109" s="31" t="n"/>
      <c r="B109" s="37" t="n"/>
      <c r="C109" s="36" t="n"/>
      <c r="D109" s="38" t="n"/>
      <c r="E109" s="44" t="n"/>
      <c r="F109" s="32" t="n"/>
      <c r="G109" s="32" t="n"/>
      <c r="H109" s="39">
        <f>IF(C109="","",IFERROR(INDEX('Animais'!$M$6:$M$1005,MATCH(C109,'Animais'!$A$6:$A$1005,0)),"Brinco não cadastrado"))</f>
        <v/>
      </c>
      <c r="I109" s="34">
        <f>IF(A109="","",YEAR(A109))</f>
        <v/>
      </c>
      <c r="J109" s="45">
        <f>IF(OR(N(D109)=0,N(E109)=0),"",IFERROR(E109/D109,""))</f>
        <v/>
      </c>
    </row>
    <row r="110">
      <c r="A110" s="31" t="n"/>
      <c r="B110" s="37" t="n"/>
      <c r="C110" s="36" t="n"/>
      <c r="D110" s="38" t="n"/>
      <c r="E110" s="44" t="n"/>
      <c r="F110" s="32" t="n"/>
      <c r="G110" s="32" t="n"/>
      <c r="H110" s="39">
        <f>IF(C110="","",IFERROR(INDEX('Animais'!$M$6:$M$1005,MATCH(C110,'Animais'!$A$6:$A$1005,0)),"Brinco não cadastrado"))</f>
        <v/>
      </c>
      <c r="I110" s="34">
        <f>IF(A110="","",YEAR(A110))</f>
        <v/>
      </c>
      <c r="J110" s="45">
        <f>IF(OR(N(D110)=0,N(E110)=0),"",IFERROR(E110/D110,""))</f>
        <v/>
      </c>
    </row>
    <row r="111">
      <c r="A111" s="31" t="n"/>
      <c r="B111" s="37" t="n"/>
      <c r="C111" s="36" t="n"/>
      <c r="D111" s="38" t="n"/>
      <c r="E111" s="44" t="n"/>
      <c r="F111" s="32" t="n"/>
      <c r="G111" s="32" t="n"/>
      <c r="H111" s="39">
        <f>IF(C111="","",IFERROR(INDEX('Animais'!$M$6:$M$1005,MATCH(C111,'Animais'!$A$6:$A$1005,0)),"Brinco não cadastrado"))</f>
        <v/>
      </c>
      <c r="I111" s="34">
        <f>IF(A111="","",YEAR(A111))</f>
        <v/>
      </c>
      <c r="J111" s="45">
        <f>IF(OR(N(D111)=0,N(E111)=0),"",IFERROR(E111/D111,""))</f>
        <v/>
      </c>
    </row>
    <row r="112">
      <c r="A112" s="31" t="n"/>
      <c r="B112" s="37" t="n"/>
      <c r="C112" s="36" t="n"/>
      <c r="D112" s="38" t="n"/>
      <c r="E112" s="44" t="n"/>
      <c r="F112" s="32" t="n"/>
      <c r="G112" s="32" t="n"/>
      <c r="H112" s="39">
        <f>IF(C112="","",IFERROR(INDEX('Animais'!$M$6:$M$1005,MATCH(C112,'Animais'!$A$6:$A$1005,0)),"Brinco não cadastrado"))</f>
        <v/>
      </c>
      <c r="I112" s="34">
        <f>IF(A112="","",YEAR(A112))</f>
        <v/>
      </c>
      <c r="J112" s="45">
        <f>IF(OR(N(D112)=0,N(E112)=0),"",IFERROR(E112/D112,""))</f>
        <v/>
      </c>
    </row>
    <row r="113">
      <c r="A113" s="31" t="n"/>
      <c r="B113" s="37" t="n"/>
      <c r="C113" s="36" t="n"/>
      <c r="D113" s="38" t="n"/>
      <c r="E113" s="44" t="n"/>
      <c r="F113" s="32" t="n"/>
      <c r="G113" s="32" t="n"/>
      <c r="H113" s="39">
        <f>IF(C113="","",IFERROR(INDEX('Animais'!$M$6:$M$1005,MATCH(C113,'Animais'!$A$6:$A$1005,0)),"Brinco não cadastrado"))</f>
        <v/>
      </c>
      <c r="I113" s="34">
        <f>IF(A113="","",YEAR(A113))</f>
        <v/>
      </c>
      <c r="J113" s="45">
        <f>IF(OR(N(D113)=0,N(E113)=0),"",IFERROR(E113/D113,""))</f>
        <v/>
      </c>
    </row>
    <row r="114">
      <c r="A114" s="31" t="n"/>
      <c r="B114" s="37" t="n"/>
      <c r="C114" s="36" t="n"/>
      <c r="D114" s="38" t="n"/>
      <c r="E114" s="44" t="n"/>
      <c r="F114" s="32" t="n"/>
      <c r="G114" s="32" t="n"/>
      <c r="H114" s="39">
        <f>IF(C114="","",IFERROR(INDEX('Animais'!$M$6:$M$1005,MATCH(C114,'Animais'!$A$6:$A$1005,0)),"Brinco não cadastrado"))</f>
        <v/>
      </c>
      <c r="I114" s="34">
        <f>IF(A114="","",YEAR(A114))</f>
        <v/>
      </c>
      <c r="J114" s="45">
        <f>IF(OR(N(D114)=0,N(E114)=0),"",IFERROR(E114/D114,""))</f>
        <v/>
      </c>
    </row>
    <row r="115">
      <c r="A115" s="31" t="n"/>
      <c r="B115" s="37" t="n"/>
      <c r="C115" s="36" t="n"/>
      <c r="D115" s="38" t="n"/>
      <c r="E115" s="44" t="n"/>
      <c r="F115" s="32" t="n"/>
      <c r="G115" s="32" t="n"/>
      <c r="H115" s="39">
        <f>IF(C115="","",IFERROR(INDEX('Animais'!$M$6:$M$1005,MATCH(C115,'Animais'!$A$6:$A$1005,0)),"Brinco não cadastrado"))</f>
        <v/>
      </c>
      <c r="I115" s="34">
        <f>IF(A115="","",YEAR(A115))</f>
        <v/>
      </c>
      <c r="J115" s="45">
        <f>IF(OR(N(D115)=0,N(E115)=0),"",IFERROR(E115/D115,""))</f>
        <v/>
      </c>
    </row>
    <row r="116">
      <c r="A116" s="31" t="n"/>
      <c r="B116" s="37" t="n"/>
      <c r="C116" s="36" t="n"/>
      <c r="D116" s="38" t="n"/>
      <c r="E116" s="44" t="n"/>
      <c r="F116" s="32" t="n"/>
      <c r="G116" s="32" t="n"/>
      <c r="H116" s="39">
        <f>IF(C116="","",IFERROR(INDEX('Animais'!$M$6:$M$1005,MATCH(C116,'Animais'!$A$6:$A$1005,0)),"Brinco não cadastrado"))</f>
        <v/>
      </c>
      <c r="I116" s="34">
        <f>IF(A116="","",YEAR(A116))</f>
        <v/>
      </c>
      <c r="J116" s="45">
        <f>IF(OR(N(D116)=0,N(E116)=0),"",IFERROR(E116/D116,""))</f>
        <v/>
      </c>
    </row>
    <row r="117">
      <c r="A117" s="31" t="n"/>
      <c r="B117" s="37" t="n"/>
      <c r="C117" s="36" t="n"/>
      <c r="D117" s="38" t="n"/>
      <c r="E117" s="44" t="n"/>
      <c r="F117" s="32" t="n"/>
      <c r="G117" s="32" t="n"/>
      <c r="H117" s="39">
        <f>IF(C117="","",IFERROR(INDEX('Animais'!$M$6:$M$1005,MATCH(C117,'Animais'!$A$6:$A$1005,0)),"Brinco não cadastrado"))</f>
        <v/>
      </c>
      <c r="I117" s="34">
        <f>IF(A117="","",YEAR(A117))</f>
        <v/>
      </c>
      <c r="J117" s="45">
        <f>IF(OR(N(D117)=0,N(E117)=0),"",IFERROR(E117/D117,""))</f>
        <v/>
      </c>
    </row>
    <row r="118">
      <c r="A118" s="31" t="n"/>
      <c r="B118" s="37" t="n"/>
      <c r="C118" s="36" t="n"/>
      <c r="D118" s="38" t="n"/>
      <c r="E118" s="44" t="n"/>
      <c r="F118" s="32" t="n"/>
      <c r="G118" s="32" t="n"/>
      <c r="H118" s="39">
        <f>IF(C118="","",IFERROR(INDEX('Animais'!$M$6:$M$1005,MATCH(C118,'Animais'!$A$6:$A$1005,0)),"Brinco não cadastrado"))</f>
        <v/>
      </c>
      <c r="I118" s="34">
        <f>IF(A118="","",YEAR(A118))</f>
        <v/>
      </c>
      <c r="J118" s="45">
        <f>IF(OR(N(D118)=0,N(E118)=0),"",IFERROR(E118/D118,""))</f>
        <v/>
      </c>
    </row>
    <row r="119">
      <c r="A119" s="31" t="n"/>
      <c r="B119" s="37" t="n"/>
      <c r="C119" s="36" t="n"/>
      <c r="D119" s="38" t="n"/>
      <c r="E119" s="44" t="n"/>
      <c r="F119" s="32" t="n"/>
      <c r="G119" s="32" t="n"/>
      <c r="H119" s="39">
        <f>IF(C119="","",IFERROR(INDEX('Animais'!$M$6:$M$1005,MATCH(C119,'Animais'!$A$6:$A$1005,0)),"Brinco não cadastrado"))</f>
        <v/>
      </c>
      <c r="I119" s="34">
        <f>IF(A119="","",YEAR(A119))</f>
        <v/>
      </c>
      <c r="J119" s="45">
        <f>IF(OR(N(D119)=0,N(E119)=0),"",IFERROR(E119/D119,""))</f>
        <v/>
      </c>
    </row>
    <row r="120">
      <c r="A120" s="31" t="n"/>
      <c r="B120" s="37" t="n"/>
      <c r="C120" s="36" t="n"/>
      <c r="D120" s="38" t="n"/>
      <c r="E120" s="44" t="n"/>
      <c r="F120" s="32" t="n"/>
      <c r="G120" s="32" t="n"/>
      <c r="H120" s="39">
        <f>IF(C120="","",IFERROR(INDEX('Animais'!$M$6:$M$1005,MATCH(C120,'Animais'!$A$6:$A$1005,0)),"Brinco não cadastrado"))</f>
        <v/>
      </c>
      <c r="I120" s="34">
        <f>IF(A120="","",YEAR(A120))</f>
        <v/>
      </c>
      <c r="J120" s="45">
        <f>IF(OR(N(D120)=0,N(E120)=0),"",IFERROR(E120/D120,""))</f>
        <v/>
      </c>
    </row>
    <row r="121">
      <c r="A121" s="31" t="n"/>
      <c r="B121" s="37" t="n"/>
      <c r="C121" s="36" t="n"/>
      <c r="D121" s="38" t="n"/>
      <c r="E121" s="44" t="n"/>
      <c r="F121" s="32" t="n"/>
      <c r="G121" s="32" t="n"/>
      <c r="H121" s="39">
        <f>IF(C121="","",IFERROR(INDEX('Animais'!$M$6:$M$1005,MATCH(C121,'Animais'!$A$6:$A$1005,0)),"Brinco não cadastrado"))</f>
        <v/>
      </c>
      <c r="I121" s="34">
        <f>IF(A121="","",YEAR(A121))</f>
        <v/>
      </c>
      <c r="J121" s="45">
        <f>IF(OR(N(D121)=0,N(E121)=0),"",IFERROR(E121/D121,""))</f>
        <v/>
      </c>
    </row>
    <row r="122">
      <c r="A122" s="31" t="n"/>
      <c r="B122" s="37" t="n"/>
      <c r="C122" s="36" t="n"/>
      <c r="D122" s="38" t="n"/>
      <c r="E122" s="44" t="n"/>
      <c r="F122" s="32" t="n"/>
      <c r="G122" s="32" t="n"/>
      <c r="H122" s="39">
        <f>IF(C122="","",IFERROR(INDEX('Animais'!$M$6:$M$1005,MATCH(C122,'Animais'!$A$6:$A$1005,0)),"Brinco não cadastrado"))</f>
        <v/>
      </c>
      <c r="I122" s="34">
        <f>IF(A122="","",YEAR(A122))</f>
        <v/>
      </c>
      <c r="J122" s="45">
        <f>IF(OR(N(D122)=0,N(E122)=0),"",IFERROR(E122/D122,""))</f>
        <v/>
      </c>
    </row>
    <row r="123">
      <c r="A123" s="31" t="n"/>
      <c r="B123" s="37" t="n"/>
      <c r="C123" s="36" t="n"/>
      <c r="D123" s="38" t="n"/>
      <c r="E123" s="44" t="n"/>
      <c r="F123" s="32" t="n"/>
      <c r="G123" s="32" t="n"/>
      <c r="H123" s="39">
        <f>IF(C123="","",IFERROR(INDEX('Animais'!$M$6:$M$1005,MATCH(C123,'Animais'!$A$6:$A$1005,0)),"Brinco não cadastrado"))</f>
        <v/>
      </c>
      <c r="I123" s="34">
        <f>IF(A123="","",YEAR(A123))</f>
        <v/>
      </c>
      <c r="J123" s="45">
        <f>IF(OR(N(D123)=0,N(E123)=0),"",IFERROR(E123/D123,""))</f>
        <v/>
      </c>
    </row>
    <row r="124">
      <c r="A124" s="31" t="n"/>
      <c r="B124" s="37" t="n"/>
      <c r="C124" s="36" t="n"/>
      <c r="D124" s="38" t="n"/>
      <c r="E124" s="44" t="n"/>
      <c r="F124" s="32" t="n"/>
      <c r="G124" s="32" t="n"/>
      <c r="H124" s="39">
        <f>IF(C124="","",IFERROR(INDEX('Animais'!$M$6:$M$1005,MATCH(C124,'Animais'!$A$6:$A$1005,0)),"Brinco não cadastrado"))</f>
        <v/>
      </c>
      <c r="I124" s="34">
        <f>IF(A124="","",YEAR(A124))</f>
        <v/>
      </c>
      <c r="J124" s="45">
        <f>IF(OR(N(D124)=0,N(E124)=0),"",IFERROR(E124/D124,""))</f>
        <v/>
      </c>
    </row>
    <row r="125">
      <c r="A125" s="31" t="n"/>
      <c r="B125" s="37" t="n"/>
      <c r="C125" s="36" t="n"/>
      <c r="D125" s="38" t="n"/>
      <c r="E125" s="44" t="n"/>
      <c r="F125" s="32" t="n"/>
      <c r="G125" s="32" t="n"/>
      <c r="H125" s="39">
        <f>IF(C125="","",IFERROR(INDEX('Animais'!$M$6:$M$1005,MATCH(C125,'Animais'!$A$6:$A$1005,0)),"Brinco não cadastrado"))</f>
        <v/>
      </c>
      <c r="I125" s="34">
        <f>IF(A125="","",YEAR(A125))</f>
        <v/>
      </c>
      <c r="J125" s="45">
        <f>IF(OR(N(D125)=0,N(E125)=0),"",IFERROR(E125/D125,""))</f>
        <v/>
      </c>
    </row>
    <row r="126">
      <c r="A126" s="31" t="n"/>
      <c r="B126" s="37" t="n"/>
      <c r="C126" s="36" t="n"/>
      <c r="D126" s="38" t="n"/>
      <c r="E126" s="44" t="n"/>
      <c r="F126" s="32" t="n"/>
      <c r="G126" s="32" t="n"/>
      <c r="H126" s="39">
        <f>IF(C126="","",IFERROR(INDEX('Animais'!$M$6:$M$1005,MATCH(C126,'Animais'!$A$6:$A$1005,0)),"Brinco não cadastrado"))</f>
        <v/>
      </c>
      <c r="I126" s="34">
        <f>IF(A126="","",YEAR(A126))</f>
        <v/>
      </c>
      <c r="J126" s="45">
        <f>IF(OR(N(D126)=0,N(E126)=0),"",IFERROR(E126/D126,""))</f>
        <v/>
      </c>
    </row>
    <row r="127">
      <c r="A127" s="31" t="n"/>
      <c r="B127" s="37" t="n"/>
      <c r="C127" s="36" t="n"/>
      <c r="D127" s="38" t="n"/>
      <c r="E127" s="44" t="n"/>
      <c r="F127" s="32" t="n"/>
      <c r="G127" s="32" t="n"/>
      <c r="H127" s="39">
        <f>IF(C127="","",IFERROR(INDEX('Animais'!$M$6:$M$1005,MATCH(C127,'Animais'!$A$6:$A$1005,0)),"Brinco não cadastrado"))</f>
        <v/>
      </c>
      <c r="I127" s="34">
        <f>IF(A127="","",YEAR(A127))</f>
        <v/>
      </c>
      <c r="J127" s="45">
        <f>IF(OR(N(D127)=0,N(E127)=0),"",IFERROR(E127/D127,""))</f>
        <v/>
      </c>
    </row>
    <row r="128">
      <c r="A128" s="31" t="n"/>
      <c r="B128" s="37" t="n"/>
      <c r="C128" s="36" t="n"/>
      <c r="D128" s="38" t="n"/>
      <c r="E128" s="44" t="n"/>
      <c r="F128" s="32" t="n"/>
      <c r="G128" s="32" t="n"/>
      <c r="H128" s="39">
        <f>IF(C128="","",IFERROR(INDEX('Animais'!$M$6:$M$1005,MATCH(C128,'Animais'!$A$6:$A$1005,0)),"Brinco não cadastrado"))</f>
        <v/>
      </c>
      <c r="I128" s="34">
        <f>IF(A128="","",YEAR(A128))</f>
        <v/>
      </c>
      <c r="J128" s="45">
        <f>IF(OR(N(D128)=0,N(E128)=0),"",IFERROR(E128/D128,""))</f>
        <v/>
      </c>
    </row>
    <row r="129">
      <c r="A129" s="31" t="n"/>
      <c r="B129" s="37" t="n"/>
      <c r="C129" s="36" t="n"/>
      <c r="D129" s="38" t="n"/>
      <c r="E129" s="44" t="n"/>
      <c r="F129" s="32" t="n"/>
      <c r="G129" s="32" t="n"/>
      <c r="H129" s="39">
        <f>IF(C129="","",IFERROR(INDEX('Animais'!$M$6:$M$1005,MATCH(C129,'Animais'!$A$6:$A$1005,0)),"Brinco não cadastrado"))</f>
        <v/>
      </c>
      <c r="I129" s="34">
        <f>IF(A129="","",YEAR(A129))</f>
        <v/>
      </c>
      <c r="J129" s="45">
        <f>IF(OR(N(D129)=0,N(E129)=0),"",IFERROR(E129/D129,""))</f>
        <v/>
      </c>
    </row>
    <row r="130">
      <c r="A130" s="31" t="n"/>
      <c r="B130" s="37" t="n"/>
      <c r="C130" s="36" t="n"/>
      <c r="D130" s="38" t="n"/>
      <c r="E130" s="44" t="n"/>
      <c r="F130" s="32" t="n"/>
      <c r="G130" s="32" t="n"/>
      <c r="H130" s="39">
        <f>IF(C130="","",IFERROR(INDEX('Animais'!$M$6:$M$1005,MATCH(C130,'Animais'!$A$6:$A$1005,0)),"Brinco não cadastrado"))</f>
        <v/>
      </c>
      <c r="I130" s="34">
        <f>IF(A130="","",YEAR(A130))</f>
        <v/>
      </c>
      <c r="J130" s="45">
        <f>IF(OR(N(D130)=0,N(E130)=0),"",IFERROR(E130/D130,""))</f>
        <v/>
      </c>
    </row>
    <row r="131">
      <c r="A131" s="31" t="n"/>
      <c r="B131" s="37" t="n"/>
      <c r="C131" s="36" t="n"/>
      <c r="D131" s="38" t="n"/>
      <c r="E131" s="44" t="n"/>
      <c r="F131" s="32" t="n"/>
      <c r="G131" s="32" t="n"/>
      <c r="H131" s="39">
        <f>IF(C131="","",IFERROR(INDEX('Animais'!$M$6:$M$1005,MATCH(C131,'Animais'!$A$6:$A$1005,0)),"Brinco não cadastrado"))</f>
        <v/>
      </c>
      <c r="I131" s="34">
        <f>IF(A131="","",YEAR(A131))</f>
        <v/>
      </c>
      <c r="J131" s="45">
        <f>IF(OR(N(D131)=0,N(E131)=0),"",IFERROR(E131/D131,""))</f>
        <v/>
      </c>
    </row>
    <row r="132">
      <c r="A132" s="31" t="n"/>
      <c r="B132" s="37" t="n"/>
      <c r="C132" s="36" t="n"/>
      <c r="D132" s="38" t="n"/>
      <c r="E132" s="44" t="n"/>
      <c r="F132" s="32" t="n"/>
      <c r="G132" s="32" t="n"/>
      <c r="H132" s="39">
        <f>IF(C132="","",IFERROR(INDEX('Animais'!$M$6:$M$1005,MATCH(C132,'Animais'!$A$6:$A$1005,0)),"Brinco não cadastrado"))</f>
        <v/>
      </c>
      <c r="I132" s="34">
        <f>IF(A132="","",YEAR(A132))</f>
        <v/>
      </c>
      <c r="J132" s="45">
        <f>IF(OR(N(D132)=0,N(E132)=0),"",IFERROR(E132/D132,""))</f>
        <v/>
      </c>
    </row>
    <row r="133">
      <c r="A133" s="31" t="n"/>
      <c r="B133" s="37" t="n"/>
      <c r="C133" s="36" t="n"/>
      <c r="D133" s="38" t="n"/>
      <c r="E133" s="44" t="n"/>
      <c r="F133" s="32" t="n"/>
      <c r="G133" s="32" t="n"/>
      <c r="H133" s="39">
        <f>IF(C133="","",IFERROR(INDEX('Animais'!$M$6:$M$1005,MATCH(C133,'Animais'!$A$6:$A$1005,0)),"Brinco não cadastrado"))</f>
        <v/>
      </c>
      <c r="I133" s="34">
        <f>IF(A133="","",YEAR(A133))</f>
        <v/>
      </c>
      <c r="J133" s="45">
        <f>IF(OR(N(D133)=0,N(E133)=0),"",IFERROR(E133/D133,""))</f>
        <v/>
      </c>
    </row>
    <row r="134">
      <c r="A134" s="31" t="n"/>
      <c r="B134" s="37" t="n"/>
      <c r="C134" s="36" t="n"/>
      <c r="D134" s="38" t="n"/>
      <c r="E134" s="44" t="n"/>
      <c r="F134" s="32" t="n"/>
      <c r="G134" s="32" t="n"/>
      <c r="H134" s="39">
        <f>IF(C134="","",IFERROR(INDEX('Animais'!$M$6:$M$1005,MATCH(C134,'Animais'!$A$6:$A$1005,0)),"Brinco não cadastrado"))</f>
        <v/>
      </c>
      <c r="I134" s="34">
        <f>IF(A134="","",YEAR(A134))</f>
        <v/>
      </c>
      <c r="J134" s="45">
        <f>IF(OR(N(D134)=0,N(E134)=0),"",IFERROR(E134/D134,""))</f>
        <v/>
      </c>
    </row>
    <row r="135">
      <c r="A135" s="31" t="n"/>
      <c r="B135" s="37" t="n"/>
      <c r="C135" s="36" t="n"/>
      <c r="D135" s="38" t="n"/>
      <c r="E135" s="44" t="n"/>
      <c r="F135" s="32" t="n"/>
      <c r="G135" s="32" t="n"/>
      <c r="H135" s="39">
        <f>IF(C135="","",IFERROR(INDEX('Animais'!$M$6:$M$1005,MATCH(C135,'Animais'!$A$6:$A$1005,0)),"Brinco não cadastrado"))</f>
        <v/>
      </c>
      <c r="I135" s="34">
        <f>IF(A135="","",YEAR(A135))</f>
        <v/>
      </c>
      <c r="J135" s="45">
        <f>IF(OR(N(D135)=0,N(E135)=0),"",IFERROR(E135/D135,""))</f>
        <v/>
      </c>
    </row>
    <row r="136">
      <c r="A136" s="31" t="n"/>
      <c r="B136" s="37" t="n"/>
      <c r="C136" s="36" t="n"/>
      <c r="D136" s="38" t="n"/>
      <c r="E136" s="44" t="n"/>
      <c r="F136" s="32" t="n"/>
      <c r="G136" s="32" t="n"/>
      <c r="H136" s="39">
        <f>IF(C136="","",IFERROR(INDEX('Animais'!$M$6:$M$1005,MATCH(C136,'Animais'!$A$6:$A$1005,0)),"Brinco não cadastrado"))</f>
        <v/>
      </c>
      <c r="I136" s="34">
        <f>IF(A136="","",YEAR(A136))</f>
        <v/>
      </c>
      <c r="J136" s="45">
        <f>IF(OR(N(D136)=0,N(E136)=0),"",IFERROR(E136/D136,""))</f>
        <v/>
      </c>
    </row>
    <row r="137">
      <c r="A137" s="31" t="n"/>
      <c r="B137" s="37" t="n"/>
      <c r="C137" s="36" t="n"/>
      <c r="D137" s="38" t="n"/>
      <c r="E137" s="44" t="n"/>
      <c r="F137" s="32" t="n"/>
      <c r="G137" s="32" t="n"/>
      <c r="H137" s="39">
        <f>IF(C137="","",IFERROR(INDEX('Animais'!$M$6:$M$1005,MATCH(C137,'Animais'!$A$6:$A$1005,0)),"Brinco não cadastrado"))</f>
        <v/>
      </c>
      <c r="I137" s="34">
        <f>IF(A137="","",YEAR(A137))</f>
        <v/>
      </c>
      <c r="J137" s="45">
        <f>IF(OR(N(D137)=0,N(E137)=0),"",IFERROR(E137/D137,""))</f>
        <v/>
      </c>
    </row>
    <row r="138">
      <c r="A138" s="31" t="n"/>
      <c r="B138" s="37" t="n"/>
      <c r="C138" s="36" t="n"/>
      <c r="D138" s="38" t="n"/>
      <c r="E138" s="44" t="n"/>
      <c r="F138" s="32" t="n"/>
      <c r="G138" s="32" t="n"/>
      <c r="H138" s="39">
        <f>IF(C138="","",IFERROR(INDEX('Animais'!$M$6:$M$1005,MATCH(C138,'Animais'!$A$6:$A$1005,0)),"Brinco não cadastrado"))</f>
        <v/>
      </c>
      <c r="I138" s="34">
        <f>IF(A138="","",YEAR(A138))</f>
        <v/>
      </c>
      <c r="J138" s="45">
        <f>IF(OR(N(D138)=0,N(E138)=0),"",IFERROR(E138/D138,""))</f>
        <v/>
      </c>
    </row>
    <row r="139">
      <c r="A139" s="31" t="n"/>
      <c r="B139" s="37" t="n"/>
      <c r="C139" s="36" t="n"/>
      <c r="D139" s="38" t="n"/>
      <c r="E139" s="44" t="n"/>
      <c r="F139" s="32" t="n"/>
      <c r="G139" s="32" t="n"/>
      <c r="H139" s="39">
        <f>IF(C139="","",IFERROR(INDEX('Animais'!$M$6:$M$1005,MATCH(C139,'Animais'!$A$6:$A$1005,0)),"Brinco não cadastrado"))</f>
        <v/>
      </c>
      <c r="I139" s="34">
        <f>IF(A139="","",YEAR(A139))</f>
        <v/>
      </c>
      <c r="J139" s="45">
        <f>IF(OR(N(D139)=0,N(E139)=0),"",IFERROR(E139/D139,""))</f>
        <v/>
      </c>
    </row>
    <row r="140">
      <c r="A140" s="31" t="n"/>
      <c r="B140" s="37" t="n"/>
      <c r="C140" s="36" t="n"/>
      <c r="D140" s="38" t="n"/>
      <c r="E140" s="44" t="n"/>
      <c r="F140" s="32" t="n"/>
      <c r="G140" s="32" t="n"/>
      <c r="H140" s="39">
        <f>IF(C140="","",IFERROR(INDEX('Animais'!$M$6:$M$1005,MATCH(C140,'Animais'!$A$6:$A$1005,0)),"Brinco não cadastrado"))</f>
        <v/>
      </c>
      <c r="I140" s="34">
        <f>IF(A140="","",YEAR(A140))</f>
        <v/>
      </c>
      <c r="J140" s="45">
        <f>IF(OR(N(D140)=0,N(E140)=0),"",IFERROR(E140/D140,""))</f>
        <v/>
      </c>
    </row>
    <row r="141">
      <c r="A141" s="31" t="n"/>
      <c r="B141" s="37" t="n"/>
      <c r="C141" s="36" t="n"/>
      <c r="D141" s="38" t="n"/>
      <c r="E141" s="44" t="n"/>
      <c r="F141" s="32" t="n"/>
      <c r="G141" s="32" t="n"/>
      <c r="H141" s="39">
        <f>IF(C141="","",IFERROR(INDEX('Animais'!$M$6:$M$1005,MATCH(C141,'Animais'!$A$6:$A$1005,0)),"Brinco não cadastrado"))</f>
        <v/>
      </c>
      <c r="I141" s="34">
        <f>IF(A141="","",YEAR(A141))</f>
        <v/>
      </c>
      <c r="J141" s="45">
        <f>IF(OR(N(D141)=0,N(E141)=0),"",IFERROR(E141/D141,""))</f>
        <v/>
      </c>
    </row>
    <row r="142">
      <c r="A142" s="31" t="n"/>
      <c r="B142" s="37" t="n"/>
      <c r="C142" s="36" t="n"/>
      <c r="D142" s="38" t="n"/>
      <c r="E142" s="44" t="n"/>
      <c r="F142" s="32" t="n"/>
      <c r="G142" s="32" t="n"/>
      <c r="H142" s="39">
        <f>IF(C142="","",IFERROR(INDEX('Animais'!$M$6:$M$1005,MATCH(C142,'Animais'!$A$6:$A$1005,0)),"Brinco não cadastrado"))</f>
        <v/>
      </c>
      <c r="I142" s="34">
        <f>IF(A142="","",YEAR(A142))</f>
        <v/>
      </c>
      <c r="J142" s="45">
        <f>IF(OR(N(D142)=0,N(E142)=0),"",IFERROR(E142/D142,""))</f>
        <v/>
      </c>
    </row>
    <row r="143">
      <c r="A143" s="31" t="n"/>
      <c r="B143" s="37" t="n"/>
      <c r="C143" s="36" t="n"/>
      <c r="D143" s="38" t="n"/>
      <c r="E143" s="44" t="n"/>
      <c r="F143" s="32" t="n"/>
      <c r="G143" s="32" t="n"/>
      <c r="H143" s="39">
        <f>IF(C143="","",IFERROR(INDEX('Animais'!$M$6:$M$1005,MATCH(C143,'Animais'!$A$6:$A$1005,0)),"Brinco não cadastrado"))</f>
        <v/>
      </c>
      <c r="I143" s="34">
        <f>IF(A143="","",YEAR(A143))</f>
        <v/>
      </c>
      <c r="J143" s="45">
        <f>IF(OR(N(D143)=0,N(E143)=0),"",IFERROR(E143/D143,""))</f>
        <v/>
      </c>
    </row>
    <row r="144">
      <c r="A144" s="31" t="n"/>
      <c r="B144" s="37" t="n"/>
      <c r="C144" s="36" t="n"/>
      <c r="D144" s="38" t="n"/>
      <c r="E144" s="44" t="n"/>
      <c r="F144" s="32" t="n"/>
      <c r="G144" s="32" t="n"/>
      <c r="H144" s="39">
        <f>IF(C144="","",IFERROR(INDEX('Animais'!$M$6:$M$1005,MATCH(C144,'Animais'!$A$6:$A$1005,0)),"Brinco não cadastrado"))</f>
        <v/>
      </c>
      <c r="I144" s="34">
        <f>IF(A144="","",YEAR(A144))</f>
        <v/>
      </c>
      <c r="J144" s="45">
        <f>IF(OR(N(D144)=0,N(E144)=0),"",IFERROR(E144/D144,""))</f>
        <v/>
      </c>
    </row>
    <row r="145">
      <c r="A145" s="31" t="n"/>
      <c r="B145" s="37" t="n"/>
      <c r="C145" s="36" t="n"/>
      <c r="D145" s="38" t="n"/>
      <c r="E145" s="44" t="n"/>
      <c r="F145" s="32" t="n"/>
      <c r="G145" s="32" t="n"/>
      <c r="H145" s="39">
        <f>IF(C145="","",IFERROR(INDEX('Animais'!$M$6:$M$1005,MATCH(C145,'Animais'!$A$6:$A$1005,0)),"Brinco não cadastrado"))</f>
        <v/>
      </c>
      <c r="I145" s="34">
        <f>IF(A145="","",YEAR(A145))</f>
        <v/>
      </c>
      <c r="J145" s="45">
        <f>IF(OR(N(D145)=0,N(E145)=0),"",IFERROR(E145/D145,""))</f>
        <v/>
      </c>
    </row>
    <row r="146">
      <c r="A146" s="31" t="n"/>
      <c r="B146" s="37" t="n"/>
      <c r="C146" s="36" t="n"/>
      <c r="D146" s="38" t="n"/>
      <c r="E146" s="44" t="n"/>
      <c r="F146" s="32" t="n"/>
      <c r="G146" s="32" t="n"/>
      <c r="H146" s="39">
        <f>IF(C146="","",IFERROR(INDEX('Animais'!$M$6:$M$1005,MATCH(C146,'Animais'!$A$6:$A$1005,0)),"Brinco não cadastrado"))</f>
        <v/>
      </c>
      <c r="I146" s="34">
        <f>IF(A146="","",YEAR(A146))</f>
        <v/>
      </c>
      <c r="J146" s="45">
        <f>IF(OR(N(D146)=0,N(E146)=0),"",IFERROR(E146/D146,""))</f>
        <v/>
      </c>
    </row>
    <row r="147">
      <c r="A147" s="31" t="n"/>
      <c r="B147" s="37" t="n"/>
      <c r="C147" s="36" t="n"/>
      <c r="D147" s="38" t="n"/>
      <c r="E147" s="44" t="n"/>
      <c r="F147" s="32" t="n"/>
      <c r="G147" s="32" t="n"/>
      <c r="H147" s="39">
        <f>IF(C147="","",IFERROR(INDEX('Animais'!$M$6:$M$1005,MATCH(C147,'Animais'!$A$6:$A$1005,0)),"Brinco não cadastrado"))</f>
        <v/>
      </c>
      <c r="I147" s="34">
        <f>IF(A147="","",YEAR(A147))</f>
        <v/>
      </c>
      <c r="J147" s="45">
        <f>IF(OR(N(D147)=0,N(E147)=0),"",IFERROR(E147/D147,""))</f>
        <v/>
      </c>
    </row>
    <row r="148">
      <c r="A148" s="31" t="n"/>
      <c r="B148" s="37" t="n"/>
      <c r="C148" s="36" t="n"/>
      <c r="D148" s="38" t="n"/>
      <c r="E148" s="44" t="n"/>
      <c r="F148" s="32" t="n"/>
      <c r="G148" s="32" t="n"/>
      <c r="H148" s="39">
        <f>IF(C148="","",IFERROR(INDEX('Animais'!$M$6:$M$1005,MATCH(C148,'Animais'!$A$6:$A$1005,0)),"Brinco não cadastrado"))</f>
        <v/>
      </c>
      <c r="I148" s="34">
        <f>IF(A148="","",YEAR(A148))</f>
        <v/>
      </c>
      <c r="J148" s="45">
        <f>IF(OR(N(D148)=0,N(E148)=0),"",IFERROR(E148/D148,""))</f>
        <v/>
      </c>
    </row>
    <row r="149">
      <c r="A149" s="31" t="n"/>
      <c r="B149" s="37" t="n"/>
      <c r="C149" s="36" t="n"/>
      <c r="D149" s="38" t="n"/>
      <c r="E149" s="44" t="n"/>
      <c r="F149" s="32" t="n"/>
      <c r="G149" s="32" t="n"/>
      <c r="H149" s="39">
        <f>IF(C149="","",IFERROR(INDEX('Animais'!$M$6:$M$1005,MATCH(C149,'Animais'!$A$6:$A$1005,0)),"Brinco não cadastrado"))</f>
        <v/>
      </c>
      <c r="I149" s="34">
        <f>IF(A149="","",YEAR(A149))</f>
        <v/>
      </c>
      <c r="J149" s="45">
        <f>IF(OR(N(D149)=0,N(E149)=0),"",IFERROR(E149/D149,""))</f>
        <v/>
      </c>
    </row>
    <row r="150">
      <c r="A150" s="31" t="n"/>
      <c r="B150" s="37" t="n"/>
      <c r="C150" s="36" t="n"/>
      <c r="D150" s="38" t="n"/>
      <c r="E150" s="44" t="n"/>
      <c r="F150" s="32" t="n"/>
      <c r="G150" s="32" t="n"/>
      <c r="H150" s="39">
        <f>IF(C150="","",IFERROR(INDEX('Animais'!$M$6:$M$1005,MATCH(C150,'Animais'!$A$6:$A$1005,0)),"Brinco não cadastrado"))</f>
        <v/>
      </c>
      <c r="I150" s="34">
        <f>IF(A150="","",YEAR(A150))</f>
        <v/>
      </c>
      <c r="J150" s="45">
        <f>IF(OR(N(D150)=0,N(E150)=0),"",IFERROR(E150/D150,""))</f>
        <v/>
      </c>
    </row>
    <row r="151">
      <c r="A151" s="31" t="n"/>
      <c r="B151" s="37" t="n"/>
      <c r="C151" s="36" t="n"/>
      <c r="D151" s="38" t="n"/>
      <c r="E151" s="44" t="n"/>
      <c r="F151" s="32" t="n"/>
      <c r="G151" s="32" t="n"/>
      <c r="H151" s="39">
        <f>IF(C151="","",IFERROR(INDEX('Animais'!$M$6:$M$1005,MATCH(C151,'Animais'!$A$6:$A$1005,0)),"Brinco não cadastrado"))</f>
        <v/>
      </c>
      <c r="I151" s="34">
        <f>IF(A151="","",YEAR(A151))</f>
        <v/>
      </c>
      <c r="J151" s="45">
        <f>IF(OR(N(D151)=0,N(E151)=0),"",IFERROR(E151/D151,""))</f>
        <v/>
      </c>
    </row>
    <row r="152">
      <c r="A152" s="31" t="n"/>
      <c r="B152" s="37" t="n"/>
      <c r="C152" s="36" t="n"/>
      <c r="D152" s="38" t="n"/>
      <c r="E152" s="44" t="n"/>
      <c r="F152" s="32" t="n"/>
      <c r="G152" s="32" t="n"/>
      <c r="H152" s="39">
        <f>IF(C152="","",IFERROR(INDEX('Animais'!$M$6:$M$1005,MATCH(C152,'Animais'!$A$6:$A$1005,0)),"Brinco não cadastrado"))</f>
        <v/>
      </c>
      <c r="I152" s="34">
        <f>IF(A152="","",YEAR(A152))</f>
        <v/>
      </c>
      <c r="J152" s="45">
        <f>IF(OR(N(D152)=0,N(E152)=0),"",IFERROR(E152/D152,""))</f>
        <v/>
      </c>
    </row>
    <row r="153">
      <c r="A153" s="31" t="n"/>
      <c r="B153" s="37" t="n"/>
      <c r="C153" s="36" t="n"/>
      <c r="D153" s="38" t="n"/>
      <c r="E153" s="44" t="n"/>
      <c r="F153" s="32" t="n"/>
      <c r="G153" s="32" t="n"/>
      <c r="H153" s="39">
        <f>IF(C153="","",IFERROR(INDEX('Animais'!$M$6:$M$1005,MATCH(C153,'Animais'!$A$6:$A$1005,0)),"Brinco não cadastrado"))</f>
        <v/>
      </c>
      <c r="I153" s="34">
        <f>IF(A153="","",YEAR(A153))</f>
        <v/>
      </c>
      <c r="J153" s="45">
        <f>IF(OR(N(D153)=0,N(E153)=0),"",IFERROR(E153/D153,""))</f>
        <v/>
      </c>
    </row>
    <row r="154">
      <c r="A154" s="31" t="n"/>
      <c r="B154" s="37" t="n"/>
      <c r="C154" s="36" t="n"/>
      <c r="D154" s="38" t="n"/>
      <c r="E154" s="44" t="n"/>
      <c r="F154" s="32" t="n"/>
      <c r="G154" s="32" t="n"/>
      <c r="H154" s="39">
        <f>IF(C154="","",IFERROR(INDEX('Animais'!$M$6:$M$1005,MATCH(C154,'Animais'!$A$6:$A$1005,0)),"Brinco não cadastrado"))</f>
        <v/>
      </c>
      <c r="I154" s="34">
        <f>IF(A154="","",YEAR(A154))</f>
        <v/>
      </c>
      <c r="J154" s="45">
        <f>IF(OR(N(D154)=0,N(E154)=0),"",IFERROR(E154/D154,""))</f>
        <v/>
      </c>
    </row>
    <row r="155">
      <c r="A155" s="31" t="n"/>
      <c r="B155" s="37" t="n"/>
      <c r="C155" s="36" t="n"/>
      <c r="D155" s="38" t="n"/>
      <c r="E155" s="44" t="n"/>
      <c r="F155" s="32" t="n"/>
      <c r="G155" s="32" t="n"/>
      <c r="H155" s="39">
        <f>IF(C155="","",IFERROR(INDEX('Animais'!$M$6:$M$1005,MATCH(C155,'Animais'!$A$6:$A$1005,0)),"Brinco não cadastrado"))</f>
        <v/>
      </c>
      <c r="I155" s="34">
        <f>IF(A155="","",YEAR(A155))</f>
        <v/>
      </c>
      <c r="J155" s="45">
        <f>IF(OR(N(D155)=0,N(E155)=0),"",IFERROR(E155/D155,""))</f>
        <v/>
      </c>
    </row>
    <row r="156">
      <c r="A156" s="31" t="n"/>
      <c r="B156" s="37" t="n"/>
      <c r="C156" s="36" t="n"/>
      <c r="D156" s="38" t="n"/>
      <c r="E156" s="44" t="n"/>
      <c r="F156" s="32" t="n"/>
      <c r="G156" s="32" t="n"/>
      <c r="H156" s="39">
        <f>IF(C156="","",IFERROR(INDEX('Animais'!$M$6:$M$1005,MATCH(C156,'Animais'!$A$6:$A$1005,0)),"Brinco não cadastrado"))</f>
        <v/>
      </c>
      <c r="I156" s="34">
        <f>IF(A156="","",YEAR(A156))</f>
        <v/>
      </c>
      <c r="J156" s="45">
        <f>IF(OR(N(D156)=0,N(E156)=0),"",IFERROR(E156/D156,""))</f>
        <v/>
      </c>
    </row>
    <row r="157">
      <c r="A157" s="31" t="n"/>
      <c r="B157" s="37" t="n"/>
      <c r="C157" s="36" t="n"/>
      <c r="D157" s="38" t="n"/>
      <c r="E157" s="44" t="n"/>
      <c r="F157" s="32" t="n"/>
      <c r="G157" s="32" t="n"/>
      <c r="H157" s="39">
        <f>IF(C157="","",IFERROR(INDEX('Animais'!$M$6:$M$1005,MATCH(C157,'Animais'!$A$6:$A$1005,0)),"Brinco não cadastrado"))</f>
        <v/>
      </c>
      <c r="I157" s="34">
        <f>IF(A157="","",YEAR(A157))</f>
        <v/>
      </c>
      <c r="J157" s="45">
        <f>IF(OR(N(D157)=0,N(E157)=0),"",IFERROR(E157/D157,""))</f>
        <v/>
      </c>
    </row>
    <row r="158">
      <c r="A158" s="31" t="n"/>
      <c r="B158" s="37" t="n"/>
      <c r="C158" s="36" t="n"/>
      <c r="D158" s="38" t="n"/>
      <c r="E158" s="44" t="n"/>
      <c r="F158" s="32" t="n"/>
      <c r="G158" s="32" t="n"/>
      <c r="H158" s="39">
        <f>IF(C158="","",IFERROR(INDEX('Animais'!$M$6:$M$1005,MATCH(C158,'Animais'!$A$6:$A$1005,0)),"Brinco não cadastrado"))</f>
        <v/>
      </c>
      <c r="I158" s="34">
        <f>IF(A158="","",YEAR(A158))</f>
        <v/>
      </c>
      <c r="J158" s="45">
        <f>IF(OR(N(D158)=0,N(E158)=0),"",IFERROR(E158/D158,""))</f>
        <v/>
      </c>
    </row>
    <row r="159">
      <c r="A159" s="31" t="n"/>
      <c r="B159" s="37" t="n"/>
      <c r="C159" s="36" t="n"/>
      <c r="D159" s="38" t="n"/>
      <c r="E159" s="44" t="n"/>
      <c r="F159" s="32" t="n"/>
      <c r="G159" s="32" t="n"/>
      <c r="H159" s="39">
        <f>IF(C159="","",IFERROR(INDEX('Animais'!$M$6:$M$1005,MATCH(C159,'Animais'!$A$6:$A$1005,0)),"Brinco não cadastrado"))</f>
        <v/>
      </c>
      <c r="I159" s="34">
        <f>IF(A159="","",YEAR(A159))</f>
        <v/>
      </c>
      <c r="J159" s="45">
        <f>IF(OR(N(D159)=0,N(E159)=0),"",IFERROR(E159/D159,""))</f>
        <v/>
      </c>
    </row>
    <row r="160">
      <c r="A160" s="31" t="n"/>
      <c r="B160" s="37" t="n"/>
      <c r="C160" s="36" t="n"/>
      <c r="D160" s="38" t="n"/>
      <c r="E160" s="44" t="n"/>
      <c r="F160" s="32" t="n"/>
      <c r="G160" s="32" t="n"/>
      <c r="H160" s="39">
        <f>IF(C160="","",IFERROR(INDEX('Animais'!$M$6:$M$1005,MATCH(C160,'Animais'!$A$6:$A$1005,0)),"Brinco não cadastrado"))</f>
        <v/>
      </c>
      <c r="I160" s="34">
        <f>IF(A160="","",YEAR(A160))</f>
        <v/>
      </c>
      <c r="J160" s="45">
        <f>IF(OR(N(D160)=0,N(E160)=0),"",IFERROR(E160/D160,""))</f>
        <v/>
      </c>
    </row>
    <row r="161">
      <c r="A161" s="31" t="n"/>
      <c r="B161" s="37" t="n"/>
      <c r="C161" s="36" t="n"/>
      <c r="D161" s="38" t="n"/>
      <c r="E161" s="44" t="n"/>
      <c r="F161" s="32" t="n"/>
      <c r="G161" s="32" t="n"/>
      <c r="H161" s="39">
        <f>IF(C161="","",IFERROR(INDEX('Animais'!$M$6:$M$1005,MATCH(C161,'Animais'!$A$6:$A$1005,0)),"Brinco não cadastrado"))</f>
        <v/>
      </c>
      <c r="I161" s="34">
        <f>IF(A161="","",YEAR(A161))</f>
        <v/>
      </c>
      <c r="J161" s="45">
        <f>IF(OR(N(D161)=0,N(E161)=0),"",IFERROR(E161/D161,""))</f>
        <v/>
      </c>
    </row>
    <row r="162">
      <c r="A162" s="31" t="n"/>
      <c r="B162" s="37" t="n"/>
      <c r="C162" s="36" t="n"/>
      <c r="D162" s="38" t="n"/>
      <c r="E162" s="44" t="n"/>
      <c r="F162" s="32" t="n"/>
      <c r="G162" s="32" t="n"/>
      <c r="H162" s="39">
        <f>IF(C162="","",IFERROR(INDEX('Animais'!$M$6:$M$1005,MATCH(C162,'Animais'!$A$6:$A$1005,0)),"Brinco não cadastrado"))</f>
        <v/>
      </c>
      <c r="I162" s="34">
        <f>IF(A162="","",YEAR(A162))</f>
        <v/>
      </c>
      <c r="J162" s="45">
        <f>IF(OR(N(D162)=0,N(E162)=0),"",IFERROR(E162/D162,""))</f>
        <v/>
      </c>
    </row>
    <row r="163">
      <c r="A163" s="31" t="n"/>
      <c r="B163" s="37" t="n"/>
      <c r="C163" s="36" t="n"/>
      <c r="D163" s="38" t="n"/>
      <c r="E163" s="44" t="n"/>
      <c r="F163" s="32" t="n"/>
      <c r="G163" s="32" t="n"/>
      <c r="H163" s="39">
        <f>IF(C163="","",IFERROR(INDEX('Animais'!$M$6:$M$1005,MATCH(C163,'Animais'!$A$6:$A$1005,0)),"Brinco não cadastrado"))</f>
        <v/>
      </c>
      <c r="I163" s="34">
        <f>IF(A163="","",YEAR(A163))</f>
        <v/>
      </c>
      <c r="J163" s="45">
        <f>IF(OR(N(D163)=0,N(E163)=0),"",IFERROR(E163/D163,""))</f>
        <v/>
      </c>
    </row>
    <row r="164">
      <c r="A164" s="31" t="n"/>
      <c r="B164" s="37" t="n"/>
      <c r="C164" s="36" t="n"/>
      <c r="D164" s="38" t="n"/>
      <c r="E164" s="44" t="n"/>
      <c r="F164" s="32" t="n"/>
      <c r="G164" s="32" t="n"/>
      <c r="H164" s="39">
        <f>IF(C164="","",IFERROR(INDEX('Animais'!$M$6:$M$1005,MATCH(C164,'Animais'!$A$6:$A$1005,0)),"Brinco não cadastrado"))</f>
        <v/>
      </c>
      <c r="I164" s="34">
        <f>IF(A164="","",YEAR(A164))</f>
        <v/>
      </c>
      <c r="J164" s="45">
        <f>IF(OR(N(D164)=0,N(E164)=0),"",IFERROR(E164/D164,""))</f>
        <v/>
      </c>
    </row>
    <row r="165">
      <c r="A165" s="31" t="n"/>
      <c r="B165" s="37" t="n"/>
      <c r="C165" s="36" t="n"/>
      <c r="D165" s="38" t="n"/>
      <c r="E165" s="44" t="n"/>
      <c r="F165" s="32" t="n"/>
      <c r="G165" s="32" t="n"/>
      <c r="H165" s="39">
        <f>IF(C165="","",IFERROR(INDEX('Animais'!$M$6:$M$1005,MATCH(C165,'Animais'!$A$6:$A$1005,0)),"Brinco não cadastrado"))</f>
        <v/>
      </c>
      <c r="I165" s="34">
        <f>IF(A165="","",YEAR(A165))</f>
        <v/>
      </c>
      <c r="J165" s="45">
        <f>IF(OR(N(D165)=0,N(E165)=0),"",IFERROR(E165/D165,""))</f>
        <v/>
      </c>
    </row>
    <row r="166">
      <c r="A166" s="31" t="n"/>
      <c r="B166" s="37" t="n"/>
      <c r="C166" s="36" t="n"/>
      <c r="D166" s="38" t="n"/>
      <c r="E166" s="44" t="n"/>
      <c r="F166" s="32" t="n"/>
      <c r="G166" s="32" t="n"/>
      <c r="H166" s="39">
        <f>IF(C166="","",IFERROR(INDEX('Animais'!$M$6:$M$1005,MATCH(C166,'Animais'!$A$6:$A$1005,0)),"Brinco não cadastrado"))</f>
        <v/>
      </c>
      <c r="I166" s="34">
        <f>IF(A166="","",YEAR(A166))</f>
        <v/>
      </c>
      <c r="J166" s="45">
        <f>IF(OR(N(D166)=0,N(E166)=0),"",IFERROR(E166/D166,""))</f>
        <v/>
      </c>
    </row>
    <row r="167">
      <c r="A167" s="31" t="n"/>
      <c r="B167" s="37" t="n"/>
      <c r="C167" s="36" t="n"/>
      <c r="D167" s="38" t="n"/>
      <c r="E167" s="44" t="n"/>
      <c r="F167" s="32" t="n"/>
      <c r="G167" s="32" t="n"/>
      <c r="H167" s="39">
        <f>IF(C167="","",IFERROR(INDEX('Animais'!$M$6:$M$1005,MATCH(C167,'Animais'!$A$6:$A$1005,0)),"Brinco não cadastrado"))</f>
        <v/>
      </c>
      <c r="I167" s="34">
        <f>IF(A167="","",YEAR(A167))</f>
        <v/>
      </c>
      <c r="J167" s="45">
        <f>IF(OR(N(D167)=0,N(E167)=0),"",IFERROR(E167/D167,""))</f>
        <v/>
      </c>
    </row>
    <row r="168">
      <c r="A168" s="31" t="n"/>
      <c r="B168" s="37" t="n"/>
      <c r="C168" s="36" t="n"/>
      <c r="D168" s="38" t="n"/>
      <c r="E168" s="44" t="n"/>
      <c r="F168" s="32" t="n"/>
      <c r="G168" s="32" t="n"/>
      <c r="H168" s="39">
        <f>IF(C168="","",IFERROR(INDEX('Animais'!$M$6:$M$1005,MATCH(C168,'Animais'!$A$6:$A$1005,0)),"Brinco não cadastrado"))</f>
        <v/>
      </c>
      <c r="I168" s="34">
        <f>IF(A168="","",YEAR(A168))</f>
        <v/>
      </c>
      <c r="J168" s="45">
        <f>IF(OR(N(D168)=0,N(E168)=0),"",IFERROR(E168/D168,""))</f>
        <v/>
      </c>
    </row>
    <row r="169">
      <c r="A169" s="31" t="n"/>
      <c r="B169" s="37" t="n"/>
      <c r="C169" s="36" t="n"/>
      <c r="D169" s="38" t="n"/>
      <c r="E169" s="44" t="n"/>
      <c r="F169" s="32" t="n"/>
      <c r="G169" s="32" t="n"/>
      <c r="H169" s="39">
        <f>IF(C169="","",IFERROR(INDEX('Animais'!$M$6:$M$1005,MATCH(C169,'Animais'!$A$6:$A$1005,0)),"Brinco não cadastrado"))</f>
        <v/>
      </c>
      <c r="I169" s="34">
        <f>IF(A169="","",YEAR(A169))</f>
        <v/>
      </c>
      <c r="J169" s="45">
        <f>IF(OR(N(D169)=0,N(E169)=0),"",IFERROR(E169/D169,""))</f>
        <v/>
      </c>
    </row>
    <row r="170">
      <c r="A170" s="31" t="n"/>
      <c r="B170" s="37" t="n"/>
      <c r="C170" s="36" t="n"/>
      <c r="D170" s="38" t="n"/>
      <c r="E170" s="44" t="n"/>
      <c r="F170" s="32" t="n"/>
      <c r="G170" s="32" t="n"/>
      <c r="H170" s="39">
        <f>IF(C170="","",IFERROR(INDEX('Animais'!$M$6:$M$1005,MATCH(C170,'Animais'!$A$6:$A$1005,0)),"Brinco não cadastrado"))</f>
        <v/>
      </c>
      <c r="I170" s="34">
        <f>IF(A170="","",YEAR(A170))</f>
        <v/>
      </c>
      <c r="J170" s="45">
        <f>IF(OR(N(D170)=0,N(E170)=0),"",IFERROR(E170/D170,""))</f>
        <v/>
      </c>
    </row>
    <row r="171">
      <c r="A171" s="31" t="n"/>
      <c r="B171" s="37" t="n"/>
      <c r="C171" s="36" t="n"/>
      <c r="D171" s="38" t="n"/>
      <c r="E171" s="44" t="n"/>
      <c r="F171" s="32" t="n"/>
      <c r="G171" s="32" t="n"/>
      <c r="H171" s="39">
        <f>IF(C171="","",IFERROR(INDEX('Animais'!$M$6:$M$1005,MATCH(C171,'Animais'!$A$6:$A$1005,0)),"Brinco não cadastrado"))</f>
        <v/>
      </c>
      <c r="I171" s="34">
        <f>IF(A171="","",YEAR(A171))</f>
        <v/>
      </c>
      <c r="J171" s="45">
        <f>IF(OR(N(D171)=0,N(E171)=0),"",IFERROR(E171/D171,""))</f>
        <v/>
      </c>
    </row>
    <row r="172">
      <c r="A172" s="31" t="n"/>
      <c r="B172" s="37" t="n"/>
      <c r="C172" s="36" t="n"/>
      <c r="D172" s="38" t="n"/>
      <c r="E172" s="44" t="n"/>
      <c r="F172" s="32" t="n"/>
      <c r="G172" s="32" t="n"/>
      <c r="H172" s="39">
        <f>IF(C172="","",IFERROR(INDEX('Animais'!$M$6:$M$1005,MATCH(C172,'Animais'!$A$6:$A$1005,0)),"Brinco não cadastrado"))</f>
        <v/>
      </c>
      <c r="I172" s="34">
        <f>IF(A172="","",YEAR(A172))</f>
        <v/>
      </c>
      <c r="J172" s="45">
        <f>IF(OR(N(D172)=0,N(E172)=0),"",IFERROR(E172/D172,""))</f>
        <v/>
      </c>
    </row>
    <row r="173">
      <c r="A173" s="31" t="n"/>
      <c r="B173" s="37" t="n"/>
      <c r="C173" s="36" t="n"/>
      <c r="D173" s="38" t="n"/>
      <c r="E173" s="44" t="n"/>
      <c r="F173" s="32" t="n"/>
      <c r="G173" s="32" t="n"/>
      <c r="H173" s="39">
        <f>IF(C173="","",IFERROR(INDEX('Animais'!$M$6:$M$1005,MATCH(C173,'Animais'!$A$6:$A$1005,0)),"Brinco não cadastrado"))</f>
        <v/>
      </c>
      <c r="I173" s="34">
        <f>IF(A173="","",YEAR(A173))</f>
        <v/>
      </c>
      <c r="J173" s="45">
        <f>IF(OR(N(D173)=0,N(E173)=0),"",IFERROR(E173/D173,""))</f>
        <v/>
      </c>
    </row>
    <row r="174">
      <c r="A174" s="31" t="n"/>
      <c r="B174" s="37" t="n"/>
      <c r="C174" s="36" t="n"/>
      <c r="D174" s="38" t="n"/>
      <c r="E174" s="44" t="n"/>
      <c r="F174" s="32" t="n"/>
      <c r="G174" s="32" t="n"/>
      <c r="H174" s="39">
        <f>IF(C174="","",IFERROR(INDEX('Animais'!$M$6:$M$1005,MATCH(C174,'Animais'!$A$6:$A$1005,0)),"Brinco não cadastrado"))</f>
        <v/>
      </c>
      <c r="I174" s="34">
        <f>IF(A174="","",YEAR(A174))</f>
        <v/>
      </c>
      <c r="J174" s="45">
        <f>IF(OR(N(D174)=0,N(E174)=0),"",IFERROR(E174/D174,""))</f>
        <v/>
      </c>
    </row>
    <row r="175">
      <c r="A175" s="31" t="n"/>
      <c r="B175" s="37" t="n"/>
      <c r="C175" s="36" t="n"/>
      <c r="D175" s="38" t="n"/>
      <c r="E175" s="44" t="n"/>
      <c r="F175" s="32" t="n"/>
      <c r="G175" s="32" t="n"/>
      <c r="H175" s="39">
        <f>IF(C175="","",IFERROR(INDEX('Animais'!$M$6:$M$1005,MATCH(C175,'Animais'!$A$6:$A$1005,0)),"Brinco não cadastrado"))</f>
        <v/>
      </c>
      <c r="I175" s="34">
        <f>IF(A175="","",YEAR(A175))</f>
        <v/>
      </c>
      <c r="J175" s="45">
        <f>IF(OR(N(D175)=0,N(E175)=0),"",IFERROR(E175/D175,""))</f>
        <v/>
      </c>
    </row>
    <row r="176">
      <c r="A176" s="31" t="n"/>
      <c r="B176" s="37" t="n"/>
      <c r="C176" s="36" t="n"/>
      <c r="D176" s="38" t="n"/>
      <c r="E176" s="44" t="n"/>
      <c r="F176" s="32" t="n"/>
      <c r="G176" s="32" t="n"/>
      <c r="H176" s="39">
        <f>IF(C176="","",IFERROR(INDEX('Animais'!$M$6:$M$1005,MATCH(C176,'Animais'!$A$6:$A$1005,0)),"Brinco não cadastrado"))</f>
        <v/>
      </c>
      <c r="I176" s="34">
        <f>IF(A176="","",YEAR(A176))</f>
        <v/>
      </c>
      <c r="J176" s="45">
        <f>IF(OR(N(D176)=0,N(E176)=0),"",IFERROR(E176/D176,""))</f>
        <v/>
      </c>
    </row>
    <row r="177">
      <c r="A177" s="31" t="n"/>
      <c r="B177" s="37" t="n"/>
      <c r="C177" s="36" t="n"/>
      <c r="D177" s="38" t="n"/>
      <c r="E177" s="44" t="n"/>
      <c r="F177" s="32" t="n"/>
      <c r="G177" s="32" t="n"/>
      <c r="H177" s="39">
        <f>IF(C177="","",IFERROR(INDEX('Animais'!$M$6:$M$1005,MATCH(C177,'Animais'!$A$6:$A$1005,0)),"Brinco não cadastrado"))</f>
        <v/>
      </c>
      <c r="I177" s="34">
        <f>IF(A177="","",YEAR(A177))</f>
        <v/>
      </c>
      <c r="J177" s="45">
        <f>IF(OR(N(D177)=0,N(E177)=0),"",IFERROR(E177/D177,""))</f>
        <v/>
      </c>
    </row>
    <row r="178">
      <c r="A178" s="31" t="n"/>
      <c r="B178" s="37" t="n"/>
      <c r="C178" s="36" t="n"/>
      <c r="D178" s="38" t="n"/>
      <c r="E178" s="44" t="n"/>
      <c r="F178" s="32" t="n"/>
      <c r="G178" s="32" t="n"/>
      <c r="H178" s="39">
        <f>IF(C178="","",IFERROR(INDEX('Animais'!$M$6:$M$1005,MATCH(C178,'Animais'!$A$6:$A$1005,0)),"Brinco não cadastrado"))</f>
        <v/>
      </c>
      <c r="I178" s="34">
        <f>IF(A178="","",YEAR(A178))</f>
        <v/>
      </c>
      <c r="J178" s="45">
        <f>IF(OR(N(D178)=0,N(E178)=0),"",IFERROR(E178/D178,""))</f>
        <v/>
      </c>
    </row>
    <row r="179">
      <c r="A179" s="31" t="n"/>
      <c r="B179" s="37" t="n"/>
      <c r="C179" s="36" t="n"/>
      <c r="D179" s="38" t="n"/>
      <c r="E179" s="44" t="n"/>
      <c r="F179" s="32" t="n"/>
      <c r="G179" s="32" t="n"/>
      <c r="H179" s="39">
        <f>IF(C179="","",IFERROR(INDEX('Animais'!$M$6:$M$1005,MATCH(C179,'Animais'!$A$6:$A$1005,0)),"Brinco não cadastrado"))</f>
        <v/>
      </c>
      <c r="I179" s="34">
        <f>IF(A179="","",YEAR(A179))</f>
        <v/>
      </c>
      <c r="J179" s="45">
        <f>IF(OR(N(D179)=0,N(E179)=0),"",IFERROR(E179/D179,""))</f>
        <v/>
      </c>
    </row>
    <row r="180">
      <c r="A180" s="31" t="n"/>
      <c r="B180" s="37" t="n"/>
      <c r="C180" s="36" t="n"/>
      <c r="D180" s="38" t="n"/>
      <c r="E180" s="44" t="n"/>
      <c r="F180" s="32" t="n"/>
      <c r="G180" s="32" t="n"/>
      <c r="H180" s="39">
        <f>IF(C180="","",IFERROR(INDEX('Animais'!$M$6:$M$1005,MATCH(C180,'Animais'!$A$6:$A$1005,0)),"Brinco não cadastrado"))</f>
        <v/>
      </c>
      <c r="I180" s="34">
        <f>IF(A180="","",YEAR(A180))</f>
        <v/>
      </c>
      <c r="J180" s="45">
        <f>IF(OR(N(D180)=0,N(E180)=0),"",IFERROR(E180/D180,""))</f>
        <v/>
      </c>
    </row>
    <row r="181">
      <c r="A181" s="31" t="n"/>
      <c r="B181" s="37" t="n"/>
      <c r="C181" s="36" t="n"/>
      <c r="D181" s="38" t="n"/>
      <c r="E181" s="44" t="n"/>
      <c r="F181" s="32" t="n"/>
      <c r="G181" s="32" t="n"/>
      <c r="H181" s="39">
        <f>IF(C181="","",IFERROR(INDEX('Animais'!$M$6:$M$1005,MATCH(C181,'Animais'!$A$6:$A$1005,0)),"Brinco não cadastrado"))</f>
        <v/>
      </c>
      <c r="I181" s="34">
        <f>IF(A181="","",YEAR(A181))</f>
        <v/>
      </c>
      <c r="J181" s="45">
        <f>IF(OR(N(D181)=0,N(E181)=0),"",IFERROR(E181/D181,""))</f>
        <v/>
      </c>
    </row>
    <row r="182">
      <c r="A182" s="31" t="n"/>
      <c r="B182" s="37" t="n"/>
      <c r="C182" s="36" t="n"/>
      <c r="D182" s="38" t="n"/>
      <c r="E182" s="44" t="n"/>
      <c r="F182" s="32" t="n"/>
      <c r="G182" s="32" t="n"/>
      <c r="H182" s="39">
        <f>IF(C182="","",IFERROR(INDEX('Animais'!$M$6:$M$1005,MATCH(C182,'Animais'!$A$6:$A$1005,0)),"Brinco não cadastrado"))</f>
        <v/>
      </c>
      <c r="I182" s="34">
        <f>IF(A182="","",YEAR(A182))</f>
        <v/>
      </c>
      <c r="J182" s="45">
        <f>IF(OR(N(D182)=0,N(E182)=0),"",IFERROR(E182/D182,""))</f>
        <v/>
      </c>
    </row>
    <row r="183">
      <c r="A183" s="31" t="n"/>
      <c r="B183" s="37" t="n"/>
      <c r="C183" s="36" t="n"/>
      <c r="D183" s="38" t="n"/>
      <c r="E183" s="44" t="n"/>
      <c r="F183" s="32" t="n"/>
      <c r="G183" s="32" t="n"/>
      <c r="H183" s="39">
        <f>IF(C183="","",IFERROR(INDEX('Animais'!$M$6:$M$1005,MATCH(C183,'Animais'!$A$6:$A$1005,0)),"Brinco não cadastrado"))</f>
        <v/>
      </c>
      <c r="I183" s="34">
        <f>IF(A183="","",YEAR(A183))</f>
        <v/>
      </c>
      <c r="J183" s="45">
        <f>IF(OR(N(D183)=0,N(E183)=0),"",IFERROR(E183/D183,""))</f>
        <v/>
      </c>
    </row>
    <row r="184">
      <c r="A184" s="31" t="n"/>
      <c r="B184" s="37" t="n"/>
      <c r="C184" s="36" t="n"/>
      <c r="D184" s="38" t="n"/>
      <c r="E184" s="44" t="n"/>
      <c r="F184" s="32" t="n"/>
      <c r="G184" s="32" t="n"/>
      <c r="H184" s="39">
        <f>IF(C184="","",IFERROR(INDEX('Animais'!$M$6:$M$1005,MATCH(C184,'Animais'!$A$6:$A$1005,0)),"Brinco não cadastrado"))</f>
        <v/>
      </c>
      <c r="I184" s="34">
        <f>IF(A184="","",YEAR(A184))</f>
        <v/>
      </c>
      <c r="J184" s="45">
        <f>IF(OR(N(D184)=0,N(E184)=0),"",IFERROR(E184/D184,""))</f>
        <v/>
      </c>
    </row>
    <row r="185">
      <c r="A185" s="31" t="n"/>
      <c r="B185" s="37" t="n"/>
      <c r="C185" s="36" t="n"/>
      <c r="D185" s="38" t="n"/>
      <c r="E185" s="44" t="n"/>
      <c r="F185" s="32" t="n"/>
      <c r="G185" s="32" t="n"/>
      <c r="H185" s="39">
        <f>IF(C185="","",IFERROR(INDEX('Animais'!$M$6:$M$1005,MATCH(C185,'Animais'!$A$6:$A$1005,0)),"Brinco não cadastrado"))</f>
        <v/>
      </c>
      <c r="I185" s="34">
        <f>IF(A185="","",YEAR(A185))</f>
        <v/>
      </c>
      <c r="J185" s="45">
        <f>IF(OR(N(D185)=0,N(E185)=0),"",IFERROR(E185/D185,""))</f>
        <v/>
      </c>
    </row>
    <row r="186">
      <c r="A186" s="31" t="n"/>
      <c r="B186" s="37" t="n"/>
      <c r="C186" s="36" t="n"/>
      <c r="D186" s="38" t="n"/>
      <c r="E186" s="44" t="n"/>
      <c r="F186" s="32" t="n"/>
      <c r="G186" s="32" t="n"/>
      <c r="H186" s="39">
        <f>IF(C186="","",IFERROR(INDEX('Animais'!$M$6:$M$1005,MATCH(C186,'Animais'!$A$6:$A$1005,0)),"Brinco não cadastrado"))</f>
        <v/>
      </c>
      <c r="I186" s="34">
        <f>IF(A186="","",YEAR(A186))</f>
        <v/>
      </c>
      <c r="J186" s="45">
        <f>IF(OR(N(D186)=0,N(E186)=0),"",IFERROR(E186/D186,""))</f>
        <v/>
      </c>
    </row>
    <row r="187">
      <c r="A187" s="31" t="n"/>
      <c r="B187" s="37" t="n"/>
      <c r="C187" s="36" t="n"/>
      <c r="D187" s="38" t="n"/>
      <c r="E187" s="44" t="n"/>
      <c r="F187" s="32" t="n"/>
      <c r="G187" s="32" t="n"/>
      <c r="H187" s="39">
        <f>IF(C187="","",IFERROR(INDEX('Animais'!$M$6:$M$1005,MATCH(C187,'Animais'!$A$6:$A$1005,0)),"Brinco não cadastrado"))</f>
        <v/>
      </c>
      <c r="I187" s="34">
        <f>IF(A187="","",YEAR(A187))</f>
        <v/>
      </c>
      <c r="J187" s="45">
        <f>IF(OR(N(D187)=0,N(E187)=0),"",IFERROR(E187/D187,""))</f>
        <v/>
      </c>
    </row>
    <row r="188">
      <c r="A188" s="31" t="n"/>
      <c r="B188" s="37" t="n"/>
      <c r="C188" s="36" t="n"/>
      <c r="D188" s="38" t="n"/>
      <c r="E188" s="44" t="n"/>
      <c r="F188" s="32" t="n"/>
      <c r="G188" s="32" t="n"/>
      <c r="H188" s="39">
        <f>IF(C188="","",IFERROR(INDEX('Animais'!$M$6:$M$1005,MATCH(C188,'Animais'!$A$6:$A$1005,0)),"Brinco não cadastrado"))</f>
        <v/>
      </c>
      <c r="I188" s="34">
        <f>IF(A188="","",YEAR(A188))</f>
        <v/>
      </c>
      <c r="J188" s="45">
        <f>IF(OR(N(D188)=0,N(E188)=0),"",IFERROR(E188/D188,""))</f>
        <v/>
      </c>
    </row>
    <row r="189">
      <c r="A189" s="31" t="n"/>
      <c r="B189" s="37" t="n"/>
      <c r="C189" s="36" t="n"/>
      <c r="D189" s="38" t="n"/>
      <c r="E189" s="44" t="n"/>
      <c r="F189" s="32" t="n"/>
      <c r="G189" s="32" t="n"/>
      <c r="H189" s="39">
        <f>IF(C189="","",IFERROR(INDEX('Animais'!$M$6:$M$1005,MATCH(C189,'Animais'!$A$6:$A$1005,0)),"Brinco não cadastrado"))</f>
        <v/>
      </c>
      <c r="I189" s="34">
        <f>IF(A189="","",YEAR(A189))</f>
        <v/>
      </c>
      <c r="J189" s="45">
        <f>IF(OR(N(D189)=0,N(E189)=0),"",IFERROR(E189/D189,""))</f>
        <v/>
      </c>
    </row>
    <row r="190">
      <c r="A190" s="31" t="n"/>
      <c r="B190" s="37" t="n"/>
      <c r="C190" s="36" t="n"/>
      <c r="D190" s="38" t="n"/>
      <c r="E190" s="44" t="n"/>
      <c r="F190" s="32" t="n"/>
      <c r="G190" s="32" t="n"/>
      <c r="H190" s="39">
        <f>IF(C190="","",IFERROR(INDEX('Animais'!$M$6:$M$1005,MATCH(C190,'Animais'!$A$6:$A$1005,0)),"Brinco não cadastrado"))</f>
        <v/>
      </c>
      <c r="I190" s="34">
        <f>IF(A190="","",YEAR(A190))</f>
        <v/>
      </c>
      <c r="J190" s="45">
        <f>IF(OR(N(D190)=0,N(E190)=0),"",IFERROR(E190/D190,""))</f>
        <v/>
      </c>
    </row>
    <row r="191">
      <c r="A191" s="31" t="n"/>
      <c r="B191" s="37" t="n"/>
      <c r="C191" s="36" t="n"/>
      <c r="D191" s="38" t="n"/>
      <c r="E191" s="44" t="n"/>
      <c r="F191" s="32" t="n"/>
      <c r="G191" s="32" t="n"/>
      <c r="H191" s="39">
        <f>IF(C191="","",IFERROR(INDEX('Animais'!$M$6:$M$1005,MATCH(C191,'Animais'!$A$6:$A$1005,0)),"Brinco não cadastrado"))</f>
        <v/>
      </c>
      <c r="I191" s="34">
        <f>IF(A191="","",YEAR(A191))</f>
        <v/>
      </c>
      <c r="J191" s="45">
        <f>IF(OR(N(D191)=0,N(E191)=0),"",IFERROR(E191/D191,""))</f>
        <v/>
      </c>
    </row>
    <row r="192">
      <c r="A192" s="31" t="n"/>
      <c r="B192" s="37" t="n"/>
      <c r="C192" s="36" t="n"/>
      <c r="D192" s="38" t="n"/>
      <c r="E192" s="44" t="n"/>
      <c r="F192" s="32" t="n"/>
      <c r="G192" s="32" t="n"/>
      <c r="H192" s="39">
        <f>IF(C192="","",IFERROR(INDEX('Animais'!$M$6:$M$1005,MATCH(C192,'Animais'!$A$6:$A$1005,0)),"Brinco não cadastrado"))</f>
        <v/>
      </c>
      <c r="I192" s="34">
        <f>IF(A192="","",YEAR(A192))</f>
        <v/>
      </c>
      <c r="J192" s="45">
        <f>IF(OR(N(D192)=0,N(E192)=0),"",IFERROR(E192/D192,""))</f>
        <v/>
      </c>
    </row>
    <row r="193">
      <c r="A193" s="31" t="n"/>
      <c r="B193" s="37" t="n"/>
      <c r="C193" s="36" t="n"/>
      <c r="D193" s="38" t="n"/>
      <c r="E193" s="44" t="n"/>
      <c r="F193" s="32" t="n"/>
      <c r="G193" s="32" t="n"/>
      <c r="H193" s="39">
        <f>IF(C193="","",IFERROR(INDEX('Animais'!$M$6:$M$1005,MATCH(C193,'Animais'!$A$6:$A$1005,0)),"Brinco não cadastrado"))</f>
        <v/>
      </c>
      <c r="I193" s="34">
        <f>IF(A193="","",YEAR(A193))</f>
        <v/>
      </c>
      <c r="J193" s="45">
        <f>IF(OR(N(D193)=0,N(E193)=0),"",IFERROR(E193/D193,""))</f>
        <v/>
      </c>
    </row>
    <row r="194">
      <c r="A194" s="31" t="n"/>
      <c r="B194" s="37" t="n"/>
      <c r="C194" s="36" t="n"/>
      <c r="D194" s="38" t="n"/>
      <c r="E194" s="44" t="n"/>
      <c r="F194" s="32" t="n"/>
      <c r="G194" s="32" t="n"/>
      <c r="H194" s="39">
        <f>IF(C194="","",IFERROR(INDEX('Animais'!$M$6:$M$1005,MATCH(C194,'Animais'!$A$6:$A$1005,0)),"Brinco não cadastrado"))</f>
        <v/>
      </c>
      <c r="I194" s="34">
        <f>IF(A194="","",YEAR(A194))</f>
        <v/>
      </c>
      <c r="J194" s="45">
        <f>IF(OR(N(D194)=0,N(E194)=0),"",IFERROR(E194/D194,""))</f>
        <v/>
      </c>
    </row>
    <row r="195">
      <c r="A195" s="31" t="n"/>
      <c r="B195" s="37" t="n"/>
      <c r="C195" s="36" t="n"/>
      <c r="D195" s="38" t="n"/>
      <c r="E195" s="44" t="n"/>
      <c r="F195" s="32" t="n"/>
      <c r="G195" s="32" t="n"/>
      <c r="H195" s="39">
        <f>IF(C195="","",IFERROR(INDEX('Animais'!$M$6:$M$1005,MATCH(C195,'Animais'!$A$6:$A$1005,0)),"Brinco não cadastrado"))</f>
        <v/>
      </c>
      <c r="I195" s="34">
        <f>IF(A195="","",YEAR(A195))</f>
        <v/>
      </c>
      <c r="J195" s="45">
        <f>IF(OR(N(D195)=0,N(E195)=0),"",IFERROR(E195/D195,""))</f>
        <v/>
      </c>
    </row>
    <row r="196">
      <c r="A196" s="31" t="n"/>
      <c r="B196" s="37" t="n"/>
      <c r="C196" s="36" t="n"/>
      <c r="D196" s="38" t="n"/>
      <c r="E196" s="44" t="n"/>
      <c r="F196" s="32" t="n"/>
      <c r="G196" s="32" t="n"/>
      <c r="H196" s="39">
        <f>IF(C196="","",IFERROR(INDEX('Animais'!$M$6:$M$1005,MATCH(C196,'Animais'!$A$6:$A$1005,0)),"Brinco não cadastrado"))</f>
        <v/>
      </c>
      <c r="I196" s="34">
        <f>IF(A196="","",YEAR(A196))</f>
        <v/>
      </c>
      <c r="J196" s="45">
        <f>IF(OR(N(D196)=0,N(E196)=0),"",IFERROR(E196/D196,""))</f>
        <v/>
      </c>
    </row>
    <row r="197">
      <c r="A197" s="31" t="n"/>
      <c r="B197" s="37" t="n"/>
      <c r="C197" s="36" t="n"/>
      <c r="D197" s="38" t="n"/>
      <c r="E197" s="44" t="n"/>
      <c r="F197" s="32" t="n"/>
      <c r="G197" s="32" t="n"/>
      <c r="H197" s="39">
        <f>IF(C197="","",IFERROR(INDEX('Animais'!$M$6:$M$1005,MATCH(C197,'Animais'!$A$6:$A$1005,0)),"Brinco não cadastrado"))</f>
        <v/>
      </c>
      <c r="I197" s="34">
        <f>IF(A197="","",YEAR(A197))</f>
        <v/>
      </c>
      <c r="J197" s="45">
        <f>IF(OR(N(D197)=0,N(E197)=0),"",IFERROR(E197/D197,""))</f>
        <v/>
      </c>
    </row>
    <row r="198">
      <c r="A198" s="31" t="n"/>
      <c r="B198" s="37" t="n"/>
      <c r="C198" s="36" t="n"/>
      <c r="D198" s="38" t="n"/>
      <c r="E198" s="44" t="n"/>
      <c r="F198" s="32" t="n"/>
      <c r="G198" s="32" t="n"/>
      <c r="H198" s="39">
        <f>IF(C198="","",IFERROR(INDEX('Animais'!$M$6:$M$1005,MATCH(C198,'Animais'!$A$6:$A$1005,0)),"Brinco não cadastrado"))</f>
        <v/>
      </c>
      <c r="I198" s="34">
        <f>IF(A198="","",YEAR(A198))</f>
        <v/>
      </c>
      <c r="J198" s="45">
        <f>IF(OR(N(D198)=0,N(E198)=0),"",IFERROR(E198/D198,""))</f>
        <v/>
      </c>
    </row>
    <row r="199">
      <c r="A199" s="31" t="n"/>
      <c r="B199" s="37" t="n"/>
      <c r="C199" s="36" t="n"/>
      <c r="D199" s="38" t="n"/>
      <c r="E199" s="44" t="n"/>
      <c r="F199" s="32" t="n"/>
      <c r="G199" s="32" t="n"/>
      <c r="H199" s="39">
        <f>IF(C199="","",IFERROR(INDEX('Animais'!$M$6:$M$1005,MATCH(C199,'Animais'!$A$6:$A$1005,0)),"Brinco não cadastrado"))</f>
        <v/>
      </c>
      <c r="I199" s="34">
        <f>IF(A199="","",YEAR(A199))</f>
        <v/>
      </c>
      <c r="J199" s="45">
        <f>IF(OR(N(D199)=0,N(E199)=0),"",IFERROR(E199/D199,""))</f>
        <v/>
      </c>
    </row>
    <row r="200">
      <c r="A200" s="31" t="n"/>
      <c r="B200" s="37" t="n"/>
      <c r="C200" s="36" t="n"/>
      <c r="D200" s="38" t="n"/>
      <c r="E200" s="44" t="n"/>
      <c r="F200" s="32" t="n"/>
      <c r="G200" s="32" t="n"/>
      <c r="H200" s="39">
        <f>IF(C200="","",IFERROR(INDEX('Animais'!$M$6:$M$1005,MATCH(C200,'Animais'!$A$6:$A$1005,0)),"Brinco não cadastrado"))</f>
        <v/>
      </c>
      <c r="I200" s="34">
        <f>IF(A200="","",YEAR(A200))</f>
        <v/>
      </c>
      <c r="J200" s="45">
        <f>IF(OR(N(D200)=0,N(E200)=0),"",IFERROR(E200/D200,""))</f>
        <v/>
      </c>
    </row>
    <row r="201">
      <c r="A201" s="31" t="n"/>
      <c r="B201" s="37" t="n"/>
      <c r="C201" s="36" t="n"/>
      <c r="D201" s="38" t="n"/>
      <c r="E201" s="44" t="n"/>
      <c r="F201" s="32" t="n"/>
      <c r="G201" s="32" t="n"/>
      <c r="H201" s="39">
        <f>IF(C201="","",IFERROR(INDEX('Animais'!$M$6:$M$1005,MATCH(C201,'Animais'!$A$6:$A$1005,0)),"Brinco não cadastrado"))</f>
        <v/>
      </c>
      <c r="I201" s="34">
        <f>IF(A201="","",YEAR(A201))</f>
        <v/>
      </c>
      <c r="J201" s="45">
        <f>IF(OR(N(D201)=0,N(E201)=0),"",IFERROR(E201/D201,""))</f>
        <v/>
      </c>
    </row>
    <row r="202">
      <c r="A202" s="31" t="n"/>
      <c r="B202" s="37" t="n"/>
      <c r="C202" s="36" t="n"/>
      <c r="D202" s="38" t="n"/>
      <c r="E202" s="44" t="n"/>
      <c r="F202" s="32" t="n"/>
      <c r="G202" s="32" t="n"/>
      <c r="H202" s="39">
        <f>IF(C202="","",IFERROR(INDEX('Animais'!$M$6:$M$1005,MATCH(C202,'Animais'!$A$6:$A$1005,0)),"Brinco não cadastrado"))</f>
        <v/>
      </c>
      <c r="I202" s="34">
        <f>IF(A202="","",YEAR(A202))</f>
        <v/>
      </c>
      <c r="J202" s="45">
        <f>IF(OR(N(D202)=0,N(E202)=0),"",IFERROR(E202/D202,""))</f>
        <v/>
      </c>
    </row>
    <row r="203">
      <c r="A203" s="31" t="n"/>
      <c r="B203" s="37" t="n"/>
      <c r="C203" s="36" t="n"/>
      <c r="D203" s="38" t="n"/>
      <c r="E203" s="44" t="n"/>
      <c r="F203" s="32" t="n"/>
      <c r="G203" s="32" t="n"/>
      <c r="H203" s="39">
        <f>IF(C203="","",IFERROR(INDEX('Animais'!$M$6:$M$1005,MATCH(C203,'Animais'!$A$6:$A$1005,0)),"Brinco não cadastrado"))</f>
        <v/>
      </c>
      <c r="I203" s="34">
        <f>IF(A203="","",YEAR(A203))</f>
        <v/>
      </c>
      <c r="J203" s="45">
        <f>IF(OR(N(D203)=0,N(E203)=0),"",IFERROR(E203/D203,""))</f>
        <v/>
      </c>
    </row>
    <row r="204">
      <c r="A204" s="31" t="n"/>
      <c r="B204" s="37" t="n"/>
      <c r="C204" s="36" t="n"/>
      <c r="D204" s="38" t="n"/>
      <c r="E204" s="44" t="n"/>
      <c r="F204" s="32" t="n"/>
      <c r="G204" s="32" t="n"/>
      <c r="H204" s="39">
        <f>IF(C204="","",IFERROR(INDEX('Animais'!$M$6:$M$1005,MATCH(C204,'Animais'!$A$6:$A$1005,0)),"Brinco não cadastrado"))</f>
        <v/>
      </c>
      <c r="I204" s="34">
        <f>IF(A204="","",YEAR(A204))</f>
        <v/>
      </c>
      <c r="J204" s="45">
        <f>IF(OR(N(D204)=0,N(E204)=0),"",IFERROR(E204/D204,""))</f>
        <v/>
      </c>
    </row>
    <row r="205">
      <c r="A205" s="31" t="n"/>
      <c r="B205" s="37" t="n"/>
      <c r="C205" s="36" t="n"/>
      <c r="D205" s="38" t="n"/>
      <c r="E205" s="44" t="n"/>
      <c r="F205" s="32" t="n"/>
      <c r="G205" s="32" t="n"/>
      <c r="H205" s="39">
        <f>IF(C205="","",IFERROR(INDEX('Animais'!$M$6:$M$1005,MATCH(C205,'Animais'!$A$6:$A$1005,0)),"Brinco não cadastrado"))</f>
        <v/>
      </c>
      <c r="I205" s="34">
        <f>IF(A205="","",YEAR(A205))</f>
        <v/>
      </c>
      <c r="J205" s="45">
        <f>IF(OR(N(D205)=0,N(E205)=0),"",IFERROR(E205/D205,""))</f>
        <v/>
      </c>
    </row>
    <row r="206">
      <c r="A206" s="31" t="n"/>
      <c r="B206" s="37" t="n"/>
      <c r="C206" s="36" t="n"/>
      <c r="D206" s="38" t="n"/>
      <c r="E206" s="44" t="n"/>
      <c r="F206" s="32" t="n"/>
      <c r="G206" s="32" t="n"/>
      <c r="H206" s="39">
        <f>IF(C206="","",IFERROR(INDEX('Animais'!$M$6:$M$1005,MATCH(C206,'Animais'!$A$6:$A$1005,0)),"Brinco não cadastrado"))</f>
        <v/>
      </c>
      <c r="I206" s="34">
        <f>IF(A206="","",YEAR(A206))</f>
        <v/>
      </c>
      <c r="J206" s="45">
        <f>IF(OR(N(D206)=0,N(E206)=0),"",IFERROR(E206/D206,""))</f>
        <v/>
      </c>
    </row>
    <row r="207">
      <c r="A207" s="31" t="n"/>
      <c r="B207" s="37" t="n"/>
      <c r="C207" s="36" t="n"/>
      <c r="D207" s="38" t="n"/>
      <c r="E207" s="44" t="n"/>
      <c r="F207" s="32" t="n"/>
      <c r="G207" s="32" t="n"/>
      <c r="H207" s="39">
        <f>IF(C207="","",IFERROR(INDEX('Animais'!$M$6:$M$1005,MATCH(C207,'Animais'!$A$6:$A$1005,0)),"Brinco não cadastrado"))</f>
        <v/>
      </c>
      <c r="I207" s="34">
        <f>IF(A207="","",YEAR(A207))</f>
        <v/>
      </c>
      <c r="J207" s="45">
        <f>IF(OR(N(D207)=0,N(E207)=0),"",IFERROR(E207/D207,""))</f>
        <v/>
      </c>
    </row>
    <row r="208">
      <c r="A208" s="31" t="n"/>
      <c r="B208" s="37" t="n"/>
      <c r="C208" s="36" t="n"/>
      <c r="D208" s="38" t="n"/>
      <c r="E208" s="44" t="n"/>
      <c r="F208" s="32" t="n"/>
      <c r="G208" s="32" t="n"/>
      <c r="H208" s="39">
        <f>IF(C208="","",IFERROR(INDEX('Animais'!$M$6:$M$1005,MATCH(C208,'Animais'!$A$6:$A$1005,0)),"Brinco não cadastrado"))</f>
        <v/>
      </c>
      <c r="I208" s="34">
        <f>IF(A208="","",YEAR(A208))</f>
        <v/>
      </c>
      <c r="J208" s="45">
        <f>IF(OR(N(D208)=0,N(E208)=0),"",IFERROR(E208/D208,""))</f>
        <v/>
      </c>
    </row>
    <row r="209">
      <c r="A209" s="31" t="n"/>
      <c r="B209" s="37" t="n"/>
      <c r="C209" s="36" t="n"/>
      <c r="D209" s="38" t="n"/>
      <c r="E209" s="44" t="n"/>
      <c r="F209" s="32" t="n"/>
      <c r="G209" s="32" t="n"/>
      <c r="H209" s="39">
        <f>IF(C209="","",IFERROR(INDEX('Animais'!$M$6:$M$1005,MATCH(C209,'Animais'!$A$6:$A$1005,0)),"Brinco não cadastrado"))</f>
        <v/>
      </c>
      <c r="I209" s="34">
        <f>IF(A209="","",YEAR(A209))</f>
        <v/>
      </c>
      <c r="J209" s="45">
        <f>IF(OR(N(D209)=0,N(E209)=0),"",IFERROR(E209/D209,""))</f>
        <v/>
      </c>
    </row>
    <row r="210">
      <c r="A210" s="31" t="n"/>
      <c r="B210" s="37" t="n"/>
      <c r="C210" s="36" t="n"/>
      <c r="D210" s="38" t="n"/>
      <c r="E210" s="44" t="n"/>
      <c r="F210" s="32" t="n"/>
      <c r="G210" s="32" t="n"/>
      <c r="H210" s="39">
        <f>IF(C210="","",IFERROR(INDEX('Animais'!$M$6:$M$1005,MATCH(C210,'Animais'!$A$6:$A$1005,0)),"Brinco não cadastrado"))</f>
        <v/>
      </c>
      <c r="I210" s="34">
        <f>IF(A210="","",YEAR(A210))</f>
        <v/>
      </c>
      <c r="J210" s="45">
        <f>IF(OR(N(D210)=0,N(E210)=0),"",IFERROR(E210/D210,""))</f>
        <v/>
      </c>
    </row>
    <row r="211">
      <c r="A211" s="31" t="n"/>
      <c r="B211" s="37" t="n"/>
      <c r="C211" s="36" t="n"/>
      <c r="D211" s="38" t="n"/>
      <c r="E211" s="44" t="n"/>
      <c r="F211" s="32" t="n"/>
      <c r="G211" s="32" t="n"/>
      <c r="H211" s="39">
        <f>IF(C211="","",IFERROR(INDEX('Animais'!$M$6:$M$1005,MATCH(C211,'Animais'!$A$6:$A$1005,0)),"Brinco não cadastrado"))</f>
        <v/>
      </c>
      <c r="I211" s="34">
        <f>IF(A211="","",YEAR(A211))</f>
        <v/>
      </c>
      <c r="J211" s="45">
        <f>IF(OR(N(D211)=0,N(E211)=0),"",IFERROR(E211/D211,""))</f>
        <v/>
      </c>
    </row>
    <row r="212">
      <c r="A212" s="31" t="n"/>
      <c r="B212" s="37" t="n"/>
      <c r="C212" s="36" t="n"/>
      <c r="D212" s="38" t="n"/>
      <c r="E212" s="44" t="n"/>
      <c r="F212" s="32" t="n"/>
      <c r="G212" s="32" t="n"/>
      <c r="H212" s="39">
        <f>IF(C212="","",IFERROR(INDEX('Animais'!$M$6:$M$1005,MATCH(C212,'Animais'!$A$6:$A$1005,0)),"Brinco não cadastrado"))</f>
        <v/>
      </c>
      <c r="I212" s="34">
        <f>IF(A212="","",YEAR(A212))</f>
        <v/>
      </c>
      <c r="J212" s="45">
        <f>IF(OR(N(D212)=0,N(E212)=0),"",IFERROR(E212/D212,""))</f>
        <v/>
      </c>
    </row>
    <row r="213">
      <c r="A213" s="31" t="n"/>
      <c r="B213" s="37" t="n"/>
      <c r="C213" s="36" t="n"/>
      <c r="D213" s="38" t="n"/>
      <c r="E213" s="44" t="n"/>
      <c r="F213" s="32" t="n"/>
      <c r="G213" s="32" t="n"/>
      <c r="H213" s="39">
        <f>IF(C213="","",IFERROR(INDEX('Animais'!$M$6:$M$1005,MATCH(C213,'Animais'!$A$6:$A$1005,0)),"Brinco não cadastrado"))</f>
        <v/>
      </c>
      <c r="I213" s="34">
        <f>IF(A213="","",YEAR(A213))</f>
        <v/>
      </c>
      <c r="J213" s="45">
        <f>IF(OR(N(D213)=0,N(E213)=0),"",IFERROR(E213/D213,""))</f>
        <v/>
      </c>
    </row>
    <row r="214">
      <c r="A214" s="31" t="n"/>
      <c r="B214" s="37" t="n"/>
      <c r="C214" s="36" t="n"/>
      <c r="D214" s="38" t="n"/>
      <c r="E214" s="44" t="n"/>
      <c r="F214" s="32" t="n"/>
      <c r="G214" s="32" t="n"/>
      <c r="H214" s="39">
        <f>IF(C214="","",IFERROR(INDEX('Animais'!$M$6:$M$1005,MATCH(C214,'Animais'!$A$6:$A$1005,0)),"Brinco não cadastrado"))</f>
        <v/>
      </c>
      <c r="I214" s="34">
        <f>IF(A214="","",YEAR(A214))</f>
        <v/>
      </c>
      <c r="J214" s="45">
        <f>IF(OR(N(D214)=0,N(E214)=0),"",IFERROR(E214/D214,""))</f>
        <v/>
      </c>
    </row>
    <row r="215">
      <c r="A215" s="31" t="n"/>
      <c r="B215" s="37" t="n"/>
      <c r="C215" s="36" t="n"/>
      <c r="D215" s="38" t="n"/>
      <c r="E215" s="44" t="n"/>
      <c r="F215" s="32" t="n"/>
      <c r="G215" s="32" t="n"/>
      <c r="H215" s="39">
        <f>IF(C215="","",IFERROR(INDEX('Animais'!$M$6:$M$1005,MATCH(C215,'Animais'!$A$6:$A$1005,0)),"Brinco não cadastrado"))</f>
        <v/>
      </c>
      <c r="I215" s="34">
        <f>IF(A215="","",YEAR(A215))</f>
        <v/>
      </c>
      <c r="J215" s="45">
        <f>IF(OR(N(D215)=0,N(E215)=0),"",IFERROR(E215/D215,""))</f>
        <v/>
      </c>
    </row>
    <row r="216">
      <c r="A216" s="31" t="n"/>
      <c r="B216" s="37" t="n"/>
      <c r="C216" s="36" t="n"/>
      <c r="D216" s="38" t="n"/>
      <c r="E216" s="44" t="n"/>
      <c r="F216" s="32" t="n"/>
      <c r="G216" s="32" t="n"/>
      <c r="H216" s="39">
        <f>IF(C216="","",IFERROR(INDEX('Animais'!$M$6:$M$1005,MATCH(C216,'Animais'!$A$6:$A$1005,0)),"Brinco não cadastrado"))</f>
        <v/>
      </c>
      <c r="I216" s="34">
        <f>IF(A216="","",YEAR(A216))</f>
        <v/>
      </c>
      <c r="J216" s="45">
        <f>IF(OR(N(D216)=0,N(E216)=0),"",IFERROR(E216/D216,""))</f>
        <v/>
      </c>
    </row>
    <row r="217">
      <c r="A217" s="31" t="n"/>
      <c r="B217" s="37" t="n"/>
      <c r="C217" s="36" t="n"/>
      <c r="D217" s="38" t="n"/>
      <c r="E217" s="44" t="n"/>
      <c r="F217" s="32" t="n"/>
      <c r="G217" s="32" t="n"/>
      <c r="H217" s="39">
        <f>IF(C217="","",IFERROR(INDEX('Animais'!$M$6:$M$1005,MATCH(C217,'Animais'!$A$6:$A$1005,0)),"Brinco não cadastrado"))</f>
        <v/>
      </c>
      <c r="I217" s="34">
        <f>IF(A217="","",YEAR(A217))</f>
        <v/>
      </c>
      <c r="J217" s="45">
        <f>IF(OR(N(D217)=0,N(E217)=0),"",IFERROR(E217/D217,""))</f>
        <v/>
      </c>
    </row>
    <row r="218">
      <c r="A218" s="31" t="n"/>
      <c r="B218" s="37" t="n"/>
      <c r="C218" s="36" t="n"/>
      <c r="D218" s="38" t="n"/>
      <c r="E218" s="44" t="n"/>
      <c r="F218" s="32" t="n"/>
      <c r="G218" s="32" t="n"/>
      <c r="H218" s="39">
        <f>IF(C218="","",IFERROR(INDEX('Animais'!$M$6:$M$1005,MATCH(C218,'Animais'!$A$6:$A$1005,0)),"Brinco não cadastrado"))</f>
        <v/>
      </c>
      <c r="I218" s="34">
        <f>IF(A218="","",YEAR(A218))</f>
        <v/>
      </c>
      <c r="J218" s="45">
        <f>IF(OR(N(D218)=0,N(E218)=0),"",IFERROR(E218/D218,""))</f>
        <v/>
      </c>
    </row>
    <row r="219">
      <c r="A219" s="31" t="n"/>
      <c r="B219" s="37" t="n"/>
      <c r="C219" s="36" t="n"/>
      <c r="D219" s="38" t="n"/>
      <c r="E219" s="44" t="n"/>
      <c r="F219" s="32" t="n"/>
      <c r="G219" s="32" t="n"/>
      <c r="H219" s="39">
        <f>IF(C219="","",IFERROR(INDEX('Animais'!$M$6:$M$1005,MATCH(C219,'Animais'!$A$6:$A$1005,0)),"Brinco não cadastrado"))</f>
        <v/>
      </c>
      <c r="I219" s="34">
        <f>IF(A219="","",YEAR(A219))</f>
        <v/>
      </c>
      <c r="J219" s="45">
        <f>IF(OR(N(D219)=0,N(E219)=0),"",IFERROR(E219/D219,""))</f>
        <v/>
      </c>
    </row>
    <row r="220">
      <c r="A220" s="31" t="n"/>
      <c r="B220" s="37" t="n"/>
      <c r="C220" s="36" t="n"/>
      <c r="D220" s="38" t="n"/>
      <c r="E220" s="44" t="n"/>
      <c r="F220" s="32" t="n"/>
      <c r="G220" s="32" t="n"/>
      <c r="H220" s="39">
        <f>IF(C220="","",IFERROR(INDEX('Animais'!$M$6:$M$1005,MATCH(C220,'Animais'!$A$6:$A$1005,0)),"Brinco não cadastrado"))</f>
        <v/>
      </c>
      <c r="I220" s="34">
        <f>IF(A220="","",YEAR(A220))</f>
        <v/>
      </c>
      <c r="J220" s="45">
        <f>IF(OR(N(D220)=0,N(E220)=0),"",IFERROR(E220/D220,""))</f>
        <v/>
      </c>
    </row>
    <row r="221">
      <c r="A221" s="31" t="n"/>
      <c r="B221" s="37" t="n"/>
      <c r="C221" s="36" t="n"/>
      <c r="D221" s="38" t="n"/>
      <c r="E221" s="44" t="n"/>
      <c r="F221" s="32" t="n"/>
      <c r="G221" s="32" t="n"/>
      <c r="H221" s="39">
        <f>IF(C221="","",IFERROR(INDEX('Animais'!$M$6:$M$1005,MATCH(C221,'Animais'!$A$6:$A$1005,0)),"Brinco não cadastrado"))</f>
        <v/>
      </c>
      <c r="I221" s="34">
        <f>IF(A221="","",YEAR(A221))</f>
        <v/>
      </c>
      <c r="J221" s="45">
        <f>IF(OR(N(D221)=0,N(E221)=0),"",IFERROR(E221/D221,""))</f>
        <v/>
      </c>
    </row>
    <row r="222">
      <c r="A222" s="31" t="n"/>
      <c r="B222" s="37" t="n"/>
      <c r="C222" s="36" t="n"/>
      <c r="D222" s="38" t="n"/>
      <c r="E222" s="44" t="n"/>
      <c r="F222" s="32" t="n"/>
      <c r="G222" s="32" t="n"/>
      <c r="H222" s="39">
        <f>IF(C222="","",IFERROR(INDEX('Animais'!$M$6:$M$1005,MATCH(C222,'Animais'!$A$6:$A$1005,0)),"Brinco não cadastrado"))</f>
        <v/>
      </c>
      <c r="I222" s="34">
        <f>IF(A222="","",YEAR(A222))</f>
        <v/>
      </c>
      <c r="J222" s="45">
        <f>IF(OR(N(D222)=0,N(E222)=0),"",IFERROR(E222/D222,""))</f>
        <v/>
      </c>
    </row>
    <row r="223">
      <c r="A223" s="31" t="n"/>
      <c r="B223" s="37" t="n"/>
      <c r="C223" s="36" t="n"/>
      <c r="D223" s="38" t="n"/>
      <c r="E223" s="44" t="n"/>
      <c r="F223" s="32" t="n"/>
      <c r="G223" s="32" t="n"/>
      <c r="H223" s="39">
        <f>IF(C223="","",IFERROR(INDEX('Animais'!$M$6:$M$1005,MATCH(C223,'Animais'!$A$6:$A$1005,0)),"Brinco não cadastrado"))</f>
        <v/>
      </c>
      <c r="I223" s="34">
        <f>IF(A223="","",YEAR(A223))</f>
        <v/>
      </c>
      <c r="J223" s="45">
        <f>IF(OR(N(D223)=0,N(E223)=0),"",IFERROR(E223/D223,""))</f>
        <v/>
      </c>
    </row>
    <row r="224">
      <c r="A224" s="31" t="n"/>
      <c r="B224" s="37" t="n"/>
      <c r="C224" s="36" t="n"/>
      <c r="D224" s="38" t="n"/>
      <c r="E224" s="44" t="n"/>
      <c r="F224" s="32" t="n"/>
      <c r="G224" s="32" t="n"/>
      <c r="H224" s="39">
        <f>IF(C224="","",IFERROR(INDEX('Animais'!$M$6:$M$1005,MATCH(C224,'Animais'!$A$6:$A$1005,0)),"Brinco não cadastrado"))</f>
        <v/>
      </c>
      <c r="I224" s="34">
        <f>IF(A224="","",YEAR(A224))</f>
        <v/>
      </c>
      <c r="J224" s="45">
        <f>IF(OR(N(D224)=0,N(E224)=0),"",IFERROR(E224/D224,""))</f>
        <v/>
      </c>
    </row>
    <row r="225">
      <c r="A225" s="31" t="n"/>
      <c r="B225" s="37" t="n"/>
      <c r="C225" s="36" t="n"/>
      <c r="D225" s="38" t="n"/>
      <c r="E225" s="44" t="n"/>
      <c r="F225" s="32" t="n"/>
      <c r="G225" s="32" t="n"/>
      <c r="H225" s="39">
        <f>IF(C225="","",IFERROR(INDEX('Animais'!$M$6:$M$1005,MATCH(C225,'Animais'!$A$6:$A$1005,0)),"Brinco não cadastrado"))</f>
        <v/>
      </c>
      <c r="I225" s="34">
        <f>IF(A225="","",YEAR(A225))</f>
        <v/>
      </c>
      <c r="J225" s="45">
        <f>IF(OR(N(D225)=0,N(E225)=0),"",IFERROR(E225/D225,""))</f>
        <v/>
      </c>
    </row>
    <row r="226">
      <c r="A226" s="31" t="n"/>
      <c r="B226" s="37" t="n"/>
      <c r="C226" s="36" t="n"/>
      <c r="D226" s="38" t="n"/>
      <c r="E226" s="44" t="n"/>
      <c r="F226" s="32" t="n"/>
      <c r="G226" s="32" t="n"/>
      <c r="H226" s="39">
        <f>IF(C226="","",IFERROR(INDEX('Animais'!$M$6:$M$1005,MATCH(C226,'Animais'!$A$6:$A$1005,0)),"Brinco não cadastrado"))</f>
        <v/>
      </c>
      <c r="I226" s="34">
        <f>IF(A226="","",YEAR(A226))</f>
        <v/>
      </c>
      <c r="J226" s="45">
        <f>IF(OR(N(D226)=0,N(E226)=0),"",IFERROR(E226/D226,""))</f>
        <v/>
      </c>
    </row>
    <row r="227">
      <c r="A227" s="31" t="n"/>
      <c r="B227" s="37" t="n"/>
      <c r="C227" s="36" t="n"/>
      <c r="D227" s="38" t="n"/>
      <c r="E227" s="44" t="n"/>
      <c r="F227" s="32" t="n"/>
      <c r="G227" s="32" t="n"/>
      <c r="H227" s="39">
        <f>IF(C227="","",IFERROR(INDEX('Animais'!$M$6:$M$1005,MATCH(C227,'Animais'!$A$6:$A$1005,0)),"Brinco não cadastrado"))</f>
        <v/>
      </c>
      <c r="I227" s="34">
        <f>IF(A227="","",YEAR(A227))</f>
        <v/>
      </c>
      <c r="J227" s="45">
        <f>IF(OR(N(D227)=0,N(E227)=0),"",IFERROR(E227/D227,""))</f>
        <v/>
      </c>
    </row>
    <row r="228">
      <c r="A228" s="31" t="n"/>
      <c r="B228" s="37" t="n"/>
      <c r="C228" s="36" t="n"/>
      <c r="D228" s="38" t="n"/>
      <c r="E228" s="44" t="n"/>
      <c r="F228" s="32" t="n"/>
      <c r="G228" s="32" t="n"/>
      <c r="H228" s="39">
        <f>IF(C228="","",IFERROR(INDEX('Animais'!$M$6:$M$1005,MATCH(C228,'Animais'!$A$6:$A$1005,0)),"Brinco não cadastrado"))</f>
        <v/>
      </c>
      <c r="I228" s="34">
        <f>IF(A228="","",YEAR(A228))</f>
        <v/>
      </c>
      <c r="J228" s="45">
        <f>IF(OR(N(D228)=0,N(E228)=0),"",IFERROR(E228/D228,""))</f>
        <v/>
      </c>
    </row>
    <row r="229">
      <c r="A229" s="31" t="n"/>
      <c r="B229" s="37" t="n"/>
      <c r="C229" s="36" t="n"/>
      <c r="D229" s="38" t="n"/>
      <c r="E229" s="44" t="n"/>
      <c r="F229" s="32" t="n"/>
      <c r="G229" s="32" t="n"/>
      <c r="H229" s="39">
        <f>IF(C229="","",IFERROR(INDEX('Animais'!$M$6:$M$1005,MATCH(C229,'Animais'!$A$6:$A$1005,0)),"Brinco não cadastrado"))</f>
        <v/>
      </c>
      <c r="I229" s="34">
        <f>IF(A229="","",YEAR(A229))</f>
        <v/>
      </c>
      <c r="J229" s="45">
        <f>IF(OR(N(D229)=0,N(E229)=0),"",IFERROR(E229/D229,""))</f>
        <v/>
      </c>
    </row>
    <row r="230">
      <c r="A230" s="31" t="n"/>
      <c r="B230" s="37" t="n"/>
      <c r="C230" s="36" t="n"/>
      <c r="D230" s="38" t="n"/>
      <c r="E230" s="44" t="n"/>
      <c r="F230" s="32" t="n"/>
      <c r="G230" s="32" t="n"/>
      <c r="H230" s="39">
        <f>IF(C230="","",IFERROR(INDEX('Animais'!$M$6:$M$1005,MATCH(C230,'Animais'!$A$6:$A$1005,0)),"Brinco não cadastrado"))</f>
        <v/>
      </c>
      <c r="I230" s="34">
        <f>IF(A230="","",YEAR(A230))</f>
        <v/>
      </c>
      <c r="J230" s="45">
        <f>IF(OR(N(D230)=0,N(E230)=0),"",IFERROR(E230/D230,""))</f>
        <v/>
      </c>
    </row>
    <row r="231">
      <c r="A231" s="31" t="n"/>
      <c r="B231" s="37" t="n"/>
      <c r="C231" s="36" t="n"/>
      <c r="D231" s="38" t="n"/>
      <c r="E231" s="44" t="n"/>
      <c r="F231" s="32" t="n"/>
      <c r="G231" s="32" t="n"/>
      <c r="H231" s="39">
        <f>IF(C231="","",IFERROR(INDEX('Animais'!$M$6:$M$1005,MATCH(C231,'Animais'!$A$6:$A$1005,0)),"Brinco não cadastrado"))</f>
        <v/>
      </c>
      <c r="I231" s="34">
        <f>IF(A231="","",YEAR(A231))</f>
        <v/>
      </c>
      <c r="J231" s="45">
        <f>IF(OR(N(D231)=0,N(E231)=0),"",IFERROR(E231/D231,""))</f>
        <v/>
      </c>
    </row>
    <row r="232">
      <c r="A232" s="31" t="n"/>
      <c r="B232" s="37" t="n"/>
      <c r="C232" s="36" t="n"/>
      <c r="D232" s="38" t="n"/>
      <c r="E232" s="44" t="n"/>
      <c r="F232" s="32" t="n"/>
      <c r="G232" s="32" t="n"/>
      <c r="H232" s="39">
        <f>IF(C232="","",IFERROR(INDEX('Animais'!$M$6:$M$1005,MATCH(C232,'Animais'!$A$6:$A$1005,0)),"Brinco não cadastrado"))</f>
        <v/>
      </c>
      <c r="I232" s="34">
        <f>IF(A232="","",YEAR(A232))</f>
        <v/>
      </c>
      <c r="J232" s="45">
        <f>IF(OR(N(D232)=0,N(E232)=0),"",IFERROR(E232/D232,""))</f>
        <v/>
      </c>
    </row>
    <row r="233">
      <c r="A233" s="31" t="n"/>
      <c r="B233" s="37" t="n"/>
      <c r="C233" s="36" t="n"/>
      <c r="D233" s="38" t="n"/>
      <c r="E233" s="44" t="n"/>
      <c r="F233" s="32" t="n"/>
      <c r="G233" s="32" t="n"/>
      <c r="H233" s="39">
        <f>IF(C233="","",IFERROR(INDEX('Animais'!$M$6:$M$1005,MATCH(C233,'Animais'!$A$6:$A$1005,0)),"Brinco não cadastrado"))</f>
        <v/>
      </c>
      <c r="I233" s="34">
        <f>IF(A233="","",YEAR(A233))</f>
        <v/>
      </c>
      <c r="J233" s="45">
        <f>IF(OR(N(D233)=0,N(E233)=0),"",IFERROR(E233/D233,""))</f>
        <v/>
      </c>
    </row>
    <row r="234">
      <c r="A234" s="31" t="n"/>
      <c r="B234" s="37" t="n"/>
      <c r="C234" s="36" t="n"/>
      <c r="D234" s="38" t="n"/>
      <c r="E234" s="44" t="n"/>
      <c r="F234" s="32" t="n"/>
      <c r="G234" s="32" t="n"/>
      <c r="H234" s="39">
        <f>IF(C234="","",IFERROR(INDEX('Animais'!$M$6:$M$1005,MATCH(C234,'Animais'!$A$6:$A$1005,0)),"Brinco não cadastrado"))</f>
        <v/>
      </c>
      <c r="I234" s="34">
        <f>IF(A234="","",YEAR(A234))</f>
        <v/>
      </c>
      <c r="J234" s="45">
        <f>IF(OR(N(D234)=0,N(E234)=0),"",IFERROR(E234/D234,""))</f>
        <v/>
      </c>
    </row>
    <row r="235">
      <c r="A235" s="31" t="n"/>
      <c r="B235" s="37" t="n"/>
      <c r="C235" s="36" t="n"/>
      <c r="D235" s="38" t="n"/>
      <c r="E235" s="44" t="n"/>
      <c r="F235" s="32" t="n"/>
      <c r="G235" s="32" t="n"/>
      <c r="H235" s="39">
        <f>IF(C235="","",IFERROR(INDEX('Animais'!$M$6:$M$1005,MATCH(C235,'Animais'!$A$6:$A$1005,0)),"Brinco não cadastrado"))</f>
        <v/>
      </c>
      <c r="I235" s="34">
        <f>IF(A235="","",YEAR(A235))</f>
        <v/>
      </c>
      <c r="J235" s="45">
        <f>IF(OR(N(D235)=0,N(E235)=0),"",IFERROR(E235/D235,""))</f>
        <v/>
      </c>
    </row>
    <row r="236">
      <c r="A236" s="31" t="n"/>
      <c r="B236" s="37" t="n"/>
      <c r="C236" s="36" t="n"/>
      <c r="D236" s="38" t="n"/>
      <c r="E236" s="44" t="n"/>
      <c r="F236" s="32" t="n"/>
      <c r="G236" s="32" t="n"/>
      <c r="H236" s="39">
        <f>IF(C236="","",IFERROR(INDEX('Animais'!$M$6:$M$1005,MATCH(C236,'Animais'!$A$6:$A$1005,0)),"Brinco não cadastrado"))</f>
        <v/>
      </c>
      <c r="I236" s="34">
        <f>IF(A236="","",YEAR(A236))</f>
        <v/>
      </c>
      <c r="J236" s="45">
        <f>IF(OR(N(D236)=0,N(E236)=0),"",IFERROR(E236/D236,""))</f>
        <v/>
      </c>
    </row>
    <row r="237">
      <c r="A237" s="31" t="n"/>
      <c r="B237" s="37" t="n"/>
      <c r="C237" s="36" t="n"/>
      <c r="D237" s="38" t="n"/>
      <c r="E237" s="44" t="n"/>
      <c r="F237" s="32" t="n"/>
      <c r="G237" s="32" t="n"/>
      <c r="H237" s="39">
        <f>IF(C237="","",IFERROR(INDEX('Animais'!$M$6:$M$1005,MATCH(C237,'Animais'!$A$6:$A$1005,0)),"Brinco não cadastrado"))</f>
        <v/>
      </c>
      <c r="I237" s="34">
        <f>IF(A237="","",YEAR(A237))</f>
        <v/>
      </c>
      <c r="J237" s="45">
        <f>IF(OR(N(D237)=0,N(E237)=0),"",IFERROR(E237/D237,""))</f>
        <v/>
      </c>
    </row>
    <row r="238">
      <c r="A238" s="31" t="n"/>
      <c r="B238" s="37" t="n"/>
      <c r="C238" s="36" t="n"/>
      <c r="D238" s="38" t="n"/>
      <c r="E238" s="44" t="n"/>
      <c r="F238" s="32" t="n"/>
      <c r="G238" s="32" t="n"/>
      <c r="H238" s="39">
        <f>IF(C238="","",IFERROR(INDEX('Animais'!$M$6:$M$1005,MATCH(C238,'Animais'!$A$6:$A$1005,0)),"Brinco não cadastrado"))</f>
        <v/>
      </c>
      <c r="I238" s="34">
        <f>IF(A238="","",YEAR(A238))</f>
        <v/>
      </c>
      <c r="J238" s="45">
        <f>IF(OR(N(D238)=0,N(E238)=0),"",IFERROR(E238/D238,""))</f>
        <v/>
      </c>
    </row>
    <row r="239">
      <c r="A239" s="31" t="n"/>
      <c r="B239" s="37" t="n"/>
      <c r="C239" s="36" t="n"/>
      <c r="D239" s="38" t="n"/>
      <c r="E239" s="44" t="n"/>
      <c r="F239" s="32" t="n"/>
      <c r="G239" s="32" t="n"/>
      <c r="H239" s="39">
        <f>IF(C239="","",IFERROR(INDEX('Animais'!$M$6:$M$1005,MATCH(C239,'Animais'!$A$6:$A$1005,0)),"Brinco não cadastrado"))</f>
        <v/>
      </c>
      <c r="I239" s="34">
        <f>IF(A239="","",YEAR(A239))</f>
        <v/>
      </c>
      <c r="J239" s="45">
        <f>IF(OR(N(D239)=0,N(E239)=0),"",IFERROR(E239/D239,""))</f>
        <v/>
      </c>
    </row>
    <row r="240">
      <c r="A240" s="31" t="n"/>
      <c r="B240" s="37" t="n"/>
      <c r="C240" s="36" t="n"/>
      <c r="D240" s="38" t="n"/>
      <c r="E240" s="44" t="n"/>
      <c r="F240" s="32" t="n"/>
      <c r="G240" s="32" t="n"/>
      <c r="H240" s="39">
        <f>IF(C240="","",IFERROR(INDEX('Animais'!$M$6:$M$1005,MATCH(C240,'Animais'!$A$6:$A$1005,0)),"Brinco não cadastrado"))</f>
        <v/>
      </c>
      <c r="I240" s="34">
        <f>IF(A240="","",YEAR(A240))</f>
        <v/>
      </c>
      <c r="J240" s="45">
        <f>IF(OR(N(D240)=0,N(E240)=0),"",IFERROR(E240/D240,""))</f>
        <v/>
      </c>
    </row>
    <row r="241">
      <c r="A241" s="31" t="n"/>
      <c r="B241" s="37" t="n"/>
      <c r="C241" s="36" t="n"/>
      <c r="D241" s="38" t="n"/>
      <c r="E241" s="44" t="n"/>
      <c r="F241" s="32" t="n"/>
      <c r="G241" s="32" t="n"/>
      <c r="H241" s="39">
        <f>IF(C241="","",IFERROR(INDEX('Animais'!$M$6:$M$1005,MATCH(C241,'Animais'!$A$6:$A$1005,0)),"Brinco não cadastrado"))</f>
        <v/>
      </c>
      <c r="I241" s="34">
        <f>IF(A241="","",YEAR(A241))</f>
        <v/>
      </c>
      <c r="J241" s="45">
        <f>IF(OR(N(D241)=0,N(E241)=0),"",IFERROR(E241/D241,""))</f>
        <v/>
      </c>
    </row>
    <row r="242">
      <c r="A242" s="31" t="n"/>
      <c r="B242" s="37" t="n"/>
      <c r="C242" s="36" t="n"/>
      <c r="D242" s="38" t="n"/>
      <c r="E242" s="44" t="n"/>
      <c r="F242" s="32" t="n"/>
      <c r="G242" s="32" t="n"/>
      <c r="H242" s="39">
        <f>IF(C242="","",IFERROR(INDEX('Animais'!$M$6:$M$1005,MATCH(C242,'Animais'!$A$6:$A$1005,0)),"Brinco não cadastrado"))</f>
        <v/>
      </c>
      <c r="I242" s="34">
        <f>IF(A242="","",YEAR(A242))</f>
        <v/>
      </c>
      <c r="J242" s="45">
        <f>IF(OR(N(D242)=0,N(E242)=0),"",IFERROR(E242/D242,""))</f>
        <v/>
      </c>
    </row>
    <row r="243">
      <c r="A243" s="31" t="n"/>
      <c r="B243" s="37" t="n"/>
      <c r="C243" s="36" t="n"/>
      <c r="D243" s="38" t="n"/>
      <c r="E243" s="44" t="n"/>
      <c r="F243" s="32" t="n"/>
      <c r="G243" s="32" t="n"/>
      <c r="H243" s="39">
        <f>IF(C243="","",IFERROR(INDEX('Animais'!$M$6:$M$1005,MATCH(C243,'Animais'!$A$6:$A$1005,0)),"Brinco não cadastrado"))</f>
        <v/>
      </c>
      <c r="I243" s="34">
        <f>IF(A243="","",YEAR(A243))</f>
        <v/>
      </c>
      <c r="J243" s="45">
        <f>IF(OR(N(D243)=0,N(E243)=0),"",IFERROR(E243/D243,""))</f>
        <v/>
      </c>
    </row>
    <row r="244">
      <c r="A244" s="31" t="n"/>
      <c r="B244" s="37" t="n"/>
      <c r="C244" s="36" t="n"/>
      <c r="D244" s="38" t="n"/>
      <c r="E244" s="44" t="n"/>
      <c r="F244" s="32" t="n"/>
      <c r="G244" s="32" t="n"/>
      <c r="H244" s="39">
        <f>IF(C244="","",IFERROR(INDEX('Animais'!$M$6:$M$1005,MATCH(C244,'Animais'!$A$6:$A$1005,0)),"Brinco não cadastrado"))</f>
        <v/>
      </c>
      <c r="I244" s="34">
        <f>IF(A244="","",YEAR(A244))</f>
        <v/>
      </c>
      <c r="J244" s="45">
        <f>IF(OR(N(D244)=0,N(E244)=0),"",IFERROR(E244/D244,""))</f>
        <v/>
      </c>
    </row>
    <row r="245">
      <c r="A245" s="31" t="n"/>
      <c r="B245" s="37" t="n"/>
      <c r="C245" s="36" t="n"/>
      <c r="D245" s="38" t="n"/>
      <c r="E245" s="44" t="n"/>
      <c r="F245" s="32" t="n"/>
      <c r="G245" s="32" t="n"/>
      <c r="H245" s="39">
        <f>IF(C245="","",IFERROR(INDEX('Animais'!$M$6:$M$1005,MATCH(C245,'Animais'!$A$6:$A$1005,0)),"Brinco não cadastrado"))</f>
        <v/>
      </c>
      <c r="I245" s="34">
        <f>IF(A245="","",YEAR(A245))</f>
        <v/>
      </c>
      <c r="J245" s="45">
        <f>IF(OR(N(D245)=0,N(E245)=0),"",IFERROR(E245/D245,""))</f>
        <v/>
      </c>
    </row>
    <row r="246">
      <c r="A246" s="31" t="n"/>
      <c r="B246" s="37" t="n"/>
      <c r="C246" s="36" t="n"/>
      <c r="D246" s="38" t="n"/>
      <c r="E246" s="44" t="n"/>
      <c r="F246" s="32" t="n"/>
      <c r="G246" s="32" t="n"/>
      <c r="H246" s="39">
        <f>IF(C246="","",IFERROR(INDEX('Animais'!$M$6:$M$1005,MATCH(C246,'Animais'!$A$6:$A$1005,0)),"Brinco não cadastrado"))</f>
        <v/>
      </c>
      <c r="I246" s="34">
        <f>IF(A246="","",YEAR(A246))</f>
        <v/>
      </c>
      <c r="J246" s="45">
        <f>IF(OR(N(D246)=0,N(E246)=0),"",IFERROR(E246/D246,""))</f>
        <v/>
      </c>
    </row>
    <row r="247">
      <c r="A247" s="31" t="n"/>
      <c r="B247" s="37" t="n"/>
      <c r="C247" s="36" t="n"/>
      <c r="D247" s="38" t="n"/>
      <c r="E247" s="44" t="n"/>
      <c r="F247" s="32" t="n"/>
      <c r="G247" s="32" t="n"/>
      <c r="H247" s="39">
        <f>IF(C247="","",IFERROR(INDEX('Animais'!$M$6:$M$1005,MATCH(C247,'Animais'!$A$6:$A$1005,0)),"Brinco não cadastrado"))</f>
        <v/>
      </c>
      <c r="I247" s="34">
        <f>IF(A247="","",YEAR(A247))</f>
        <v/>
      </c>
      <c r="J247" s="45">
        <f>IF(OR(N(D247)=0,N(E247)=0),"",IFERROR(E247/D247,""))</f>
        <v/>
      </c>
    </row>
    <row r="248">
      <c r="A248" s="31" t="n"/>
      <c r="B248" s="37" t="n"/>
      <c r="C248" s="36" t="n"/>
      <c r="D248" s="38" t="n"/>
      <c r="E248" s="44" t="n"/>
      <c r="F248" s="32" t="n"/>
      <c r="G248" s="32" t="n"/>
      <c r="H248" s="39">
        <f>IF(C248="","",IFERROR(INDEX('Animais'!$M$6:$M$1005,MATCH(C248,'Animais'!$A$6:$A$1005,0)),"Brinco não cadastrado"))</f>
        <v/>
      </c>
      <c r="I248" s="34">
        <f>IF(A248="","",YEAR(A248))</f>
        <v/>
      </c>
      <c r="J248" s="45">
        <f>IF(OR(N(D248)=0,N(E248)=0),"",IFERROR(E248/D248,""))</f>
        <v/>
      </c>
    </row>
    <row r="249">
      <c r="A249" s="31" t="n"/>
      <c r="B249" s="37" t="n"/>
      <c r="C249" s="36" t="n"/>
      <c r="D249" s="38" t="n"/>
      <c r="E249" s="44" t="n"/>
      <c r="F249" s="32" t="n"/>
      <c r="G249" s="32" t="n"/>
      <c r="H249" s="39">
        <f>IF(C249="","",IFERROR(INDEX('Animais'!$M$6:$M$1005,MATCH(C249,'Animais'!$A$6:$A$1005,0)),"Brinco não cadastrado"))</f>
        <v/>
      </c>
      <c r="I249" s="34">
        <f>IF(A249="","",YEAR(A249))</f>
        <v/>
      </c>
      <c r="J249" s="45">
        <f>IF(OR(N(D249)=0,N(E249)=0),"",IFERROR(E249/D249,""))</f>
        <v/>
      </c>
    </row>
    <row r="250">
      <c r="A250" s="31" t="n"/>
      <c r="B250" s="37" t="n"/>
      <c r="C250" s="36" t="n"/>
      <c r="D250" s="38" t="n"/>
      <c r="E250" s="44" t="n"/>
      <c r="F250" s="32" t="n"/>
      <c r="G250" s="32" t="n"/>
      <c r="H250" s="39">
        <f>IF(C250="","",IFERROR(INDEX('Animais'!$M$6:$M$1005,MATCH(C250,'Animais'!$A$6:$A$1005,0)),"Brinco não cadastrado"))</f>
        <v/>
      </c>
      <c r="I250" s="34">
        <f>IF(A250="","",YEAR(A250))</f>
        <v/>
      </c>
      <c r="J250" s="45">
        <f>IF(OR(N(D250)=0,N(E250)=0),"",IFERROR(E250/D250,""))</f>
        <v/>
      </c>
    </row>
    <row r="251">
      <c r="A251" s="31" t="n"/>
      <c r="B251" s="37" t="n"/>
      <c r="C251" s="36" t="n"/>
      <c r="D251" s="38" t="n"/>
      <c r="E251" s="44" t="n"/>
      <c r="F251" s="32" t="n"/>
      <c r="G251" s="32" t="n"/>
      <c r="H251" s="39">
        <f>IF(C251="","",IFERROR(INDEX('Animais'!$M$6:$M$1005,MATCH(C251,'Animais'!$A$6:$A$1005,0)),"Brinco não cadastrado"))</f>
        <v/>
      </c>
      <c r="I251" s="34">
        <f>IF(A251="","",YEAR(A251))</f>
        <v/>
      </c>
      <c r="J251" s="45">
        <f>IF(OR(N(D251)=0,N(E251)=0),"",IFERROR(E251/D251,""))</f>
        <v/>
      </c>
    </row>
    <row r="252">
      <c r="A252" s="31" t="n"/>
      <c r="B252" s="37" t="n"/>
      <c r="C252" s="36" t="n"/>
      <c r="D252" s="38" t="n"/>
      <c r="E252" s="44" t="n"/>
      <c r="F252" s="32" t="n"/>
      <c r="G252" s="32" t="n"/>
      <c r="H252" s="39">
        <f>IF(C252="","",IFERROR(INDEX('Animais'!$M$6:$M$1005,MATCH(C252,'Animais'!$A$6:$A$1005,0)),"Brinco não cadastrado"))</f>
        <v/>
      </c>
      <c r="I252" s="34">
        <f>IF(A252="","",YEAR(A252))</f>
        <v/>
      </c>
      <c r="J252" s="45">
        <f>IF(OR(N(D252)=0,N(E252)=0),"",IFERROR(E252/D252,""))</f>
        <v/>
      </c>
    </row>
    <row r="253">
      <c r="A253" s="31" t="n"/>
      <c r="B253" s="37" t="n"/>
      <c r="C253" s="36" t="n"/>
      <c r="D253" s="38" t="n"/>
      <c r="E253" s="44" t="n"/>
      <c r="F253" s="32" t="n"/>
      <c r="G253" s="32" t="n"/>
      <c r="H253" s="39">
        <f>IF(C253="","",IFERROR(INDEX('Animais'!$M$6:$M$1005,MATCH(C253,'Animais'!$A$6:$A$1005,0)),"Brinco não cadastrado"))</f>
        <v/>
      </c>
      <c r="I253" s="34">
        <f>IF(A253="","",YEAR(A253))</f>
        <v/>
      </c>
      <c r="J253" s="45">
        <f>IF(OR(N(D253)=0,N(E253)=0),"",IFERROR(E253/D253,""))</f>
        <v/>
      </c>
    </row>
    <row r="254">
      <c r="A254" s="31" t="n"/>
      <c r="B254" s="37" t="n"/>
      <c r="C254" s="36" t="n"/>
      <c r="D254" s="38" t="n"/>
      <c r="E254" s="44" t="n"/>
      <c r="F254" s="32" t="n"/>
      <c r="G254" s="32" t="n"/>
      <c r="H254" s="39">
        <f>IF(C254="","",IFERROR(INDEX('Animais'!$M$6:$M$1005,MATCH(C254,'Animais'!$A$6:$A$1005,0)),"Brinco não cadastrado"))</f>
        <v/>
      </c>
      <c r="I254" s="34">
        <f>IF(A254="","",YEAR(A254))</f>
        <v/>
      </c>
      <c r="J254" s="45">
        <f>IF(OR(N(D254)=0,N(E254)=0),"",IFERROR(E254/D254,""))</f>
        <v/>
      </c>
    </row>
    <row r="255">
      <c r="A255" s="31" t="n"/>
      <c r="B255" s="37" t="n"/>
      <c r="C255" s="36" t="n"/>
      <c r="D255" s="38" t="n"/>
      <c r="E255" s="44" t="n"/>
      <c r="F255" s="32" t="n"/>
      <c r="G255" s="32" t="n"/>
      <c r="H255" s="39">
        <f>IF(C255="","",IFERROR(INDEX('Animais'!$M$6:$M$1005,MATCH(C255,'Animais'!$A$6:$A$1005,0)),"Brinco não cadastrado"))</f>
        <v/>
      </c>
      <c r="I255" s="34">
        <f>IF(A255="","",YEAR(A255))</f>
        <v/>
      </c>
      <c r="J255" s="45">
        <f>IF(OR(N(D255)=0,N(E255)=0),"",IFERROR(E255/D255,""))</f>
        <v/>
      </c>
    </row>
    <row r="256">
      <c r="A256" s="31" t="n"/>
      <c r="B256" s="37" t="n"/>
      <c r="C256" s="36" t="n"/>
      <c r="D256" s="38" t="n"/>
      <c r="E256" s="44" t="n"/>
      <c r="F256" s="32" t="n"/>
      <c r="G256" s="32" t="n"/>
      <c r="H256" s="39">
        <f>IF(C256="","",IFERROR(INDEX('Animais'!$M$6:$M$1005,MATCH(C256,'Animais'!$A$6:$A$1005,0)),"Brinco não cadastrado"))</f>
        <v/>
      </c>
      <c r="I256" s="34">
        <f>IF(A256="","",YEAR(A256))</f>
        <v/>
      </c>
      <c r="J256" s="45">
        <f>IF(OR(N(D256)=0,N(E256)=0),"",IFERROR(E256/D256,""))</f>
        <v/>
      </c>
    </row>
    <row r="257">
      <c r="A257" s="31" t="n"/>
      <c r="B257" s="37" t="n"/>
      <c r="C257" s="36" t="n"/>
      <c r="D257" s="38" t="n"/>
      <c r="E257" s="44" t="n"/>
      <c r="F257" s="32" t="n"/>
      <c r="G257" s="32" t="n"/>
      <c r="H257" s="39">
        <f>IF(C257="","",IFERROR(INDEX('Animais'!$M$6:$M$1005,MATCH(C257,'Animais'!$A$6:$A$1005,0)),"Brinco não cadastrado"))</f>
        <v/>
      </c>
      <c r="I257" s="34">
        <f>IF(A257="","",YEAR(A257))</f>
        <v/>
      </c>
      <c r="J257" s="45">
        <f>IF(OR(N(D257)=0,N(E257)=0),"",IFERROR(E257/D257,""))</f>
        <v/>
      </c>
    </row>
    <row r="258">
      <c r="A258" s="31" t="n"/>
      <c r="B258" s="37" t="n"/>
      <c r="C258" s="36" t="n"/>
      <c r="D258" s="38" t="n"/>
      <c r="E258" s="44" t="n"/>
      <c r="F258" s="32" t="n"/>
      <c r="G258" s="32" t="n"/>
      <c r="H258" s="39">
        <f>IF(C258="","",IFERROR(INDEX('Animais'!$M$6:$M$1005,MATCH(C258,'Animais'!$A$6:$A$1005,0)),"Brinco não cadastrado"))</f>
        <v/>
      </c>
      <c r="I258" s="34">
        <f>IF(A258="","",YEAR(A258))</f>
        <v/>
      </c>
      <c r="J258" s="45">
        <f>IF(OR(N(D258)=0,N(E258)=0),"",IFERROR(E258/D258,""))</f>
        <v/>
      </c>
    </row>
    <row r="259">
      <c r="A259" s="31" t="n"/>
      <c r="B259" s="37" t="n"/>
      <c r="C259" s="36" t="n"/>
      <c r="D259" s="38" t="n"/>
      <c r="E259" s="44" t="n"/>
      <c r="F259" s="32" t="n"/>
      <c r="G259" s="32" t="n"/>
      <c r="H259" s="39">
        <f>IF(C259="","",IFERROR(INDEX('Animais'!$M$6:$M$1005,MATCH(C259,'Animais'!$A$6:$A$1005,0)),"Brinco não cadastrado"))</f>
        <v/>
      </c>
      <c r="I259" s="34">
        <f>IF(A259="","",YEAR(A259))</f>
        <v/>
      </c>
      <c r="J259" s="45">
        <f>IF(OR(N(D259)=0,N(E259)=0),"",IFERROR(E259/D259,""))</f>
        <v/>
      </c>
    </row>
    <row r="260">
      <c r="A260" s="31" t="n"/>
      <c r="B260" s="37" t="n"/>
      <c r="C260" s="36" t="n"/>
      <c r="D260" s="38" t="n"/>
      <c r="E260" s="44" t="n"/>
      <c r="F260" s="32" t="n"/>
      <c r="G260" s="32" t="n"/>
      <c r="H260" s="39">
        <f>IF(C260="","",IFERROR(INDEX('Animais'!$M$6:$M$1005,MATCH(C260,'Animais'!$A$6:$A$1005,0)),"Brinco não cadastrado"))</f>
        <v/>
      </c>
      <c r="I260" s="34">
        <f>IF(A260="","",YEAR(A260))</f>
        <v/>
      </c>
      <c r="J260" s="45">
        <f>IF(OR(N(D260)=0,N(E260)=0),"",IFERROR(E260/D260,""))</f>
        <v/>
      </c>
    </row>
    <row r="261">
      <c r="A261" s="31" t="n"/>
      <c r="B261" s="37" t="n"/>
      <c r="C261" s="36" t="n"/>
      <c r="D261" s="38" t="n"/>
      <c r="E261" s="44" t="n"/>
      <c r="F261" s="32" t="n"/>
      <c r="G261" s="32" t="n"/>
      <c r="H261" s="39">
        <f>IF(C261="","",IFERROR(INDEX('Animais'!$M$6:$M$1005,MATCH(C261,'Animais'!$A$6:$A$1005,0)),"Brinco não cadastrado"))</f>
        <v/>
      </c>
      <c r="I261" s="34">
        <f>IF(A261="","",YEAR(A261))</f>
        <v/>
      </c>
      <c r="J261" s="45">
        <f>IF(OR(N(D261)=0,N(E261)=0),"",IFERROR(E261/D261,""))</f>
        <v/>
      </c>
    </row>
    <row r="262">
      <c r="A262" s="31" t="n"/>
      <c r="B262" s="37" t="n"/>
      <c r="C262" s="36" t="n"/>
      <c r="D262" s="38" t="n"/>
      <c r="E262" s="44" t="n"/>
      <c r="F262" s="32" t="n"/>
      <c r="G262" s="32" t="n"/>
      <c r="H262" s="39">
        <f>IF(C262="","",IFERROR(INDEX('Animais'!$M$6:$M$1005,MATCH(C262,'Animais'!$A$6:$A$1005,0)),"Brinco não cadastrado"))</f>
        <v/>
      </c>
      <c r="I262" s="34">
        <f>IF(A262="","",YEAR(A262))</f>
        <v/>
      </c>
      <c r="J262" s="45">
        <f>IF(OR(N(D262)=0,N(E262)=0),"",IFERROR(E262/D262,""))</f>
        <v/>
      </c>
    </row>
    <row r="263">
      <c r="A263" s="31" t="n"/>
      <c r="B263" s="37" t="n"/>
      <c r="C263" s="36" t="n"/>
      <c r="D263" s="38" t="n"/>
      <c r="E263" s="44" t="n"/>
      <c r="F263" s="32" t="n"/>
      <c r="G263" s="32" t="n"/>
      <c r="H263" s="39">
        <f>IF(C263="","",IFERROR(INDEX('Animais'!$M$6:$M$1005,MATCH(C263,'Animais'!$A$6:$A$1005,0)),"Brinco não cadastrado"))</f>
        <v/>
      </c>
      <c r="I263" s="34">
        <f>IF(A263="","",YEAR(A263))</f>
        <v/>
      </c>
      <c r="J263" s="45">
        <f>IF(OR(N(D263)=0,N(E263)=0),"",IFERROR(E263/D263,""))</f>
        <v/>
      </c>
    </row>
    <row r="264">
      <c r="A264" s="31" t="n"/>
      <c r="B264" s="37" t="n"/>
      <c r="C264" s="36" t="n"/>
      <c r="D264" s="38" t="n"/>
      <c r="E264" s="44" t="n"/>
      <c r="F264" s="32" t="n"/>
      <c r="G264" s="32" t="n"/>
      <c r="H264" s="39">
        <f>IF(C264="","",IFERROR(INDEX('Animais'!$M$6:$M$1005,MATCH(C264,'Animais'!$A$6:$A$1005,0)),"Brinco não cadastrado"))</f>
        <v/>
      </c>
      <c r="I264" s="34">
        <f>IF(A264="","",YEAR(A264))</f>
        <v/>
      </c>
      <c r="J264" s="45">
        <f>IF(OR(N(D264)=0,N(E264)=0),"",IFERROR(E264/D264,""))</f>
        <v/>
      </c>
    </row>
    <row r="265">
      <c r="A265" s="31" t="n"/>
      <c r="B265" s="37" t="n"/>
      <c r="C265" s="36" t="n"/>
      <c r="D265" s="38" t="n"/>
      <c r="E265" s="44" t="n"/>
      <c r="F265" s="32" t="n"/>
      <c r="G265" s="32" t="n"/>
      <c r="H265" s="39">
        <f>IF(C265="","",IFERROR(INDEX('Animais'!$M$6:$M$1005,MATCH(C265,'Animais'!$A$6:$A$1005,0)),"Brinco não cadastrado"))</f>
        <v/>
      </c>
      <c r="I265" s="34">
        <f>IF(A265="","",YEAR(A265))</f>
        <v/>
      </c>
      <c r="J265" s="45">
        <f>IF(OR(N(D265)=0,N(E265)=0),"",IFERROR(E265/D265,""))</f>
        <v/>
      </c>
    </row>
    <row r="266">
      <c r="A266" s="31" t="n"/>
      <c r="B266" s="37" t="n"/>
      <c r="C266" s="36" t="n"/>
      <c r="D266" s="38" t="n"/>
      <c r="E266" s="44" t="n"/>
      <c r="F266" s="32" t="n"/>
      <c r="G266" s="32" t="n"/>
      <c r="H266" s="39">
        <f>IF(C266="","",IFERROR(INDEX('Animais'!$M$6:$M$1005,MATCH(C266,'Animais'!$A$6:$A$1005,0)),"Brinco não cadastrado"))</f>
        <v/>
      </c>
      <c r="I266" s="34">
        <f>IF(A266="","",YEAR(A266))</f>
        <v/>
      </c>
      <c r="J266" s="45">
        <f>IF(OR(N(D266)=0,N(E266)=0),"",IFERROR(E266/D266,""))</f>
        <v/>
      </c>
    </row>
    <row r="267">
      <c r="A267" s="31" t="n"/>
      <c r="B267" s="37" t="n"/>
      <c r="C267" s="36" t="n"/>
      <c r="D267" s="38" t="n"/>
      <c r="E267" s="44" t="n"/>
      <c r="F267" s="32" t="n"/>
      <c r="G267" s="32" t="n"/>
      <c r="H267" s="39">
        <f>IF(C267="","",IFERROR(INDEX('Animais'!$M$6:$M$1005,MATCH(C267,'Animais'!$A$6:$A$1005,0)),"Brinco não cadastrado"))</f>
        <v/>
      </c>
      <c r="I267" s="34">
        <f>IF(A267="","",YEAR(A267))</f>
        <v/>
      </c>
      <c r="J267" s="45">
        <f>IF(OR(N(D267)=0,N(E267)=0),"",IFERROR(E267/D267,""))</f>
        <v/>
      </c>
    </row>
    <row r="268">
      <c r="A268" s="31" t="n"/>
      <c r="B268" s="37" t="n"/>
      <c r="C268" s="36" t="n"/>
      <c r="D268" s="38" t="n"/>
      <c r="E268" s="44" t="n"/>
      <c r="F268" s="32" t="n"/>
      <c r="G268" s="32" t="n"/>
      <c r="H268" s="39">
        <f>IF(C268="","",IFERROR(INDEX('Animais'!$M$6:$M$1005,MATCH(C268,'Animais'!$A$6:$A$1005,0)),"Brinco não cadastrado"))</f>
        <v/>
      </c>
      <c r="I268" s="34">
        <f>IF(A268="","",YEAR(A268))</f>
        <v/>
      </c>
      <c r="J268" s="45">
        <f>IF(OR(N(D268)=0,N(E268)=0),"",IFERROR(E268/D268,""))</f>
        <v/>
      </c>
    </row>
    <row r="269">
      <c r="A269" s="31" t="n"/>
      <c r="B269" s="37" t="n"/>
      <c r="C269" s="36" t="n"/>
      <c r="D269" s="38" t="n"/>
      <c r="E269" s="44" t="n"/>
      <c r="F269" s="32" t="n"/>
      <c r="G269" s="32" t="n"/>
      <c r="H269" s="39">
        <f>IF(C269="","",IFERROR(INDEX('Animais'!$M$6:$M$1005,MATCH(C269,'Animais'!$A$6:$A$1005,0)),"Brinco não cadastrado"))</f>
        <v/>
      </c>
      <c r="I269" s="34">
        <f>IF(A269="","",YEAR(A269))</f>
        <v/>
      </c>
      <c r="J269" s="45">
        <f>IF(OR(N(D269)=0,N(E269)=0),"",IFERROR(E269/D269,""))</f>
        <v/>
      </c>
    </row>
    <row r="270">
      <c r="A270" s="31" t="n"/>
      <c r="B270" s="37" t="n"/>
      <c r="C270" s="36" t="n"/>
      <c r="D270" s="38" t="n"/>
      <c r="E270" s="44" t="n"/>
      <c r="F270" s="32" t="n"/>
      <c r="G270" s="32" t="n"/>
      <c r="H270" s="39">
        <f>IF(C270="","",IFERROR(INDEX('Animais'!$M$6:$M$1005,MATCH(C270,'Animais'!$A$6:$A$1005,0)),"Brinco não cadastrado"))</f>
        <v/>
      </c>
      <c r="I270" s="34">
        <f>IF(A270="","",YEAR(A270))</f>
        <v/>
      </c>
      <c r="J270" s="45">
        <f>IF(OR(N(D270)=0,N(E270)=0),"",IFERROR(E270/D270,""))</f>
        <v/>
      </c>
    </row>
    <row r="271">
      <c r="A271" s="31" t="n"/>
      <c r="B271" s="37" t="n"/>
      <c r="C271" s="36" t="n"/>
      <c r="D271" s="38" t="n"/>
      <c r="E271" s="44" t="n"/>
      <c r="F271" s="32" t="n"/>
      <c r="G271" s="32" t="n"/>
      <c r="H271" s="39">
        <f>IF(C271="","",IFERROR(INDEX('Animais'!$M$6:$M$1005,MATCH(C271,'Animais'!$A$6:$A$1005,0)),"Brinco não cadastrado"))</f>
        <v/>
      </c>
      <c r="I271" s="34">
        <f>IF(A271="","",YEAR(A271))</f>
        <v/>
      </c>
      <c r="J271" s="45">
        <f>IF(OR(N(D271)=0,N(E271)=0),"",IFERROR(E271/D271,""))</f>
        <v/>
      </c>
    </row>
    <row r="272">
      <c r="A272" s="31" t="n"/>
      <c r="B272" s="37" t="n"/>
      <c r="C272" s="36" t="n"/>
      <c r="D272" s="38" t="n"/>
      <c r="E272" s="44" t="n"/>
      <c r="F272" s="32" t="n"/>
      <c r="G272" s="32" t="n"/>
      <c r="H272" s="39">
        <f>IF(C272="","",IFERROR(INDEX('Animais'!$M$6:$M$1005,MATCH(C272,'Animais'!$A$6:$A$1005,0)),"Brinco não cadastrado"))</f>
        <v/>
      </c>
      <c r="I272" s="34">
        <f>IF(A272="","",YEAR(A272))</f>
        <v/>
      </c>
      <c r="J272" s="45">
        <f>IF(OR(N(D272)=0,N(E272)=0),"",IFERROR(E272/D272,""))</f>
        <v/>
      </c>
    </row>
    <row r="273">
      <c r="A273" s="31" t="n"/>
      <c r="B273" s="37" t="n"/>
      <c r="C273" s="36" t="n"/>
      <c r="D273" s="38" t="n"/>
      <c r="E273" s="44" t="n"/>
      <c r="F273" s="32" t="n"/>
      <c r="G273" s="32" t="n"/>
      <c r="H273" s="39">
        <f>IF(C273="","",IFERROR(INDEX('Animais'!$M$6:$M$1005,MATCH(C273,'Animais'!$A$6:$A$1005,0)),"Brinco não cadastrado"))</f>
        <v/>
      </c>
      <c r="I273" s="34">
        <f>IF(A273="","",YEAR(A273))</f>
        <v/>
      </c>
      <c r="J273" s="45">
        <f>IF(OR(N(D273)=0,N(E273)=0),"",IFERROR(E273/D273,""))</f>
        <v/>
      </c>
    </row>
    <row r="274">
      <c r="A274" s="31" t="n"/>
      <c r="B274" s="37" t="n"/>
      <c r="C274" s="36" t="n"/>
      <c r="D274" s="38" t="n"/>
      <c r="E274" s="44" t="n"/>
      <c r="F274" s="32" t="n"/>
      <c r="G274" s="32" t="n"/>
      <c r="H274" s="39">
        <f>IF(C274="","",IFERROR(INDEX('Animais'!$M$6:$M$1005,MATCH(C274,'Animais'!$A$6:$A$1005,0)),"Brinco não cadastrado"))</f>
        <v/>
      </c>
      <c r="I274" s="34">
        <f>IF(A274="","",YEAR(A274))</f>
        <v/>
      </c>
      <c r="J274" s="45">
        <f>IF(OR(N(D274)=0,N(E274)=0),"",IFERROR(E274/D274,""))</f>
        <v/>
      </c>
    </row>
    <row r="275">
      <c r="A275" s="31" t="n"/>
      <c r="B275" s="37" t="n"/>
      <c r="C275" s="36" t="n"/>
      <c r="D275" s="38" t="n"/>
      <c r="E275" s="44" t="n"/>
      <c r="F275" s="32" t="n"/>
      <c r="G275" s="32" t="n"/>
      <c r="H275" s="39">
        <f>IF(C275="","",IFERROR(INDEX('Animais'!$M$6:$M$1005,MATCH(C275,'Animais'!$A$6:$A$1005,0)),"Brinco não cadastrado"))</f>
        <v/>
      </c>
      <c r="I275" s="34">
        <f>IF(A275="","",YEAR(A275))</f>
        <v/>
      </c>
      <c r="J275" s="45">
        <f>IF(OR(N(D275)=0,N(E275)=0),"",IFERROR(E275/D275,""))</f>
        <v/>
      </c>
    </row>
    <row r="276">
      <c r="A276" s="31" t="n"/>
      <c r="B276" s="37" t="n"/>
      <c r="C276" s="36" t="n"/>
      <c r="D276" s="38" t="n"/>
      <c r="E276" s="44" t="n"/>
      <c r="F276" s="32" t="n"/>
      <c r="G276" s="32" t="n"/>
      <c r="H276" s="39">
        <f>IF(C276="","",IFERROR(INDEX('Animais'!$M$6:$M$1005,MATCH(C276,'Animais'!$A$6:$A$1005,0)),"Brinco não cadastrado"))</f>
        <v/>
      </c>
      <c r="I276" s="34">
        <f>IF(A276="","",YEAR(A276))</f>
        <v/>
      </c>
      <c r="J276" s="45">
        <f>IF(OR(N(D276)=0,N(E276)=0),"",IFERROR(E276/D276,""))</f>
        <v/>
      </c>
    </row>
    <row r="277">
      <c r="A277" s="31" t="n"/>
      <c r="B277" s="37" t="n"/>
      <c r="C277" s="36" t="n"/>
      <c r="D277" s="38" t="n"/>
      <c r="E277" s="44" t="n"/>
      <c r="F277" s="32" t="n"/>
      <c r="G277" s="32" t="n"/>
      <c r="H277" s="39">
        <f>IF(C277="","",IFERROR(INDEX('Animais'!$M$6:$M$1005,MATCH(C277,'Animais'!$A$6:$A$1005,0)),"Brinco não cadastrado"))</f>
        <v/>
      </c>
      <c r="I277" s="34">
        <f>IF(A277="","",YEAR(A277))</f>
        <v/>
      </c>
      <c r="J277" s="45">
        <f>IF(OR(N(D277)=0,N(E277)=0),"",IFERROR(E277/D277,""))</f>
        <v/>
      </c>
    </row>
    <row r="278">
      <c r="A278" s="31" t="n"/>
      <c r="B278" s="37" t="n"/>
      <c r="C278" s="36" t="n"/>
      <c r="D278" s="38" t="n"/>
      <c r="E278" s="44" t="n"/>
      <c r="F278" s="32" t="n"/>
      <c r="G278" s="32" t="n"/>
      <c r="H278" s="39">
        <f>IF(C278="","",IFERROR(INDEX('Animais'!$M$6:$M$1005,MATCH(C278,'Animais'!$A$6:$A$1005,0)),"Brinco não cadastrado"))</f>
        <v/>
      </c>
      <c r="I278" s="34">
        <f>IF(A278="","",YEAR(A278))</f>
        <v/>
      </c>
      <c r="J278" s="45">
        <f>IF(OR(N(D278)=0,N(E278)=0),"",IFERROR(E278/D278,""))</f>
        <v/>
      </c>
    </row>
    <row r="279">
      <c r="A279" s="31" t="n"/>
      <c r="B279" s="37" t="n"/>
      <c r="C279" s="36" t="n"/>
      <c r="D279" s="38" t="n"/>
      <c r="E279" s="44" t="n"/>
      <c r="F279" s="32" t="n"/>
      <c r="G279" s="32" t="n"/>
      <c r="H279" s="39">
        <f>IF(C279="","",IFERROR(INDEX('Animais'!$M$6:$M$1005,MATCH(C279,'Animais'!$A$6:$A$1005,0)),"Brinco não cadastrado"))</f>
        <v/>
      </c>
      <c r="I279" s="34">
        <f>IF(A279="","",YEAR(A279))</f>
        <v/>
      </c>
      <c r="J279" s="45">
        <f>IF(OR(N(D279)=0,N(E279)=0),"",IFERROR(E279/D279,""))</f>
        <v/>
      </c>
    </row>
    <row r="280">
      <c r="A280" s="31" t="n"/>
      <c r="B280" s="37" t="n"/>
      <c r="C280" s="36" t="n"/>
      <c r="D280" s="38" t="n"/>
      <c r="E280" s="44" t="n"/>
      <c r="F280" s="32" t="n"/>
      <c r="G280" s="32" t="n"/>
      <c r="H280" s="39">
        <f>IF(C280="","",IFERROR(INDEX('Animais'!$M$6:$M$1005,MATCH(C280,'Animais'!$A$6:$A$1005,0)),"Brinco não cadastrado"))</f>
        <v/>
      </c>
      <c r="I280" s="34">
        <f>IF(A280="","",YEAR(A280))</f>
        <v/>
      </c>
      <c r="J280" s="45">
        <f>IF(OR(N(D280)=0,N(E280)=0),"",IFERROR(E280/D280,""))</f>
        <v/>
      </c>
    </row>
    <row r="281">
      <c r="A281" s="31" t="n"/>
      <c r="B281" s="37" t="n"/>
      <c r="C281" s="36" t="n"/>
      <c r="D281" s="38" t="n"/>
      <c r="E281" s="44" t="n"/>
      <c r="F281" s="32" t="n"/>
      <c r="G281" s="32" t="n"/>
      <c r="H281" s="39">
        <f>IF(C281="","",IFERROR(INDEX('Animais'!$M$6:$M$1005,MATCH(C281,'Animais'!$A$6:$A$1005,0)),"Brinco não cadastrado"))</f>
        <v/>
      </c>
      <c r="I281" s="34">
        <f>IF(A281="","",YEAR(A281))</f>
        <v/>
      </c>
      <c r="J281" s="45">
        <f>IF(OR(N(D281)=0,N(E281)=0),"",IFERROR(E281/D281,""))</f>
        <v/>
      </c>
    </row>
    <row r="282">
      <c r="A282" s="31" t="n"/>
      <c r="B282" s="37" t="n"/>
      <c r="C282" s="36" t="n"/>
      <c r="D282" s="38" t="n"/>
      <c r="E282" s="44" t="n"/>
      <c r="F282" s="32" t="n"/>
      <c r="G282" s="32" t="n"/>
      <c r="H282" s="39">
        <f>IF(C282="","",IFERROR(INDEX('Animais'!$M$6:$M$1005,MATCH(C282,'Animais'!$A$6:$A$1005,0)),"Brinco não cadastrado"))</f>
        <v/>
      </c>
      <c r="I282" s="34">
        <f>IF(A282="","",YEAR(A282))</f>
        <v/>
      </c>
      <c r="J282" s="45">
        <f>IF(OR(N(D282)=0,N(E282)=0),"",IFERROR(E282/D282,""))</f>
        <v/>
      </c>
    </row>
    <row r="283">
      <c r="A283" s="31" t="n"/>
      <c r="B283" s="37" t="n"/>
      <c r="C283" s="36" t="n"/>
      <c r="D283" s="38" t="n"/>
      <c r="E283" s="44" t="n"/>
      <c r="F283" s="32" t="n"/>
      <c r="G283" s="32" t="n"/>
      <c r="H283" s="39">
        <f>IF(C283="","",IFERROR(INDEX('Animais'!$M$6:$M$1005,MATCH(C283,'Animais'!$A$6:$A$1005,0)),"Brinco não cadastrado"))</f>
        <v/>
      </c>
      <c r="I283" s="34">
        <f>IF(A283="","",YEAR(A283))</f>
        <v/>
      </c>
      <c r="J283" s="45">
        <f>IF(OR(N(D283)=0,N(E283)=0),"",IFERROR(E283/D283,""))</f>
        <v/>
      </c>
    </row>
    <row r="284">
      <c r="A284" s="31" t="n"/>
      <c r="B284" s="37" t="n"/>
      <c r="C284" s="36" t="n"/>
      <c r="D284" s="38" t="n"/>
      <c r="E284" s="44" t="n"/>
      <c r="F284" s="32" t="n"/>
      <c r="G284" s="32" t="n"/>
      <c r="H284" s="39">
        <f>IF(C284="","",IFERROR(INDEX('Animais'!$M$6:$M$1005,MATCH(C284,'Animais'!$A$6:$A$1005,0)),"Brinco não cadastrado"))</f>
        <v/>
      </c>
      <c r="I284" s="34">
        <f>IF(A284="","",YEAR(A284))</f>
        <v/>
      </c>
      <c r="J284" s="45">
        <f>IF(OR(N(D284)=0,N(E284)=0),"",IFERROR(E284/D284,""))</f>
        <v/>
      </c>
    </row>
    <row r="285">
      <c r="A285" s="31" t="n"/>
      <c r="B285" s="37" t="n"/>
      <c r="C285" s="36" t="n"/>
      <c r="D285" s="38" t="n"/>
      <c r="E285" s="44" t="n"/>
      <c r="F285" s="32" t="n"/>
      <c r="G285" s="32" t="n"/>
      <c r="H285" s="39">
        <f>IF(C285="","",IFERROR(INDEX('Animais'!$M$6:$M$1005,MATCH(C285,'Animais'!$A$6:$A$1005,0)),"Brinco não cadastrado"))</f>
        <v/>
      </c>
      <c r="I285" s="34">
        <f>IF(A285="","",YEAR(A285))</f>
        <v/>
      </c>
      <c r="J285" s="45">
        <f>IF(OR(N(D285)=0,N(E285)=0),"",IFERROR(E285/D285,""))</f>
        <v/>
      </c>
    </row>
    <row r="286">
      <c r="A286" s="31" t="n"/>
      <c r="B286" s="37" t="n"/>
      <c r="C286" s="36" t="n"/>
      <c r="D286" s="38" t="n"/>
      <c r="E286" s="44" t="n"/>
      <c r="F286" s="32" t="n"/>
      <c r="G286" s="32" t="n"/>
      <c r="H286" s="39">
        <f>IF(C286="","",IFERROR(INDEX('Animais'!$M$6:$M$1005,MATCH(C286,'Animais'!$A$6:$A$1005,0)),"Brinco não cadastrado"))</f>
        <v/>
      </c>
      <c r="I286" s="34">
        <f>IF(A286="","",YEAR(A286))</f>
        <v/>
      </c>
      <c r="J286" s="45">
        <f>IF(OR(N(D286)=0,N(E286)=0),"",IFERROR(E286/D286,""))</f>
        <v/>
      </c>
    </row>
    <row r="287">
      <c r="A287" s="31" t="n"/>
      <c r="B287" s="37" t="n"/>
      <c r="C287" s="36" t="n"/>
      <c r="D287" s="38" t="n"/>
      <c r="E287" s="44" t="n"/>
      <c r="F287" s="32" t="n"/>
      <c r="G287" s="32" t="n"/>
      <c r="H287" s="39">
        <f>IF(C287="","",IFERROR(INDEX('Animais'!$M$6:$M$1005,MATCH(C287,'Animais'!$A$6:$A$1005,0)),"Brinco não cadastrado"))</f>
        <v/>
      </c>
      <c r="I287" s="34">
        <f>IF(A287="","",YEAR(A287))</f>
        <v/>
      </c>
      <c r="J287" s="45">
        <f>IF(OR(N(D287)=0,N(E287)=0),"",IFERROR(E287/D287,""))</f>
        <v/>
      </c>
    </row>
    <row r="288">
      <c r="A288" s="31" t="n"/>
      <c r="B288" s="37" t="n"/>
      <c r="C288" s="36" t="n"/>
      <c r="D288" s="38" t="n"/>
      <c r="E288" s="44" t="n"/>
      <c r="F288" s="32" t="n"/>
      <c r="G288" s="32" t="n"/>
      <c r="H288" s="39">
        <f>IF(C288="","",IFERROR(INDEX('Animais'!$M$6:$M$1005,MATCH(C288,'Animais'!$A$6:$A$1005,0)),"Brinco não cadastrado"))</f>
        <v/>
      </c>
      <c r="I288" s="34">
        <f>IF(A288="","",YEAR(A288))</f>
        <v/>
      </c>
      <c r="J288" s="45">
        <f>IF(OR(N(D288)=0,N(E288)=0),"",IFERROR(E288/D288,""))</f>
        <v/>
      </c>
    </row>
    <row r="289">
      <c r="A289" s="31" t="n"/>
      <c r="B289" s="37" t="n"/>
      <c r="C289" s="36" t="n"/>
      <c r="D289" s="38" t="n"/>
      <c r="E289" s="44" t="n"/>
      <c r="F289" s="32" t="n"/>
      <c r="G289" s="32" t="n"/>
      <c r="H289" s="39">
        <f>IF(C289="","",IFERROR(INDEX('Animais'!$M$6:$M$1005,MATCH(C289,'Animais'!$A$6:$A$1005,0)),"Brinco não cadastrado"))</f>
        <v/>
      </c>
      <c r="I289" s="34">
        <f>IF(A289="","",YEAR(A289))</f>
        <v/>
      </c>
      <c r="J289" s="45">
        <f>IF(OR(N(D289)=0,N(E289)=0),"",IFERROR(E289/D289,""))</f>
        <v/>
      </c>
    </row>
    <row r="290">
      <c r="A290" s="31" t="n"/>
      <c r="B290" s="37" t="n"/>
      <c r="C290" s="36" t="n"/>
      <c r="D290" s="38" t="n"/>
      <c r="E290" s="44" t="n"/>
      <c r="F290" s="32" t="n"/>
      <c r="G290" s="32" t="n"/>
      <c r="H290" s="39">
        <f>IF(C290="","",IFERROR(INDEX('Animais'!$M$6:$M$1005,MATCH(C290,'Animais'!$A$6:$A$1005,0)),"Brinco não cadastrado"))</f>
        <v/>
      </c>
      <c r="I290" s="34">
        <f>IF(A290="","",YEAR(A290))</f>
        <v/>
      </c>
      <c r="J290" s="45">
        <f>IF(OR(N(D290)=0,N(E290)=0),"",IFERROR(E290/D290,""))</f>
        <v/>
      </c>
    </row>
    <row r="291">
      <c r="A291" s="31" t="n"/>
      <c r="B291" s="37" t="n"/>
      <c r="C291" s="36" t="n"/>
      <c r="D291" s="38" t="n"/>
      <c r="E291" s="44" t="n"/>
      <c r="F291" s="32" t="n"/>
      <c r="G291" s="32" t="n"/>
      <c r="H291" s="39">
        <f>IF(C291="","",IFERROR(INDEX('Animais'!$M$6:$M$1005,MATCH(C291,'Animais'!$A$6:$A$1005,0)),"Brinco não cadastrado"))</f>
        <v/>
      </c>
      <c r="I291" s="34">
        <f>IF(A291="","",YEAR(A291))</f>
        <v/>
      </c>
      <c r="J291" s="45">
        <f>IF(OR(N(D291)=0,N(E291)=0),"",IFERROR(E291/D291,""))</f>
        <v/>
      </c>
    </row>
    <row r="292">
      <c r="A292" s="31" t="n"/>
      <c r="B292" s="37" t="n"/>
      <c r="C292" s="36" t="n"/>
      <c r="D292" s="38" t="n"/>
      <c r="E292" s="44" t="n"/>
      <c r="F292" s="32" t="n"/>
      <c r="G292" s="32" t="n"/>
      <c r="H292" s="39">
        <f>IF(C292="","",IFERROR(INDEX('Animais'!$M$6:$M$1005,MATCH(C292,'Animais'!$A$6:$A$1005,0)),"Brinco não cadastrado"))</f>
        <v/>
      </c>
      <c r="I292" s="34">
        <f>IF(A292="","",YEAR(A292))</f>
        <v/>
      </c>
      <c r="J292" s="45">
        <f>IF(OR(N(D292)=0,N(E292)=0),"",IFERROR(E292/D292,""))</f>
        <v/>
      </c>
    </row>
    <row r="293">
      <c r="A293" s="31" t="n"/>
      <c r="B293" s="37" t="n"/>
      <c r="C293" s="36" t="n"/>
      <c r="D293" s="38" t="n"/>
      <c r="E293" s="44" t="n"/>
      <c r="F293" s="32" t="n"/>
      <c r="G293" s="32" t="n"/>
      <c r="H293" s="39">
        <f>IF(C293="","",IFERROR(INDEX('Animais'!$M$6:$M$1005,MATCH(C293,'Animais'!$A$6:$A$1005,0)),"Brinco não cadastrado"))</f>
        <v/>
      </c>
      <c r="I293" s="34">
        <f>IF(A293="","",YEAR(A293))</f>
        <v/>
      </c>
      <c r="J293" s="45">
        <f>IF(OR(N(D293)=0,N(E293)=0),"",IFERROR(E293/D293,""))</f>
        <v/>
      </c>
    </row>
    <row r="294">
      <c r="A294" s="31" t="n"/>
      <c r="B294" s="37" t="n"/>
      <c r="C294" s="36" t="n"/>
      <c r="D294" s="38" t="n"/>
      <c r="E294" s="44" t="n"/>
      <c r="F294" s="32" t="n"/>
      <c r="G294" s="32" t="n"/>
      <c r="H294" s="39">
        <f>IF(C294="","",IFERROR(INDEX('Animais'!$M$6:$M$1005,MATCH(C294,'Animais'!$A$6:$A$1005,0)),"Brinco não cadastrado"))</f>
        <v/>
      </c>
      <c r="I294" s="34">
        <f>IF(A294="","",YEAR(A294))</f>
        <v/>
      </c>
      <c r="J294" s="45">
        <f>IF(OR(N(D294)=0,N(E294)=0),"",IFERROR(E294/D294,""))</f>
        <v/>
      </c>
    </row>
    <row r="295">
      <c r="A295" s="31" t="n"/>
      <c r="B295" s="37" t="n"/>
      <c r="C295" s="36" t="n"/>
      <c r="D295" s="38" t="n"/>
      <c r="E295" s="44" t="n"/>
      <c r="F295" s="32" t="n"/>
      <c r="G295" s="32" t="n"/>
      <c r="H295" s="39">
        <f>IF(C295="","",IFERROR(INDEX('Animais'!$M$6:$M$1005,MATCH(C295,'Animais'!$A$6:$A$1005,0)),"Brinco não cadastrado"))</f>
        <v/>
      </c>
      <c r="I295" s="34">
        <f>IF(A295="","",YEAR(A295))</f>
        <v/>
      </c>
      <c r="J295" s="45">
        <f>IF(OR(N(D295)=0,N(E295)=0),"",IFERROR(E295/D295,""))</f>
        <v/>
      </c>
    </row>
    <row r="296">
      <c r="A296" s="31" t="n"/>
      <c r="B296" s="37" t="n"/>
      <c r="C296" s="36" t="n"/>
      <c r="D296" s="38" t="n"/>
      <c r="E296" s="44" t="n"/>
      <c r="F296" s="32" t="n"/>
      <c r="G296" s="32" t="n"/>
      <c r="H296" s="39">
        <f>IF(C296="","",IFERROR(INDEX('Animais'!$M$6:$M$1005,MATCH(C296,'Animais'!$A$6:$A$1005,0)),"Brinco não cadastrado"))</f>
        <v/>
      </c>
      <c r="I296" s="34">
        <f>IF(A296="","",YEAR(A296))</f>
        <v/>
      </c>
      <c r="J296" s="45">
        <f>IF(OR(N(D296)=0,N(E296)=0),"",IFERROR(E296/D296,""))</f>
        <v/>
      </c>
    </row>
    <row r="297">
      <c r="A297" s="31" t="n"/>
      <c r="B297" s="37" t="n"/>
      <c r="C297" s="36" t="n"/>
      <c r="D297" s="38" t="n"/>
      <c r="E297" s="44" t="n"/>
      <c r="F297" s="32" t="n"/>
      <c r="G297" s="32" t="n"/>
      <c r="H297" s="39">
        <f>IF(C297="","",IFERROR(INDEX('Animais'!$M$6:$M$1005,MATCH(C297,'Animais'!$A$6:$A$1005,0)),"Brinco não cadastrado"))</f>
        <v/>
      </c>
      <c r="I297" s="34">
        <f>IF(A297="","",YEAR(A297))</f>
        <v/>
      </c>
      <c r="J297" s="45">
        <f>IF(OR(N(D297)=0,N(E297)=0),"",IFERROR(E297/D297,""))</f>
        <v/>
      </c>
    </row>
    <row r="298">
      <c r="A298" s="31" t="n"/>
      <c r="B298" s="37" t="n"/>
      <c r="C298" s="36" t="n"/>
      <c r="D298" s="38" t="n"/>
      <c r="E298" s="44" t="n"/>
      <c r="F298" s="32" t="n"/>
      <c r="G298" s="32" t="n"/>
      <c r="H298" s="39">
        <f>IF(C298="","",IFERROR(INDEX('Animais'!$M$6:$M$1005,MATCH(C298,'Animais'!$A$6:$A$1005,0)),"Brinco não cadastrado"))</f>
        <v/>
      </c>
      <c r="I298" s="34">
        <f>IF(A298="","",YEAR(A298))</f>
        <v/>
      </c>
      <c r="J298" s="45">
        <f>IF(OR(N(D298)=0,N(E298)=0),"",IFERROR(E298/D298,""))</f>
        <v/>
      </c>
    </row>
    <row r="299">
      <c r="A299" s="31" t="n"/>
      <c r="B299" s="37" t="n"/>
      <c r="C299" s="36" t="n"/>
      <c r="D299" s="38" t="n"/>
      <c r="E299" s="44" t="n"/>
      <c r="F299" s="32" t="n"/>
      <c r="G299" s="32" t="n"/>
      <c r="H299" s="39">
        <f>IF(C299="","",IFERROR(INDEX('Animais'!$M$6:$M$1005,MATCH(C299,'Animais'!$A$6:$A$1005,0)),"Brinco não cadastrado"))</f>
        <v/>
      </c>
      <c r="I299" s="34">
        <f>IF(A299="","",YEAR(A299))</f>
        <v/>
      </c>
      <c r="J299" s="45">
        <f>IF(OR(N(D299)=0,N(E299)=0),"",IFERROR(E299/D299,""))</f>
        <v/>
      </c>
    </row>
    <row r="300">
      <c r="A300" s="31" t="n"/>
      <c r="B300" s="37" t="n"/>
      <c r="C300" s="36" t="n"/>
      <c r="D300" s="38" t="n"/>
      <c r="E300" s="44" t="n"/>
      <c r="F300" s="32" t="n"/>
      <c r="G300" s="32" t="n"/>
      <c r="H300" s="39">
        <f>IF(C300="","",IFERROR(INDEX('Animais'!$M$6:$M$1005,MATCH(C300,'Animais'!$A$6:$A$1005,0)),"Brinco não cadastrado"))</f>
        <v/>
      </c>
      <c r="I300" s="34">
        <f>IF(A300="","",YEAR(A300))</f>
        <v/>
      </c>
      <c r="J300" s="45">
        <f>IF(OR(N(D300)=0,N(E300)=0),"",IFERROR(E300/D300,""))</f>
        <v/>
      </c>
    </row>
    <row r="301">
      <c r="A301" s="31" t="n"/>
      <c r="B301" s="37" t="n"/>
      <c r="C301" s="36" t="n"/>
      <c r="D301" s="38" t="n"/>
      <c r="E301" s="44" t="n"/>
      <c r="F301" s="32" t="n"/>
      <c r="G301" s="32" t="n"/>
      <c r="H301" s="39">
        <f>IF(C301="","",IFERROR(INDEX('Animais'!$M$6:$M$1005,MATCH(C301,'Animais'!$A$6:$A$1005,0)),"Brinco não cadastrado"))</f>
        <v/>
      </c>
      <c r="I301" s="34">
        <f>IF(A301="","",YEAR(A301))</f>
        <v/>
      </c>
      <c r="J301" s="45">
        <f>IF(OR(N(D301)=0,N(E301)=0),"",IFERROR(E301/D301,""))</f>
        <v/>
      </c>
    </row>
    <row r="302">
      <c r="A302" s="31" t="n"/>
      <c r="B302" s="37" t="n"/>
      <c r="C302" s="36" t="n"/>
      <c r="D302" s="38" t="n"/>
      <c r="E302" s="44" t="n"/>
      <c r="F302" s="32" t="n"/>
      <c r="G302" s="32" t="n"/>
      <c r="H302" s="39">
        <f>IF(C302="","",IFERROR(INDEX('Animais'!$M$6:$M$1005,MATCH(C302,'Animais'!$A$6:$A$1005,0)),"Brinco não cadastrado"))</f>
        <v/>
      </c>
      <c r="I302" s="34">
        <f>IF(A302="","",YEAR(A302))</f>
        <v/>
      </c>
      <c r="J302" s="45">
        <f>IF(OR(N(D302)=0,N(E302)=0),"",IFERROR(E302/D302,""))</f>
        <v/>
      </c>
    </row>
    <row r="303">
      <c r="A303" s="31" t="n"/>
      <c r="B303" s="37" t="n"/>
      <c r="C303" s="36" t="n"/>
      <c r="D303" s="38" t="n"/>
      <c r="E303" s="44" t="n"/>
      <c r="F303" s="32" t="n"/>
      <c r="G303" s="32" t="n"/>
      <c r="H303" s="39">
        <f>IF(C303="","",IFERROR(INDEX('Animais'!$M$6:$M$1005,MATCH(C303,'Animais'!$A$6:$A$1005,0)),"Brinco não cadastrado"))</f>
        <v/>
      </c>
      <c r="I303" s="34">
        <f>IF(A303="","",YEAR(A303))</f>
        <v/>
      </c>
      <c r="J303" s="45">
        <f>IF(OR(N(D303)=0,N(E303)=0),"",IFERROR(E303/D303,""))</f>
        <v/>
      </c>
    </row>
    <row r="304">
      <c r="A304" s="31" t="n"/>
      <c r="B304" s="37" t="n"/>
      <c r="C304" s="36" t="n"/>
      <c r="D304" s="38" t="n"/>
      <c r="E304" s="44" t="n"/>
      <c r="F304" s="32" t="n"/>
      <c r="G304" s="32" t="n"/>
      <c r="H304" s="39">
        <f>IF(C304="","",IFERROR(INDEX('Animais'!$M$6:$M$1005,MATCH(C304,'Animais'!$A$6:$A$1005,0)),"Brinco não cadastrado"))</f>
        <v/>
      </c>
      <c r="I304" s="34">
        <f>IF(A304="","",YEAR(A304))</f>
        <v/>
      </c>
      <c r="J304" s="45">
        <f>IF(OR(N(D304)=0,N(E304)=0),"",IFERROR(E304/D304,""))</f>
        <v/>
      </c>
    </row>
    <row r="305">
      <c r="A305" s="31" t="n"/>
      <c r="B305" s="37" t="n"/>
      <c r="C305" s="36" t="n"/>
      <c r="D305" s="38" t="n"/>
      <c r="E305" s="44" t="n"/>
      <c r="F305" s="32" t="n"/>
      <c r="G305" s="32" t="n"/>
      <c r="H305" s="39">
        <f>IF(C305="","",IFERROR(INDEX('Animais'!$M$6:$M$1005,MATCH(C305,'Animais'!$A$6:$A$1005,0)),"Brinco não cadastrado"))</f>
        <v/>
      </c>
      <c r="I305" s="34">
        <f>IF(A305="","",YEAR(A305))</f>
        <v/>
      </c>
      <c r="J305" s="45">
        <f>IF(OR(N(D305)=0,N(E305)=0),"",IFERROR(E305/D305,""))</f>
        <v/>
      </c>
    </row>
    <row r="306">
      <c r="A306" s="31" t="n"/>
      <c r="B306" s="37" t="n"/>
      <c r="C306" s="36" t="n"/>
      <c r="D306" s="38" t="n"/>
      <c r="E306" s="44" t="n"/>
      <c r="F306" s="32" t="n"/>
      <c r="G306" s="32" t="n"/>
      <c r="H306" s="39">
        <f>IF(C306="","",IFERROR(INDEX('Animais'!$M$6:$M$1005,MATCH(C306,'Animais'!$A$6:$A$1005,0)),"Brinco não cadastrado"))</f>
        <v/>
      </c>
      <c r="I306" s="34">
        <f>IF(A306="","",YEAR(A306))</f>
        <v/>
      </c>
      <c r="J306" s="45">
        <f>IF(OR(N(D306)=0,N(E306)=0),"",IFERROR(E306/D306,""))</f>
        <v/>
      </c>
    </row>
    <row r="307">
      <c r="A307" s="31" t="n"/>
      <c r="B307" s="37" t="n"/>
      <c r="C307" s="36" t="n"/>
      <c r="D307" s="38" t="n"/>
      <c r="E307" s="44" t="n"/>
      <c r="F307" s="32" t="n"/>
      <c r="G307" s="32" t="n"/>
      <c r="H307" s="39">
        <f>IF(C307="","",IFERROR(INDEX('Animais'!$M$6:$M$1005,MATCH(C307,'Animais'!$A$6:$A$1005,0)),"Brinco não cadastrado"))</f>
        <v/>
      </c>
      <c r="I307" s="34">
        <f>IF(A307="","",YEAR(A307))</f>
        <v/>
      </c>
      <c r="J307" s="45">
        <f>IF(OR(N(D307)=0,N(E307)=0),"",IFERROR(E307/D307,""))</f>
        <v/>
      </c>
    </row>
    <row r="308">
      <c r="A308" s="31" t="n"/>
      <c r="B308" s="37" t="n"/>
      <c r="C308" s="36" t="n"/>
      <c r="D308" s="38" t="n"/>
      <c r="E308" s="44" t="n"/>
      <c r="F308" s="32" t="n"/>
      <c r="G308" s="32" t="n"/>
      <c r="H308" s="39">
        <f>IF(C308="","",IFERROR(INDEX('Animais'!$M$6:$M$1005,MATCH(C308,'Animais'!$A$6:$A$1005,0)),"Brinco não cadastrado"))</f>
        <v/>
      </c>
      <c r="I308" s="34">
        <f>IF(A308="","",YEAR(A308))</f>
        <v/>
      </c>
      <c r="J308" s="45">
        <f>IF(OR(N(D308)=0,N(E308)=0),"",IFERROR(E308/D308,""))</f>
        <v/>
      </c>
    </row>
    <row r="309">
      <c r="A309" s="31" t="n"/>
      <c r="B309" s="37" t="n"/>
      <c r="C309" s="36" t="n"/>
      <c r="D309" s="38" t="n"/>
      <c r="E309" s="44" t="n"/>
      <c r="F309" s="32" t="n"/>
      <c r="G309" s="32" t="n"/>
      <c r="H309" s="39">
        <f>IF(C309="","",IFERROR(INDEX('Animais'!$M$6:$M$1005,MATCH(C309,'Animais'!$A$6:$A$1005,0)),"Brinco não cadastrado"))</f>
        <v/>
      </c>
      <c r="I309" s="34">
        <f>IF(A309="","",YEAR(A309))</f>
        <v/>
      </c>
      <c r="J309" s="45">
        <f>IF(OR(N(D309)=0,N(E309)=0),"",IFERROR(E309/D309,""))</f>
        <v/>
      </c>
    </row>
    <row r="310">
      <c r="A310" s="31" t="n"/>
      <c r="B310" s="37" t="n"/>
      <c r="C310" s="36" t="n"/>
      <c r="D310" s="38" t="n"/>
      <c r="E310" s="44" t="n"/>
      <c r="F310" s="32" t="n"/>
      <c r="G310" s="32" t="n"/>
      <c r="H310" s="39">
        <f>IF(C310="","",IFERROR(INDEX('Animais'!$M$6:$M$1005,MATCH(C310,'Animais'!$A$6:$A$1005,0)),"Brinco não cadastrado"))</f>
        <v/>
      </c>
      <c r="I310" s="34">
        <f>IF(A310="","",YEAR(A310))</f>
        <v/>
      </c>
      <c r="J310" s="45">
        <f>IF(OR(N(D310)=0,N(E310)=0),"",IFERROR(E310/D310,""))</f>
        <v/>
      </c>
    </row>
    <row r="311">
      <c r="A311" s="31" t="n"/>
      <c r="B311" s="37" t="n"/>
      <c r="C311" s="36" t="n"/>
      <c r="D311" s="38" t="n"/>
      <c r="E311" s="44" t="n"/>
      <c r="F311" s="32" t="n"/>
      <c r="G311" s="32" t="n"/>
      <c r="H311" s="39">
        <f>IF(C311="","",IFERROR(INDEX('Animais'!$M$6:$M$1005,MATCH(C311,'Animais'!$A$6:$A$1005,0)),"Brinco não cadastrado"))</f>
        <v/>
      </c>
      <c r="I311" s="34">
        <f>IF(A311="","",YEAR(A311))</f>
        <v/>
      </c>
      <c r="J311" s="45">
        <f>IF(OR(N(D311)=0,N(E311)=0),"",IFERROR(E311/D311,""))</f>
        <v/>
      </c>
    </row>
    <row r="312">
      <c r="A312" s="31" t="n"/>
      <c r="B312" s="37" t="n"/>
      <c r="C312" s="36" t="n"/>
      <c r="D312" s="38" t="n"/>
      <c r="E312" s="44" t="n"/>
      <c r="F312" s="32" t="n"/>
      <c r="G312" s="32" t="n"/>
      <c r="H312" s="39">
        <f>IF(C312="","",IFERROR(INDEX('Animais'!$M$6:$M$1005,MATCH(C312,'Animais'!$A$6:$A$1005,0)),"Brinco não cadastrado"))</f>
        <v/>
      </c>
      <c r="I312" s="34">
        <f>IF(A312="","",YEAR(A312))</f>
        <v/>
      </c>
      <c r="J312" s="45">
        <f>IF(OR(N(D312)=0,N(E312)=0),"",IFERROR(E312/D312,""))</f>
        <v/>
      </c>
    </row>
    <row r="313">
      <c r="A313" s="31" t="n"/>
      <c r="B313" s="37" t="n"/>
      <c r="C313" s="36" t="n"/>
      <c r="D313" s="38" t="n"/>
      <c r="E313" s="44" t="n"/>
      <c r="F313" s="32" t="n"/>
      <c r="G313" s="32" t="n"/>
      <c r="H313" s="39">
        <f>IF(C313="","",IFERROR(INDEX('Animais'!$M$6:$M$1005,MATCH(C313,'Animais'!$A$6:$A$1005,0)),"Brinco não cadastrado"))</f>
        <v/>
      </c>
      <c r="I313" s="34">
        <f>IF(A313="","",YEAR(A313))</f>
        <v/>
      </c>
      <c r="J313" s="45">
        <f>IF(OR(N(D313)=0,N(E313)=0),"",IFERROR(E313/D313,""))</f>
        <v/>
      </c>
    </row>
    <row r="314">
      <c r="A314" s="31" t="n"/>
      <c r="B314" s="37" t="n"/>
      <c r="C314" s="36" t="n"/>
      <c r="D314" s="38" t="n"/>
      <c r="E314" s="44" t="n"/>
      <c r="F314" s="32" t="n"/>
      <c r="G314" s="32" t="n"/>
      <c r="H314" s="39">
        <f>IF(C314="","",IFERROR(INDEX('Animais'!$M$6:$M$1005,MATCH(C314,'Animais'!$A$6:$A$1005,0)),"Brinco não cadastrado"))</f>
        <v/>
      </c>
      <c r="I314" s="34">
        <f>IF(A314="","",YEAR(A314))</f>
        <v/>
      </c>
      <c r="J314" s="45">
        <f>IF(OR(N(D314)=0,N(E314)=0),"",IFERROR(E314/D314,""))</f>
        <v/>
      </c>
    </row>
    <row r="315">
      <c r="A315" s="31" t="n"/>
      <c r="B315" s="37" t="n"/>
      <c r="C315" s="36" t="n"/>
      <c r="D315" s="38" t="n"/>
      <c r="E315" s="44" t="n"/>
      <c r="F315" s="32" t="n"/>
      <c r="G315" s="32" t="n"/>
      <c r="H315" s="39">
        <f>IF(C315="","",IFERROR(INDEX('Animais'!$M$6:$M$1005,MATCH(C315,'Animais'!$A$6:$A$1005,0)),"Brinco não cadastrado"))</f>
        <v/>
      </c>
      <c r="I315" s="34">
        <f>IF(A315="","",YEAR(A315))</f>
        <v/>
      </c>
      <c r="J315" s="45">
        <f>IF(OR(N(D315)=0,N(E315)=0),"",IFERROR(E315/D315,""))</f>
        <v/>
      </c>
    </row>
    <row r="316">
      <c r="A316" s="31" t="n"/>
      <c r="B316" s="37" t="n"/>
      <c r="C316" s="36" t="n"/>
      <c r="D316" s="38" t="n"/>
      <c r="E316" s="44" t="n"/>
      <c r="F316" s="32" t="n"/>
      <c r="G316" s="32" t="n"/>
      <c r="H316" s="39">
        <f>IF(C316="","",IFERROR(INDEX('Animais'!$M$6:$M$1005,MATCH(C316,'Animais'!$A$6:$A$1005,0)),"Brinco não cadastrado"))</f>
        <v/>
      </c>
      <c r="I316" s="34">
        <f>IF(A316="","",YEAR(A316))</f>
        <v/>
      </c>
      <c r="J316" s="45">
        <f>IF(OR(N(D316)=0,N(E316)=0),"",IFERROR(E316/D316,""))</f>
        <v/>
      </c>
    </row>
    <row r="317">
      <c r="A317" s="31" t="n"/>
      <c r="B317" s="37" t="n"/>
      <c r="C317" s="36" t="n"/>
      <c r="D317" s="38" t="n"/>
      <c r="E317" s="44" t="n"/>
      <c r="F317" s="32" t="n"/>
      <c r="G317" s="32" t="n"/>
      <c r="H317" s="39">
        <f>IF(C317="","",IFERROR(INDEX('Animais'!$M$6:$M$1005,MATCH(C317,'Animais'!$A$6:$A$1005,0)),"Brinco não cadastrado"))</f>
        <v/>
      </c>
      <c r="I317" s="34">
        <f>IF(A317="","",YEAR(A317))</f>
        <v/>
      </c>
      <c r="J317" s="45">
        <f>IF(OR(N(D317)=0,N(E317)=0),"",IFERROR(E317/D317,""))</f>
        <v/>
      </c>
    </row>
    <row r="318">
      <c r="A318" s="31" t="n"/>
      <c r="B318" s="37" t="n"/>
      <c r="C318" s="36" t="n"/>
      <c r="D318" s="38" t="n"/>
      <c r="E318" s="44" t="n"/>
      <c r="F318" s="32" t="n"/>
      <c r="G318" s="32" t="n"/>
      <c r="H318" s="39">
        <f>IF(C318="","",IFERROR(INDEX('Animais'!$M$6:$M$1005,MATCH(C318,'Animais'!$A$6:$A$1005,0)),"Brinco não cadastrado"))</f>
        <v/>
      </c>
      <c r="I318" s="34">
        <f>IF(A318="","",YEAR(A318))</f>
        <v/>
      </c>
      <c r="J318" s="45">
        <f>IF(OR(N(D318)=0,N(E318)=0),"",IFERROR(E318/D318,""))</f>
        <v/>
      </c>
    </row>
    <row r="319">
      <c r="A319" s="31" t="n"/>
      <c r="B319" s="37" t="n"/>
      <c r="C319" s="36" t="n"/>
      <c r="D319" s="38" t="n"/>
      <c r="E319" s="44" t="n"/>
      <c r="F319" s="32" t="n"/>
      <c r="G319" s="32" t="n"/>
      <c r="H319" s="39">
        <f>IF(C319="","",IFERROR(INDEX('Animais'!$M$6:$M$1005,MATCH(C319,'Animais'!$A$6:$A$1005,0)),"Brinco não cadastrado"))</f>
        <v/>
      </c>
      <c r="I319" s="34">
        <f>IF(A319="","",YEAR(A319))</f>
        <v/>
      </c>
      <c r="J319" s="45">
        <f>IF(OR(N(D319)=0,N(E319)=0),"",IFERROR(E319/D319,""))</f>
        <v/>
      </c>
    </row>
    <row r="320">
      <c r="A320" s="31" t="n"/>
      <c r="B320" s="37" t="n"/>
      <c r="C320" s="36" t="n"/>
      <c r="D320" s="38" t="n"/>
      <c r="E320" s="44" t="n"/>
      <c r="F320" s="32" t="n"/>
      <c r="G320" s="32" t="n"/>
      <c r="H320" s="39">
        <f>IF(C320="","",IFERROR(INDEX('Animais'!$M$6:$M$1005,MATCH(C320,'Animais'!$A$6:$A$1005,0)),"Brinco não cadastrado"))</f>
        <v/>
      </c>
      <c r="I320" s="34">
        <f>IF(A320="","",YEAR(A320))</f>
        <v/>
      </c>
      <c r="J320" s="45">
        <f>IF(OR(N(D320)=0,N(E320)=0),"",IFERROR(E320/D320,""))</f>
        <v/>
      </c>
    </row>
    <row r="321">
      <c r="A321" s="31" t="n"/>
      <c r="B321" s="37" t="n"/>
      <c r="C321" s="36" t="n"/>
      <c r="D321" s="38" t="n"/>
      <c r="E321" s="44" t="n"/>
      <c r="F321" s="32" t="n"/>
      <c r="G321" s="32" t="n"/>
      <c r="H321" s="39">
        <f>IF(C321="","",IFERROR(INDEX('Animais'!$M$6:$M$1005,MATCH(C321,'Animais'!$A$6:$A$1005,0)),"Brinco não cadastrado"))</f>
        <v/>
      </c>
      <c r="I321" s="34">
        <f>IF(A321="","",YEAR(A321))</f>
        <v/>
      </c>
      <c r="J321" s="45">
        <f>IF(OR(N(D321)=0,N(E321)=0),"",IFERROR(E321/D321,""))</f>
        <v/>
      </c>
    </row>
    <row r="322">
      <c r="A322" s="31" t="n"/>
      <c r="B322" s="37" t="n"/>
      <c r="C322" s="36" t="n"/>
      <c r="D322" s="38" t="n"/>
      <c r="E322" s="44" t="n"/>
      <c r="F322" s="32" t="n"/>
      <c r="G322" s="32" t="n"/>
      <c r="H322" s="39">
        <f>IF(C322="","",IFERROR(INDEX('Animais'!$M$6:$M$1005,MATCH(C322,'Animais'!$A$6:$A$1005,0)),"Brinco não cadastrado"))</f>
        <v/>
      </c>
      <c r="I322" s="34">
        <f>IF(A322="","",YEAR(A322))</f>
        <v/>
      </c>
      <c r="J322" s="45">
        <f>IF(OR(N(D322)=0,N(E322)=0),"",IFERROR(E322/D322,""))</f>
        <v/>
      </c>
    </row>
    <row r="323">
      <c r="A323" s="31" t="n"/>
      <c r="B323" s="37" t="n"/>
      <c r="C323" s="36" t="n"/>
      <c r="D323" s="38" t="n"/>
      <c r="E323" s="44" t="n"/>
      <c r="F323" s="32" t="n"/>
      <c r="G323" s="32" t="n"/>
      <c r="H323" s="39">
        <f>IF(C323="","",IFERROR(INDEX('Animais'!$M$6:$M$1005,MATCH(C323,'Animais'!$A$6:$A$1005,0)),"Brinco não cadastrado"))</f>
        <v/>
      </c>
      <c r="I323" s="34">
        <f>IF(A323="","",YEAR(A323))</f>
        <v/>
      </c>
      <c r="J323" s="45">
        <f>IF(OR(N(D323)=0,N(E323)=0),"",IFERROR(E323/D323,""))</f>
        <v/>
      </c>
    </row>
    <row r="324">
      <c r="A324" s="31" t="n"/>
      <c r="B324" s="37" t="n"/>
      <c r="C324" s="36" t="n"/>
      <c r="D324" s="38" t="n"/>
      <c r="E324" s="44" t="n"/>
      <c r="F324" s="32" t="n"/>
      <c r="G324" s="32" t="n"/>
      <c r="H324" s="39">
        <f>IF(C324="","",IFERROR(INDEX('Animais'!$M$6:$M$1005,MATCH(C324,'Animais'!$A$6:$A$1005,0)),"Brinco não cadastrado"))</f>
        <v/>
      </c>
      <c r="I324" s="34">
        <f>IF(A324="","",YEAR(A324))</f>
        <v/>
      </c>
      <c r="J324" s="45">
        <f>IF(OR(N(D324)=0,N(E324)=0),"",IFERROR(E324/D324,""))</f>
        <v/>
      </c>
    </row>
    <row r="325">
      <c r="A325" s="31" t="n"/>
      <c r="B325" s="37" t="n"/>
      <c r="C325" s="36" t="n"/>
      <c r="D325" s="38" t="n"/>
      <c r="E325" s="44" t="n"/>
      <c r="F325" s="32" t="n"/>
      <c r="G325" s="32" t="n"/>
      <c r="H325" s="39">
        <f>IF(C325="","",IFERROR(INDEX('Animais'!$M$6:$M$1005,MATCH(C325,'Animais'!$A$6:$A$1005,0)),"Brinco não cadastrado"))</f>
        <v/>
      </c>
      <c r="I325" s="34">
        <f>IF(A325="","",YEAR(A325))</f>
        <v/>
      </c>
      <c r="J325" s="45">
        <f>IF(OR(N(D325)=0,N(E325)=0),"",IFERROR(E325/D325,""))</f>
        <v/>
      </c>
    </row>
    <row r="326">
      <c r="A326" s="31" t="n"/>
      <c r="B326" s="37" t="n"/>
      <c r="C326" s="36" t="n"/>
      <c r="D326" s="38" t="n"/>
      <c r="E326" s="44" t="n"/>
      <c r="F326" s="32" t="n"/>
      <c r="G326" s="32" t="n"/>
      <c r="H326" s="39">
        <f>IF(C326="","",IFERROR(INDEX('Animais'!$M$6:$M$1005,MATCH(C326,'Animais'!$A$6:$A$1005,0)),"Brinco não cadastrado"))</f>
        <v/>
      </c>
      <c r="I326" s="34">
        <f>IF(A326="","",YEAR(A326))</f>
        <v/>
      </c>
      <c r="J326" s="45">
        <f>IF(OR(N(D326)=0,N(E326)=0),"",IFERROR(E326/D326,""))</f>
        <v/>
      </c>
    </row>
    <row r="327">
      <c r="A327" s="31" t="n"/>
      <c r="B327" s="37" t="n"/>
      <c r="C327" s="36" t="n"/>
      <c r="D327" s="38" t="n"/>
      <c r="E327" s="44" t="n"/>
      <c r="F327" s="32" t="n"/>
      <c r="G327" s="32" t="n"/>
      <c r="H327" s="39">
        <f>IF(C327="","",IFERROR(INDEX('Animais'!$M$6:$M$1005,MATCH(C327,'Animais'!$A$6:$A$1005,0)),"Brinco não cadastrado"))</f>
        <v/>
      </c>
      <c r="I327" s="34">
        <f>IF(A327="","",YEAR(A327))</f>
        <v/>
      </c>
      <c r="J327" s="45">
        <f>IF(OR(N(D327)=0,N(E327)=0),"",IFERROR(E327/D327,""))</f>
        <v/>
      </c>
    </row>
    <row r="328">
      <c r="A328" s="31" t="n"/>
      <c r="B328" s="37" t="n"/>
      <c r="C328" s="36" t="n"/>
      <c r="D328" s="38" t="n"/>
      <c r="E328" s="44" t="n"/>
      <c r="F328" s="32" t="n"/>
      <c r="G328" s="32" t="n"/>
      <c r="H328" s="39">
        <f>IF(C328="","",IFERROR(INDEX('Animais'!$M$6:$M$1005,MATCH(C328,'Animais'!$A$6:$A$1005,0)),"Brinco não cadastrado"))</f>
        <v/>
      </c>
      <c r="I328" s="34">
        <f>IF(A328="","",YEAR(A328))</f>
        <v/>
      </c>
      <c r="J328" s="45">
        <f>IF(OR(N(D328)=0,N(E328)=0),"",IFERROR(E328/D328,""))</f>
        <v/>
      </c>
    </row>
    <row r="329">
      <c r="A329" s="31" t="n"/>
      <c r="B329" s="37" t="n"/>
      <c r="C329" s="36" t="n"/>
      <c r="D329" s="38" t="n"/>
      <c r="E329" s="44" t="n"/>
      <c r="F329" s="32" t="n"/>
      <c r="G329" s="32" t="n"/>
      <c r="H329" s="39">
        <f>IF(C329="","",IFERROR(INDEX('Animais'!$M$6:$M$1005,MATCH(C329,'Animais'!$A$6:$A$1005,0)),"Brinco não cadastrado"))</f>
        <v/>
      </c>
      <c r="I329" s="34">
        <f>IF(A329="","",YEAR(A329))</f>
        <v/>
      </c>
      <c r="J329" s="45">
        <f>IF(OR(N(D329)=0,N(E329)=0),"",IFERROR(E329/D329,""))</f>
        <v/>
      </c>
    </row>
    <row r="330">
      <c r="A330" s="31" t="n"/>
      <c r="B330" s="37" t="n"/>
      <c r="C330" s="36" t="n"/>
      <c r="D330" s="38" t="n"/>
      <c r="E330" s="44" t="n"/>
      <c r="F330" s="32" t="n"/>
      <c r="G330" s="32" t="n"/>
      <c r="H330" s="39">
        <f>IF(C330="","",IFERROR(INDEX('Animais'!$M$6:$M$1005,MATCH(C330,'Animais'!$A$6:$A$1005,0)),"Brinco não cadastrado"))</f>
        <v/>
      </c>
      <c r="I330" s="34">
        <f>IF(A330="","",YEAR(A330))</f>
        <v/>
      </c>
      <c r="J330" s="45">
        <f>IF(OR(N(D330)=0,N(E330)=0),"",IFERROR(E330/D330,""))</f>
        <v/>
      </c>
    </row>
    <row r="331">
      <c r="A331" s="31" t="n"/>
      <c r="B331" s="37" t="n"/>
      <c r="C331" s="36" t="n"/>
      <c r="D331" s="38" t="n"/>
      <c r="E331" s="44" t="n"/>
      <c r="F331" s="32" t="n"/>
      <c r="G331" s="32" t="n"/>
      <c r="H331" s="39">
        <f>IF(C331="","",IFERROR(INDEX('Animais'!$M$6:$M$1005,MATCH(C331,'Animais'!$A$6:$A$1005,0)),"Brinco não cadastrado"))</f>
        <v/>
      </c>
      <c r="I331" s="34">
        <f>IF(A331="","",YEAR(A331))</f>
        <v/>
      </c>
      <c r="J331" s="45">
        <f>IF(OR(N(D331)=0,N(E331)=0),"",IFERROR(E331/D331,""))</f>
        <v/>
      </c>
    </row>
    <row r="332">
      <c r="A332" s="31" t="n"/>
      <c r="B332" s="37" t="n"/>
      <c r="C332" s="36" t="n"/>
      <c r="D332" s="38" t="n"/>
      <c r="E332" s="44" t="n"/>
      <c r="F332" s="32" t="n"/>
      <c r="G332" s="32" t="n"/>
      <c r="H332" s="39">
        <f>IF(C332="","",IFERROR(INDEX('Animais'!$M$6:$M$1005,MATCH(C332,'Animais'!$A$6:$A$1005,0)),"Brinco não cadastrado"))</f>
        <v/>
      </c>
      <c r="I332" s="34">
        <f>IF(A332="","",YEAR(A332))</f>
        <v/>
      </c>
      <c r="J332" s="45">
        <f>IF(OR(N(D332)=0,N(E332)=0),"",IFERROR(E332/D332,""))</f>
        <v/>
      </c>
    </row>
    <row r="333">
      <c r="A333" s="31" t="n"/>
      <c r="B333" s="37" t="n"/>
      <c r="C333" s="36" t="n"/>
      <c r="D333" s="38" t="n"/>
      <c r="E333" s="44" t="n"/>
      <c r="F333" s="32" t="n"/>
      <c r="G333" s="32" t="n"/>
      <c r="H333" s="39">
        <f>IF(C333="","",IFERROR(INDEX('Animais'!$M$6:$M$1005,MATCH(C333,'Animais'!$A$6:$A$1005,0)),"Brinco não cadastrado"))</f>
        <v/>
      </c>
      <c r="I333" s="34">
        <f>IF(A333="","",YEAR(A333))</f>
        <v/>
      </c>
      <c r="J333" s="45">
        <f>IF(OR(N(D333)=0,N(E333)=0),"",IFERROR(E333/D333,""))</f>
        <v/>
      </c>
    </row>
    <row r="334">
      <c r="A334" s="31" t="n"/>
      <c r="B334" s="37" t="n"/>
      <c r="C334" s="36" t="n"/>
      <c r="D334" s="38" t="n"/>
      <c r="E334" s="44" t="n"/>
      <c r="F334" s="32" t="n"/>
      <c r="G334" s="32" t="n"/>
      <c r="H334" s="39">
        <f>IF(C334="","",IFERROR(INDEX('Animais'!$M$6:$M$1005,MATCH(C334,'Animais'!$A$6:$A$1005,0)),"Brinco não cadastrado"))</f>
        <v/>
      </c>
      <c r="I334" s="34">
        <f>IF(A334="","",YEAR(A334))</f>
        <v/>
      </c>
      <c r="J334" s="45">
        <f>IF(OR(N(D334)=0,N(E334)=0),"",IFERROR(E334/D334,""))</f>
        <v/>
      </c>
    </row>
    <row r="335">
      <c r="A335" s="31" t="n"/>
      <c r="B335" s="37" t="n"/>
      <c r="C335" s="36" t="n"/>
      <c r="D335" s="38" t="n"/>
      <c r="E335" s="44" t="n"/>
      <c r="F335" s="32" t="n"/>
      <c r="G335" s="32" t="n"/>
      <c r="H335" s="39">
        <f>IF(C335="","",IFERROR(INDEX('Animais'!$M$6:$M$1005,MATCH(C335,'Animais'!$A$6:$A$1005,0)),"Brinco não cadastrado"))</f>
        <v/>
      </c>
      <c r="I335" s="34">
        <f>IF(A335="","",YEAR(A335))</f>
        <v/>
      </c>
      <c r="J335" s="45">
        <f>IF(OR(N(D335)=0,N(E335)=0),"",IFERROR(E335/D335,""))</f>
        <v/>
      </c>
    </row>
    <row r="336">
      <c r="A336" s="31" t="n"/>
      <c r="B336" s="37" t="n"/>
      <c r="C336" s="36" t="n"/>
      <c r="D336" s="38" t="n"/>
      <c r="E336" s="44" t="n"/>
      <c r="F336" s="32" t="n"/>
      <c r="G336" s="32" t="n"/>
      <c r="H336" s="39">
        <f>IF(C336="","",IFERROR(INDEX('Animais'!$M$6:$M$1005,MATCH(C336,'Animais'!$A$6:$A$1005,0)),"Brinco não cadastrado"))</f>
        <v/>
      </c>
      <c r="I336" s="34">
        <f>IF(A336="","",YEAR(A336))</f>
        <v/>
      </c>
      <c r="J336" s="45">
        <f>IF(OR(N(D336)=0,N(E336)=0),"",IFERROR(E336/D336,""))</f>
        <v/>
      </c>
    </row>
    <row r="337">
      <c r="A337" s="31" t="n"/>
      <c r="B337" s="37" t="n"/>
      <c r="C337" s="36" t="n"/>
      <c r="D337" s="38" t="n"/>
      <c r="E337" s="44" t="n"/>
      <c r="F337" s="32" t="n"/>
      <c r="G337" s="32" t="n"/>
      <c r="H337" s="39">
        <f>IF(C337="","",IFERROR(INDEX('Animais'!$M$6:$M$1005,MATCH(C337,'Animais'!$A$6:$A$1005,0)),"Brinco não cadastrado"))</f>
        <v/>
      </c>
      <c r="I337" s="34">
        <f>IF(A337="","",YEAR(A337))</f>
        <v/>
      </c>
      <c r="J337" s="45">
        <f>IF(OR(N(D337)=0,N(E337)=0),"",IFERROR(E337/D337,""))</f>
        <v/>
      </c>
    </row>
    <row r="338">
      <c r="A338" s="31" t="n"/>
      <c r="B338" s="37" t="n"/>
      <c r="C338" s="36" t="n"/>
      <c r="D338" s="38" t="n"/>
      <c r="E338" s="44" t="n"/>
      <c r="F338" s="32" t="n"/>
      <c r="G338" s="32" t="n"/>
      <c r="H338" s="39">
        <f>IF(C338="","",IFERROR(INDEX('Animais'!$M$6:$M$1005,MATCH(C338,'Animais'!$A$6:$A$1005,0)),"Brinco não cadastrado"))</f>
        <v/>
      </c>
      <c r="I338" s="34">
        <f>IF(A338="","",YEAR(A338))</f>
        <v/>
      </c>
      <c r="J338" s="45">
        <f>IF(OR(N(D338)=0,N(E338)=0),"",IFERROR(E338/D338,""))</f>
        <v/>
      </c>
    </row>
    <row r="339">
      <c r="A339" s="31" t="n"/>
      <c r="B339" s="37" t="n"/>
      <c r="C339" s="36" t="n"/>
      <c r="D339" s="38" t="n"/>
      <c r="E339" s="44" t="n"/>
      <c r="F339" s="32" t="n"/>
      <c r="G339" s="32" t="n"/>
      <c r="H339" s="39">
        <f>IF(C339="","",IFERROR(INDEX('Animais'!$M$6:$M$1005,MATCH(C339,'Animais'!$A$6:$A$1005,0)),"Brinco não cadastrado"))</f>
        <v/>
      </c>
      <c r="I339" s="34">
        <f>IF(A339="","",YEAR(A339))</f>
        <v/>
      </c>
      <c r="J339" s="45">
        <f>IF(OR(N(D339)=0,N(E339)=0),"",IFERROR(E339/D339,""))</f>
        <v/>
      </c>
    </row>
    <row r="340">
      <c r="A340" s="31" t="n"/>
      <c r="B340" s="37" t="n"/>
      <c r="C340" s="36" t="n"/>
      <c r="D340" s="38" t="n"/>
      <c r="E340" s="44" t="n"/>
      <c r="F340" s="32" t="n"/>
      <c r="G340" s="32" t="n"/>
      <c r="H340" s="39">
        <f>IF(C340="","",IFERROR(INDEX('Animais'!$M$6:$M$1005,MATCH(C340,'Animais'!$A$6:$A$1005,0)),"Brinco não cadastrado"))</f>
        <v/>
      </c>
      <c r="I340" s="34">
        <f>IF(A340="","",YEAR(A340))</f>
        <v/>
      </c>
      <c r="J340" s="45">
        <f>IF(OR(N(D340)=0,N(E340)=0),"",IFERROR(E340/D340,""))</f>
        <v/>
      </c>
    </row>
    <row r="341">
      <c r="A341" s="31" t="n"/>
      <c r="B341" s="37" t="n"/>
      <c r="C341" s="36" t="n"/>
      <c r="D341" s="38" t="n"/>
      <c r="E341" s="44" t="n"/>
      <c r="F341" s="32" t="n"/>
      <c r="G341" s="32" t="n"/>
      <c r="H341" s="39">
        <f>IF(C341="","",IFERROR(INDEX('Animais'!$M$6:$M$1005,MATCH(C341,'Animais'!$A$6:$A$1005,0)),"Brinco não cadastrado"))</f>
        <v/>
      </c>
      <c r="I341" s="34">
        <f>IF(A341="","",YEAR(A341))</f>
        <v/>
      </c>
      <c r="J341" s="45">
        <f>IF(OR(N(D341)=0,N(E341)=0),"",IFERROR(E341/D341,""))</f>
        <v/>
      </c>
    </row>
    <row r="342">
      <c r="A342" s="31" t="n"/>
      <c r="B342" s="37" t="n"/>
      <c r="C342" s="36" t="n"/>
      <c r="D342" s="38" t="n"/>
      <c r="E342" s="44" t="n"/>
      <c r="F342" s="32" t="n"/>
      <c r="G342" s="32" t="n"/>
      <c r="H342" s="39">
        <f>IF(C342="","",IFERROR(INDEX('Animais'!$M$6:$M$1005,MATCH(C342,'Animais'!$A$6:$A$1005,0)),"Brinco não cadastrado"))</f>
        <v/>
      </c>
      <c r="I342" s="34">
        <f>IF(A342="","",YEAR(A342))</f>
        <v/>
      </c>
      <c r="J342" s="45">
        <f>IF(OR(N(D342)=0,N(E342)=0),"",IFERROR(E342/D342,""))</f>
        <v/>
      </c>
    </row>
    <row r="343">
      <c r="A343" s="31" t="n"/>
      <c r="B343" s="37" t="n"/>
      <c r="C343" s="36" t="n"/>
      <c r="D343" s="38" t="n"/>
      <c r="E343" s="44" t="n"/>
      <c r="F343" s="32" t="n"/>
      <c r="G343" s="32" t="n"/>
      <c r="H343" s="39">
        <f>IF(C343="","",IFERROR(INDEX('Animais'!$M$6:$M$1005,MATCH(C343,'Animais'!$A$6:$A$1005,0)),"Brinco não cadastrado"))</f>
        <v/>
      </c>
      <c r="I343" s="34">
        <f>IF(A343="","",YEAR(A343))</f>
        <v/>
      </c>
      <c r="J343" s="45">
        <f>IF(OR(N(D343)=0,N(E343)=0),"",IFERROR(E343/D343,""))</f>
        <v/>
      </c>
    </row>
    <row r="344">
      <c r="A344" s="31" t="n"/>
      <c r="B344" s="37" t="n"/>
      <c r="C344" s="36" t="n"/>
      <c r="D344" s="38" t="n"/>
      <c r="E344" s="44" t="n"/>
      <c r="F344" s="32" t="n"/>
      <c r="G344" s="32" t="n"/>
      <c r="H344" s="39">
        <f>IF(C344="","",IFERROR(INDEX('Animais'!$M$6:$M$1005,MATCH(C344,'Animais'!$A$6:$A$1005,0)),"Brinco não cadastrado"))</f>
        <v/>
      </c>
      <c r="I344" s="34">
        <f>IF(A344="","",YEAR(A344))</f>
        <v/>
      </c>
      <c r="J344" s="45">
        <f>IF(OR(N(D344)=0,N(E344)=0),"",IFERROR(E344/D344,""))</f>
        <v/>
      </c>
    </row>
    <row r="345">
      <c r="A345" s="31" t="n"/>
      <c r="B345" s="37" t="n"/>
      <c r="C345" s="36" t="n"/>
      <c r="D345" s="38" t="n"/>
      <c r="E345" s="44" t="n"/>
      <c r="F345" s="32" t="n"/>
      <c r="G345" s="32" t="n"/>
      <c r="H345" s="39">
        <f>IF(C345="","",IFERROR(INDEX('Animais'!$M$6:$M$1005,MATCH(C345,'Animais'!$A$6:$A$1005,0)),"Brinco não cadastrado"))</f>
        <v/>
      </c>
      <c r="I345" s="34">
        <f>IF(A345="","",YEAR(A345))</f>
        <v/>
      </c>
      <c r="J345" s="45">
        <f>IF(OR(N(D345)=0,N(E345)=0),"",IFERROR(E345/D345,""))</f>
        <v/>
      </c>
    </row>
    <row r="346">
      <c r="A346" s="31" t="n"/>
      <c r="B346" s="37" t="n"/>
      <c r="C346" s="36" t="n"/>
      <c r="D346" s="38" t="n"/>
      <c r="E346" s="44" t="n"/>
      <c r="F346" s="32" t="n"/>
      <c r="G346" s="32" t="n"/>
      <c r="H346" s="39">
        <f>IF(C346="","",IFERROR(INDEX('Animais'!$M$6:$M$1005,MATCH(C346,'Animais'!$A$6:$A$1005,0)),"Brinco não cadastrado"))</f>
        <v/>
      </c>
      <c r="I346" s="34">
        <f>IF(A346="","",YEAR(A346))</f>
        <v/>
      </c>
      <c r="J346" s="45">
        <f>IF(OR(N(D346)=0,N(E346)=0),"",IFERROR(E346/D346,""))</f>
        <v/>
      </c>
    </row>
    <row r="347">
      <c r="A347" s="31" t="n"/>
      <c r="B347" s="37" t="n"/>
      <c r="C347" s="36" t="n"/>
      <c r="D347" s="38" t="n"/>
      <c r="E347" s="44" t="n"/>
      <c r="F347" s="32" t="n"/>
      <c r="G347" s="32" t="n"/>
      <c r="H347" s="39">
        <f>IF(C347="","",IFERROR(INDEX('Animais'!$M$6:$M$1005,MATCH(C347,'Animais'!$A$6:$A$1005,0)),"Brinco não cadastrado"))</f>
        <v/>
      </c>
      <c r="I347" s="34">
        <f>IF(A347="","",YEAR(A347))</f>
        <v/>
      </c>
      <c r="J347" s="45">
        <f>IF(OR(N(D347)=0,N(E347)=0),"",IFERROR(E347/D347,""))</f>
        <v/>
      </c>
    </row>
    <row r="348">
      <c r="A348" s="31" t="n"/>
      <c r="B348" s="37" t="n"/>
      <c r="C348" s="36" t="n"/>
      <c r="D348" s="38" t="n"/>
      <c r="E348" s="44" t="n"/>
      <c r="F348" s="32" t="n"/>
      <c r="G348" s="32" t="n"/>
      <c r="H348" s="39">
        <f>IF(C348="","",IFERROR(INDEX('Animais'!$M$6:$M$1005,MATCH(C348,'Animais'!$A$6:$A$1005,0)),"Brinco não cadastrado"))</f>
        <v/>
      </c>
      <c r="I348" s="34">
        <f>IF(A348="","",YEAR(A348))</f>
        <v/>
      </c>
      <c r="J348" s="45">
        <f>IF(OR(N(D348)=0,N(E348)=0),"",IFERROR(E348/D348,""))</f>
        <v/>
      </c>
    </row>
    <row r="349">
      <c r="A349" s="31" t="n"/>
      <c r="B349" s="37" t="n"/>
      <c r="C349" s="36" t="n"/>
      <c r="D349" s="38" t="n"/>
      <c r="E349" s="44" t="n"/>
      <c r="F349" s="32" t="n"/>
      <c r="G349" s="32" t="n"/>
      <c r="H349" s="39">
        <f>IF(C349="","",IFERROR(INDEX('Animais'!$M$6:$M$1005,MATCH(C349,'Animais'!$A$6:$A$1005,0)),"Brinco não cadastrado"))</f>
        <v/>
      </c>
      <c r="I349" s="34">
        <f>IF(A349="","",YEAR(A349))</f>
        <v/>
      </c>
      <c r="J349" s="45">
        <f>IF(OR(N(D349)=0,N(E349)=0),"",IFERROR(E349/D349,""))</f>
        <v/>
      </c>
    </row>
    <row r="350">
      <c r="A350" s="31" t="n"/>
      <c r="B350" s="37" t="n"/>
      <c r="C350" s="36" t="n"/>
      <c r="D350" s="38" t="n"/>
      <c r="E350" s="44" t="n"/>
      <c r="F350" s="32" t="n"/>
      <c r="G350" s="32" t="n"/>
      <c r="H350" s="39">
        <f>IF(C350="","",IFERROR(INDEX('Animais'!$M$6:$M$1005,MATCH(C350,'Animais'!$A$6:$A$1005,0)),"Brinco não cadastrado"))</f>
        <v/>
      </c>
      <c r="I350" s="34">
        <f>IF(A350="","",YEAR(A350))</f>
        <v/>
      </c>
      <c r="J350" s="45">
        <f>IF(OR(N(D350)=0,N(E350)=0),"",IFERROR(E350/D350,""))</f>
        <v/>
      </c>
    </row>
    <row r="351">
      <c r="A351" s="31" t="n"/>
      <c r="B351" s="37" t="n"/>
      <c r="C351" s="36" t="n"/>
      <c r="D351" s="38" t="n"/>
      <c r="E351" s="44" t="n"/>
      <c r="F351" s="32" t="n"/>
      <c r="G351" s="32" t="n"/>
      <c r="H351" s="39">
        <f>IF(C351="","",IFERROR(INDEX('Animais'!$M$6:$M$1005,MATCH(C351,'Animais'!$A$6:$A$1005,0)),"Brinco não cadastrado"))</f>
        <v/>
      </c>
      <c r="I351" s="34">
        <f>IF(A351="","",YEAR(A351))</f>
        <v/>
      </c>
      <c r="J351" s="45">
        <f>IF(OR(N(D351)=0,N(E351)=0),"",IFERROR(E351/D351,""))</f>
        <v/>
      </c>
    </row>
    <row r="352">
      <c r="A352" s="31" t="n"/>
      <c r="B352" s="37" t="n"/>
      <c r="C352" s="36" t="n"/>
      <c r="D352" s="38" t="n"/>
      <c r="E352" s="44" t="n"/>
      <c r="F352" s="32" t="n"/>
      <c r="G352" s="32" t="n"/>
      <c r="H352" s="39">
        <f>IF(C352="","",IFERROR(INDEX('Animais'!$M$6:$M$1005,MATCH(C352,'Animais'!$A$6:$A$1005,0)),"Brinco não cadastrado"))</f>
        <v/>
      </c>
      <c r="I352" s="34">
        <f>IF(A352="","",YEAR(A352))</f>
        <v/>
      </c>
      <c r="J352" s="45">
        <f>IF(OR(N(D352)=0,N(E352)=0),"",IFERROR(E352/D352,""))</f>
        <v/>
      </c>
    </row>
    <row r="353">
      <c r="A353" s="31" t="n"/>
      <c r="B353" s="37" t="n"/>
      <c r="C353" s="36" t="n"/>
      <c r="D353" s="38" t="n"/>
      <c r="E353" s="44" t="n"/>
      <c r="F353" s="32" t="n"/>
      <c r="G353" s="32" t="n"/>
      <c r="H353" s="39">
        <f>IF(C353="","",IFERROR(INDEX('Animais'!$M$6:$M$1005,MATCH(C353,'Animais'!$A$6:$A$1005,0)),"Brinco não cadastrado"))</f>
        <v/>
      </c>
      <c r="I353" s="34">
        <f>IF(A353="","",YEAR(A353))</f>
        <v/>
      </c>
      <c r="J353" s="45">
        <f>IF(OR(N(D353)=0,N(E353)=0),"",IFERROR(E353/D353,""))</f>
        <v/>
      </c>
    </row>
    <row r="354">
      <c r="A354" s="31" t="n"/>
      <c r="B354" s="37" t="n"/>
      <c r="C354" s="36" t="n"/>
      <c r="D354" s="38" t="n"/>
      <c r="E354" s="44" t="n"/>
      <c r="F354" s="32" t="n"/>
      <c r="G354" s="32" t="n"/>
      <c r="H354" s="39">
        <f>IF(C354="","",IFERROR(INDEX('Animais'!$M$6:$M$1005,MATCH(C354,'Animais'!$A$6:$A$1005,0)),"Brinco não cadastrado"))</f>
        <v/>
      </c>
      <c r="I354" s="34">
        <f>IF(A354="","",YEAR(A354))</f>
        <v/>
      </c>
      <c r="J354" s="45">
        <f>IF(OR(N(D354)=0,N(E354)=0),"",IFERROR(E354/D354,""))</f>
        <v/>
      </c>
    </row>
    <row r="355">
      <c r="A355" s="31" t="n"/>
      <c r="B355" s="37" t="n"/>
      <c r="C355" s="36" t="n"/>
      <c r="D355" s="38" t="n"/>
      <c r="E355" s="44" t="n"/>
      <c r="F355" s="32" t="n"/>
      <c r="G355" s="32" t="n"/>
      <c r="H355" s="39">
        <f>IF(C355="","",IFERROR(INDEX('Animais'!$M$6:$M$1005,MATCH(C355,'Animais'!$A$6:$A$1005,0)),"Brinco não cadastrado"))</f>
        <v/>
      </c>
      <c r="I355" s="34">
        <f>IF(A355="","",YEAR(A355))</f>
        <v/>
      </c>
      <c r="J355" s="45">
        <f>IF(OR(N(D355)=0,N(E355)=0),"",IFERROR(E355/D355,""))</f>
        <v/>
      </c>
    </row>
    <row r="356">
      <c r="A356" s="31" t="n"/>
      <c r="B356" s="37" t="n"/>
      <c r="C356" s="36" t="n"/>
      <c r="D356" s="38" t="n"/>
      <c r="E356" s="44" t="n"/>
      <c r="F356" s="32" t="n"/>
      <c r="G356" s="32" t="n"/>
      <c r="H356" s="39">
        <f>IF(C356="","",IFERROR(INDEX('Animais'!$M$6:$M$1005,MATCH(C356,'Animais'!$A$6:$A$1005,0)),"Brinco não cadastrado"))</f>
        <v/>
      </c>
      <c r="I356" s="34">
        <f>IF(A356="","",YEAR(A356))</f>
        <v/>
      </c>
      <c r="J356" s="45">
        <f>IF(OR(N(D356)=0,N(E356)=0),"",IFERROR(E356/D356,""))</f>
        <v/>
      </c>
    </row>
    <row r="357">
      <c r="A357" s="31" t="n"/>
      <c r="B357" s="37" t="n"/>
      <c r="C357" s="36" t="n"/>
      <c r="D357" s="38" t="n"/>
      <c r="E357" s="44" t="n"/>
      <c r="F357" s="32" t="n"/>
      <c r="G357" s="32" t="n"/>
      <c r="H357" s="39">
        <f>IF(C357="","",IFERROR(INDEX('Animais'!$M$6:$M$1005,MATCH(C357,'Animais'!$A$6:$A$1005,0)),"Brinco não cadastrado"))</f>
        <v/>
      </c>
      <c r="I357" s="34">
        <f>IF(A357="","",YEAR(A357))</f>
        <v/>
      </c>
      <c r="J357" s="45">
        <f>IF(OR(N(D357)=0,N(E357)=0),"",IFERROR(E357/D357,""))</f>
        <v/>
      </c>
    </row>
    <row r="358">
      <c r="A358" s="31" t="n"/>
      <c r="B358" s="37" t="n"/>
      <c r="C358" s="36" t="n"/>
      <c r="D358" s="38" t="n"/>
      <c r="E358" s="44" t="n"/>
      <c r="F358" s="32" t="n"/>
      <c r="G358" s="32" t="n"/>
      <c r="H358" s="39">
        <f>IF(C358="","",IFERROR(INDEX('Animais'!$M$6:$M$1005,MATCH(C358,'Animais'!$A$6:$A$1005,0)),"Brinco não cadastrado"))</f>
        <v/>
      </c>
      <c r="I358" s="34">
        <f>IF(A358="","",YEAR(A358))</f>
        <v/>
      </c>
      <c r="J358" s="45">
        <f>IF(OR(N(D358)=0,N(E358)=0),"",IFERROR(E358/D358,""))</f>
        <v/>
      </c>
    </row>
    <row r="359">
      <c r="A359" s="31" t="n"/>
      <c r="B359" s="37" t="n"/>
      <c r="C359" s="36" t="n"/>
      <c r="D359" s="38" t="n"/>
      <c r="E359" s="44" t="n"/>
      <c r="F359" s="32" t="n"/>
      <c r="G359" s="32" t="n"/>
      <c r="H359" s="39">
        <f>IF(C359="","",IFERROR(INDEX('Animais'!$M$6:$M$1005,MATCH(C359,'Animais'!$A$6:$A$1005,0)),"Brinco não cadastrado"))</f>
        <v/>
      </c>
      <c r="I359" s="34">
        <f>IF(A359="","",YEAR(A359))</f>
        <v/>
      </c>
      <c r="J359" s="45">
        <f>IF(OR(N(D359)=0,N(E359)=0),"",IFERROR(E359/D359,""))</f>
        <v/>
      </c>
    </row>
    <row r="360">
      <c r="A360" s="31" t="n"/>
      <c r="B360" s="37" t="n"/>
      <c r="C360" s="36" t="n"/>
      <c r="D360" s="38" t="n"/>
      <c r="E360" s="44" t="n"/>
      <c r="F360" s="32" t="n"/>
      <c r="G360" s="32" t="n"/>
      <c r="H360" s="39">
        <f>IF(C360="","",IFERROR(INDEX('Animais'!$M$6:$M$1005,MATCH(C360,'Animais'!$A$6:$A$1005,0)),"Brinco não cadastrado"))</f>
        <v/>
      </c>
      <c r="I360" s="34">
        <f>IF(A360="","",YEAR(A360))</f>
        <v/>
      </c>
      <c r="J360" s="45">
        <f>IF(OR(N(D360)=0,N(E360)=0),"",IFERROR(E360/D360,""))</f>
        <v/>
      </c>
    </row>
    <row r="361">
      <c r="A361" s="31" t="n"/>
      <c r="B361" s="37" t="n"/>
      <c r="C361" s="36" t="n"/>
      <c r="D361" s="38" t="n"/>
      <c r="E361" s="44" t="n"/>
      <c r="F361" s="32" t="n"/>
      <c r="G361" s="32" t="n"/>
      <c r="H361" s="39">
        <f>IF(C361="","",IFERROR(INDEX('Animais'!$M$6:$M$1005,MATCH(C361,'Animais'!$A$6:$A$1005,0)),"Brinco não cadastrado"))</f>
        <v/>
      </c>
      <c r="I361" s="34">
        <f>IF(A361="","",YEAR(A361))</f>
        <v/>
      </c>
      <c r="J361" s="45">
        <f>IF(OR(N(D361)=0,N(E361)=0),"",IFERROR(E361/D361,""))</f>
        <v/>
      </c>
    </row>
    <row r="362">
      <c r="A362" s="31" t="n"/>
      <c r="B362" s="37" t="n"/>
      <c r="C362" s="36" t="n"/>
      <c r="D362" s="38" t="n"/>
      <c r="E362" s="44" t="n"/>
      <c r="F362" s="32" t="n"/>
      <c r="G362" s="32" t="n"/>
      <c r="H362" s="39">
        <f>IF(C362="","",IFERROR(INDEX('Animais'!$M$6:$M$1005,MATCH(C362,'Animais'!$A$6:$A$1005,0)),"Brinco não cadastrado"))</f>
        <v/>
      </c>
      <c r="I362" s="34">
        <f>IF(A362="","",YEAR(A362))</f>
        <v/>
      </c>
      <c r="J362" s="45">
        <f>IF(OR(N(D362)=0,N(E362)=0),"",IFERROR(E362/D362,""))</f>
        <v/>
      </c>
    </row>
    <row r="363">
      <c r="A363" s="31" t="n"/>
      <c r="B363" s="37" t="n"/>
      <c r="C363" s="36" t="n"/>
      <c r="D363" s="38" t="n"/>
      <c r="E363" s="44" t="n"/>
      <c r="F363" s="32" t="n"/>
      <c r="G363" s="32" t="n"/>
      <c r="H363" s="39">
        <f>IF(C363="","",IFERROR(INDEX('Animais'!$M$6:$M$1005,MATCH(C363,'Animais'!$A$6:$A$1005,0)),"Brinco não cadastrado"))</f>
        <v/>
      </c>
      <c r="I363" s="34">
        <f>IF(A363="","",YEAR(A363))</f>
        <v/>
      </c>
      <c r="J363" s="45">
        <f>IF(OR(N(D363)=0,N(E363)=0),"",IFERROR(E363/D363,""))</f>
        <v/>
      </c>
    </row>
    <row r="364">
      <c r="A364" s="31" t="n"/>
      <c r="B364" s="37" t="n"/>
      <c r="C364" s="36" t="n"/>
      <c r="D364" s="38" t="n"/>
      <c r="E364" s="44" t="n"/>
      <c r="F364" s="32" t="n"/>
      <c r="G364" s="32" t="n"/>
      <c r="H364" s="39">
        <f>IF(C364="","",IFERROR(INDEX('Animais'!$M$6:$M$1005,MATCH(C364,'Animais'!$A$6:$A$1005,0)),"Brinco não cadastrado"))</f>
        <v/>
      </c>
      <c r="I364" s="34">
        <f>IF(A364="","",YEAR(A364))</f>
        <v/>
      </c>
      <c r="J364" s="45">
        <f>IF(OR(N(D364)=0,N(E364)=0),"",IFERROR(E364/D364,""))</f>
        <v/>
      </c>
    </row>
    <row r="365">
      <c r="A365" s="31" t="n"/>
      <c r="B365" s="37" t="n"/>
      <c r="C365" s="36" t="n"/>
      <c r="D365" s="38" t="n"/>
      <c r="E365" s="44" t="n"/>
      <c r="F365" s="32" t="n"/>
      <c r="G365" s="32" t="n"/>
      <c r="H365" s="39">
        <f>IF(C365="","",IFERROR(INDEX('Animais'!$M$6:$M$1005,MATCH(C365,'Animais'!$A$6:$A$1005,0)),"Brinco não cadastrado"))</f>
        <v/>
      </c>
      <c r="I365" s="34">
        <f>IF(A365="","",YEAR(A365))</f>
        <v/>
      </c>
      <c r="J365" s="45">
        <f>IF(OR(N(D365)=0,N(E365)=0),"",IFERROR(E365/D365,""))</f>
        <v/>
      </c>
    </row>
    <row r="366">
      <c r="A366" s="31" t="n"/>
      <c r="B366" s="37" t="n"/>
      <c r="C366" s="36" t="n"/>
      <c r="D366" s="38" t="n"/>
      <c r="E366" s="44" t="n"/>
      <c r="F366" s="32" t="n"/>
      <c r="G366" s="32" t="n"/>
      <c r="H366" s="39">
        <f>IF(C366="","",IFERROR(INDEX('Animais'!$M$6:$M$1005,MATCH(C366,'Animais'!$A$6:$A$1005,0)),"Brinco não cadastrado"))</f>
        <v/>
      </c>
      <c r="I366" s="34">
        <f>IF(A366="","",YEAR(A366))</f>
        <v/>
      </c>
      <c r="J366" s="45">
        <f>IF(OR(N(D366)=0,N(E366)=0),"",IFERROR(E366/D366,""))</f>
        <v/>
      </c>
    </row>
    <row r="367">
      <c r="A367" s="31" t="n"/>
      <c r="B367" s="37" t="n"/>
      <c r="C367" s="36" t="n"/>
      <c r="D367" s="38" t="n"/>
      <c r="E367" s="44" t="n"/>
      <c r="F367" s="32" t="n"/>
      <c r="G367" s="32" t="n"/>
      <c r="H367" s="39">
        <f>IF(C367="","",IFERROR(INDEX('Animais'!$M$6:$M$1005,MATCH(C367,'Animais'!$A$6:$A$1005,0)),"Brinco não cadastrado"))</f>
        <v/>
      </c>
      <c r="I367" s="34">
        <f>IF(A367="","",YEAR(A367))</f>
        <v/>
      </c>
      <c r="J367" s="45">
        <f>IF(OR(N(D367)=0,N(E367)=0),"",IFERROR(E367/D367,""))</f>
        <v/>
      </c>
    </row>
    <row r="368">
      <c r="A368" s="31" t="n"/>
      <c r="B368" s="37" t="n"/>
      <c r="C368" s="36" t="n"/>
      <c r="D368" s="38" t="n"/>
      <c r="E368" s="44" t="n"/>
      <c r="F368" s="32" t="n"/>
      <c r="G368" s="32" t="n"/>
      <c r="H368" s="39">
        <f>IF(C368="","",IFERROR(INDEX('Animais'!$M$6:$M$1005,MATCH(C368,'Animais'!$A$6:$A$1005,0)),"Brinco não cadastrado"))</f>
        <v/>
      </c>
      <c r="I368" s="34">
        <f>IF(A368="","",YEAR(A368))</f>
        <v/>
      </c>
      <c r="J368" s="45">
        <f>IF(OR(N(D368)=0,N(E368)=0),"",IFERROR(E368/D368,""))</f>
        <v/>
      </c>
    </row>
    <row r="369">
      <c r="A369" s="31" t="n"/>
      <c r="B369" s="37" t="n"/>
      <c r="C369" s="36" t="n"/>
      <c r="D369" s="38" t="n"/>
      <c r="E369" s="44" t="n"/>
      <c r="F369" s="32" t="n"/>
      <c r="G369" s="32" t="n"/>
      <c r="H369" s="39">
        <f>IF(C369="","",IFERROR(INDEX('Animais'!$M$6:$M$1005,MATCH(C369,'Animais'!$A$6:$A$1005,0)),"Brinco não cadastrado"))</f>
        <v/>
      </c>
      <c r="I369" s="34">
        <f>IF(A369="","",YEAR(A369))</f>
        <v/>
      </c>
      <c r="J369" s="45">
        <f>IF(OR(N(D369)=0,N(E369)=0),"",IFERROR(E369/D369,""))</f>
        <v/>
      </c>
    </row>
    <row r="370">
      <c r="A370" s="31" t="n"/>
      <c r="B370" s="37" t="n"/>
      <c r="C370" s="36" t="n"/>
      <c r="D370" s="38" t="n"/>
      <c r="E370" s="44" t="n"/>
      <c r="F370" s="32" t="n"/>
      <c r="G370" s="32" t="n"/>
      <c r="H370" s="39">
        <f>IF(C370="","",IFERROR(INDEX('Animais'!$M$6:$M$1005,MATCH(C370,'Animais'!$A$6:$A$1005,0)),"Brinco não cadastrado"))</f>
        <v/>
      </c>
      <c r="I370" s="34">
        <f>IF(A370="","",YEAR(A370))</f>
        <v/>
      </c>
      <c r="J370" s="45">
        <f>IF(OR(N(D370)=0,N(E370)=0),"",IFERROR(E370/D370,""))</f>
        <v/>
      </c>
    </row>
    <row r="371">
      <c r="A371" s="31" t="n"/>
      <c r="B371" s="37" t="n"/>
      <c r="C371" s="36" t="n"/>
      <c r="D371" s="38" t="n"/>
      <c r="E371" s="44" t="n"/>
      <c r="F371" s="32" t="n"/>
      <c r="G371" s="32" t="n"/>
      <c r="H371" s="39">
        <f>IF(C371="","",IFERROR(INDEX('Animais'!$M$6:$M$1005,MATCH(C371,'Animais'!$A$6:$A$1005,0)),"Brinco não cadastrado"))</f>
        <v/>
      </c>
      <c r="I371" s="34">
        <f>IF(A371="","",YEAR(A371))</f>
        <v/>
      </c>
      <c r="J371" s="45">
        <f>IF(OR(N(D371)=0,N(E371)=0),"",IFERROR(E371/D371,""))</f>
        <v/>
      </c>
    </row>
    <row r="372">
      <c r="A372" s="31" t="n"/>
      <c r="B372" s="37" t="n"/>
      <c r="C372" s="36" t="n"/>
      <c r="D372" s="38" t="n"/>
      <c r="E372" s="44" t="n"/>
      <c r="F372" s="32" t="n"/>
      <c r="G372" s="32" t="n"/>
      <c r="H372" s="39">
        <f>IF(C372="","",IFERROR(INDEX('Animais'!$M$6:$M$1005,MATCH(C372,'Animais'!$A$6:$A$1005,0)),"Brinco não cadastrado"))</f>
        <v/>
      </c>
      <c r="I372" s="34">
        <f>IF(A372="","",YEAR(A372))</f>
        <v/>
      </c>
      <c r="J372" s="45">
        <f>IF(OR(N(D372)=0,N(E372)=0),"",IFERROR(E372/D372,""))</f>
        <v/>
      </c>
    </row>
    <row r="373">
      <c r="A373" s="31" t="n"/>
      <c r="B373" s="37" t="n"/>
      <c r="C373" s="36" t="n"/>
      <c r="D373" s="38" t="n"/>
      <c r="E373" s="44" t="n"/>
      <c r="F373" s="32" t="n"/>
      <c r="G373" s="32" t="n"/>
      <c r="H373" s="39">
        <f>IF(C373="","",IFERROR(INDEX('Animais'!$M$6:$M$1005,MATCH(C373,'Animais'!$A$6:$A$1005,0)),"Brinco não cadastrado"))</f>
        <v/>
      </c>
      <c r="I373" s="34">
        <f>IF(A373="","",YEAR(A373))</f>
        <v/>
      </c>
      <c r="J373" s="45">
        <f>IF(OR(N(D373)=0,N(E373)=0),"",IFERROR(E373/D373,""))</f>
        <v/>
      </c>
    </row>
    <row r="374">
      <c r="A374" s="31" t="n"/>
      <c r="B374" s="37" t="n"/>
      <c r="C374" s="36" t="n"/>
      <c r="D374" s="38" t="n"/>
      <c r="E374" s="44" t="n"/>
      <c r="F374" s="32" t="n"/>
      <c r="G374" s="32" t="n"/>
      <c r="H374" s="39">
        <f>IF(C374="","",IFERROR(INDEX('Animais'!$M$6:$M$1005,MATCH(C374,'Animais'!$A$6:$A$1005,0)),"Brinco não cadastrado"))</f>
        <v/>
      </c>
      <c r="I374" s="34">
        <f>IF(A374="","",YEAR(A374))</f>
        <v/>
      </c>
      <c r="J374" s="45">
        <f>IF(OR(N(D374)=0,N(E374)=0),"",IFERROR(E374/D374,""))</f>
        <v/>
      </c>
    </row>
    <row r="375">
      <c r="A375" s="31" t="n"/>
      <c r="B375" s="37" t="n"/>
      <c r="C375" s="36" t="n"/>
      <c r="D375" s="38" t="n"/>
      <c r="E375" s="44" t="n"/>
      <c r="F375" s="32" t="n"/>
      <c r="G375" s="32" t="n"/>
      <c r="H375" s="39">
        <f>IF(C375="","",IFERROR(INDEX('Animais'!$M$6:$M$1005,MATCH(C375,'Animais'!$A$6:$A$1005,0)),"Brinco não cadastrado"))</f>
        <v/>
      </c>
      <c r="I375" s="34">
        <f>IF(A375="","",YEAR(A375))</f>
        <v/>
      </c>
      <c r="J375" s="45">
        <f>IF(OR(N(D375)=0,N(E375)=0),"",IFERROR(E375/D375,""))</f>
        <v/>
      </c>
    </row>
    <row r="376">
      <c r="A376" s="31" t="n"/>
      <c r="B376" s="37" t="n"/>
      <c r="C376" s="36" t="n"/>
      <c r="D376" s="38" t="n"/>
      <c r="E376" s="44" t="n"/>
      <c r="F376" s="32" t="n"/>
      <c r="G376" s="32" t="n"/>
      <c r="H376" s="39">
        <f>IF(C376="","",IFERROR(INDEX('Animais'!$M$6:$M$1005,MATCH(C376,'Animais'!$A$6:$A$1005,0)),"Brinco não cadastrado"))</f>
        <v/>
      </c>
      <c r="I376" s="34">
        <f>IF(A376="","",YEAR(A376))</f>
        <v/>
      </c>
      <c r="J376" s="45">
        <f>IF(OR(N(D376)=0,N(E376)=0),"",IFERROR(E376/D376,""))</f>
        <v/>
      </c>
    </row>
    <row r="377">
      <c r="A377" s="31" t="n"/>
      <c r="B377" s="37" t="n"/>
      <c r="C377" s="36" t="n"/>
      <c r="D377" s="38" t="n"/>
      <c r="E377" s="44" t="n"/>
      <c r="F377" s="32" t="n"/>
      <c r="G377" s="32" t="n"/>
      <c r="H377" s="39">
        <f>IF(C377="","",IFERROR(INDEX('Animais'!$M$6:$M$1005,MATCH(C377,'Animais'!$A$6:$A$1005,0)),"Brinco não cadastrado"))</f>
        <v/>
      </c>
      <c r="I377" s="34">
        <f>IF(A377="","",YEAR(A377))</f>
        <v/>
      </c>
      <c r="J377" s="45">
        <f>IF(OR(N(D377)=0,N(E377)=0),"",IFERROR(E377/D377,""))</f>
        <v/>
      </c>
    </row>
    <row r="378">
      <c r="A378" s="31" t="n"/>
      <c r="B378" s="37" t="n"/>
      <c r="C378" s="36" t="n"/>
      <c r="D378" s="38" t="n"/>
      <c r="E378" s="44" t="n"/>
      <c r="F378" s="32" t="n"/>
      <c r="G378" s="32" t="n"/>
      <c r="H378" s="39">
        <f>IF(C378="","",IFERROR(INDEX('Animais'!$M$6:$M$1005,MATCH(C378,'Animais'!$A$6:$A$1005,0)),"Brinco não cadastrado"))</f>
        <v/>
      </c>
      <c r="I378" s="34">
        <f>IF(A378="","",YEAR(A378))</f>
        <v/>
      </c>
      <c r="J378" s="45">
        <f>IF(OR(N(D378)=0,N(E378)=0),"",IFERROR(E378/D378,""))</f>
        <v/>
      </c>
    </row>
    <row r="379">
      <c r="A379" s="31" t="n"/>
      <c r="B379" s="37" t="n"/>
      <c r="C379" s="36" t="n"/>
      <c r="D379" s="38" t="n"/>
      <c r="E379" s="44" t="n"/>
      <c r="F379" s="32" t="n"/>
      <c r="G379" s="32" t="n"/>
      <c r="H379" s="39">
        <f>IF(C379="","",IFERROR(INDEX('Animais'!$M$6:$M$1005,MATCH(C379,'Animais'!$A$6:$A$1005,0)),"Brinco não cadastrado"))</f>
        <v/>
      </c>
      <c r="I379" s="34">
        <f>IF(A379="","",YEAR(A379))</f>
        <v/>
      </c>
      <c r="J379" s="45">
        <f>IF(OR(N(D379)=0,N(E379)=0),"",IFERROR(E379/D379,""))</f>
        <v/>
      </c>
    </row>
    <row r="380">
      <c r="A380" s="31" t="n"/>
      <c r="B380" s="37" t="n"/>
      <c r="C380" s="36" t="n"/>
      <c r="D380" s="38" t="n"/>
      <c r="E380" s="44" t="n"/>
      <c r="F380" s="32" t="n"/>
      <c r="G380" s="32" t="n"/>
      <c r="H380" s="39">
        <f>IF(C380="","",IFERROR(INDEX('Animais'!$M$6:$M$1005,MATCH(C380,'Animais'!$A$6:$A$1005,0)),"Brinco não cadastrado"))</f>
        <v/>
      </c>
      <c r="I380" s="34">
        <f>IF(A380="","",YEAR(A380))</f>
        <v/>
      </c>
      <c r="J380" s="45">
        <f>IF(OR(N(D380)=0,N(E380)=0),"",IFERROR(E380/D380,""))</f>
        <v/>
      </c>
    </row>
    <row r="381">
      <c r="A381" s="31" t="n"/>
      <c r="B381" s="37" t="n"/>
      <c r="C381" s="36" t="n"/>
      <c r="D381" s="38" t="n"/>
      <c r="E381" s="44" t="n"/>
      <c r="F381" s="32" t="n"/>
      <c r="G381" s="32" t="n"/>
      <c r="H381" s="39">
        <f>IF(C381="","",IFERROR(INDEX('Animais'!$M$6:$M$1005,MATCH(C381,'Animais'!$A$6:$A$1005,0)),"Brinco não cadastrado"))</f>
        <v/>
      </c>
      <c r="I381" s="34">
        <f>IF(A381="","",YEAR(A381))</f>
        <v/>
      </c>
      <c r="J381" s="45">
        <f>IF(OR(N(D381)=0,N(E381)=0),"",IFERROR(E381/D381,""))</f>
        <v/>
      </c>
    </row>
    <row r="382">
      <c r="A382" s="31" t="n"/>
      <c r="B382" s="37" t="n"/>
      <c r="C382" s="36" t="n"/>
      <c r="D382" s="38" t="n"/>
      <c r="E382" s="44" t="n"/>
      <c r="F382" s="32" t="n"/>
      <c r="G382" s="32" t="n"/>
      <c r="H382" s="39">
        <f>IF(C382="","",IFERROR(INDEX('Animais'!$M$6:$M$1005,MATCH(C382,'Animais'!$A$6:$A$1005,0)),"Brinco não cadastrado"))</f>
        <v/>
      </c>
      <c r="I382" s="34">
        <f>IF(A382="","",YEAR(A382))</f>
        <v/>
      </c>
      <c r="J382" s="45">
        <f>IF(OR(N(D382)=0,N(E382)=0),"",IFERROR(E382/D382,""))</f>
        <v/>
      </c>
    </row>
    <row r="383">
      <c r="A383" s="31" t="n"/>
      <c r="B383" s="37" t="n"/>
      <c r="C383" s="36" t="n"/>
      <c r="D383" s="38" t="n"/>
      <c r="E383" s="44" t="n"/>
      <c r="F383" s="32" t="n"/>
      <c r="G383" s="32" t="n"/>
      <c r="H383" s="39">
        <f>IF(C383="","",IFERROR(INDEX('Animais'!$M$6:$M$1005,MATCH(C383,'Animais'!$A$6:$A$1005,0)),"Brinco não cadastrado"))</f>
        <v/>
      </c>
      <c r="I383" s="34">
        <f>IF(A383="","",YEAR(A383))</f>
        <v/>
      </c>
      <c r="J383" s="45">
        <f>IF(OR(N(D383)=0,N(E383)=0),"",IFERROR(E383/D383,""))</f>
        <v/>
      </c>
    </row>
    <row r="384">
      <c r="A384" s="31" t="n"/>
      <c r="B384" s="37" t="n"/>
      <c r="C384" s="36" t="n"/>
      <c r="D384" s="38" t="n"/>
      <c r="E384" s="44" t="n"/>
      <c r="F384" s="32" t="n"/>
      <c r="G384" s="32" t="n"/>
      <c r="H384" s="39">
        <f>IF(C384="","",IFERROR(INDEX('Animais'!$M$6:$M$1005,MATCH(C384,'Animais'!$A$6:$A$1005,0)),"Brinco não cadastrado"))</f>
        <v/>
      </c>
      <c r="I384" s="34">
        <f>IF(A384="","",YEAR(A384))</f>
        <v/>
      </c>
      <c r="J384" s="45">
        <f>IF(OR(N(D384)=0,N(E384)=0),"",IFERROR(E384/D384,""))</f>
        <v/>
      </c>
    </row>
    <row r="385">
      <c r="A385" s="31" t="n"/>
      <c r="B385" s="37" t="n"/>
      <c r="C385" s="36" t="n"/>
      <c r="D385" s="38" t="n"/>
      <c r="E385" s="44" t="n"/>
      <c r="F385" s="32" t="n"/>
      <c r="G385" s="32" t="n"/>
      <c r="H385" s="39">
        <f>IF(C385="","",IFERROR(INDEX('Animais'!$M$6:$M$1005,MATCH(C385,'Animais'!$A$6:$A$1005,0)),"Brinco não cadastrado"))</f>
        <v/>
      </c>
      <c r="I385" s="34">
        <f>IF(A385="","",YEAR(A385))</f>
        <v/>
      </c>
      <c r="J385" s="45">
        <f>IF(OR(N(D385)=0,N(E385)=0),"",IFERROR(E385/D385,""))</f>
        <v/>
      </c>
    </row>
    <row r="386">
      <c r="A386" s="31" t="n"/>
      <c r="B386" s="37" t="n"/>
      <c r="C386" s="36" t="n"/>
      <c r="D386" s="38" t="n"/>
      <c r="E386" s="44" t="n"/>
      <c r="F386" s="32" t="n"/>
      <c r="G386" s="32" t="n"/>
      <c r="H386" s="39">
        <f>IF(C386="","",IFERROR(INDEX('Animais'!$M$6:$M$1005,MATCH(C386,'Animais'!$A$6:$A$1005,0)),"Brinco não cadastrado"))</f>
        <v/>
      </c>
      <c r="I386" s="34">
        <f>IF(A386="","",YEAR(A386))</f>
        <v/>
      </c>
      <c r="J386" s="45">
        <f>IF(OR(N(D386)=0,N(E386)=0),"",IFERROR(E386/D386,""))</f>
        <v/>
      </c>
    </row>
    <row r="387">
      <c r="A387" s="31" t="n"/>
      <c r="B387" s="37" t="n"/>
      <c r="C387" s="36" t="n"/>
      <c r="D387" s="38" t="n"/>
      <c r="E387" s="44" t="n"/>
      <c r="F387" s="32" t="n"/>
      <c r="G387" s="32" t="n"/>
      <c r="H387" s="39">
        <f>IF(C387="","",IFERROR(INDEX('Animais'!$M$6:$M$1005,MATCH(C387,'Animais'!$A$6:$A$1005,0)),"Brinco não cadastrado"))</f>
        <v/>
      </c>
      <c r="I387" s="34">
        <f>IF(A387="","",YEAR(A387))</f>
        <v/>
      </c>
      <c r="J387" s="45">
        <f>IF(OR(N(D387)=0,N(E387)=0),"",IFERROR(E387/D387,""))</f>
        <v/>
      </c>
    </row>
    <row r="388">
      <c r="A388" s="31" t="n"/>
      <c r="B388" s="37" t="n"/>
      <c r="C388" s="36" t="n"/>
      <c r="D388" s="38" t="n"/>
      <c r="E388" s="44" t="n"/>
      <c r="F388" s="32" t="n"/>
      <c r="G388" s="32" t="n"/>
      <c r="H388" s="39">
        <f>IF(C388="","",IFERROR(INDEX('Animais'!$M$6:$M$1005,MATCH(C388,'Animais'!$A$6:$A$1005,0)),"Brinco não cadastrado"))</f>
        <v/>
      </c>
      <c r="I388" s="34">
        <f>IF(A388="","",YEAR(A388))</f>
        <v/>
      </c>
      <c r="J388" s="45">
        <f>IF(OR(N(D388)=0,N(E388)=0),"",IFERROR(E388/D388,""))</f>
        <v/>
      </c>
    </row>
    <row r="389">
      <c r="A389" s="31" t="n"/>
      <c r="B389" s="37" t="n"/>
      <c r="C389" s="36" t="n"/>
      <c r="D389" s="38" t="n"/>
      <c r="E389" s="44" t="n"/>
      <c r="F389" s="32" t="n"/>
      <c r="G389" s="32" t="n"/>
      <c r="H389" s="39">
        <f>IF(C389="","",IFERROR(INDEX('Animais'!$M$6:$M$1005,MATCH(C389,'Animais'!$A$6:$A$1005,0)),"Brinco não cadastrado"))</f>
        <v/>
      </c>
      <c r="I389" s="34">
        <f>IF(A389="","",YEAR(A389))</f>
        <v/>
      </c>
      <c r="J389" s="45">
        <f>IF(OR(N(D389)=0,N(E389)=0),"",IFERROR(E389/D389,""))</f>
        <v/>
      </c>
    </row>
    <row r="390">
      <c r="A390" s="31" t="n"/>
      <c r="B390" s="37" t="n"/>
      <c r="C390" s="36" t="n"/>
      <c r="D390" s="38" t="n"/>
      <c r="E390" s="44" t="n"/>
      <c r="F390" s="32" t="n"/>
      <c r="G390" s="32" t="n"/>
      <c r="H390" s="39">
        <f>IF(C390="","",IFERROR(INDEX('Animais'!$M$6:$M$1005,MATCH(C390,'Animais'!$A$6:$A$1005,0)),"Brinco não cadastrado"))</f>
        <v/>
      </c>
      <c r="I390" s="34">
        <f>IF(A390="","",YEAR(A390))</f>
        <v/>
      </c>
      <c r="J390" s="45">
        <f>IF(OR(N(D390)=0,N(E390)=0),"",IFERROR(E390/D390,""))</f>
        <v/>
      </c>
    </row>
    <row r="391">
      <c r="A391" s="31" t="n"/>
      <c r="B391" s="37" t="n"/>
      <c r="C391" s="36" t="n"/>
      <c r="D391" s="38" t="n"/>
      <c r="E391" s="44" t="n"/>
      <c r="F391" s="32" t="n"/>
      <c r="G391" s="32" t="n"/>
      <c r="H391" s="39">
        <f>IF(C391="","",IFERROR(INDEX('Animais'!$M$6:$M$1005,MATCH(C391,'Animais'!$A$6:$A$1005,0)),"Brinco não cadastrado"))</f>
        <v/>
      </c>
      <c r="I391" s="34">
        <f>IF(A391="","",YEAR(A391))</f>
        <v/>
      </c>
      <c r="J391" s="45">
        <f>IF(OR(N(D391)=0,N(E391)=0),"",IFERROR(E391/D391,""))</f>
        <v/>
      </c>
    </row>
    <row r="392">
      <c r="A392" s="31" t="n"/>
      <c r="B392" s="37" t="n"/>
      <c r="C392" s="36" t="n"/>
      <c r="D392" s="38" t="n"/>
      <c r="E392" s="44" t="n"/>
      <c r="F392" s="32" t="n"/>
      <c r="G392" s="32" t="n"/>
      <c r="H392" s="39">
        <f>IF(C392="","",IFERROR(INDEX('Animais'!$M$6:$M$1005,MATCH(C392,'Animais'!$A$6:$A$1005,0)),"Brinco não cadastrado"))</f>
        <v/>
      </c>
      <c r="I392" s="34">
        <f>IF(A392="","",YEAR(A392))</f>
        <v/>
      </c>
      <c r="J392" s="45">
        <f>IF(OR(N(D392)=0,N(E392)=0),"",IFERROR(E392/D392,""))</f>
        <v/>
      </c>
    </row>
    <row r="393">
      <c r="A393" s="31" t="n"/>
      <c r="B393" s="37" t="n"/>
      <c r="C393" s="36" t="n"/>
      <c r="D393" s="38" t="n"/>
      <c r="E393" s="44" t="n"/>
      <c r="F393" s="32" t="n"/>
      <c r="G393" s="32" t="n"/>
      <c r="H393" s="39">
        <f>IF(C393="","",IFERROR(INDEX('Animais'!$M$6:$M$1005,MATCH(C393,'Animais'!$A$6:$A$1005,0)),"Brinco não cadastrado"))</f>
        <v/>
      </c>
      <c r="I393" s="34">
        <f>IF(A393="","",YEAR(A393))</f>
        <v/>
      </c>
      <c r="J393" s="45">
        <f>IF(OR(N(D393)=0,N(E393)=0),"",IFERROR(E393/D393,""))</f>
        <v/>
      </c>
    </row>
    <row r="394">
      <c r="A394" s="31" t="n"/>
      <c r="B394" s="37" t="n"/>
      <c r="C394" s="36" t="n"/>
      <c r="D394" s="38" t="n"/>
      <c r="E394" s="44" t="n"/>
      <c r="F394" s="32" t="n"/>
      <c r="G394" s="32" t="n"/>
      <c r="H394" s="39">
        <f>IF(C394="","",IFERROR(INDEX('Animais'!$M$6:$M$1005,MATCH(C394,'Animais'!$A$6:$A$1005,0)),"Brinco não cadastrado"))</f>
        <v/>
      </c>
      <c r="I394" s="34">
        <f>IF(A394="","",YEAR(A394))</f>
        <v/>
      </c>
      <c r="J394" s="45">
        <f>IF(OR(N(D394)=0,N(E394)=0),"",IFERROR(E394/D394,""))</f>
        <v/>
      </c>
    </row>
    <row r="395">
      <c r="A395" s="31" t="n"/>
      <c r="B395" s="37" t="n"/>
      <c r="C395" s="36" t="n"/>
      <c r="D395" s="38" t="n"/>
      <c r="E395" s="44" t="n"/>
      <c r="F395" s="32" t="n"/>
      <c r="G395" s="32" t="n"/>
      <c r="H395" s="39">
        <f>IF(C395="","",IFERROR(INDEX('Animais'!$M$6:$M$1005,MATCH(C395,'Animais'!$A$6:$A$1005,0)),"Brinco não cadastrado"))</f>
        <v/>
      </c>
      <c r="I395" s="34">
        <f>IF(A395="","",YEAR(A395))</f>
        <v/>
      </c>
      <c r="J395" s="45">
        <f>IF(OR(N(D395)=0,N(E395)=0),"",IFERROR(E395/D395,""))</f>
        <v/>
      </c>
    </row>
    <row r="396">
      <c r="A396" s="31" t="n"/>
      <c r="B396" s="37" t="n"/>
      <c r="C396" s="36" t="n"/>
      <c r="D396" s="38" t="n"/>
      <c r="E396" s="44" t="n"/>
      <c r="F396" s="32" t="n"/>
      <c r="G396" s="32" t="n"/>
      <c r="H396" s="39">
        <f>IF(C396="","",IFERROR(INDEX('Animais'!$M$6:$M$1005,MATCH(C396,'Animais'!$A$6:$A$1005,0)),"Brinco não cadastrado"))</f>
        <v/>
      </c>
      <c r="I396" s="34">
        <f>IF(A396="","",YEAR(A396))</f>
        <v/>
      </c>
      <c r="J396" s="45">
        <f>IF(OR(N(D396)=0,N(E396)=0),"",IFERROR(E396/D396,""))</f>
        <v/>
      </c>
    </row>
    <row r="397">
      <c r="A397" s="31" t="n"/>
      <c r="B397" s="37" t="n"/>
      <c r="C397" s="36" t="n"/>
      <c r="D397" s="38" t="n"/>
      <c r="E397" s="44" t="n"/>
      <c r="F397" s="32" t="n"/>
      <c r="G397" s="32" t="n"/>
      <c r="H397" s="39">
        <f>IF(C397="","",IFERROR(INDEX('Animais'!$M$6:$M$1005,MATCH(C397,'Animais'!$A$6:$A$1005,0)),"Brinco não cadastrado"))</f>
        <v/>
      </c>
      <c r="I397" s="34">
        <f>IF(A397="","",YEAR(A397))</f>
        <v/>
      </c>
      <c r="J397" s="45">
        <f>IF(OR(N(D397)=0,N(E397)=0),"",IFERROR(E397/D397,""))</f>
        <v/>
      </c>
    </row>
    <row r="398">
      <c r="A398" s="31" t="n"/>
      <c r="B398" s="37" t="n"/>
      <c r="C398" s="36" t="n"/>
      <c r="D398" s="38" t="n"/>
      <c r="E398" s="44" t="n"/>
      <c r="F398" s="32" t="n"/>
      <c r="G398" s="32" t="n"/>
      <c r="H398" s="39">
        <f>IF(C398="","",IFERROR(INDEX('Animais'!$M$6:$M$1005,MATCH(C398,'Animais'!$A$6:$A$1005,0)),"Brinco não cadastrado"))</f>
        <v/>
      </c>
      <c r="I398" s="34">
        <f>IF(A398="","",YEAR(A398))</f>
        <v/>
      </c>
      <c r="J398" s="45">
        <f>IF(OR(N(D398)=0,N(E398)=0),"",IFERROR(E398/D398,""))</f>
        <v/>
      </c>
    </row>
    <row r="399">
      <c r="A399" s="31" t="n"/>
      <c r="B399" s="37" t="n"/>
      <c r="C399" s="36" t="n"/>
      <c r="D399" s="38" t="n"/>
      <c r="E399" s="44" t="n"/>
      <c r="F399" s="32" t="n"/>
      <c r="G399" s="32" t="n"/>
      <c r="H399" s="39">
        <f>IF(C399="","",IFERROR(INDEX('Animais'!$M$6:$M$1005,MATCH(C399,'Animais'!$A$6:$A$1005,0)),"Brinco não cadastrado"))</f>
        <v/>
      </c>
      <c r="I399" s="34">
        <f>IF(A399="","",YEAR(A399))</f>
        <v/>
      </c>
      <c r="J399" s="45">
        <f>IF(OR(N(D399)=0,N(E399)=0),"",IFERROR(E399/D399,""))</f>
        <v/>
      </c>
    </row>
    <row r="400">
      <c r="A400" s="31" t="n"/>
      <c r="B400" s="37" t="n"/>
      <c r="C400" s="36" t="n"/>
      <c r="D400" s="38" t="n"/>
      <c r="E400" s="44" t="n"/>
      <c r="F400" s="32" t="n"/>
      <c r="G400" s="32" t="n"/>
      <c r="H400" s="39">
        <f>IF(C400="","",IFERROR(INDEX('Animais'!$M$6:$M$1005,MATCH(C400,'Animais'!$A$6:$A$1005,0)),"Brinco não cadastrado"))</f>
        <v/>
      </c>
      <c r="I400" s="34">
        <f>IF(A400="","",YEAR(A400))</f>
        <v/>
      </c>
      <c r="J400" s="45">
        <f>IF(OR(N(D400)=0,N(E400)=0),"",IFERROR(E400/D400,""))</f>
        <v/>
      </c>
    </row>
    <row r="401">
      <c r="A401" s="31" t="n"/>
      <c r="B401" s="37" t="n"/>
      <c r="C401" s="36" t="n"/>
      <c r="D401" s="38" t="n"/>
      <c r="E401" s="44" t="n"/>
      <c r="F401" s="32" t="n"/>
      <c r="G401" s="32" t="n"/>
      <c r="H401" s="39">
        <f>IF(C401="","",IFERROR(INDEX('Animais'!$M$6:$M$1005,MATCH(C401,'Animais'!$A$6:$A$1005,0)),"Brinco não cadastrado"))</f>
        <v/>
      </c>
      <c r="I401" s="34">
        <f>IF(A401="","",YEAR(A401))</f>
        <v/>
      </c>
      <c r="J401" s="45">
        <f>IF(OR(N(D401)=0,N(E401)=0),"",IFERROR(E401/D401,""))</f>
        <v/>
      </c>
    </row>
    <row r="402">
      <c r="A402" s="31" t="n"/>
      <c r="B402" s="37" t="n"/>
      <c r="C402" s="36" t="n"/>
      <c r="D402" s="38" t="n"/>
      <c r="E402" s="44" t="n"/>
      <c r="F402" s="32" t="n"/>
      <c r="G402" s="32" t="n"/>
      <c r="H402" s="39">
        <f>IF(C402="","",IFERROR(INDEX('Animais'!$M$6:$M$1005,MATCH(C402,'Animais'!$A$6:$A$1005,0)),"Brinco não cadastrado"))</f>
        <v/>
      </c>
      <c r="I402" s="34">
        <f>IF(A402="","",YEAR(A402))</f>
        <v/>
      </c>
      <c r="J402" s="45">
        <f>IF(OR(N(D402)=0,N(E402)=0),"",IFERROR(E402/D402,""))</f>
        <v/>
      </c>
    </row>
    <row r="403">
      <c r="A403" s="31" t="n"/>
      <c r="B403" s="37" t="n"/>
      <c r="C403" s="36" t="n"/>
      <c r="D403" s="38" t="n"/>
      <c r="E403" s="44" t="n"/>
      <c r="F403" s="32" t="n"/>
      <c r="G403" s="32" t="n"/>
      <c r="H403" s="39">
        <f>IF(C403="","",IFERROR(INDEX('Animais'!$M$6:$M$1005,MATCH(C403,'Animais'!$A$6:$A$1005,0)),"Brinco não cadastrado"))</f>
        <v/>
      </c>
      <c r="I403" s="34">
        <f>IF(A403="","",YEAR(A403))</f>
        <v/>
      </c>
      <c r="J403" s="45">
        <f>IF(OR(N(D403)=0,N(E403)=0),"",IFERROR(E403/D403,""))</f>
        <v/>
      </c>
    </row>
    <row r="404">
      <c r="A404" s="31" t="n"/>
      <c r="B404" s="37" t="n"/>
      <c r="C404" s="36" t="n"/>
      <c r="D404" s="38" t="n"/>
      <c r="E404" s="44" t="n"/>
      <c r="F404" s="32" t="n"/>
      <c r="G404" s="32" t="n"/>
      <c r="H404" s="39">
        <f>IF(C404="","",IFERROR(INDEX('Animais'!$M$6:$M$1005,MATCH(C404,'Animais'!$A$6:$A$1005,0)),"Brinco não cadastrado"))</f>
        <v/>
      </c>
      <c r="I404" s="34">
        <f>IF(A404="","",YEAR(A404))</f>
        <v/>
      </c>
      <c r="J404" s="45">
        <f>IF(OR(N(D404)=0,N(E404)=0),"",IFERROR(E404/D404,""))</f>
        <v/>
      </c>
    </row>
    <row r="405">
      <c r="A405" s="31" t="n"/>
      <c r="B405" s="37" t="n"/>
      <c r="C405" s="36" t="n"/>
      <c r="D405" s="38" t="n"/>
      <c r="E405" s="44" t="n"/>
      <c r="F405" s="32" t="n"/>
      <c r="G405" s="32" t="n"/>
      <c r="H405" s="39">
        <f>IF(C405="","",IFERROR(INDEX('Animais'!$M$6:$M$1005,MATCH(C405,'Animais'!$A$6:$A$1005,0)),"Brinco não cadastrado"))</f>
        <v/>
      </c>
      <c r="I405" s="34">
        <f>IF(A405="","",YEAR(A405))</f>
        <v/>
      </c>
      <c r="J405" s="45">
        <f>IF(OR(N(D405)=0,N(E405)=0),"",IFERROR(E405/D405,""))</f>
        <v/>
      </c>
    </row>
    <row r="406">
      <c r="A406" s="31" t="n"/>
      <c r="B406" s="37" t="n"/>
      <c r="C406" s="36" t="n"/>
      <c r="D406" s="38" t="n"/>
      <c r="E406" s="44" t="n"/>
      <c r="F406" s="32" t="n"/>
      <c r="G406" s="32" t="n"/>
      <c r="H406" s="39">
        <f>IF(C406="","",IFERROR(INDEX('Animais'!$M$6:$M$1005,MATCH(C406,'Animais'!$A$6:$A$1005,0)),"Brinco não cadastrado"))</f>
        <v/>
      </c>
      <c r="I406" s="34">
        <f>IF(A406="","",YEAR(A406))</f>
        <v/>
      </c>
      <c r="J406" s="45">
        <f>IF(OR(N(D406)=0,N(E406)=0),"",IFERROR(E406/D406,""))</f>
        <v/>
      </c>
    </row>
    <row r="407">
      <c r="A407" s="31" t="n"/>
      <c r="B407" s="37" t="n"/>
      <c r="C407" s="36" t="n"/>
      <c r="D407" s="38" t="n"/>
      <c r="E407" s="44" t="n"/>
      <c r="F407" s="32" t="n"/>
      <c r="G407" s="32" t="n"/>
      <c r="H407" s="39">
        <f>IF(C407="","",IFERROR(INDEX('Animais'!$M$6:$M$1005,MATCH(C407,'Animais'!$A$6:$A$1005,0)),"Brinco não cadastrado"))</f>
        <v/>
      </c>
      <c r="I407" s="34">
        <f>IF(A407="","",YEAR(A407))</f>
        <v/>
      </c>
      <c r="J407" s="45">
        <f>IF(OR(N(D407)=0,N(E407)=0),"",IFERROR(E407/D407,""))</f>
        <v/>
      </c>
    </row>
    <row r="408">
      <c r="A408" s="31" t="n"/>
      <c r="B408" s="37" t="n"/>
      <c r="C408" s="36" t="n"/>
      <c r="D408" s="38" t="n"/>
      <c r="E408" s="44" t="n"/>
      <c r="F408" s="32" t="n"/>
      <c r="G408" s="32" t="n"/>
      <c r="H408" s="39">
        <f>IF(C408="","",IFERROR(INDEX('Animais'!$M$6:$M$1005,MATCH(C408,'Animais'!$A$6:$A$1005,0)),"Brinco não cadastrado"))</f>
        <v/>
      </c>
      <c r="I408" s="34">
        <f>IF(A408="","",YEAR(A408))</f>
        <v/>
      </c>
      <c r="J408" s="45">
        <f>IF(OR(N(D408)=0,N(E408)=0),"",IFERROR(E408/D408,""))</f>
        <v/>
      </c>
    </row>
    <row r="409">
      <c r="A409" s="31" t="n"/>
      <c r="B409" s="37" t="n"/>
      <c r="C409" s="36" t="n"/>
      <c r="D409" s="38" t="n"/>
      <c r="E409" s="44" t="n"/>
      <c r="F409" s="32" t="n"/>
      <c r="G409" s="32" t="n"/>
      <c r="H409" s="39">
        <f>IF(C409="","",IFERROR(INDEX('Animais'!$M$6:$M$1005,MATCH(C409,'Animais'!$A$6:$A$1005,0)),"Brinco não cadastrado"))</f>
        <v/>
      </c>
      <c r="I409" s="34">
        <f>IF(A409="","",YEAR(A409))</f>
        <v/>
      </c>
      <c r="J409" s="45">
        <f>IF(OR(N(D409)=0,N(E409)=0),"",IFERROR(E409/D409,""))</f>
        <v/>
      </c>
    </row>
    <row r="410">
      <c r="A410" s="31" t="n"/>
      <c r="B410" s="37" t="n"/>
      <c r="C410" s="36" t="n"/>
      <c r="D410" s="38" t="n"/>
      <c r="E410" s="44" t="n"/>
      <c r="F410" s="32" t="n"/>
      <c r="G410" s="32" t="n"/>
      <c r="H410" s="39">
        <f>IF(C410="","",IFERROR(INDEX('Animais'!$M$6:$M$1005,MATCH(C410,'Animais'!$A$6:$A$1005,0)),"Brinco não cadastrado"))</f>
        <v/>
      </c>
      <c r="I410" s="34">
        <f>IF(A410="","",YEAR(A410))</f>
        <v/>
      </c>
      <c r="J410" s="45">
        <f>IF(OR(N(D410)=0,N(E410)=0),"",IFERROR(E410/D410,""))</f>
        <v/>
      </c>
    </row>
    <row r="411">
      <c r="A411" s="31" t="n"/>
      <c r="B411" s="37" t="n"/>
      <c r="C411" s="36" t="n"/>
      <c r="D411" s="38" t="n"/>
      <c r="E411" s="44" t="n"/>
      <c r="F411" s="32" t="n"/>
      <c r="G411" s="32" t="n"/>
      <c r="H411" s="39">
        <f>IF(C411="","",IFERROR(INDEX('Animais'!$M$6:$M$1005,MATCH(C411,'Animais'!$A$6:$A$1005,0)),"Brinco não cadastrado"))</f>
        <v/>
      </c>
      <c r="I411" s="34">
        <f>IF(A411="","",YEAR(A411))</f>
        <v/>
      </c>
      <c r="J411" s="45">
        <f>IF(OR(N(D411)=0,N(E411)=0),"",IFERROR(E411/D411,""))</f>
        <v/>
      </c>
    </row>
    <row r="412">
      <c r="A412" s="31" t="n"/>
      <c r="B412" s="37" t="n"/>
      <c r="C412" s="36" t="n"/>
      <c r="D412" s="38" t="n"/>
      <c r="E412" s="44" t="n"/>
      <c r="F412" s="32" t="n"/>
      <c r="G412" s="32" t="n"/>
      <c r="H412" s="39">
        <f>IF(C412="","",IFERROR(INDEX('Animais'!$M$6:$M$1005,MATCH(C412,'Animais'!$A$6:$A$1005,0)),"Brinco não cadastrado"))</f>
        <v/>
      </c>
      <c r="I412" s="34">
        <f>IF(A412="","",YEAR(A412))</f>
        <v/>
      </c>
      <c r="J412" s="45">
        <f>IF(OR(N(D412)=0,N(E412)=0),"",IFERROR(E412/D412,""))</f>
        <v/>
      </c>
    </row>
    <row r="413">
      <c r="A413" s="31" t="n"/>
      <c r="B413" s="37" t="n"/>
      <c r="C413" s="36" t="n"/>
      <c r="D413" s="38" t="n"/>
      <c r="E413" s="44" t="n"/>
      <c r="F413" s="32" t="n"/>
      <c r="G413" s="32" t="n"/>
      <c r="H413" s="39">
        <f>IF(C413="","",IFERROR(INDEX('Animais'!$M$6:$M$1005,MATCH(C413,'Animais'!$A$6:$A$1005,0)),"Brinco não cadastrado"))</f>
        <v/>
      </c>
      <c r="I413" s="34">
        <f>IF(A413="","",YEAR(A413))</f>
        <v/>
      </c>
      <c r="J413" s="45">
        <f>IF(OR(N(D413)=0,N(E413)=0),"",IFERROR(E413/D413,""))</f>
        <v/>
      </c>
    </row>
    <row r="414">
      <c r="A414" s="31" t="n"/>
      <c r="B414" s="37" t="n"/>
      <c r="C414" s="36" t="n"/>
      <c r="D414" s="38" t="n"/>
      <c r="E414" s="44" t="n"/>
      <c r="F414" s="32" t="n"/>
      <c r="G414" s="32" t="n"/>
      <c r="H414" s="39">
        <f>IF(C414="","",IFERROR(INDEX('Animais'!$M$6:$M$1005,MATCH(C414,'Animais'!$A$6:$A$1005,0)),"Brinco não cadastrado"))</f>
        <v/>
      </c>
      <c r="I414" s="34">
        <f>IF(A414="","",YEAR(A414))</f>
        <v/>
      </c>
      <c r="J414" s="45">
        <f>IF(OR(N(D414)=0,N(E414)=0),"",IFERROR(E414/D414,""))</f>
        <v/>
      </c>
    </row>
    <row r="415">
      <c r="A415" s="31" t="n"/>
      <c r="B415" s="37" t="n"/>
      <c r="C415" s="36" t="n"/>
      <c r="D415" s="38" t="n"/>
      <c r="E415" s="44" t="n"/>
      <c r="F415" s="32" t="n"/>
      <c r="G415" s="32" t="n"/>
      <c r="H415" s="39">
        <f>IF(C415="","",IFERROR(INDEX('Animais'!$M$6:$M$1005,MATCH(C415,'Animais'!$A$6:$A$1005,0)),"Brinco não cadastrado"))</f>
        <v/>
      </c>
      <c r="I415" s="34">
        <f>IF(A415="","",YEAR(A415))</f>
        <v/>
      </c>
      <c r="J415" s="45">
        <f>IF(OR(N(D415)=0,N(E415)=0),"",IFERROR(E415/D415,""))</f>
        <v/>
      </c>
    </row>
    <row r="416">
      <c r="A416" s="31" t="n"/>
      <c r="B416" s="37" t="n"/>
      <c r="C416" s="36" t="n"/>
      <c r="D416" s="38" t="n"/>
      <c r="E416" s="44" t="n"/>
      <c r="F416" s="32" t="n"/>
      <c r="G416" s="32" t="n"/>
      <c r="H416" s="39">
        <f>IF(C416="","",IFERROR(INDEX('Animais'!$M$6:$M$1005,MATCH(C416,'Animais'!$A$6:$A$1005,0)),"Brinco não cadastrado"))</f>
        <v/>
      </c>
      <c r="I416" s="34">
        <f>IF(A416="","",YEAR(A416))</f>
        <v/>
      </c>
      <c r="J416" s="45">
        <f>IF(OR(N(D416)=0,N(E416)=0),"",IFERROR(E416/D416,""))</f>
        <v/>
      </c>
    </row>
    <row r="417">
      <c r="A417" s="31" t="n"/>
      <c r="B417" s="37" t="n"/>
      <c r="C417" s="36" t="n"/>
      <c r="D417" s="38" t="n"/>
      <c r="E417" s="44" t="n"/>
      <c r="F417" s="32" t="n"/>
      <c r="G417" s="32" t="n"/>
      <c r="H417" s="39">
        <f>IF(C417="","",IFERROR(INDEX('Animais'!$M$6:$M$1005,MATCH(C417,'Animais'!$A$6:$A$1005,0)),"Brinco não cadastrado"))</f>
        <v/>
      </c>
      <c r="I417" s="34">
        <f>IF(A417="","",YEAR(A417))</f>
        <v/>
      </c>
      <c r="J417" s="45">
        <f>IF(OR(N(D417)=0,N(E417)=0),"",IFERROR(E417/D417,""))</f>
        <v/>
      </c>
    </row>
    <row r="418">
      <c r="A418" s="31" t="n"/>
      <c r="B418" s="37" t="n"/>
      <c r="C418" s="36" t="n"/>
      <c r="D418" s="38" t="n"/>
      <c r="E418" s="44" t="n"/>
      <c r="F418" s="32" t="n"/>
      <c r="G418" s="32" t="n"/>
      <c r="H418" s="39">
        <f>IF(C418="","",IFERROR(INDEX('Animais'!$M$6:$M$1005,MATCH(C418,'Animais'!$A$6:$A$1005,0)),"Brinco não cadastrado"))</f>
        <v/>
      </c>
      <c r="I418" s="34">
        <f>IF(A418="","",YEAR(A418))</f>
        <v/>
      </c>
      <c r="J418" s="45">
        <f>IF(OR(N(D418)=0,N(E418)=0),"",IFERROR(E418/D418,""))</f>
        <v/>
      </c>
    </row>
    <row r="419">
      <c r="A419" s="31" t="n"/>
      <c r="B419" s="37" t="n"/>
      <c r="C419" s="36" t="n"/>
      <c r="D419" s="38" t="n"/>
      <c r="E419" s="44" t="n"/>
      <c r="F419" s="32" t="n"/>
      <c r="G419" s="32" t="n"/>
      <c r="H419" s="39">
        <f>IF(C419="","",IFERROR(INDEX('Animais'!$M$6:$M$1005,MATCH(C419,'Animais'!$A$6:$A$1005,0)),"Brinco não cadastrado"))</f>
        <v/>
      </c>
      <c r="I419" s="34">
        <f>IF(A419="","",YEAR(A419))</f>
        <v/>
      </c>
      <c r="J419" s="45">
        <f>IF(OR(N(D419)=0,N(E419)=0),"",IFERROR(E419/D419,""))</f>
        <v/>
      </c>
    </row>
    <row r="420">
      <c r="A420" s="31" t="n"/>
      <c r="B420" s="37" t="n"/>
      <c r="C420" s="36" t="n"/>
      <c r="D420" s="38" t="n"/>
      <c r="E420" s="44" t="n"/>
      <c r="F420" s="32" t="n"/>
      <c r="G420" s="32" t="n"/>
      <c r="H420" s="39">
        <f>IF(C420="","",IFERROR(INDEX('Animais'!$M$6:$M$1005,MATCH(C420,'Animais'!$A$6:$A$1005,0)),"Brinco não cadastrado"))</f>
        <v/>
      </c>
      <c r="I420" s="34">
        <f>IF(A420="","",YEAR(A420))</f>
        <v/>
      </c>
      <c r="J420" s="45">
        <f>IF(OR(N(D420)=0,N(E420)=0),"",IFERROR(E420/D420,""))</f>
        <v/>
      </c>
    </row>
    <row r="421">
      <c r="A421" s="31" t="n"/>
      <c r="B421" s="37" t="n"/>
      <c r="C421" s="36" t="n"/>
      <c r="D421" s="38" t="n"/>
      <c r="E421" s="44" t="n"/>
      <c r="F421" s="32" t="n"/>
      <c r="G421" s="32" t="n"/>
      <c r="H421" s="39">
        <f>IF(C421="","",IFERROR(INDEX('Animais'!$M$6:$M$1005,MATCH(C421,'Animais'!$A$6:$A$1005,0)),"Brinco não cadastrado"))</f>
        <v/>
      </c>
      <c r="I421" s="34">
        <f>IF(A421="","",YEAR(A421))</f>
        <v/>
      </c>
      <c r="J421" s="45">
        <f>IF(OR(N(D421)=0,N(E421)=0),"",IFERROR(E421/D421,""))</f>
        <v/>
      </c>
    </row>
    <row r="422">
      <c r="A422" s="31" t="n"/>
      <c r="B422" s="37" t="n"/>
      <c r="C422" s="36" t="n"/>
      <c r="D422" s="38" t="n"/>
      <c r="E422" s="44" t="n"/>
      <c r="F422" s="32" t="n"/>
      <c r="G422" s="32" t="n"/>
      <c r="H422" s="39">
        <f>IF(C422="","",IFERROR(INDEX('Animais'!$M$6:$M$1005,MATCH(C422,'Animais'!$A$6:$A$1005,0)),"Brinco não cadastrado"))</f>
        <v/>
      </c>
      <c r="I422" s="34">
        <f>IF(A422="","",YEAR(A422))</f>
        <v/>
      </c>
      <c r="J422" s="45">
        <f>IF(OR(N(D422)=0,N(E422)=0),"",IFERROR(E422/D422,""))</f>
        <v/>
      </c>
    </row>
    <row r="423">
      <c r="A423" s="31" t="n"/>
      <c r="B423" s="37" t="n"/>
      <c r="C423" s="36" t="n"/>
      <c r="D423" s="38" t="n"/>
      <c r="E423" s="44" t="n"/>
      <c r="F423" s="32" t="n"/>
      <c r="G423" s="32" t="n"/>
      <c r="H423" s="39">
        <f>IF(C423="","",IFERROR(INDEX('Animais'!$M$6:$M$1005,MATCH(C423,'Animais'!$A$6:$A$1005,0)),"Brinco não cadastrado"))</f>
        <v/>
      </c>
      <c r="I423" s="34">
        <f>IF(A423="","",YEAR(A423))</f>
        <v/>
      </c>
      <c r="J423" s="45">
        <f>IF(OR(N(D423)=0,N(E423)=0),"",IFERROR(E423/D423,""))</f>
        <v/>
      </c>
    </row>
    <row r="424">
      <c r="A424" s="31" t="n"/>
      <c r="B424" s="37" t="n"/>
      <c r="C424" s="36" t="n"/>
      <c r="D424" s="38" t="n"/>
      <c r="E424" s="44" t="n"/>
      <c r="F424" s="32" t="n"/>
      <c r="G424" s="32" t="n"/>
      <c r="H424" s="39">
        <f>IF(C424="","",IFERROR(INDEX('Animais'!$M$6:$M$1005,MATCH(C424,'Animais'!$A$6:$A$1005,0)),"Brinco não cadastrado"))</f>
        <v/>
      </c>
      <c r="I424" s="34">
        <f>IF(A424="","",YEAR(A424))</f>
        <v/>
      </c>
      <c r="J424" s="45">
        <f>IF(OR(N(D424)=0,N(E424)=0),"",IFERROR(E424/D424,""))</f>
        <v/>
      </c>
    </row>
    <row r="425">
      <c r="A425" s="31" t="n"/>
      <c r="B425" s="37" t="n"/>
      <c r="C425" s="36" t="n"/>
      <c r="D425" s="38" t="n"/>
      <c r="E425" s="44" t="n"/>
      <c r="F425" s="32" t="n"/>
      <c r="G425" s="32" t="n"/>
      <c r="H425" s="39">
        <f>IF(C425="","",IFERROR(INDEX('Animais'!$M$6:$M$1005,MATCH(C425,'Animais'!$A$6:$A$1005,0)),"Brinco não cadastrado"))</f>
        <v/>
      </c>
      <c r="I425" s="34">
        <f>IF(A425="","",YEAR(A425))</f>
        <v/>
      </c>
      <c r="J425" s="45">
        <f>IF(OR(N(D425)=0,N(E425)=0),"",IFERROR(E425/D425,""))</f>
        <v/>
      </c>
    </row>
    <row r="426">
      <c r="A426" s="31" t="n"/>
      <c r="B426" s="37" t="n"/>
      <c r="C426" s="36" t="n"/>
      <c r="D426" s="38" t="n"/>
      <c r="E426" s="44" t="n"/>
      <c r="F426" s="32" t="n"/>
      <c r="G426" s="32" t="n"/>
      <c r="H426" s="39">
        <f>IF(C426="","",IFERROR(INDEX('Animais'!$M$6:$M$1005,MATCH(C426,'Animais'!$A$6:$A$1005,0)),"Brinco não cadastrado"))</f>
        <v/>
      </c>
      <c r="I426" s="34">
        <f>IF(A426="","",YEAR(A426))</f>
        <v/>
      </c>
      <c r="J426" s="45">
        <f>IF(OR(N(D426)=0,N(E426)=0),"",IFERROR(E426/D426,""))</f>
        <v/>
      </c>
    </row>
    <row r="427">
      <c r="A427" s="31" t="n"/>
      <c r="B427" s="37" t="n"/>
      <c r="C427" s="36" t="n"/>
      <c r="D427" s="38" t="n"/>
      <c r="E427" s="44" t="n"/>
      <c r="F427" s="32" t="n"/>
      <c r="G427" s="32" t="n"/>
      <c r="H427" s="39">
        <f>IF(C427="","",IFERROR(INDEX('Animais'!$M$6:$M$1005,MATCH(C427,'Animais'!$A$6:$A$1005,0)),"Brinco não cadastrado"))</f>
        <v/>
      </c>
      <c r="I427" s="34">
        <f>IF(A427="","",YEAR(A427))</f>
        <v/>
      </c>
      <c r="J427" s="45">
        <f>IF(OR(N(D427)=0,N(E427)=0),"",IFERROR(E427/D427,""))</f>
        <v/>
      </c>
    </row>
    <row r="428">
      <c r="A428" s="31" t="n"/>
      <c r="B428" s="37" t="n"/>
      <c r="C428" s="36" t="n"/>
      <c r="D428" s="38" t="n"/>
      <c r="E428" s="44" t="n"/>
      <c r="F428" s="32" t="n"/>
      <c r="G428" s="32" t="n"/>
      <c r="H428" s="39">
        <f>IF(C428="","",IFERROR(INDEX('Animais'!$M$6:$M$1005,MATCH(C428,'Animais'!$A$6:$A$1005,0)),"Brinco não cadastrado"))</f>
        <v/>
      </c>
      <c r="I428" s="34">
        <f>IF(A428="","",YEAR(A428))</f>
        <v/>
      </c>
      <c r="J428" s="45">
        <f>IF(OR(N(D428)=0,N(E428)=0),"",IFERROR(E428/D428,""))</f>
        <v/>
      </c>
    </row>
    <row r="429">
      <c r="A429" s="31" t="n"/>
      <c r="B429" s="37" t="n"/>
      <c r="C429" s="36" t="n"/>
      <c r="D429" s="38" t="n"/>
      <c r="E429" s="44" t="n"/>
      <c r="F429" s="32" t="n"/>
      <c r="G429" s="32" t="n"/>
      <c r="H429" s="39">
        <f>IF(C429="","",IFERROR(INDEX('Animais'!$M$6:$M$1005,MATCH(C429,'Animais'!$A$6:$A$1005,0)),"Brinco não cadastrado"))</f>
        <v/>
      </c>
      <c r="I429" s="34">
        <f>IF(A429="","",YEAR(A429))</f>
        <v/>
      </c>
      <c r="J429" s="45">
        <f>IF(OR(N(D429)=0,N(E429)=0),"",IFERROR(E429/D429,""))</f>
        <v/>
      </c>
    </row>
    <row r="430">
      <c r="A430" s="31" t="n"/>
      <c r="B430" s="37" t="n"/>
      <c r="C430" s="36" t="n"/>
      <c r="D430" s="38" t="n"/>
      <c r="E430" s="44" t="n"/>
      <c r="F430" s="32" t="n"/>
      <c r="G430" s="32" t="n"/>
      <c r="H430" s="39">
        <f>IF(C430="","",IFERROR(INDEX('Animais'!$M$6:$M$1005,MATCH(C430,'Animais'!$A$6:$A$1005,0)),"Brinco não cadastrado"))</f>
        <v/>
      </c>
      <c r="I430" s="34">
        <f>IF(A430="","",YEAR(A430))</f>
        <v/>
      </c>
      <c r="J430" s="45">
        <f>IF(OR(N(D430)=0,N(E430)=0),"",IFERROR(E430/D430,""))</f>
        <v/>
      </c>
    </row>
    <row r="431">
      <c r="A431" s="31" t="n"/>
      <c r="B431" s="37" t="n"/>
      <c r="C431" s="36" t="n"/>
      <c r="D431" s="38" t="n"/>
      <c r="E431" s="44" t="n"/>
      <c r="F431" s="32" t="n"/>
      <c r="G431" s="32" t="n"/>
      <c r="H431" s="39">
        <f>IF(C431="","",IFERROR(INDEX('Animais'!$M$6:$M$1005,MATCH(C431,'Animais'!$A$6:$A$1005,0)),"Brinco não cadastrado"))</f>
        <v/>
      </c>
      <c r="I431" s="34">
        <f>IF(A431="","",YEAR(A431))</f>
        <v/>
      </c>
      <c r="J431" s="45">
        <f>IF(OR(N(D431)=0,N(E431)=0),"",IFERROR(E431/D431,""))</f>
        <v/>
      </c>
    </row>
    <row r="432">
      <c r="A432" s="31" t="n"/>
      <c r="B432" s="37" t="n"/>
      <c r="C432" s="36" t="n"/>
      <c r="D432" s="38" t="n"/>
      <c r="E432" s="44" t="n"/>
      <c r="F432" s="32" t="n"/>
      <c r="G432" s="32" t="n"/>
      <c r="H432" s="39">
        <f>IF(C432="","",IFERROR(INDEX('Animais'!$M$6:$M$1005,MATCH(C432,'Animais'!$A$6:$A$1005,0)),"Brinco não cadastrado"))</f>
        <v/>
      </c>
      <c r="I432" s="34">
        <f>IF(A432="","",YEAR(A432))</f>
        <v/>
      </c>
      <c r="J432" s="45">
        <f>IF(OR(N(D432)=0,N(E432)=0),"",IFERROR(E432/D432,""))</f>
        <v/>
      </c>
    </row>
    <row r="433">
      <c r="A433" s="31" t="n"/>
      <c r="B433" s="37" t="n"/>
      <c r="C433" s="36" t="n"/>
      <c r="D433" s="38" t="n"/>
      <c r="E433" s="44" t="n"/>
      <c r="F433" s="32" t="n"/>
      <c r="G433" s="32" t="n"/>
      <c r="H433" s="39">
        <f>IF(C433="","",IFERROR(INDEX('Animais'!$M$6:$M$1005,MATCH(C433,'Animais'!$A$6:$A$1005,0)),"Brinco não cadastrado"))</f>
        <v/>
      </c>
      <c r="I433" s="34">
        <f>IF(A433="","",YEAR(A433))</f>
        <v/>
      </c>
      <c r="J433" s="45">
        <f>IF(OR(N(D433)=0,N(E433)=0),"",IFERROR(E433/D433,""))</f>
        <v/>
      </c>
    </row>
    <row r="434">
      <c r="A434" s="31" t="n"/>
      <c r="B434" s="37" t="n"/>
      <c r="C434" s="36" t="n"/>
      <c r="D434" s="38" t="n"/>
      <c r="E434" s="44" t="n"/>
      <c r="F434" s="32" t="n"/>
      <c r="G434" s="32" t="n"/>
      <c r="H434" s="39">
        <f>IF(C434="","",IFERROR(INDEX('Animais'!$M$6:$M$1005,MATCH(C434,'Animais'!$A$6:$A$1005,0)),"Brinco não cadastrado"))</f>
        <v/>
      </c>
      <c r="I434" s="34">
        <f>IF(A434="","",YEAR(A434))</f>
        <v/>
      </c>
      <c r="J434" s="45">
        <f>IF(OR(N(D434)=0,N(E434)=0),"",IFERROR(E434/D434,""))</f>
        <v/>
      </c>
    </row>
    <row r="435">
      <c r="A435" s="31" t="n"/>
      <c r="B435" s="37" t="n"/>
      <c r="C435" s="36" t="n"/>
      <c r="D435" s="38" t="n"/>
      <c r="E435" s="44" t="n"/>
      <c r="F435" s="32" t="n"/>
      <c r="G435" s="32" t="n"/>
      <c r="H435" s="39">
        <f>IF(C435="","",IFERROR(INDEX('Animais'!$M$6:$M$1005,MATCH(C435,'Animais'!$A$6:$A$1005,0)),"Brinco não cadastrado"))</f>
        <v/>
      </c>
      <c r="I435" s="34">
        <f>IF(A435="","",YEAR(A435))</f>
        <v/>
      </c>
      <c r="J435" s="45">
        <f>IF(OR(N(D435)=0,N(E435)=0),"",IFERROR(E435/D435,""))</f>
        <v/>
      </c>
    </row>
    <row r="436">
      <c r="A436" s="31" t="n"/>
      <c r="B436" s="37" t="n"/>
      <c r="C436" s="36" t="n"/>
      <c r="D436" s="38" t="n"/>
      <c r="E436" s="44" t="n"/>
      <c r="F436" s="32" t="n"/>
      <c r="G436" s="32" t="n"/>
      <c r="H436" s="39">
        <f>IF(C436="","",IFERROR(INDEX('Animais'!$M$6:$M$1005,MATCH(C436,'Animais'!$A$6:$A$1005,0)),"Brinco não cadastrado"))</f>
        <v/>
      </c>
      <c r="I436" s="34">
        <f>IF(A436="","",YEAR(A436))</f>
        <v/>
      </c>
      <c r="J436" s="45">
        <f>IF(OR(N(D436)=0,N(E436)=0),"",IFERROR(E436/D436,""))</f>
        <v/>
      </c>
    </row>
    <row r="437">
      <c r="A437" s="31" t="n"/>
      <c r="B437" s="37" t="n"/>
      <c r="C437" s="36" t="n"/>
      <c r="D437" s="38" t="n"/>
      <c r="E437" s="44" t="n"/>
      <c r="F437" s="32" t="n"/>
      <c r="G437" s="32" t="n"/>
      <c r="H437" s="39">
        <f>IF(C437="","",IFERROR(INDEX('Animais'!$M$6:$M$1005,MATCH(C437,'Animais'!$A$6:$A$1005,0)),"Brinco não cadastrado"))</f>
        <v/>
      </c>
      <c r="I437" s="34">
        <f>IF(A437="","",YEAR(A437))</f>
        <v/>
      </c>
      <c r="J437" s="45">
        <f>IF(OR(N(D437)=0,N(E437)=0),"",IFERROR(E437/D437,""))</f>
        <v/>
      </c>
    </row>
    <row r="438">
      <c r="A438" s="31" t="n"/>
      <c r="B438" s="37" t="n"/>
      <c r="C438" s="36" t="n"/>
      <c r="D438" s="38" t="n"/>
      <c r="E438" s="44" t="n"/>
      <c r="F438" s="32" t="n"/>
      <c r="G438" s="32" t="n"/>
      <c r="H438" s="39">
        <f>IF(C438="","",IFERROR(INDEX('Animais'!$M$6:$M$1005,MATCH(C438,'Animais'!$A$6:$A$1005,0)),"Brinco não cadastrado"))</f>
        <v/>
      </c>
      <c r="I438" s="34">
        <f>IF(A438="","",YEAR(A438))</f>
        <v/>
      </c>
      <c r="J438" s="45">
        <f>IF(OR(N(D438)=0,N(E438)=0),"",IFERROR(E438/D438,""))</f>
        <v/>
      </c>
    </row>
    <row r="439">
      <c r="A439" s="31" t="n"/>
      <c r="B439" s="37" t="n"/>
      <c r="C439" s="36" t="n"/>
      <c r="D439" s="38" t="n"/>
      <c r="E439" s="44" t="n"/>
      <c r="F439" s="32" t="n"/>
      <c r="G439" s="32" t="n"/>
      <c r="H439" s="39">
        <f>IF(C439="","",IFERROR(INDEX('Animais'!$M$6:$M$1005,MATCH(C439,'Animais'!$A$6:$A$1005,0)),"Brinco não cadastrado"))</f>
        <v/>
      </c>
      <c r="I439" s="34">
        <f>IF(A439="","",YEAR(A439))</f>
        <v/>
      </c>
      <c r="J439" s="45">
        <f>IF(OR(N(D439)=0,N(E439)=0),"",IFERROR(E439/D439,""))</f>
        <v/>
      </c>
    </row>
    <row r="440">
      <c r="A440" s="31" t="n"/>
      <c r="B440" s="37" t="n"/>
      <c r="C440" s="36" t="n"/>
      <c r="D440" s="38" t="n"/>
      <c r="E440" s="44" t="n"/>
      <c r="F440" s="32" t="n"/>
      <c r="G440" s="32" t="n"/>
      <c r="H440" s="39">
        <f>IF(C440="","",IFERROR(INDEX('Animais'!$M$6:$M$1005,MATCH(C440,'Animais'!$A$6:$A$1005,0)),"Brinco não cadastrado"))</f>
        <v/>
      </c>
      <c r="I440" s="34">
        <f>IF(A440="","",YEAR(A440))</f>
        <v/>
      </c>
      <c r="J440" s="45">
        <f>IF(OR(N(D440)=0,N(E440)=0),"",IFERROR(E440/D440,""))</f>
        <v/>
      </c>
    </row>
    <row r="441">
      <c r="A441" s="31" t="n"/>
      <c r="B441" s="37" t="n"/>
      <c r="C441" s="36" t="n"/>
      <c r="D441" s="38" t="n"/>
      <c r="E441" s="44" t="n"/>
      <c r="F441" s="32" t="n"/>
      <c r="G441" s="32" t="n"/>
      <c r="H441" s="39">
        <f>IF(C441="","",IFERROR(INDEX('Animais'!$M$6:$M$1005,MATCH(C441,'Animais'!$A$6:$A$1005,0)),"Brinco não cadastrado"))</f>
        <v/>
      </c>
      <c r="I441" s="34">
        <f>IF(A441="","",YEAR(A441))</f>
        <v/>
      </c>
      <c r="J441" s="45">
        <f>IF(OR(N(D441)=0,N(E441)=0),"",IFERROR(E441/D441,""))</f>
        <v/>
      </c>
    </row>
    <row r="442">
      <c r="A442" s="31" t="n"/>
      <c r="B442" s="37" t="n"/>
      <c r="C442" s="36" t="n"/>
      <c r="D442" s="38" t="n"/>
      <c r="E442" s="44" t="n"/>
      <c r="F442" s="32" t="n"/>
      <c r="G442" s="32" t="n"/>
      <c r="H442" s="39">
        <f>IF(C442="","",IFERROR(INDEX('Animais'!$M$6:$M$1005,MATCH(C442,'Animais'!$A$6:$A$1005,0)),"Brinco não cadastrado"))</f>
        <v/>
      </c>
      <c r="I442" s="34">
        <f>IF(A442="","",YEAR(A442))</f>
        <v/>
      </c>
      <c r="J442" s="45">
        <f>IF(OR(N(D442)=0,N(E442)=0),"",IFERROR(E442/D442,""))</f>
        <v/>
      </c>
    </row>
    <row r="443">
      <c r="A443" s="31" t="n"/>
      <c r="B443" s="37" t="n"/>
      <c r="C443" s="36" t="n"/>
      <c r="D443" s="38" t="n"/>
      <c r="E443" s="44" t="n"/>
      <c r="F443" s="32" t="n"/>
      <c r="G443" s="32" t="n"/>
      <c r="H443" s="39">
        <f>IF(C443="","",IFERROR(INDEX('Animais'!$M$6:$M$1005,MATCH(C443,'Animais'!$A$6:$A$1005,0)),"Brinco não cadastrado"))</f>
        <v/>
      </c>
      <c r="I443" s="34">
        <f>IF(A443="","",YEAR(A443))</f>
        <v/>
      </c>
      <c r="J443" s="45">
        <f>IF(OR(N(D443)=0,N(E443)=0),"",IFERROR(E443/D443,""))</f>
        <v/>
      </c>
    </row>
    <row r="444">
      <c r="A444" s="31" t="n"/>
      <c r="B444" s="37" t="n"/>
      <c r="C444" s="36" t="n"/>
      <c r="D444" s="38" t="n"/>
      <c r="E444" s="44" t="n"/>
      <c r="F444" s="32" t="n"/>
      <c r="G444" s="32" t="n"/>
      <c r="H444" s="39">
        <f>IF(C444="","",IFERROR(INDEX('Animais'!$M$6:$M$1005,MATCH(C444,'Animais'!$A$6:$A$1005,0)),"Brinco não cadastrado"))</f>
        <v/>
      </c>
      <c r="I444" s="34">
        <f>IF(A444="","",YEAR(A444))</f>
        <v/>
      </c>
      <c r="J444" s="45">
        <f>IF(OR(N(D444)=0,N(E444)=0),"",IFERROR(E444/D444,""))</f>
        <v/>
      </c>
    </row>
    <row r="445">
      <c r="A445" s="31" t="n"/>
      <c r="B445" s="37" t="n"/>
      <c r="C445" s="36" t="n"/>
      <c r="D445" s="38" t="n"/>
      <c r="E445" s="44" t="n"/>
      <c r="F445" s="32" t="n"/>
      <c r="G445" s="32" t="n"/>
      <c r="H445" s="39">
        <f>IF(C445="","",IFERROR(INDEX('Animais'!$M$6:$M$1005,MATCH(C445,'Animais'!$A$6:$A$1005,0)),"Brinco não cadastrado"))</f>
        <v/>
      </c>
      <c r="I445" s="34">
        <f>IF(A445="","",YEAR(A445))</f>
        <v/>
      </c>
      <c r="J445" s="45">
        <f>IF(OR(N(D445)=0,N(E445)=0),"",IFERROR(E445/D445,""))</f>
        <v/>
      </c>
    </row>
    <row r="446">
      <c r="A446" s="31" t="n"/>
      <c r="B446" s="37" t="n"/>
      <c r="C446" s="36" t="n"/>
      <c r="D446" s="38" t="n"/>
      <c r="E446" s="44" t="n"/>
      <c r="F446" s="32" t="n"/>
      <c r="G446" s="32" t="n"/>
      <c r="H446" s="39">
        <f>IF(C446="","",IFERROR(INDEX('Animais'!$M$6:$M$1005,MATCH(C446,'Animais'!$A$6:$A$1005,0)),"Brinco não cadastrado"))</f>
        <v/>
      </c>
      <c r="I446" s="34">
        <f>IF(A446="","",YEAR(A446))</f>
        <v/>
      </c>
      <c r="J446" s="45">
        <f>IF(OR(N(D446)=0,N(E446)=0),"",IFERROR(E446/D446,""))</f>
        <v/>
      </c>
    </row>
    <row r="447">
      <c r="A447" s="31" t="n"/>
      <c r="B447" s="37" t="n"/>
      <c r="C447" s="36" t="n"/>
      <c r="D447" s="38" t="n"/>
      <c r="E447" s="44" t="n"/>
      <c r="F447" s="32" t="n"/>
      <c r="G447" s="32" t="n"/>
      <c r="H447" s="39">
        <f>IF(C447="","",IFERROR(INDEX('Animais'!$M$6:$M$1005,MATCH(C447,'Animais'!$A$6:$A$1005,0)),"Brinco não cadastrado"))</f>
        <v/>
      </c>
      <c r="I447" s="34">
        <f>IF(A447="","",YEAR(A447))</f>
        <v/>
      </c>
      <c r="J447" s="45">
        <f>IF(OR(N(D447)=0,N(E447)=0),"",IFERROR(E447/D447,""))</f>
        <v/>
      </c>
    </row>
    <row r="448">
      <c r="A448" s="31" t="n"/>
      <c r="B448" s="37" t="n"/>
      <c r="C448" s="36" t="n"/>
      <c r="D448" s="38" t="n"/>
      <c r="E448" s="44" t="n"/>
      <c r="F448" s="32" t="n"/>
      <c r="G448" s="32" t="n"/>
      <c r="H448" s="39">
        <f>IF(C448="","",IFERROR(INDEX('Animais'!$M$6:$M$1005,MATCH(C448,'Animais'!$A$6:$A$1005,0)),"Brinco não cadastrado"))</f>
        <v/>
      </c>
      <c r="I448" s="34">
        <f>IF(A448="","",YEAR(A448))</f>
        <v/>
      </c>
      <c r="J448" s="45">
        <f>IF(OR(N(D448)=0,N(E448)=0),"",IFERROR(E448/D448,""))</f>
        <v/>
      </c>
    </row>
    <row r="449">
      <c r="A449" s="31" t="n"/>
      <c r="B449" s="37" t="n"/>
      <c r="C449" s="36" t="n"/>
      <c r="D449" s="38" t="n"/>
      <c r="E449" s="44" t="n"/>
      <c r="F449" s="32" t="n"/>
      <c r="G449" s="32" t="n"/>
      <c r="H449" s="39">
        <f>IF(C449="","",IFERROR(INDEX('Animais'!$M$6:$M$1005,MATCH(C449,'Animais'!$A$6:$A$1005,0)),"Brinco não cadastrado"))</f>
        <v/>
      </c>
      <c r="I449" s="34">
        <f>IF(A449="","",YEAR(A449))</f>
        <v/>
      </c>
      <c r="J449" s="45">
        <f>IF(OR(N(D449)=0,N(E449)=0),"",IFERROR(E449/D449,""))</f>
        <v/>
      </c>
    </row>
    <row r="450">
      <c r="A450" s="31" t="n"/>
      <c r="B450" s="37" t="n"/>
      <c r="C450" s="36" t="n"/>
      <c r="D450" s="38" t="n"/>
      <c r="E450" s="44" t="n"/>
      <c r="F450" s="32" t="n"/>
      <c r="G450" s="32" t="n"/>
      <c r="H450" s="39">
        <f>IF(C450="","",IFERROR(INDEX('Animais'!$M$6:$M$1005,MATCH(C450,'Animais'!$A$6:$A$1005,0)),"Brinco não cadastrado"))</f>
        <v/>
      </c>
      <c r="I450" s="34">
        <f>IF(A450="","",YEAR(A450))</f>
        <v/>
      </c>
      <c r="J450" s="45">
        <f>IF(OR(N(D450)=0,N(E450)=0),"",IFERROR(E450/D450,""))</f>
        <v/>
      </c>
    </row>
    <row r="451">
      <c r="A451" s="31" t="n"/>
      <c r="B451" s="37" t="n"/>
      <c r="C451" s="36" t="n"/>
      <c r="D451" s="38" t="n"/>
      <c r="E451" s="44" t="n"/>
      <c r="F451" s="32" t="n"/>
      <c r="G451" s="32" t="n"/>
      <c r="H451" s="39">
        <f>IF(C451="","",IFERROR(INDEX('Animais'!$M$6:$M$1005,MATCH(C451,'Animais'!$A$6:$A$1005,0)),"Brinco não cadastrado"))</f>
        <v/>
      </c>
      <c r="I451" s="34">
        <f>IF(A451="","",YEAR(A451))</f>
        <v/>
      </c>
      <c r="J451" s="45">
        <f>IF(OR(N(D451)=0,N(E451)=0),"",IFERROR(E451/D451,""))</f>
        <v/>
      </c>
    </row>
    <row r="452">
      <c r="A452" s="31" t="n"/>
      <c r="B452" s="37" t="n"/>
      <c r="C452" s="36" t="n"/>
      <c r="D452" s="38" t="n"/>
      <c r="E452" s="44" t="n"/>
      <c r="F452" s="32" t="n"/>
      <c r="G452" s="32" t="n"/>
      <c r="H452" s="39">
        <f>IF(C452="","",IFERROR(INDEX('Animais'!$M$6:$M$1005,MATCH(C452,'Animais'!$A$6:$A$1005,0)),"Brinco não cadastrado"))</f>
        <v/>
      </c>
      <c r="I452" s="34">
        <f>IF(A452="","",YEAR(A452))</f>
        <v/>
      </c>
      <c r="J452" s="45">
        <f>IF(OR(N(D452)=0,N(E452)=0),"",IFERROR(E452/D452,""))</f>
        <v/>
      </c>
    </row>
    <row r="453">
      <c r="A453" s="31" t="n"/>
      <c r="B453" s="37" t="n"/>
      <c r="C453" s="36" t="n"/>
      <c r="D453" s="38" t="n"/>
      <c r="E453" s="44" t="n"/>
      <c r="F453" s="32" t="n"/>
      <c r="G453" s="32" t="n"/>
      <c r="H453" s="39">
        <f>IF(C453="","",IFERROR(INDEX('Animais'!$M$6:$M$1005,MATCH(C453,'Animais'!$A$6:$A$1005,0)),"Brinco não cadastrado"))</f>
        <v/>
      </c>
      <c r="I453" s="34">
        <f>IF(A453="","",YEAR(A453))</f>
        <v/>
      </c>
      <c r="J453" s="45">
        <f>IF(OR(N(D453)=0,N(E453)=0),"",IFERROR(E453/D453,""))</f>
        <v/>
      </c>
    </row>
    <row r="454">
      <c r="A454" s="31" t="n"/>
      <c r="B454" s="37" t="n"/>
      <c r="C454" s="36" t="n"/>
      <c r="D454" s="38" t="n"/>
      <c r="E454" s="44" t="n"/>
      <c r="F454" s="32" t="n"/>
      <c r="G454" s="32" t="n"/>
      <c r="H454" s="39">
        <f>IF(C454="","",IFERROR(INDEX('Animais'!$M$6:$M$1005,MATCH(C454,'Animais'!$A$6:$A$1005,0)),"Brinco não cadastrado"))</f>
        <v/>
      </c>
      <c r="I454" s="34">
        <f>IF(A454="","",YEAR(A454))</f>
        <v/>
      </c>
      <c r="J454" s="45">
        <f>IF(OR(N(D454)=0,N(E454)=0),"",IFERROR(E454/D454,""))</f>
        <v/>
      </c>
    </row>
    <row r="455">
      <c r="A455" s="31" t="n"/>
      <c r="B455" s="37" t="n"/>
      <c r="C455" s="36" t="n"/>
      <c r="D455" s="38" t="n"/>
      <c r="E455" s="44" t="n"/>
      <c r="F455" s="32" t="n"/>
      <c r="G455" s="32" t="n"/>
      <c r="H455" s="39">
        <f>IF(C455="","",IFERROR(INDEX('Animais'!$M$6:$M$1005,MATCH(C455,'Animais'!$A$6:$A$1005,0)),"Brinco não cadastrado"))</f>
        <v/>
      </c>
      <c r="I455" s="34">
        <f>IF(A455="","",YEAR(A455))</f>
        <v/>
      </c>
      <c r="J455" s="45">
        <f>IF(OR(N(D455)=0,N(E455)=0),"",IFERROR(E455/D455,""))</f>
        <v/>
      </c>
    </row>
    <row r="456">
      <c r="A456" s="31" t="n"/>
      <c r="B456" s="37" t="n"/>
      <c r="C456" s="36" t="n"/>
      <c r="D456" s="38" t="n"/>
      <c r="E456" s="44" t="n"/>
      <c r="F456" s="32" t="n"/>
      <c r="G456" s="32" t="n"/>
      <c r="H456" s="39">
        <f>IF(C456="","",IFERROR(INDEX('Animais'!$M$6:$M$1005,MATCH(C456,'Animais'!$A$6:$A$1005,0)),"Brinco não cadastrado"))</f>
        <v/>
      </c>
      <c r="I456" s="34">
        <f>IF(A456="","",YEAR(A456))</f>
        <v/>
      </c>
      <c r="J456" s="45">
        <f>IF(OR(N(D456)=0,N(E456)=0),"",IFERROR(E456/D456,""))</f>
        <v/>
      </c>
    </row>
    <row r="457">
      <c r="A457" s="31" t="n"/>
      <c r="B457" s="37" t="n"/>
      <c r="C457" s="36" t="n"/>
      <c r="D457" s="38" t="n"/>
      <c r="E457" s="44" t="n"/>
      <c r="F457" s="32" t="n"/>
      <c r="G457" s="32" t="n"/>
      <c r="H457" s="39">
        <f>IF(C457="","",IFERROR(INDEX('Animais'!$M$6:$M$1005,MATCH(C457,'Animais'!$A$6:$A$1005,0)),"Brinco não cadastrado"))</f>
        <v/>
      </c>
      <c r="I457" s="34">
        <f>IF(A457="","",YEAR(A457))</f>
        <v/>
      </c>
      <c r="J457" s="45">
        <f>IF(OR(N(D457)=0,N(E457)=0),"",IFERROR(E457/D457,""))</f>
        <v/>
      </c>
    </row>
    <row r="458">
      <c r="A458" s="31" t="n"/>
      <c r="B458" s="37" t="n"/>
      <c r="C458" s="36" t="n"/>
      <c r="D458" s="38" t="n"/>
      <c r="E458" s="44" t="n"/>
      <c r="F458" s="32" t="n"/>
      <c r="G458" s="32" t="n"/>
      <c r="H458" s="39">
        <f>IF(C458="","",IFERROR(INDEX('Animais'!$M$6:$M$1005,MATCH(C458,'Animais'!$A$6:$A$1005,0)),"Brinco não cadastrado"))</f>
        <v/>
      </c>
      <c r="I458" s="34">
        <f>IF(A458="","",YEAR(A458))</f>
        <v/>
      </c>
      <c r="J458" s="45">
        <f>IF(OR(N(D458)=0,N(E458)=0),"",IFERROR(E458/D458,""))</f>
        <v/>
      </c>
    </row>
    <row r="459">
      <c r="A459" s="31" t="n"/>
      <c r="B459" s="37" t="n"/>
      <c r="C459" s="36" t="n"/>
      <c r="D459" s="38" t="n"/>
      <c r="E459" s="44" t="n"/>
      <c r="F459" s="32" t="n"/>
      <c r="G459" s="32" t="n"/>
      <c r="H459" s="39">
        <f>IF(C459="","",IFERROR(INDEX('Animais'!$M$6:$M$1005,MATCH(C459,'Animais'!$A$6:$A$1005,0)),"Brinco não cadastrado"))</f>
        <v/>
      </c>
      <c r="I459" s="34">
        <f>IF(A459="","",YEAR(A459))</f>
        <v/>
      </c>
      <c r="J459" s="45">
        <f>IF(OR(N(D459)=0,N(E459)=0),"",IFERROR(E459/D459,""))</f>
        <v/>
      </c>
    </row>
    <row r="460">
      <c r="A460" s="31" t="n"/>
      <c r="B460" s="37" t="n"/>
      <c r="C460" s="36" t="n"/>
      <c r="D460" s="38" t="n"/>
      <c r="E460" s="44" t="n"/>
      <c r="F460" s="32" t="n"/>
      <c r="G460" s="32" t="n"/>
      <c r="H460" s="39">
        <f>IF(C460="","",IFERROR(INDEX('Animais'!$M$6:$M$1005,MATCH(C460,'Animais'!$A$6:$A$1005,0)),"Brinco não cadastrado"))</f>
        <v/>
      </c>
      <c r="I460" s="34">
        <f>IF(A460="","",YEAR(A460))</f>
        <v/>
      </c>
      <c r="J460" s="45">
        <f>IF(OR(N(D460)=0,N(E460)=0),"",IFERROR(E460/D460,""))</f>
        <v/>
      </c>
    </row>
    <row r="461">
      <c r="A461" s="31" t="n"/>
      <c r="B461" s="37" t="n"/>
      <c r="C461" s="36" t="n"/>
      <c r="D461" s="38" t="n"/>
      <c r="E461" s="44" t="n"/>
      <c r="F461" s="32" t="n"/>
      <c r="G461" s="32" t="n"/>
      <c r="H461" s="39">
        <f>IF(C461="","",IFERROR(INDEX('Animais'!$M$6:$M$1005,MATCH(C461,'Animais'!$A$6:$A$1005,0)),"Brinco não cadastrado"))</f>
        <v/>
      </c>
      <c r="I461" s="34">
        <f>IF(A461="","",YEAR(A461))</f>
        <v/>
      </c>
      <c r="J461" s="45">
        <f>IF(OR(N(D461)=0,N(E461)=0),"",IFERROR(E461/D461,""))</f>
        <v/>
      </c>
    </row>
    <row r="462">
      <c r="A462" s="31" t="n"/>
      <c r="B462" s="37" t="n"/>
      <c r="C462" s="36" t="n"/>
      <c r="D462" s="38" t="n"/>
      <c r="E462" s="44" t="n"/>
      <c r="F462" s="32" t="n"/>
      <c r="G462" s="32" t="n"/>
      <c r="H462" s="39">
        <f>IF(C462="","",IFERROR(INDEX('Animais'!$M$6:$M$1005,MATCH(C462,'Animais'!$A$6:$A$1005,0)),"Brinco não cadastrado"))</f>
        <v/>
      </c>
      <c r="I462" s="34">
        <f>IF(A462="","",YEAR(A462))</f>
        <v/>
      </c>
      <c r="J462" s="45">
        <f>IF(OR(N(D462)=0,N(E462)=0),"",IFERROR(E462/D462,""))</f>
        <v/>
      </c>
    </row>
    <row r="463">
      <c r="A463" s="31" t="n"/>
      <c r="B463" s="37" t="n"/>
      <c r="C463" s="36" t="n"/>
      <c r="D463" s="38" t="n"/>
      <c r="E463" s="44" t="n"/>
      <c r="F463" s="32" t="n"/>
      <c r="G463" s="32" t="n"/>
      <c r="H463" s="39">
        <f>IF(C463="","",IFERROR(INDEX('Animais'!$M$6:$M$1005,MATCH(C463,'Animais'!$A$6:$A$1005,0)),"Brinco não cadastrado"))</f>
        <v/>
      </c>
      <c r="I463" s="34">
        <f>IF(A463="","",YEAR(A463))</f>
        <v/>
      </c>
      <c r="J463" s="45">
        <f>IF(OR(N(D463)=0,N(E463)=0),"",IFERROR(E463/D463,""))</f>
        <v/>
      </c>
    </row>
    <row r="464">
      <c r="A464" s="31" t="n"/>
      <c r="B464" s="37" t="n"/>
      <c r="C464" s="36" t="n"/>
      <c r="D464" s="38" t="n"/>
      <c r="E464" s="44" t="n"/>
      <c r="F464" s="32" t="n"/>
      <c r="G464" s="32" t="n"/>
      <c r="H464" s="39">
        <f>IF(C464="","",IFERROR(INDEX('Animais'!$M$6:$M$1005,MATCH(C464,'Animais'!$A$6:$A$1005,0)),"Brinco não cadastrado"))</f>
        <v/>
      </c>
      <c r="I464" s="34">
        <f>IF(A464="","",YEAR(A464))</f>
        <v/>
      </c>
      <c r="J464" s="45">
        <f>IF(OR(N(D464)=0,N(E464)=0),"",IFERROR(E464/D464,""))</f>
        <v/>
      </c>
    </row>
    <row r="465">
      <c r="A465" s="31" t="n"/>
      <c r="B465" s="37" t="n"/>
      <c r="C465" s="36" t="n"/>
      <c r="D465" s="38" t="n"/>
      <c r="E465" s="44" t="n"/>
      <c r="F465" s="32" t="n"/>
      <c r="G465" s="32" t="n"/>
      <c r="H465" s="39">
        <f>IF(C465="","",IFERROR(INDEX('Animais'!$M$6:$M$1005,MATCH(C465,'Animais'!$A$6:$A$1005,0)),"Brinco não cadastrado"))</f>
        <v/>
      </c>
      <c r="I465" s="34">
        <f>IF(A465="","",YEAR(A465))</f>
        <v/>
      </c>
      <c r="J465" s="45">
        <f>IF(OR(N(D465)=0,N(E465)=0),"",IFERROR(E465/D465,""))</f>
        <v/>
      </c>
    </row>
    <row r="466">
      <c r="A466" s="31" t="n"/>
      <c r="B466" s="37" t="n"/>
      <c r="C466" s="36" t="n"/>
      <c r="D466" s="38" t="n"/>
      <c r="E466" s="44" t="n"/>
      <c r="F466" s="32" t="n"/>
      <c r="G466" s="32" t="n"/>
      <c r="H466" s="39">
        <f>IF(C466="","",IFERROR(INDEX('Animais'!$M$6:$M$1005,MATCH(C466,'Animais'!$A$6:$A$1005,0)),"Brinco não cadastrado"))</f>
        <v/>
      </c>
      <c r="I466" s="34">
        <f>IF(A466="","",YEAR(A466))</f>
        <v/>
      </c>
      <c r="J466" s="45">
        <f>IF(OR(N(D466)=0,N(E466)=0),"",IFERROR(E466/D466,""))</f>
        <v/>
      </c>
    </row>
    <row r="467">
      <c r="A467" s="31" t="n"/>
      <c r="B467" s="37" t="n"/>
      <c r="C467" s="36" t="n"/>
      <c r="D467" s="38" t="n"/>
      <c r="E467" s="44" t="n"/>
      <c r="F467" s="32" t="n"/>
      <c r="G467" s="32" t="n"/>
      <c r="H467" s="39">
        <f>IF(C467="","",IFERROR(INDEX('Animais'!$M$6:$M$1005,MATCH(C467,'Animais'!$A$6:$A$1005,0)),"Brinco não cadastrado"))</f>
        <v/>
      </c>
      <c r="I467" s="34">
        <f>IF(A467="","",YEAR(A467))</f>
        <v/>
      </c>
      <c r="J467" s="45">
        <f>IF(OR(N(D467)=0,N(E467)=0),"",IFERROR(E467/D467,""))</f>
        <v/>
      </c>
    </row>
    <row r="468">
      <c r="A468" s="31" t="n"/>
      <c r="B468" s="37" t="n"/>
      <c r="C468" s="36" t="n"/>
      <c r="D468" s="38" t="n"/>
      <c r="E468" s="44" t="n"/>
      <c r="F468" s="32" t="n"/>
      <c r="G468" s="32" t="n"/>
      <c r="H468" s="39">
        <f>IF(C468="","",IFERROR(INDEX('Animais'!$M$6:$M$1005,MATCH(C468,'Animais'!$A$6:$A$1005,0)),"Brinco não cadastrado"))</f>
        <v/>
      </c>
      <c r="I468" s="34">
        <f>IF(A468="","",YEAR(A468))</f>
        <v/>
      </c>
      <c r="J468" s="45">
        <f>IF(OR(N(D468)=0,N(E468)=0),"",IFERROR(E468/D468,""))</f>
        <v/>
      </c>
    </row>
    <row r="469">
      <c r="A469" s="31" t="n"/>
      <c r="B469" s="37" t="n"/>
      <c r="C469" s="36" t="n"/>
      <c r="D469" s="38" t="n"/>
      <c r="E469" s="44" t="n"/>
      <c r="F469" s="32" t="n"/>
      <c r="G469" s="32" t="n"/>
      <c r="H469" s="39">
        <f>IF(C469="","",IFERROR(INDEX('Animais'!$M$6:$M$1005,MATCH(C469,'Animais'!$A$6:$A$1005,0)),"Brinco não cadastrado"))</f>
        <v/>
      </c>
      <c r="I469" s="34">
        <f>IF(A469="","",YEAR(A469))</f>
        <v/>
      </c>
      <c r="J469" s="45">
        <f>IF(OR(N(D469)=0,N(E469)=0),"",IFERROR(E469/D469,""))</f>
        <v/>
      </c>
    </row>
    <row r="470">
      <c r="A470" s="31" t="n"/>
      <c r="B470" s="37" t="n"/>
      <c r="C470" s="36" t="n"/>
      <c r="D470" s="38" t="n"/>
      <c r="E470" s="44" t="n"/>
      <c r="F470" s="32" t="n"/>
      <c r="G470" s="32" t="n"/>
      <c r="H470" s="39">
        <f>IF(C470="","",IFERROR(INDEX('Animais'!$M$6:$M$1005,MATCH(C470,'Animais'!$A$6:$A$1005,0)),"Brinco não cadastrado"))</f>
        <v/>
      </c>
      <c r="I470" s="34">
        <f>IF(A470="","",YEAR(A470))</f>
        <v/>
      </c>
      <c r="J470" s="45">
        <f>IF(OR(N(D470)=0,N(E470)=0),"",IFERROR(E470/D470,""))</f>
        <v/>
      </c>
    </row>
    <row r="471">
      <c r="A471" s="31" t="n"/>
      <c r="B471" s="37" t="n"/>
      <c r="C471" s="36" t="n"/>
      <c r="D471" s="38" t="n"/>
      <c r="E471" s="44" t="n"/>
      <c r="F471" s="32" t="n"/>
      <c r="G471" s="32" t="n"/>
      <c r="H471" s="39">
        <f>IF(C471="","",IFERROR(INDEX('Animais'!$M$6:$M$1005,MATCH(C471,'Animais'!$A$6:$A$1005,0)),"Brinco não cadastrado"))</f>
        <v/>
      </c>
      <c r="I471" s="34">
        <f>IF(A471="","",YEAR(A471))</f>
        <v/>
      </c>
      <c r="J471" s="45">
        <f>IF(OR(N(D471)=0,N(E471)=0),"",IFERROR(E471/D471,""))</f>
        <v/>
      </c>
    </row>
    <row r="472">
      <c r="A472" s="31" t="n"/>
      <c r="B472" s="37" t="n"/>
      <c r="C472" s="36" t="n"/>
      <c r="D472" s="38" t="n"/>
      <c r="E472" s="44" t="n"/>
      <c r="F472" s="32" t="n"/>
      <c r="G472" s="32" t="n"/>
      <c r="H472" s="39">
        <f>IF(C472="","",IFERROR(INDEX('Animais'!$M$6:$M$1005,MATCH(C472,'Animais'!$A$6:$A$1005,0)),"Brinco não cadastrado"))</f>
        <v/>
      </c>
      <c r="I472" s="34">
        <f>IF(A472="","",YEAR(A472))</f>
        <v/>
      </c>
      <c r="J472" s="45">
        <f>IF(OR(N(D472)=0,N(E472)=0),"",IFERROR(E472/D472,""))</f>
        <v/>
      </c>
    </row>
    <row r="473">
      <c r="A473" s="31" t="n"/>
      <c r="B473" s="37" t="n"/>
      <c r="C473" s="36" t="n"/>
      <c r="D473" s="38" t="n"/>
      <c r="E473" s="44" t="n"/>
      <c r="F473" s="32" t="n"/>
      <c r="G473" s="32" t="n"/>
      <c r="H473" s="39">
        <f>IF(C473="","",IFERROR(INDEX('Animais'!$M$6:$M$1005,MATCH(C473,'Animais'!$A$6:$A$1005,0)),"Brinco não cadastrado"))</f>
        <v/>
      </c>
      <c r="I473" s="34">
        <f>IF(A473="","",YEAR(A473))</f>
        <v/>
      </c>
      <c r="J473" s="45">
        <f>IF(OR(N(D473)=0,N(E473)=0),"",IFERROR(E473/D473,""))</f>
        <v/>
      </c>
    </row>
    <row r="474">
      <c r="A474" s="31" t="n"/>
      <c r="B474" s="37" t="n"/>
      <c r="C474" s="36" t="n"/>
      <c r="D474" s="38" t="n"/>
      <c r="E474" s="44" t="n"/>
      <c r="F474" s="32" t="n"/>
      <c r="G474" s="32" t="n"/>
      <c r="H474" s="39">
        <f>IF(C474="","",IFERROR(INDEX('Animais'!$M$6:$M$1005,MATCH(C474,'Animais'!$A$6:$A$1005,0)),"Brinco não cadastrado"))</f>
        <v/>
      </c>
      <c r="I474" s="34">
        <f>IF(A474="","",YEAR(A474))</f>
        <v/>
      </c>
      <c r="J474" s="45">
        <f>IF(OR(N(D474)=0,N(E474)=0),"",IFERROR(E474/D474,""))</f>
        <v/>
      </c>
    </row>
    <row r="475">
      <c r="A475" s="31" t="n"/>
      <c r="B475" s="37" t="n"/>
      <c r="C475" s="36" t="n"/>
      <c r="D475" s="38" t="n"/>
      <c r="E475" s="44" t="n"/>
      <c r="F475" s="32" t="n"/>
      <c r="G475" s="32" t="n"/>
      <c r="H475" s="39">
        <f>IF(C475="","",IFERROR(INDEX('Animais'!$M$6:$M$1005,MATCH(C475,'Animais'!$A$6:$A$1005,0)),"Brinco não cadastrado"))</f>
        <v/>
      </c>
      <c r="I475" s="34">
        <f>IF(A475="","",YEAR(A475))</f>
        <v/>
      </c>
      <c r="J475" s="45">
        <f>IF(OR(N(D475)=0,N(E475)=0),"",IFERROR(E475/D475,""))</f>
        <v/>
      </c>
    </row>
    <row r="476">
      <c r="A476" s="31" t="n"/>
      <c r="B476" s="37" t="n"/>
      <c r="C476" s="36" t="n"/>
      <c r="D476" s="38" t="n"/>
      <c r="E476" s="44" t="n"/>
      <c r="F476" s="32" t="n"/>
      <c r="G476" s="32" t="n"/>
      <c r="H476" s="39">
        <f>IF(C476="","",IFERROR(INDEX('Animais'!$M$6:$M$1005,MATCH(C476,'Animais'!$A$6:$A$1005,0)),"Brinco não cadastrado"))</f>
        <v/>
      </c>
      <c r="I476" s="34">
        <f>IF(A476="","",YEAR(A476))</f>
        <v/>
      </c>
      <c r="J476" s="45">
        <f>IF(OR(N(D476)=0,N(E476)=0),"",IFERROR(E476/D476,""))</f>
        <v/>
      </c>
    </row>
    <row r="477">
      <c r="A477" s="31" t="n"/>
      <c r="B477" s="37" t="n"/>
      <c r="C477" s="36" t="n"/>
      <c r="D477" s="38" t="n"/>
      <c r="E477" s="44" t="n"/>
      <c r="F477" s="32" t="n"/>
      <c r="G477" s="32" t="n"/>
      <c r="H477" s="39">
        <f>IF(C477="","",IFERROR(INDEX('Animais'!$M$6:$M$1005,MATCH(C477,'Animais'!$A$6:$A$1005,0)),"Brinco não cadastrado"))</f>
        <v/>
      </c>
      <c r="I477" s="34">
        <f>IF(A477="","",YEAR(A477))</f>
        <v/>
      </c>
      <c r="J477" s="45">
        <f>IF(OR(N(D477)=0,N(E477)=0),"",IFERROR(E477/D477,""))</f>
        <v/>
      </c>
    </row>
    <row r="478">
      <c r="A478" s="31" t="n"/>
      <c r="B478" s="37" t="n"/>
      <c r="C478" s="36" t="n"/>
      <c r="D478" s="38" t="n"/>
      <c r="E478" s="44" t="n"/>
      <c r="F478" s="32" t="n"/>
      <c r="G478" s="32" t="n"/>
      <c r="H478" s="39">
        <f>IF(C478="","",IFERROR(INDEX('Animais'!$M$6:$M$1005,MATCH(C478,'Animais'!$A$6:$A$1005,0)),"Brinco não cadastrado"))</f>
        <v/>
      </c>
      <c r="I478" s="34">
        <f>IF(A478="","",YEAR(A478))</f>
        <v/>
      </c>
      <c r="J478" s="45">
        <f>IF(OR(N(D478)=0,N(E478)=0),"",IFERROR(E478/D478,""))</f>
        <v/>
      </c>
    </row>
    <row r="479">
      <c r="A479" s="31" t="n"/>
      <c r="B479" s="37" t="n"/>
      <c r="C479" s="36" t="n"/>
      <c r="D479" s="38" t="n"/>
      <c r="E479" s="44" t="n"/>
      <c r="F479" s="32" t="n"/>
      <c r="G479" s="32" t="n"/>
      <c r="H479" s="39">
        <f>IF(C479="","",IFERROR(INDEX('Animais'!$M$6:$M$1005,MATCH(C479,'Animais'!$A$6:$A$1005,0)),"Brinco não cadastrado"))</f>
        <v/>
      </c>
      <c r="I479" s="34">
        <f>IF(A479="","",YEAR(A479))</f>
        <v/>
      </c>
      <c r="J479" s="45">
        <f>IF(OR(N(D479)=0,N(E479)=0),"",IFERROR(E479/D479,""))</f>
        <v/>
      </c>
    </row>
    <row r="480">
      <c r="A480" s="31" t="n"/>
      <c r="B480" s="37" t="n"/>
      <c r="C480" s="36" t="n"/>
      <c r="D480" s="38" t="n"/>
      <c r="E480" s="44" t="n"/>
      <c r="F480" s="32" t="n"/>
      <c r="G480" s="32" t="n"/>
      <c r="H480" s="39">
        <f>IF(C480="","",IFERROR(INDEX('Animais'!$M$6:$M$1005,MATCH(C480,'Animais'!$A$6:$A$1005,0)),"Brinco não cadastrado"))</f>
        <v/>
      </c>
      <c r="I480" s="34">
        <f>IF(A480="","",YEAR(A480))</f>
        <v/>
      </c>
      <c r="J480" s="45">
        <f>IF(OR(N(D480)=0,N(E480)=0),"",IFERROR(E480/D480,""))</f>
        <v/>
      </c>
    </row>
    <row r="481">
      <c r="A481" s="31" t="n"/>
      <c r="B481" s="37" t="n"/>
      <c r="C481" s="36" t="n"/>
      <c r="D481" s="38" t="n"/>
      <c r="E481" s="44" t="n"/>
      <c r="F481" s="32" t="n"/>
      <c r="G481" s="32" t="n"/>
      <c r="H481" s="39">
        <f>IF(C481="","",IFERROR(INDEX('Animais'!$M$6:$M$1005,MATCH(C481,'Animais'!$A$6:$A$1005,0)),"Brinco não cadastrado"))</f>
        <v/>
      </c>
      <c r="I481" s="34">
        <f>IF(A481="","",YEAR(A481))</f>
        <v/>
      </c>
      <c r="J481" s="45">
        <f>IF(OR(N(D481)=0,N(E481)=0),"",IFERROR(E481/D481,""))</f>
        <v/>
      </c>
    </row>
    <row r="482">
      <c r="A482" s="31" t="n"/>
      <c r="B482" s="37" t="n"/>
      <c r="C482" s="36" t="n"/>
      <c r="D482" s="38" t="n"/>
      <c r="E482" s="44" t="n"/>
      <c r="F482" s="32" t="n"/>
      <c r="G482" s="32" t="n"/>
      <c r="H482" s="39">
        <f>IF(C482="","",IFERROR(INDEX('Animais'!$M$6:$M$1005,MATCH(C482,'Animais'!$A$6:$A$1005,0)),"Brinco não cadastrado"))</f>
        <v/>
      </c>
      <c r="I482" s="34">
        <f>IF(A482="","",YEAR(A482))</f>
        <v/>
      </c>
      <c r="J482" s="45">
        <f>IF(OR(N(D482)=0,N(E482)=0),"",IFERROR(E482/D482,""))</f>
        <v/>
      </c>
    </row>
    <row r="483">
      <c r="A483" s="31" t="n"/>
      <c r="B483" s="37" t="n"/>
      <c r="C483" s="36" t="n"/>
      <c r="D483" s="38" t="n"/>
      <c r="E483" s="44" t="n"/>
      <c r="F483" s="32" t="n"/>
      <c r="G483" s="32" t="n"/>
      <c r="H483" s="39">
        <f>IF(C483="","",IFERROR(INDEX('Animais'!$M$6:$M$1005,MATCH(C483,'Animais'!$A$6:$A$1005,0)),"Brinco não cadastrado"))</f>
        <v/>
      </c>
      <c r="I483" s="34">
        <f>IF(A483="","",YEAR(A483))</f>
        <v/>
      </c>
      <c r="J483" s="45">
        <f>IF(OR(N(D483)=0,N(E483)=0),"",IFERROR(E483/D483,""))</f>
        <v/>
      </c>
    </row>
    <row r="484">
      <c r="A484" s="31" t="n"/>
      <c r="B484" s="37" t="n"/>
      <c r="C484" s="36" t="n"/>
      <c r="D484" s="38" t="n"/>
      <c r="E484" s="44" t="n"/>
      <c r="F484" s="32" t="n"/>
      <c r="G484" s="32" t="n"/>
      <c r="H484" s="39">
        <f>IF(C484="","",IFERROR(INDEX('Animais'!$M$6:$M$1005,MATCH(C484,'Animais'!$A$6:$A$1005,0)),"Brinco não cadastrado"))</f>
        <v/>
      </c>
      <c r="I484" s="34">
        <f>IF(A484="","",YEAR(A484))</f>
        <v/>
      </c>
      <c r="J484" s="45">
        <f>IF(OR(N(D484)=0,N(E484)=0),"",IFERROR(E484/D484,""))</f>
        <v/>
      </c>
    </row>
    <row r="485">
      <c r="A485" s="31" t="n"/>
      <c r="B485" s="37" t="n"/>
      <c r="C485" s="36" t="n"/>
      <c r="D485" s="38" t="n"/>
      <c r="E485" s="44" t="n"/>
      <c r="F485" s="32" t="n"/>
      <c r="G485" s="32" t="n"/>
      <c r="H485" s="39">
        <f>IF(C485="","",IFERROR(INDEX('Animais'!$M$6:$M$1005,MATCH(C485,'Animais'!$A$6:$A$1005,0)),"Brinco não cadastrado"))</f>
        <v/>
      </c>
      <c r="I485" s="34">
        <f>IF(A485="","",YEAR(A485))</f>
        <v/>
      </c>
      <c r="J485" s="45">
        <f>IF(OR(N(D485)=0,N(E485)=0),"",IFERROR(E485/D485,""))</f>
        <v/>
      </c>
    </row>
    <row r="486">
      <c r="A486" s="31" t="n"/>
      <c r="B486" s="37" t="n"/>
      <c r="C486" s="36" t="n"/>
      <c r="D486" s="38" t="n"/>
      <c r="E486" s="44" t="n"/>
      <c r="F486" s="32" t="n"/>
      <c r="G486" s="32" t="n"/>
      <c r="H486" s="39">
        <f>IF(C486="","",IFERROR(INDEX('Animais'!$M$6:$M$1005,MATCH(C486,'Animais'!$A$6:$A$1005,0)),"Brinco não cadastrado"))</f>
        <v/>
      </c>
      <c r="I486" s="34">
        <f>IF(A486="","",YEAR(A486))</f>
        <v/>
      </c>
      <c r="J486" s="45">
        <f>IF(OR(N(D486)=0,N(E486)=0),"",IFERROR(E486/D486,""))</f>
        <v/>
      </c>
    </row>
    <row r="487">
      <c r="A487" s="31" t="n"/>
      <c r="B487" s="37" t="n"/>
      <c r="C487" s="36" t="n"/>
      <c r="D487" s="38" t="n"/>
      <c r="E487" s="44" t="n"/>
      <c r="F487" s="32" t="n"/>
      <c r="G487" s="32" t="n"/>
      <c r="H487" s="39">
        <f>IF(C487="","",IFERROR(INDEX('Animais'!$M$6:$M$1005,MATCH(C487,'Animais'!$A$6:$A$1005,0)),"Brinco não cadastrado"))</f>
        <v/>
      </c>
      <c r="I487" s="34">
        <f>IF(A487="","",YEAR(A487))</f>
        <v/>
      </c>
      <c r="J487" s="45">
        <f>IF(OR(N(D487)=0,N(E487)=0),"",IFERROR(E487/D487,""))</f>
        <v/>
      </c>
    </row>
    <row r="488">
      <c r="A488" s="31" t="n"/>
      <c r="B488" s="37" t="n"/>
      <c r="C488" s="36" t="n"/>
      <c r="D488" s="38" t="n"/>
      <c r="E488" s="44" t="n"/>
      <c r="F488" s="32" t="n"/>
      <c r="G488" s="32" t="n"/>
      <c r="H488" s="39">
        <f>IF(C488="","",IFERROR(INDEX('Animais'!$M$6:$M$1005,MATCH(C488,'Animais'!$A$6:$A$1005,0)),"Brinco não cadastrado"))</f>
        <v/>
      </c>
      <c r="I488" s="34">
        <f>IF(A488="","",YEAR(A488))</f>
        <v/>
      </c>
      <c r="J488" s="45">
        <f>IF(OR(N(D488)=0,N(E488)=0),"",IFERROR(E488/D488,""))</f>
        <v/>
      </c>
    </row>
    <row r="489">
      <c r="A489" s="31" t="n"/>
      <c r="B489" s="37" t="n"/>
      <c r="C489" s="36" t="n"/>
      <c r="D489" s="38" t="n"/>
      <c r="E489" s="44" t="n"/>
      <c r="F489" s="32" t="n"/>
      <c r="G489" s="32" t="n"/>
      <c r="H489" s="39">
        <f>IF(C489="","",IFERROR(INDEX('Animais'!$M$6:$M$1005,MATCH(C489,'Animais'!$A$6:$A$1005,0)),"Brinco não cadastrado"))</f>
        <v/>
      </c>
      <c r="I489" s="34">
        <f>IF(A489="","",YEAR(A489))</f>
        <v/>
      </c>
      <c r="J489" s="45">
        <f>IF(OR(N(D489)=0,N(E489)=0),"",IFERROR(E489/D489,""))</f>
        <v/>
      </c>
    </row>
    <row r="490">
      <c r="A490" s="31" t="n"/>
      <c r="B490" s="37" t="n"/>
      <c r="C490" s="36" t="n"/>
      <c r="D490" s="38" t="n"/>
      <c r="E490" s="44" t="n"/>
      <c r="F490" s="32" t="n"/>
      <c r="G490" s="32" t="n"/>
      <c r="H490" s="39">
        <f>IF(C490="","",IFERROR(INDEX('Animais'!$M$6:$M$1005,MATCH(C490,'Animais'!$A$6:$A$1005,0)),"Brinco não cadastrado"))</f>
        <v/>
      </c>
      <c r="I490" s="34">
        <f>IF(A490="","",YEAR(A490))</f>
        <v/>
      </c>
      <c r="J490" s="45">
        <f>IF(OR(N(D490)=0,N(E490)=0),"",IFERROR(E490/D490,""))</f>
        <v/>
      </c>
    </row>
    <row r="491">
      <c r="A491" s="31" t="n"/>
      <c r="B491" s="37" t="n"/>
      <c r="C491" s="36" t="n"/>
      <c r="D491" s="38" t="n"/>
      <c r="E491" s="44" t="n"/>
      <c r="F491" s="32" t="n"/>
      <c r="G491" s="32" t="n"/>
      <c r="H491" s="39">
        <f>IF(C491="","",IFERROR(INDEX('Animais'!$M$6:$M$1005,MATCH(C491,'Animais'!$A$6:$A$1005,0)),"Brinco não cadastrado"))</f>
        <v/>
      </c>
      <c r="I491" s="34">
        <f>IF(A491="","",YEAR(A491))</f>
        <v/>
      </c>
      <c r="J491" s="45">
        <f>IF(OR(N(D491)=0,N(E491)=0),"",IFERROR(E491/D491,""))</f>
        <v/>
      </c>
    </row>
    <row r="492">
      <c r="A492" s="31" t="n"/>
      <c r="B492" s="37" t="n"/>
      <c r="C492" s="36" t="n"/>
      <c r="D492" s="38" t="n"/>
      <c r="E492" s="44" t="n"/>
      <c r="F492" s="32" t="n"/>
      <c r="G492" s="32" t="n"/>
      <c r="H492" s="39">
        <f>IF(C492="","",IFERROR(INDEX('Animais'!$M$6:$M$1005,MATCH(C492,'Animais'!$A$6:$A$1005,0)),"Brinco não cadastrado"))</f>
        <v/>
      </c>
      <c r="I492" s="34">
        <f>IF(A492="","",YEAR(A492))</f>
        <v/>
      </c>
      <c r="J492" s="45">
        <f>IF(OR(N(D492)=0,N(E492)=0),"",IFERROR(E492/D492,""))</f>
        <v/>
      </c>
    </row>
    <row r="493">
      <c r="A493" s="31" t="n"/>
      <c r="B493" s="37" t="n"/>
      <c r="C493" s="36" t="n"/>
      <c r="D493" s="38" t="n"/>
      <c r="E493" s="44" t="n"/>
      <c r="F493" s="32" t="n"/>
      <c r="G493" s="32" t="n"/>
      <c r="H493" s="39">
        <f>IF(C493="","",IFERROR(INDEX('Animais'!$M$6:$M$1005,MATCH(C493,'Animais'!$A$6:$A$1005,0)),"Brinco não cadastrado"))</f>
        <v/>
      </c>
      <c r="I493" s="34">
        <f>IF(A493="","",YEAR(A493))</f>
        <v/>
      </c>
      <c r="J493" s="45">
        <f>IF(OR(N(D493)=0,N(E493)=0),"",IFERROR(E493/D493,""))</f>
        <v/>
      </c>
    </row>
    <row r="494">
      <c r="A494" s="31" t="n"/>
      <c r="B494" s="37" t="n"/>
      <c r="C494" s="36" t="n"/>
      <c r="D494" s="38" t="n"/>
      <c r="E494" s="44" t="n"/>
      <c r="F494" s="32" t="n"/>
      <c r="G494" s="32" t="n"/>
      <c r="H494" s="39">
        <f>IF(C494="","",IFERROR(INDEX('Animais'!$M$6:$M$1005,MATCH(C494,'Animais'!$A$6:$A$1005,0)),"Brinco não cadastrado"))</f>
        <v/>
      </c>
      <c r="I494" s="34">
        <f>IF(A494="","",YEAR(A494))</f>
        <v/>
      </c>
      <c r="J494" s="45">
        <f>IF(OR(N(D494)=0,N(E494)=0),"",IFERROR(E494/D494,""))</f>
        <v/>
      </c>
    </row>
    <row r="495">
      <c r="A495" s="31" t="n"/>
      <c r="B495" s="37" t="n"/>
      <c r="C495" s="36" t="n"/>
      <c r="D495" s="38" t="n"/>
      <c r="E495" s="44" t="n"/>
      <c r="F495" s="32" t="n"/>
      <c r="G495" s="32" t="n"/>
      <c r="H495" s="39">
        <f>IF(C495="","",IFERROR(INDEX('Animais'!$M$6:$M$1005,MATCH(C495,'Animais'!$A$6:$A$1005,0)),"Brinco não cadastrado"))</f>
        <v/>
      </c>
      <c r="I495" s="34">
        <f>IF(A495="","",YEAR(A495))</f>
        <v/>
      </c>
      <c r="J495" s="45">
        <f>IF(OR(N(D495)=0,N(E495)=0),"",IFERROR(E495/D495,""))</f>
        <v/>
      </c>
    </row>
    <row r="496">
      <c r="A496" s="31" t="n"/>
      <c r="B496" s="37" t="n"/>
      <c r="C496" s="36" t="n"/>
      <c r="D496" s="38" t="n"/>
      <c r="E496" s="44" t="n"/>
      <c r="F496" s="32" t="n"/>
      <c r="G496" s="32" t="n"/>
      <c r="H496" s="39">
        <f>IF(C496="","",IFERROR(INDEX('Animais'!$M$6:$M$1005,MATCH(C496,'Animais'!$A$6:$A$1005,0)),"Brinco não cadastrado"))</f>
        <v/>
      </c>
      <c r="I496" s="34">
        <f>IF(A496="","",YEAR(A496))</f>
        <v/>
      </c>
      <c r="J496" s="45">
        <f>IF(OR(N(D496)=0,N(E496)=0),"",IFERROR(E496/D496,""))</f>
        <v/>
      </c>
    </row>
    <row r="497">
      <c r="A497" s="31" t="n"/>
      <c r="B497" s="37" t="n"/>
      <c r="C497" s="36" t="n"/>
      <c r="D497" s="38" t="n"/>
      <c r="E497" s="44" t="n"/>
      <c r="F497" s="32" t="n"/>
      <c r="G497" s="32" t="n"/>
      <c r="H497" s="39">
        <f>IF(C497="","",IFERROR(INDEX('Animais'!$M$6:$M$1005,MATCH(C497,'Animais'!$A$6:$A$1005,0)),"Brinco não cadastrado"))</f>
        <v/>
      </c>
      <c r="I497" s="34">
        <f>IF(A497="","",YEAR(A497))</f>
        <v/>
      </c>
      <c r="J497" s="45">
        <f>IF(OR(N(D497)=0,N(E497)=0),"",IFERROR(E497/D497,""))</f>
        <v/>
      </c>
    </row>
    <row r="498">
      <c r="A498" s="31" t="n"/>
      <c r="B498" s="37" t="n"/>
      <c r="C498" s="36" t="n"/>
      <c r="D498" s="38" t="n"/>
      <c r="E498" s="44" t="n"/>
      <c r="F498" s="32" t="n"/>
      <c r="G498" s="32" t="n"/>
      <c r="H498" s="39">
        <f>IF(C498="","",IFERROR(INDEX('Animais'!$M$6:$M$1005,MATCH(C498,'Animais'!$A$6:$A$1005,0)),"Brinco não cadastrado"))</f>
        <v/>
      </c>
      <c r="I498" s="34">
        <f>IF(A498="","",YEAR(A498))</f>
        <v/>
      </c>
      <c r="J498" s="45">
        <f>IF(OR(N(D498)=0,N(E498)=0),"",IFERROR(E498/D498,""))</f>
        <v/>
      </c>
    </row>
    <row r="499">
      <c r="A499" s="31" t="n"/>
      <c r="B499" s="37" t="n"/>
      <c r="C499" s="36" t="n"/>
      <c r="D499" s="38" t="n"/>
      <c r="E499" s="44" t="n"/>
      <c r="F499" s="32" t="n"/>
      <c r="G499" s="32" t="n"/>
      <c r="H499" s="39">
        <f>IF(C499="","",IFERROR(INDEX('Animais'!$M$6:$M$1005,MATCH(C499,'Animais'!$A$6:$A$1005,0)),"Brinco não cadastrado"))</f>
        <v/>
      </c>
      <c r="I499" s="34">
        <f>IF(A499="","",YEAR(A499))</f>
        <v/>
      </c>
      <c r="J499" s="45">
        <f>IF(OR(N(D499)=0,N(E499)=0),"",IFERROR(E499/D499,""))</f>
        <v/>
      </c>
    </row>
    <row r="500">
      <c r="A500" s="31" t="n"/>
      <c r="B500" s="37" t="n"/>
      <c r="C500" s="36" t="n"/>
      <c r="D500" s="38" t="n"/>
      <c r="E500" s="44" t="n"/>
      <c r="F500" s="32" t="n"/>
      <c r="G500" s="32" t="n"/>
      <c r="H500" s="39">
        <f>IF(C500="","",IFERROR(INDEX('Animais'!$M$6:$M$1005,MATCH(C500,'Animais'!$A$6:$A$1005,0)),"Brinco não cadastrado"))</f>
        <v/>
      </c>
      <c r="I500" s="34">
        <f>IF(A500="","",YEAR(A500))</f>
        <v/>
      </c>
      <c r="J500" s="45">
        <f>IF(OR(N(D500)=0,N(E500)=0),"",IFERROR(E500/D500,""))</f>
        <v/>
      </c>
    </row>
    <row r="501">
      <c r="A501" s="31" t="n"/>
      <c r="B501" s="37" t="n"/>
      <c r="C501" s="36" t="n"/>
      <c r="D501" s="38" t="n"/>
      <c r="E501" s="44" t="n"/>
      <c r="F501" s="32" t="n"/>
      <c r="G501" s="32" t="n"/>
      <c r="H501" s="39">
        <f>IF(C501="","",IFERROR(INDEX('Animais'!$M$6:$M$1005,MATCH(C501,'Animais'!$A$6:$A$1005,0)),"Brinco não cadastrado"))</f>
        <v/>
      </c>
      <c r="I501" s="34">
        <f>IF(A501="","",YEAR(A501))</f>
        <v/>
      </c>
      <c r="J501" s="45">
        <f>IF(OR(N(D501)=0,N(E501)=0),"",IFERROR(E501/D501,""))</f>
        <v/>
      </c>
    </row>
    <row r="502">
      <c r="A502" s="31" t="n"/>
      <c r="B502" s="37" t="n"/>
      <c r="C502" s="36" t="n"/>
      <c r="D502" s="38" t="n"/>
      <c r="E502" s="44" t="n"/>
      <c r="F502" s="32" t="n"/>
      <c r="G502" s="32" t="n"/>
      <c r="H502" s="39">
        <f>IF(C502="","",IFERROR(INDEX('Animais'!$M$6:$M$1005,MATCH(C502,'Animais'!$A$6:$A$1005,0)),"Brinco não cadastrado"))</f>
        <v/>
      </c>
      <c r="I502" s="34">
        <f>IF(A502="","",YEAR(A502))</f>
        <v/>
      </c>
      <c r="J502" s="45">
        <f>IF(OR(N(D502)=0,N(E502)=0),"",IFERROR(E502/D502,""))</f>
        <v/>
      </c>
    </row>
    <row r="503">
      <c r="A503" s="31" t="n"/>
      <c r="B503" s="37" t="n"/>
      <c r="C503" s="36" t="n"/>
      <c r="D503" s="38" t="n"/>
      <c r="E503" s="44" t="n"/>
      <c r="F503" s="32" t="n"/>
      <c r="G503" s="32" t="n"/>
      <c r="H503" s="39">
        <f>IF(C503="","",IFERROR(INDEX('Animais'!$M$6:$M$1005,MATCH(C503,'Animais'!$A$6:$A$1005,0)),"Brinco não cadastrado"))</f>
        <v/>
      </c>
      <c r="I503" s="34">
        <f>IF(A503="","",YEAR(A503))</f>
        <v/>
      </c>
      <c r="J503" s="45">
        <f>IF(OR(N(D503)=0,N(E503)=0),"",IFERROR(E503/D503,""))</f>
        <v/>
      </c>
    </row>
    <row r="504">
      <c r="A504" s="31" t="n"/>
      <c r="B504" s="37" t="n"/>
      <c r="C504" s="36" t="n"/>
      <c r="D504" s="38" t="n"/>
      <c r="E504" s="44" t="n"/>
      <c r="F504" s="32" t="n"/>
      <c r="G504" s="32" t="n"/>
      <c r="H504" s="39">
        <f>IF(C504="","",IFERROR(INDEX('Animais'!$M$6:$M$1005,MATCH(C504,'Animais'!$A$6:$A$1005,0)),"Brinco não cadastrado"))</f>
        <v/>
      </c>
      <c r="I504" s="34">
        <f>IF(A504="","",YEAR(A504))</f>
        <v/>
      </c>
      <c r="J504" s="45">
        <f>IF(OR(N(D504)=0,N(E504)=0),"",IFERROR(E504/D504,""))</f>
        <v/>
      </c>
    </row>
    <row r="505">
      <c r="A505" s="31" t="n"/>
      <c r="B505" s="37" t="n"/>
      <c r="C505" s="36" t="n"/>
      <c r="D505" s="38" t="n"/>
      <c r="E505" s="44" t="n"/>
      <c r="F505" s="32" t="n"/>
      <c r="G505" s="32" t="n"/>
      <c r="H505" s="39">
        <f>IF(C505="","",IFERROR(INDEX('Animais'!$M$6:$M$1005,MATCH(C505,'Animais'!$A$6:$A$1005,0)),"Brinco não cadastrado"))</f>
        <v/>
      </c>
      <c r="I505" s="34">
        <f>IF(A505="","",YEAR(A505))</f>
        <v/>
      </c>
      <c r="J505" s="45">
        <f>IF(OR(N(D505)=0,N(E505)=0),"",IFERROR(E505/D505,""))</f>
        <v/>
      </c>
    </row>
    <row r="506">
      <c r="A506" s="31" t="n"/>
      <c r="B506" s="37" t="n"/>
      <c r="C506" s="36" t="n"/>
      <c r="D506" s="38" t="n"/>
      <c r="E506" s="44" t="n"/>
      <c r="F506" s="32" t="n"/>
      <c r="G506" s="32" t="n"/>
      <c r="H506" s="39">
        <f>IF(C506="","",IFERROR(INDEX('Animais'!$M$6:$M$1005,MATCH(C506,'Animais'!$A$6:$A$1005,0)),"Brinco não cadastrado"))</f>
        <v/>
      </c>
      <c r="I506" s="34">
        <f>IF(A506="","",YEAR(A506))</f>
        <v/>
      </c>
      <c r="J506" s="45">
        <f>IF(OR(N(D506)=0,N(E506)=0),"",IFERROR(E506/D506,""))</f>
        <v/>
      </c>
    </row>
    <row r="507">
      <c r="A507" s="31" t="n"/>
      <c r="B507" s="37" t="n"/>
      <c r="C507" s="36" t="n"/>
      <c r="D507" s="38" t="n"/>
      <c r="E507" s="44" t="n"/>
      <c r="F507" s="32" t="n"/>
      <c r="G507" s="32" t="n"/>
      <c r="H507" s="39">
        <f>IF(C507="","",IFERROR(INDEX('Animais'!$M$6:$M$1005,MATCH(C507,'Animais'!$A$6:$A$1005,0)),"Brinco não cadastrado"))</f>
        <v/>
      </c>
      <c r="I507" s="34">
        <f>IF(A507="","",YEAR(A507))</f>
        <v/>
      </c>
      <c r="J507" s="45">
        <f>IF(OR(N(D507)=0,N(E507)=0),"",IFERROR(E507/D507,""))</f>
        <v/>
      </c>
    </row>
    <row r="508">
      <c r="A508" s="31" t="n"/>
      <c r="B508" s="37" t="n"/>
      <c r="C508" s="36" t="n"/>
      <c r="D508" s="38" t="n"/>
      <c r="E508" s="44" t="n"/>
      <c r="F508" s="32" t="n"/>
      <c r="G508" s="32" t="n"/>
      <c r="H508" s="39">
        <f>IF(C508="","",IFERROR(INDEX('Animais'!$M$6:$M$1005,MATCH(C508,'Animais'!$A$6:$A$1005,0)),"Brinco não cadastrado"))</f>
        <v/>
      </c>
      <c r="I508" s="34">
        <f>IF(A508="","",YEAR(A508))</f>
        <v/>
      </c>
      <c r="J508" s="45">
        <f>IF(OR(N(D508)=0,N(E508)=0),"",IFERROR(E508/D508,""))</f>
        <v/>
      </c>
    </row>
    <row r="509">
      <c r="A509" s="31" t="n"/>
      <c r="B509" s="37" t="n"/>
      <c r="C509" s="36" t="n"/>
      <c r="D509" s="38" t="n"/>
      <c r="E509" s="44" t="n"/>
      <c r="F509" s="32" t="n"/>
      <c r="G509" s="32" t="n"/>
      <c r="H509" s="39">
        <f>IF(C509="","",IFERROR(INDEX('Animais'!$M$6:$M$1005,MATCH(C509,'Animais'!$A$6:$A$1005,0)),"Brinco não cadastrado"))</f>
        <v/>
      </c>
      <c r="I509" s="34">
        <f>IF(A509="","",YEAR(A509))</f>
        <v/>
      </c>
      <c r="J509" s="45">
        <f>IF(OR(N(D509)=0,N(E509)=0),"",IFERROR(E509/D509,""))</f>
        <v/>
      </c>
    </row>
    <row r="510">
      <c r="A510" s="31" t="n"/>
      <c r="B510" s="37" t="n"/>
      <c r="C510" s="36" t="n"/>
      <c r="D510" s="38" t="n"/>
      <c r="E510" s="44" t="n"/>
      <c r="F510" s="32" t="n"/>
      <c r="G510" s="32" t="n"/>
      <c r="H510" s="39">
        <f>IF(C510="","",IFERROR(INDEX('Animais'!$M$6:$M$1005,MATCH(C510,'Animais'!$A$6:$A$1005,0)),"Brinco não cadastrado"))</f>
        <v/>
      </c>
      <c r="I510" s="34">
        <f>IF(A510="","",YEAR(A510))</f>
        <v/>
      </c>
      <c r="J510" s="45">
        <f>IF(OR(N(D510)=0,N(E510)=0),"",IFERROR(E510/D510,""))</f>
        <v/>
      </c>
    </row>
    <row r="511">
      <c r="A511" s="31" t="n"/>
      <c r="B511" s="37" t="n"/>
      <c r="C511" s="36" t="n"/>
      <c r="D511" s="38" t="n"/>
      <c r="E511" s="44" t="n"/>
      <c r="F511" s="32" t="n"/>
      <c r="G511" s="32" t="n"/>
      <c r="H511" s="39">
        <f>IF(C511="","",IFERROR(INDEX('Animais'!$M$6:$M$1005,MATCH(C511,'Animais'!$A$6:$A$1005,0)),"Brinco não cadastrado"))</f>
        <v/>
      </c>
      <c r="I511" s="34">
        <f>IF(A511="","",YEAR(A511))</f>
        <v/>
      </c>
      <c r="J511" s="45">
        <f>IF(OR(N(D511)=0,N(E511)=0),"",IFERROR(E511/D511,""))</f>
        <v/>
      </c>
    </row>
    <row r="512">
      <c r="A512" s="31" t="n"/>
      <c r="B512" s="37" t="n"/>
      <c r="C512" s="36" t="n"/>
      <c r="D512" s="38" t="n"/>
      <c r="E512" s="44" t="n"/>
      <c r="F512" s="32" t="n"/>
      <c r="G512" s="32" t="n"/>
      <c r="H512" s="39">
        <f>IF(C512="","",IFERROR(INDEX('Animais'!$M$6:$M$1005,MATCH(C512,'Animais'!$A$6:$A$1005,0)),"Brinco não cadastrado"))</f>
        <v/>
      </c>
      <c r="I512" s="34">
        <f>IF(A512="","",YEAR(A512))</f>
        <v/>
      </c>
      <c r="J512" s="45">
        <f>IF(OR(N(D512)=0,N(E512)=0),"",IFERROR(E512/D512,""))</f>
        <v/>
      </c>
    </row>
    <row r="513">
      <c r="A513" s="31" t="n"/>
      <c r="B513" s="37" t="n"/>
      <c r="C513" s="36" t="n"/>
      <c r="D513" s="38" t="n"/>
      <c r="E513" s="44" t="n"/>
      <c r="F513" s="32" t="n"/>
      <c r="G513" s="32" t="n"/>
      <c r="H513" s="39">
        <f>IF(C513="","",IFERROR(INDEX('Animais'!$M$6:$M$1005,MATCH(C513,'Animais'!$A$6:$A$1005,0)),"Brinco não cadastrado"))</f>
        <v/>
      </c>
      <c r="I513" s="34">
        <f>IF(A513="","",YEAR(A513))</f>
        <v/>
      </c>
      <c r="J513" s="45">
        <f>IF(OR(N(D513)=0,N(E513)=0),"",IFERROR(E513/D513,""))</f>
        <v/>
      </c>
    </row>
    <row r="514">
      <c r="A514" s="31" t="n"/>
      <c r="B514" s="37" t="n"/>
      <c r="C514" s="36" t="n"/>
      <c r="D514" s="38" t="n"/>
      <c r="E514" s="44" t="n"/>
      <c r="F514" s="32" t="n"/>
      <c r="G514" s="32" t="n"/>
      <c r="H514" s="39">
        <f>IF(C514="","",IFERROR(INDEX('Animais'!$M$6:$M$1005,MATCH(C514,'Animais'!$A$6:$A$1005,0)),"Brinco não cadastrado"))</f>
        <v/>
      </c>
      <c r="I514" s="34">
        <f>IF(A514="","",YEAR(A514))</f>
        <v/>
      </c>
      <c r="J514" s="45">
        <f>IF(OR(N(D514)=0,N(E514)=0),"",IFERROR(E514/D514,""))</f>
        <v/>
      </c>
    </row>
    <row r="515">
      <c r="A515" s="31" t="n"/>
      <c r="B515" s="37" t="n"/>
      <c r="C515" s="36" t="n"/>
      <c r="D515" s="38" t="n"/>
      <c r="E515" s="44" t="n"/>
      <c r="F515" s="32" t="n"/>
      <c r="G515" s="32" t="n"/>
      <c r="H515" s="39">
        <f>IF(C515="","",IFERROR(INDEX('Animais'!$M$6:$M$1005,MATCH(C515,'Animais'!$A$6:$A$1005,0)),"Brinco não cadastrado"))</f>
        <v/>
      </c>
      <c r="I515" s="34">
        <f>IF(A515="","",YEAR(A515))</f>
        <v/>
      </c>
      <c r="J515" s="45">
        <f>IF(OR(N(D515)=0,N(E515)=0),"",IFERROR(E515/D515,""))</f>
        <v/>
      </c>
    </row>
    <row r="516">
      <c r="A516" s="31" t="n"/>
      <c r="B516" s="37" t="n"/>
      <c r="C516" s="36" t="n"/>
      <c r="D516" s="38" t="n"/>
      <c r="E516" s="44" t="n"/>
      <c r="F516" s="32" t="n"/>
      <c r="G516" s="32" t="n"/>
      <c r="H516" s="39">
        <f>IF(C516="","",IFERROR(INDEX('Animais'!$M$6:$M$1005,MATCH(C516,'Animais'!$A$6:$A$1005,0)),"Brinco não cadastrado"))</f>
        <v/>
      </c>
      <c r="I516" s="34">
        <f>IF(A516="","",YEAR(A516))</f>
        <v/>
      </c>
      <c r="J516" s="45">
        <f>IF(OR(N(D516)=0,N(E516)=0),"",IFERROR(E516/D516,""))</f>
        <v/>
      </c>
    </row>
    <row r="517">
      <c r="A517" s="31" t="n"/>
      <c r="B517" s="37" t="n"/>
      <c r="C517" s="36" t="n"/>
      <c r="D517" s="38" t="n"/>
      <c r="E517" s="44" t="n"/>
      <c r="F517" s="32" t="n"/>
      <c r="G517" s="32" t="n"/>
      <c r="H517" s="39">
        <f>IF(C517="","",IFERROR(INDEX('Animais'!$M$6:$M$1005,MATCH(C517,'Animais'!$A$6:$A$1005,0)),"Brinco não cadastrado"))</f>
        <v/>
      </c>
      <c r="I517" s="34">
        <f>IF(A517="","",YEAR(A517))</f>
        <v/>
      </c>
      <c r="J517" s="45">
        <f>IF(OR(N(D517)=0,N(E517)=0),"",IFERROR(E517/D517,""))</f>
        <v/>
      </c>
    </row>
    <row r="518">
      <c r="A518" s="31" t="n"/>
      <c r="B518" s="37" t="n"/>
      <c r="C518" s="36" t="n"/>
      <c r="D518" s="38" t="n"/>
      <c r="E518" s="44" t="n"/>
      <c r="F518" s="32" t="n"/>
      <c r="G518" s="32" t="n"/>
      <c r="H518" s="39">
        <f>IF(C518="","",IFERROR(INDEX('Animais'!$M$6:$M$1005,MATCH(C518,'Animais'!$A$6:$A$1005,0)),"Brinco não cadastrado"))</f>
        <v/>
      </c>
      <c r="I518" s="34">
        <f>IF(A518="","",YEAR(A518))</f>
        <v/>
      </c>
      <c r="J518" s="45">
        <f>IF(OR(N(D518)=0,N(E518)=0),"",IFERROR(E518/D518,""))</f>
        <v/>
      </c>
    </row>
    <row r="519">
      <c r="A519" s="31" t="n"/>
      <c r="B519" s="37" t="n"/>
      <c r="C519" s="36" t="n"/>
      <c r="D519" s="38" t="n"/>
      <c r="E519" s="44" t="n"/>
      <c r="F519" s="32" t="n"/>
      <c r="G519" s="32" t="n"/>
      <c r="H519" s="39">
        <f>IF(C519="","",IFERROR(INDEX('Animais'!$M$6:$M$1005,MATCH(C519,'Animais'!$A$6:$A$1005,0)),"Brinco não cadastrado"))</f>
        <v/>
      </c>
      <c r="I519" s="34">
        <f>IF(A519="","",YEAR(A519))</f>
        <v/>
      </c>
      <c r="J519" s="45">
        <f>IF(OR(N(D519)=0,N(E519)=0),"",IFERROR(E519/D519,""))</f>
        <v/>
      </c>
    </row>
    <row r="520">
      <c r="A520" s="31" t="n"/>
      <c r="B520" s="37" t="n"/>
      <c r="C520" s="36" t="n"/>
      <c r="D520" s="38" t="n"/>
      <c r="E520" s="44" t="n"/>
      <c r="F520" s="32" t="n"/>
      <c r="G520" s="32" t="n"/>
      <c r="H520" s="39">
        <f>IF(C520="","",IFERROR(INDEX('Animais'!$M$6:$M$1005,MATCH(C520,'Animais'!$A$6:$A$1005,0)),"Brinco não cadastrado"))</f>
        <v/>
      </c>
      <c r="I520" s="34">
        <f>IF(A520="","",YEAR(A520))</f>
        <v/>
      </c>
      <c r="J520" s="45">
        <f>IF(OR(N(D520)=0,N(E520)=0),"",IFERROR(E520/D520,""))</f>
        <v/>
      </c>
    </row>
    <row r="521">
      <c r="A521" s="31" t="n"/>
      <c r="B521" s="37" t="n"/>
      <c r="C521" s="36" t="n"/>
      <c r="D521" s="38" t="n"/>
      <c r="E521" s="44" t="n"/>
      <c r="F521" s="32" t="n"/>
      <c r="G521" s="32" t="n"/>
      <c r="H521" s="39">
        <f>IF(C521="","",IFERROR(INDEX('Animais'!$M$6:$M$1005,MATCH(C521,'Animais'!$A$6:$A$1005,0)),"Brinco não cadastrado"))</f>
        <v/>
      </c>
      <c r="I521" s="34">
        <f>IF(A521="","",YEAR(A521))</f>
        <v/>
      </c>
      <c r="J521" s="45">
        <f>IF(OR(N(D521)=0,N(E521)=0),"",IFERROR(E521/D521,""))</f>
        <v/>
      </c>
    </row>
    <row r="522">
      <c r="A522" s="31" t="n"/>
      <c r="B522" s="37" t="n"/>
      <c r="C522" s="36" t="n"/>
      <c r="D522" s="38" t="n"/>
      <c r="E522" s="44" t="n"/>
      <c r="F522" s="32" t="n"/>
      <c r="G522" s="32" t="n"/>
      <c r="H522" s="39">
        <f>IF(C522="","",IFERROR(INDEX('Animais'!$M$6:$M$1005,MATCH(C522,'Animais'!$A$6:$A$1005,0)),"Brinco não cadastrado"))</f>
        <v/>
      </c>
      <c r="I522" s="34">
        <f>IF(A522="","",YEAR(A522))</f>
        <v/>
      </c>
      <c r="J522" s="45">
        <f>IF(OR(N(D522)=0,N(E522)=0),"",IFERROR(E522/D522,""))</f>
        <v/>
      </c>
    </row>
    <row r="523">
      <c r="A523" s="31" t="n"/>
      <c r="B523" s="37" t="n"/>
      <c r="C523" s="36" t="n"/>
      <c r="D523" s="38" t="n"/>
      <c r="E523" s="44" t="n"/>
      <c r="F523" s="32" t="n"/>
      <c r="G523" s="32" t="n"/>
      <c r="H523" s="39">
        <f>IF(C523="","",IFERROR(INDEX('Animais'!$M$6:$M$1005,MATCH(C523,'Animais'!$A$6:$A$1005,0)),"Brinco não cadastrado"))</f>
        <v/>
      </c>
      <c r="I523" s="34">
        <f>IF(A523="","",YEAR(A523))</f>
        <v/>
      </c>
      <c r="J523" s="45">
        <f>IF(OR(N(D523)=0,N(E523)=0),"",IFERROR(E523/D523,""))</f>
        <v/>
      </c>
    </row>
    <row r="524">
      <c r="A524" s="31" t="n"/>
      <c r="B524" s="37" t="n"/>
      <c r="C524" s="36" t="n"/>
      <c r="D524" s="38" t="n"/>
      <c r="E524" s="44" t="n"/>
      <c r="F524" s="32" t="n"/>
      <c r="G524" s="32" t="n"/>
      <c r="H524" s="39">
        <f>IF(C524="","",IFERROR(INDEX('Animais'!$M$6:$M$1005,MATCH(C524,'Animais'!$A$6:$A$1005,0)),"Brinco não cadastrado"))</f>
        <v/>
      </c>
      <c r="I524" s="34">
        <f>IF(A524="","",YEAR(A524))</f>
        <v/>
      </c>
      <c r="J524" s="45">
        <f>IF(OR(N(D524)=0,N(E524)=0),"",IFERROR(E524/D524,""))</f>
        <v/>
      </c>
    </row>
    <row r="525">
      <c r="A525" s="31" t="n"/>
      <c r="B525" s="37" t="n"/>
      <c r="C525" s="36" t="n"/>
      <c r="D525" s="38" t="n"/>
      <c r="E525" s="44" t="n"/>
      <c r="F525" s="32" t="n"/>
      <c r="G525" s="32" t="n"/>
      <c r="H525" s="39">
        <f>IF(C525="","",IFERROR(INDEX('Animais'!$M$6:$M$1005,MATCH(C525,'Animais'!$A$6:$A$1005,0)),"Brinco não cadastrado"))</f>
        <v/>
      </c>
      <c r="I525" s="34">
        <f>IF(A525="","",YEAR(A525))</f>
        <v/>
      </c>
      <c r="J525" s="45">
        <f>IF(OR(N(D525)=0,N(E525)=0),"",IFERROR(E525/D525,""))</f>
        <v/>
      </c>
    </row>
    <row r="526">
      <c r="A526" s="31" t="n"/>
      <c r="B526" s="37" t="n"/>
      <c r="C526" s="36" t="n"/>
      <c r="D526" s="38" t="n"/>
      <c r="E526" s="44" t="n"/>
      <c r="F526" s="32" t="n"/>
      <c r="G526" s="32" t="n"/>
      <c r="H526" s="39">
        <f>IF(C526="","",IFERROR(INDEX('Animais'!$M$6:$M$1005,MATCH(C526,'Animais'!$A$6:$A$1005,0)),"Brinco não cadastrado"))</f>
        <v/>
      </c>
      <c r="I526" s="34">
        <f>IF(A526="","",YEAR(A526))</f>
        <v/>
      </c>
      <c r="J526" s="45">
        <f>IF(OR(N(D526)=0,N(E526)=0),"",IFERROR(E526/D526,""))</f>
        <v/>
      </c>
    </row>
    <row r="527">
      <c r="A527" s="31" t="n"/>
      <c r="B527" s="37" t="n"/>
      <c r="C527" s="36" t="n"/>
      <c r="D527" s="38" t="n"/>
      <c r="E527" s="44" t="n"/>
      <c r="F527" s="32" t="n"/>
      <c r="G527" s="32" t="n"/>
      <c r="H527" s="39">
        <f>IF(C527="","",IFERROR(INDEX('Animais'!$M$6:$M$1005,MATCH(C527,'Animais'!$A$6:$A$1005,0)),"Brinco não cadastrado"))</f>
        <v/>
      </c>
      <c r="I527" s="34">
        <f>IF(A527="","",YEAR(A527))</f>
        <v/>
      </c>
      <c r="J527" s="45">
        <f>IF(OR(N(D527)=0,N(E527)=0),"",IFERROR(E527/D527,""))</f>
        <v/>
      </c>
    </row>
    <row r="528">
      <c r="A528" s="31" t="n"/>
      <c r="B528" s="37" t="n"/>
      <c r="C528" s="36" t="n"/>
      <c r="D528" s="38" t="n"/>
      <c r="E528" s="44" t="n"/>
      <c r="F528" s="32" t="n"/>
      <c r="G528" s="32" t="n"/>
      <c r="H528" s="39">
        <f>IF(C528="","",IFERROR(INDEX('Animais'!$M$6:$M$1005,MATCH(C528,'Animais'!$A$6:$A$1005,0)),"Brinco não cadastrado"))</f>
        <v/>
      </c>
      <c r="I528" s="34">
        <f>IF(A528="","",YEAR(A528))</f>
        <v/>
      </c>
      <c r="J528" s="45">
        <f>IF(OR(N(D528)=0,N(E528)=0),"",IFERROR(E528/D528,""))</f>
        <v/>
      </c>
    </row>
    <row r="529">
      <c r="A529" s="31" t="n"/>
      <c r="B529" s="37" t="n"/>
      <c r="C529" s="36" t="n"/>
      <c r="D529" s="38" t="n"/>
      <c r="E529" s="44" t="n"/>
      <c r="F529" s="32" t="n"/>
      <c r="G529" s="32" t="n"/>
      <c r="H529" s="39">
        <f>IF(C529="","",IFERROR(INDEX('Animais'!$M$6:$M$1005,MATCH(C529,'Animais'!$A$6:$A$1005,0)),"Brinco não cadastrado"))</f>
        <v/>
      </c>
      <c r="I529" s="34">
        <f>IF(A529="","",YEAR(A529))</f>
        <v/>
      </c>
      <c r="J529" s="45">
        <f>IF(OR(N(D529)=0,N(E529)=0),"",IFERROR(E529/D529,""))</f>
        <v/>
      </c>
    </row>
    <row r="530">
      <c r="A530" s="31" t="n"/>
      <c r="B530" s="37" t="n"/>
      <c r="C530" s="36" t="n"/>
      <c r="D530" s="38" t="n"/>
      <c r="E530" s="44" t="n"/>
      <c r="F530" s="32" t="n"/>
      <c r="G530" s="32" t="n"/>
      <c r="H530" s="39">
        <f>IF(C530="","",IFERROR(INDEX('Animais'!$M$6:$M$1005,MATCH(C530,'Animais'!$A$6:$A$1005,0)),"Brinco não cadastrado"))</f>
        <v/>
      </c>
      <c r="I530" s="34">
        <f>IF(A530="","",YEAR(A530))</f>
        <v/>
      </c>
      <c r="J530" s="45">
        <f>IF(OR(N(D530)=0,N(E530)=0),"",IFERROR(E530/D530,""))</f>
        <v/>
      </c>
    </row>
    <row r="531">
      <c r="A531" s="31" t="n"/>
      <c r="B531" s="37" t="n"/>
      <c r="C531" s="36" t="n"/>
      <c r="D531" s="38" t="n"/>
      <c r="E531" s="44" t="n"/>
      <c r="F531" s="32" t="n"/>
      <c r="G531" s="32" t="n"/>
      <c r="H531" s="39">
        <f>IF(C531="","",IFERROR(INDEX('Animais'!$M$6:$M$1005,MATCH(C531,'Animais'!$A$6:$A$1005,0)),"Brinco não cadastrado"))</f>
        <v/>
      </c>
      <c r="I531" s="34">
        <f>IF(A531="","",YEAR(A531))</f>
        <v/>
      </c>
      <c r="J531" s="45">
        <f>IF(OR(N(D531)=0,N(E531)=0),"",IFERROR(E531/D531,""))</f>
        <v/>
      </c>
    </row>
    <row r="532">
      <c r="A532" s="31" t="n"/>
      <c r="B532" s="37" t="n"/>
      <c r="C532" s="36" t="n"/>
      <c r="D532" s="38" t="n"/>
      <c r="E532" s="44" t="n"/>
      <c r="F532" s="32" t="n"/>
      <c r="G532" s="32" t="n"/>
      <c r="H532" s="39">
        <f>IF(C532="","",IFERROR(INDEX('Animais'!$M$6:$M$1005,MATCH(C532,'Animais'!$A$6:$A$1005,0)),"Brinco não cadastrado"))</f>
        <v/>
      </c>
      <c r="I532" s="34">
        <f>IF(A532="","",YEAR(A532))</f>
        <v/>
      </c>
      <c r="J532" s="45">
        <f>IF(OR(N(D532)=0,N(E532)=0),"",IFERROR(E532/D532,""))</f>
        <v/>
      </c>
    </row>
    <row r="533">
      <c r="A533" s="31" t="n"/>
      <c r="B533" s="37" t="n"/>
      <c r="C533" s="36" t="n"/>
      <c r="D533" s="38" t="n"/>
      <c r="E533" s="44" t="n"/>
      <c r="F533" s="32" t="n"/>
      <c r="G533" s="32" t="n"/>
      <c r="H533" s="39">
        <f>IF(C533="","",IFERROR(INDEX('Animais'!$M$6:$M$1005,MATCH(C533,'Animais'!$A$6:$A$1005,0)),"Brinco não cadastrado"))</f>
        <v/>
      </c>
      <c r="I533" s="34">
        <f>IF(A533="","",YEAR(A533))</f>
        <v/>
      </c>
      <c r="J533" s="45">
        <f>IF(OR(N(D533)=0,N(E533)=0),"",IFERROR(E533/D533,""))</f>
        <v/>
      </c>
    </row>
    <row r="534">
      <c r="A534" s="31" t="n"/>
      <c r="B534" s="37" t="n"/>
      <c r="C534" s="36" t="n"/>
      <c r="D534" s="38" t="n"/>
      <c r="E534" s="44" t="n"/>
      <c r="F534" s="32" t="n"/>
      <c r="G534" s="32" t="n"/>
      <c r="H534" s="39">
        <f>IF(C534="","",IFERROR(INDEX('Animais'!$M$6:$M$1005,MATCH(C534,'Animais'!$A$6:$A$1005,0)),"Brinco não cadastrado"))</f>
        <v/>
      </c>
      <c r="I534" s="34">
        <f>IF(A534="","",YEAR(A534))</f>
        <v/>
      </c>
      <c r="J534" s="45">
        <f>IF(OR(N(D534)=0,N(E534)=0),"",IFERROR(E534/D534,""))</f>
        <v/>
      </c>
    </row>
    <row r="535">
      <c r="A535" s="31" t="n"/>
      <c r="B535" s="37" t="n"/>
      <c r="C535" s="36" t="n"/>
      <c r="D535" s="38" t="n"/>
      <c r="E535" s="44" t="n"/>
      <c r="F535" s="32" t="n"/>
      <c r="G535" s="32" t="n"/>
      <c r="H535" s="39">
        <f>IF(C535="","",IFERROR(INDEX('Animais'!$M$6:$M$1005,MATCH(C535,'Animais'!$A$6:$A$1005,0)),"Brinco não cadastrado"))</f>
        <v/>
      </c>
      <c r="I535" s="34">
        <f>IF(A535="","",YEAR(A535))</f>
        <v/>
      </c>
      <c r="J535" s="45">
        <f>IF(OR(N(D535)=0,N(E535)=0),"",IFERROR(E535/D535,""))</f>
        <v/>
      </c>
    </row>
    <row r="536">
      <c r="A536" s="31" t="n"/>
      <c r="B536" s="37" t="n"/>
      <c r="C536" s="36" t="n"/>
      <c r="D536" s="38" t="n"/>
      <c r="E536" s="44" t="n"/>
      <c r="F536" s="32" t="n"/>
      <c r="G536" s="32" t="n"/>
      <c r="H536" s="39">
        <f>IF(C536="","",IFERROR(INDEX('Animais'!$M$6:$M$1005,MATCH(C536,'Animais'!$A$6:$A$1005,0)),"Brinco não cadastrado"))</f>
        <v/>
      </c>
      <c r="I536" s="34">
        <f>IF(A536="","",YEAR(A536))</f>
        <v/>
      </c>
      <c r="J536" s="45">
        <f>IF(OR(N(D536)=0,N(E536)=0),"",IFERROR(E536/D536,""))</f>
        <v/>
      </c>
    </row>
    <row r="537">
      <c r="A537" s="31" t="n"/>
      <c r="B537" s="37" t="n"/>
      <c r="C537" s="36" t="n"/>
      <c r="D537" s="38" t="n"/>
      <c r="E537" s="44" t="n"/>
      <c r="F537" s="32" t="n"/>
      <c r="G537" s="32" t="n"/>
      <c r="H537" s="39">
        <f>IF(C537="","",IFERROR(INDEX('Animais'!$M$6:$M$1005,MATCH(C537,'Animais'!$A$6:$A$1005,0)),"Brinco não cadastrado"))</f>
        <v/>
      </c>
      <c r="I537" s="34">
        <f>IF(A537="","",YEAR(A537))</f>
        <v/>
      </c>
      <c r="J537" s="45">
        <f>IF(OR(N(D537)=0,N(E537)=0),"",IFERROR(E537/D537,""))</f>
        <v/>
      </c>
    </row>
    <row r="538">
      <c r="A538" s="31" t="n"/>
      <c r="B538" s="37" t="n"/>
      <c r="C538" s="36" t="n"/>
      <c r="D538" s="38" t="n"/>
      <c r="E538" s="44" t="n"/>
      <c r="F538" s="32" t="n"/>
      <c r="G538" s="32" t="n"/>
      <c r="H538" s="39">
        <f>IF(C538="","",IFERROR(INDEX('Animais'!$M$6:$M$1005,MATCH(C538,'Animais'!$A$6:$A$1005,0)),"Brinco não cadastrado"))</f>
        <v/>
      </c>
      <c r="I538" s="34">
        <f>IF(A538="","",YEAR(A538))</f>
        <v/>
      </c>
      <c r="J538" s="45">
        <f>IF(OR(N(D538)=0,N(E538)=0),"",IFERROR(E538/D538,""))</f>
        <v/>
      </c>
    </row>
    <row r="539">
      <c r="A539" s="31" t="n"/>
      <c r="B539" s="37" t="n"/>
      <c r="C539" s="36" t="n"/>
      <c r="D539" s="38" t="n"/>
      <c r="E539" s="44" t="n"/>
      <c r="F539" s="32" t="n"/>
      <c r="G539" s="32" t="n"/>
      <c r="H539" s="39">
        <f>IF(C539="","",IFERROR(INDEX('Animais'!$M$6:$M$1005,MATCH(C539,'Animais'!$A$6:$A$1005,0)),"Brinco não cadastrado"))</f>
        <v/>
      </c>
      <c r="I539" s="34">
        <f>IF(A539="","",YEAR(A539))</f>
        <v/>
      </c>
      <c r="J539" s="45">
        <f>IF(OR(N(D539)=0,N(E539)=0),"",IFERROR(E539/D539,""))</f>
        <v/>
      </c>
    </row>
    <row r="540">
      <c r="A540" s="31" t="n"/>
      <c r="B540" s="37" t="n"/>
      <c r="C540" s="36" t="n"/>
      <c r="D540" s="38" t="n"/>
      <c r="E540" s="44" t="n"/>
      <c r="F540" s="32" t="n"/>
      <c r="G540" s="32" t="n"/>
      <c r="H540" s="39">
        <f>IF(C540="","",IFERROR(INDEX('Animais'!$M$6:$M$1005,MATCH(C540,'Animais'!$A$6:$A$1005,0)),"Brinco não cadastrado"))</f>
        <v/>
      </c>
      <c r="I540" s="34">
        <f>IF(A540="","",YEAR(A540))</f>
        <v/>
      </c>
      <c r="J540" s="45">
        <f>IF(OR(N(D540)=0,N(E540)=0),"",IFERROR(E540/D540,""))</f>
        <v/>
      </c>
    </row>
    <row r="541">
      <c r="A541" s="31" t="n"/>
      <c r="B541" s="37" t="n"/>
      <c r="C541" s="36" t="n"/>
      <c r="D541" s="38" t="n"/>
      <c r="E541" s="44" t="n"/>
      <c r="F541" s="32" t="n"/>
      <c r="G541" s="32" t="n"/>
      <c r="H541" s="39">
        <f>IF(C541="","",IFERROR(INDEX('Animais'!$M$6:$M$1005,MATCH(C541,'Animais'!$A$6:$A$1005,0)),"Brinco não cadastrado"))</f>
        <v/>
      </c>
      <c r="I541" s="34">
        <f>IF(A541="","",YEAR(A541))</f>
        <v/>
      </c>
      <c r="J541" s="45">
        <f>IF(OR(N(D541)=0,N(E541)=0),"",IFERROR(E541/D541,""))</f>
        <v/>
      </c>
    </row>
    <row r="542">
      <c r="A542" s="31" t="n"/>
      <c r="B542" s="37" t="n"/>
      <c r="C542" s="36" t="n"/>
      <c r="D542" s="38" t="n"/>
      <c r="E542" s="44" t="n"/>
      <c r="F542" s="32" t="n"/>
      <c r="G542" s="32" t="n"/>
      <c r="H542" s="39">
        <f>IF(C542="","",IFERROR(INDEX('Animais'!$M$6:$M$1005,MATCH(C542,'Animais'!$A$6:$A$1005,0)),"Brinco não cadastrado"))</f>
        <v/>
      </c>
      <c r="I542" s="34">
        <f>IF(A542="","",YEAR(A542))</f>
        <v/>
      </c>
      <c r="J542" s="45">
        <f>IF(OR(N(D542)=0,N(E542)=0),"",IFERROR(E542/D542,""))</f>
        <v/>
      </c>
    </row>
    <row r="543">
      <c r="A543" s="31" t="n"/>
      <c r="B543" s="37" t="n"/>
      <c r="C543" s="36" t="n"/>
      <c r="D543" s="38" t="n"/>
      <c r="E543" s="44" t="n"/>
      <c r="F543" s="32" t="n"/>
      <c r="G543" s="32" t="n"/>
      <c r="H543" s="39">
        <f>IF(C543="","",IFERROR(INDEX('Animais'!$M$6:$M$1005,MATCH(C543,'Animais'!$A$6:$A$1005,0)),"Brinco não cadastrado"))</f>
        <v/>
      </c>
      <c r="I543" s="34">
        <f>IF(A543="","",YEAR(A543))</f>
        <v/>
      </c>
      <c r="J543" s="45">
        <f>IF(OR(N(D543)=0,N(E543)=0),"",IFERROR(E543/D543,""))</f>
        <v/>
      </c>
    </row>
    <row r="544">
      <c r="A544" s="31" t="n"/>
      <c r="B544" s="37" t="n"/>
      <c r="C544" s="36" t="n"/>
      <c r="D544" s="38" t="n"/>
      <c r="E544" s="44" t="n"/>
      <c r="F544" s="32" t="n"/>
      <c r="G544" s="32" t="n"/>
      <c r="H544" s="39">
        <f>IF(C544="","",IFERROR(INDEX('Animais'!$M$6:$M$1005,MATCH(C544,'Animais'!$A$6:$A$1005,0)),"Brinco não cadastrado"))</f>
        <v/>
      </c>
      <c r="I544" s="34">
        <f>IF(A544="","",YEAR(A544))</f>
        <v/>
      </c>
      <c r="J544" s="45">
        <f>IF(OR(N(D544)=0,N(E544)=0),"",IFERROR(E544/D544,""))</f>
        <v/>
      </c>
    </row>
    <row r="545">
      <c r="A545" s="31" t="n"/>
      <c r="B545" s="37" t="n"/>
      <c r="C545" s="36" t="n"/>
      <c r="D545" s="38" t="n"/>
      <c r="E545" s="44" t="n"/>
      <c r="F545" s="32" t="n"/>
      <c r="G545" s="32" t="n"/>
      <c r="H545" s="39">
        <f>IF(C545="","",IFERROR(INDEX('Animais'!$M$6:$M$1005,MATCH(C545,'Animais'!$A$6:$A$1005,0)),"Brinco não cadastrado"))</f>
        <v/>
      </c>
      <c r="I545" s="34">
        <f>IF(A545="","",YEAR(A545))</f>
        <v/>
      </c>
      <c r="J545" s="45">
        <f>IF(OR(N(D545)=0,N(E545)=0),"",IFERROR(E545/D545,""))</f>
        <v/>
      </c>
    </row>
    <row r="546">
      <c r="A546" s="31" t="n"/>
      <c r="B546" s="37" t="n"/>
      <c r="C546" s="36" t="n"/>
      <c r="D546" s="38" t="n"/>
      <c r="E546" s="44" t="n"/>
      <c r="F546" s="32" t="n"/>
      <c r="G546" s="32" t="n"/>
      <c r="H546" s="39">
        <f>IF(C546="","",IFERROR(INDEX('Animais'!$M$6:$M$1005,MATCH(C546,'Animais'!$A$6:$A$1005,0)),"Brinco não cadastrado"))</f>
        <v/>
      </c>
      <c r="I546" s="34">
        <f>IF(A546="","",YEAR(A546))</f>
        <v/>
      </c>
      <c r="J546" s="45">
        <f>IF(OR(N(D546)=0,N(E546)=0),"",IFERROR(E546/D546,""))</f>
        <v/>
      </c>
    </row>
    <row r="547">
      <c r="A547" s="31" t="n"/>
      <c r="B547" s="37" t="n"/>
      <c r="C547" s="36" t="n"/>
      <c r="D547" s="38" t="n"/>
      <c r="E547" s="44" t="n"/>
      <c r="F547" s="32" t="n"/>
      <c r="G547" s="32" t="n"/>
      <c r="H547" s="39">
        <f>IF(C547="","",IFERROR(INDEX('Animais'!$M$6:$M$1005,MATCH(C547,'Animais'!$A$6:$A$1005,0)),"Brinco não cadastrado"))</f>
        <v/>
      </c>
      <c r="I547" s="34">
        <f>IF(A547="","",YEAR(A547))</f>
        <v/>
      </c>
      <c r="J547" s="45">
        <f>IF(OR(N(D547)=0,N(E547)=0),"",IFERROR(E547/D547,""))</f>
        <v/>
      </c>
    </row>
    <row r="548">
      <c r="A548" s="31" t="n"/>
      <c r="B548" s="37" t="n"/>
      <c r="C548" s="36" t="n"/>
      <c r="D548" s="38" t="n"/>
      <c r="E548" s="44" t="n"/>
      <c r="F548" s="32" t="n"/>
      <c r="G548" s="32" t="n"/>
      <c r="H548" s="39">
        <f>IF(C548="","",IFERROR(INDEX('Animais'!$M$6:$M$1005,MATCH(C548,'Animais'!$A$6:$A$1005,0)),"Brinco não cadastrado"))</f>
        <v/>
      </c>
      <c r="I548" s="34">
        <f>IF(A548="","",YEAR(A548))</f>
        <v/>
      </c>
      <c r="J548" s="45">
        <f>IF(OR(N(D548)=0,N(E548)=0),"",IFERROR(E548/D548,""))</f>
        <v/>
      </c>
    </row>
    <row r="549">
      <c r="A549" s="31" t="n"/>
      <c r="B549" s="37" t="n"/>
      <c r="C549" s="36" t="n"/>
      <c r="D549" s="38" t="n"/>
      <c r="E549" s="44" t="n"/>
      <c r="F549" s="32" t="n"/>
      <c r="G549" s="32" t="n"/>
      <c r="H549" s="39">
        <f>IF(C549="","",IFERROR(INDEX('Animais'!$M$6:$M$1005,MATCH(C549,'Animais'!$A$6:$A$1005,0)),"Brinco não cadastrado"))</f>
        <v/>
      </c>
      <c r="I549" s="34">
        <f>IF(A549="","",YEAR(A549))</f>
        <v/>
      </c>
      <c r="J549" s="45">
        <f>IF(OR(N(D549)=0,N(E549)=0),"",IFERROR(E549/D549,""))</f>
        <v/>
      </c>
    </row>
    <row r="550">
      <c r="A550" s="31" t="n"/>
      <c r="B550" s="37" t="n"/>
      <c r="C550" s="36" t="n"/>
      <c r="D550" s="38" t="n"/>
      <c r="E550" s="44" t="n"/>
      <c r="F550" s="32" t="n"/>
      <c r="G550" s="32" t="n"/>
      <c r="H550" s="39">
        <f>IF(C550="","",IFERROR(INDEX('Animais'!$M$6:$M$1005,MATCH(C550,'Animais'!$A$6:$A$1005,0)),"Brinco não cadastrado"))</f>
        <v/>
      </c>
      <c r="I550" s="34">
        <f>IF(A550="","",YEAR(A550))</f>
        <v/>
      </c>
      <c r="J550" s="45">
        <f>IF(OR(N(D550)=0,N(E550)=0),"",IFERROR(E550/D550,""))</f>
        <v/>
      </c>
    </row>
    <row r="551">
      <c r="A551" s="31" t="n"/>
      <c r="B551" s="37" t="n"/>
      <c r="C551" s="36" t="n"/>
      <c r="D551" s="38" t="n"/>
      <c r="E551" s="44" t="n"/>
      <c r="F551" s="32" t="n"/>
      <c r="G551" s="32" t="n"/>
      <c r="H551" s="39">
        <f>IF(C551="","",IFERROR(INDEX('Animais'!$M$6:$M$1005,MATCH(C551,'Animais'!$A$6:$A$1005,0)),"Brinco não cadastrado"))</f>
        <v/>
      </c>
      <c r="I551" s="34">
        <f>IF(A551="","",YEAR(A551))</f>
        <v/>
      </c>
      <c r="J551" s="45">
        <f>IF(OR(N(D551)=0,N(E551)=0),"",IFERROR(E551/D551,""))</f>
        <v/>
      </c>
    </row>
    <row r="552">
      <c r="A552" s="31" t="n"/>
      <c r="B552" s="37" t="n"/>
      <c r="C552" s="36" t="n"/>
      <c r="D552" s="38" t="n"/>
      <c r="E552" s="44" t="n"/>
      <c r="F552" s="32" t="n"/>
      <c r="G552" s="32" t="n"/>
      <c r="H552" s="39">
        <f>IF(C552="","",IFERROR(INDEX('Animais'!$M$6:$M$1005,MATCH(C552,'Animais'!$A$6:$A$1005,0)),"Brinco não cadastrado"))</f>
        <v/>
      </c>
      <c r="I552" s="34">
        <f>IF(A552="","",YEAR(A552))</f>
        <v/>
      </c>
      <c r="J552" s="45">
        <f>IF(OR(N(D552)=0,N(E552)=0),"",IFERROR(E552/D552,""))</f>
        <v/>
      </c>
    </row>
    <row r="553">
      <c r="A553" s="31" t="n"/>
      <c r="B553" s="37" t="n"/>
      <c r="C553" s="36" t="n"/>
      <c r="D553" s="38" t="n"/>
      <c r="E553" s="44" t="n"/>
      <c r="F553" s="32" t="n"/>
      <c r="G553" s="32" t="n"/>
      <c r="H553" s="39">
        <f>IF(C553="","",IFERROR(INDEX('Animais'!$M$6:$M$1005,MATCH(C553,'Animais'!$A$6:$A$1005,0)),"Brinco não cadastrado"))</f>
        <v/>
      </c>
      <c r="I553" s="34">
        <f>IF(A553="","",YEAR(A553))</f>
        <v/>
      </c>
      <c r="J553" s="45">
        <f>IF(OR(N(D553)=0,N(E553)=0),"",IFERROR(E553/D553,""))</f>
        <v/>
      </c>
    </row>
    <row r="554">
      <c r="A554" s="31" t="n"/>
      <c r="B554" s="37" t="n"/>
      <c r="C554" s="36" t="n"/>
      <c r="D554" s="38" t="n"/>
      <c r="E554" s="44" t="n"/>
      <c r="F554" s="32" t="n"/>
      <c r="G554" s="32" t="n"/>
      <c r="H554" s="39">
        <f>IF(C554="","",IFERROR(INDEX('Animais'!$M$6:$M$1005,MATCH(C554,'Animais'!$A$6:$A$1005,0)),"Brinco não cadastrado"))</f>
        <v/>
      </c>
      <c r="I554" s="34">
        <f>IF(A554="","",YEAR(A554))</f>
        <v/>
      </c>
      <c r="J554" s="45">
        <f>IF(OR(N(D554)=0,N(E554)=0),"",IFERROR(E554/D554,""))</f>
        <v/>
      </c>
    </row>
    <row r="555">
      <c r="A555" s="31" t="n"/>
      <c r="B555" s="37" t="n"/>
      <c r="C555" s="36" t="n"/>
      <c r="D555" s="38" t="n"/>
      <c r="E555" s="44" t="n"/>
      <c r="F555" s="32" t="n"/>
      <c r="G555" s="32" t="n"/>
      <c r="H555" s="39">
        <f>IF(C555="","",IFERROR(INDEX('Animais'!$M$6:$M$1005,MATCH(C555,'Animais'!$A$6:$A$1005,0)),"Brinco não cadastrado"))</f>
        <v/>
      </c>
      <c r="I555" s="34">
        <f>IF(A555="","",YEAR(A555))</f>
        <v/>
      </c>
      <c r="J555" s="45">
        <f>IF(OR(N(D555)=0,N(E555)=0),"",IFERROR(E555/D555,""))</f>
        <v/>
      </c>
    </row>
    <row r="556">
      <c r="A556" s="31" t="n"/>
      <c r="B556" s="37" t="n"/>
      <c r="C556" s="36" t="n"/>
      <c r="D556" s="38" t="n"/>
      <c r="E556" s="44" t="n"/>
      <c r="F556" s="32" t="n"/>
      <c r="G556" s="32" t="n"/>
      <c r="H556" s="39">
        <f>IF(C556="","",IFERROR(INDEX('Animais'!$M$6:$M$1005,MATCH(C556,'Animais'!$A$6:$A$1005,0)),"Brinco não cadastrado"))</f>
        <v/>
      </c>
      <c r="I556" s="34">
        <f>IF(A556="","",YEAR(A556))</f>
        <v/>
      </c>
      <c r="J556" s="45">
        <f>IF(OR(N(D556)=0,N(E556)=0),"",IFERROR(E556/D556,""))</f>
        <v/>
      </c>
    </row>
    <row r="557">
      <c r="A557" s="31" t="n"/>
      <c r="B557" s="37" t="n"/>
      <c r="C557" s="36" t="n"/>
      <c r="D557" s="38" t="n"/>
      <c r="E557" s="44" t="n"/>
      <c r="F557" s="32" t="n"/>
      <c r="G557" s="32" t="n"/>
      <c r="H557" s="39">
        <f>IF(C557="","",IFERROR(INDEX('Animais'!$M$6:$M$1005,MATCH(C557,'Animais'!$A$6:$A$1005,0)),"Brinco não cadastrado"))</f>
        <v/>
      </c>
      <c r="I557" s="34">
        <f>IF(A557="","",YEAR(A557))</f>
        <v/>
      </c>
      <c r="J557" s="45">
        <f>IF(OR(N(D557)=0,N(E557)=0),"",IFERROR(E557/D557,""))</f>
        <v/>
      </c>
    </row>
    <row r="558">
      <c r="A558" s="31" t="n"/>
      <c r="B558" s="37" t="n"/>
      <c r="C558" s="36" t="n"/>
      <c r="D558" s="38" t="n"/>
      <c r="E558" s="44" t="n"/>
      <c r="F558" s="32" t="n"/>
      <c r="G558" s="32" t="n"/>
      <c r="H558" s="39">
        <f>IF(C558="","",IFERROR(INDEX('Animais'!$M$6:$M$1005,MATCH(C558,'Animais'!$A$6:$A$1005,0)),"Brinco não cadastrado"))</f>
        <v/>
      </c>
      <c r="I558" s="34">
        <f>IF(A558="","",YEAR(A558))</f>
        <v/>
      </c>
      <c r="J558" s="45">
        <f>IF(OR(N(D558)=0,N(E558)=0),"",IFERROR(E558/D558,""))</f>
        <v/>
      </c>
    </row>
    <row r="559">
      <c r="A559" s="31" t="n"/>
      <c r="B559" s="37" t="n"/>
      <c r="C559" s="36" t="n"/>
      <c r="D559" s="38" t="n"/>
      <c r="E559" s="44" t="n"/>
      <c r="F559" s="32" t="n"/>
      <c r="G559" s="32" t="n"/>
      <c r="H559" s="39">
        <f>IF(C559="","",IFERROR(INDEX('Animais'!$M$6:$M$1005,MATCH(C559,'Animais'!$A$6:$A$1005,0)),"Brinco não cadastrado"))</f>
        <v/>
      </c>
      <c r="I559" s="34">
        <f>IF(A559="","",YEAR(A559))</f>
        <v/>
      </c>
      <c r="J559" s="45">
        <f>IF(OR(N(D559)=0,N(E559)=0),"",IFERROR(E559/D559,""))</f>
        <v/>
      </c>
    </row>
    <row r="560">
      <c r="A560" s="31" t="n"/>
      <c r="B560" s="37" t="n"/>
      <c r="C560" s="36" t="n"/>
      <c r="D560" s="38" t="n"/>
      <c r="E560" s="44" t="n"/>
      <c r="F560" s="32" t="n"/>
      <c r="G560" s="32" t="n"/>
      <c r="H560" s="39">
        <f>IF(C560="","",IFERROR(INDEX('Animais'!$M$6:$M$1005,MATCH(C560,'Animais'!$A$6:$A$1005,0)),"Brinco não cadastrado"))</f>
        <v/>
      </c>
      <c r="I560" s="34">
        <f>IF(A560="","",YEAR(A560))</f>
        <v/>
      </c>
      <c r="J560" s="45">
        <f>IF(OR(N(D560)=0,N(E560)=0),"",IFERROR(E560/D560,""))</f>
        <v/>
      </c>
    </row>
    <row r="561">
      <c r="A561" s="31" t="n"/>
      <c r="B561" s="37" t="n"/>
      <c r="C561" s="36" t="n"/>
      <c r="D561" s="38" t="n"/>
      <c r="E561" s="44" t="n"/>
      <c r="F561" s="32" t="n"/>
      <c r="G561" s="32" t="n"/>
      <c r="H561" s="39">
        <f>IF(C561="","",IFERROR(INDEX('Animais'!$M$6:$M$1005,MATCH(C561,'Animais'!$A$6:$A$1005,0)),"Brinco não cadastrado"))</f>
        <v/>
      </c>
      <c r="I561" s="34">
        <f>IF(A561="","",YEAR(A561))</f>
        <v/>
      </c>
      <c r="J561" s="45">
        <f>IF(OR(N(D561)=0,N(E561)=0),"",IFERROR(E561/D561,""))</f>
        <v/>
      </c>
    </row>
    <row r="562">
      <c r="A562" s="31" t="n"/>
      <c r="B562" s="37" t="n"/>
      <c r="C562" s="36" t="n"/>
      <c r="D562" s="38" t="n"/>
      <c r="E562" s="44" t="n"/>
      <c r="F562" s="32" t="n"/>
      <c r="G562" s="32" t="n"/>
      <c r="H562" s="39">
        <f>IF(C562="","",IFERROR(INDEX('Animais'!$M$6:$M$1005,MATCH(C562,'Animais'!$A$6:$A$1005,0)),"Brinco não cadastrado"))</f>
        <v/>
      </c>
      <c r="I562" s="34">
        <f>IF(A562="","",YEAR(A562))</f>
        <v/>
      </c>
      <c r="J562" s="45">
        <f>IF(OR(N(D562)=0,N(E562)=0),"",IFERROR(E562/D562,""))</f>
        <v/>
      </c>
    </row>
    <row r="563">
      <c r="A563" s="31" t="n"/>
      <c r="B563" s="37" t="n"/>
      <c r="C563" s="36" t="n"/>
      <c r="D563" s="38" t="n"/>
      <c r="E563" s="44" t="n"/>
      <c r="F563" s="32" t="n"/>
      <c r="G563" s="32" t="n"/>
      <c r="H563" s="39">
        <f>IF(C563="","",IFERROR(INDEX('Animais'!$M$6:$M$1005,MATCH(C563,'Animais'!$A$6:$A$1005,0)),"Brinco não cadastrado"))</f>
        <v/>
      </c>
      <c r="I563" s="34">
        <f>IF(A563="","",YEAR(A563))</f>
        <v/>
      </c>
      <c r="J563" s="45">
        <f>IF(OR(N(D563)=0,N(E563)=0),"",IFERROR(E563/D563,""))</f>
        <v/>
      </c>
    </row>
    <row r="564">
      <c r="A564" s="31" t="n"/>
      <c r="B564" s="37" t="n"/>
      <c r="C564" s="36" t="n"/>
      <c r="D564" s="38" t="n"/>
      <c r="E564" s="44" t="n"/>
      <c r="F564" s="32" t="n"/>
      <c r="G564" s="32" t="n"/>
      <c r="H564" s="39">
        <f>IF(C564="","",IFERROR(INDEX('Animais'!$M$6:$M$1005,MATCH(C564,'Animais'!$A$6:$A$1005,0)),"Brinco não cadastrado"))</f>
        <v/>
      </c>
      <c r="I564" s="34">
        <f>IF(A564="","",YEAR(A564))</f>
        <v/>
      </c>
      <c r="J564" s="45">
        <f>IF(OR(N(D564)=0,N(E564)=0),"",IFERROR(E564/D564,""))</f>
        <v/>
      </c>
    </row>
    <row r="565">
      <c r="A565" s="31" t="n"/>
      <c r="B565" s="37" t="n"/>
      <c r="C565" s="36" t="n"/>
      <c r="D565" s="38" t="n"/>
      <c r="E565" s="44" t="n"/>
      <c r="F565" s="32" t="n"/>
      <c r="G565" s="32" t="n"/>
      <c r="H565" s="39">
        <f>IF(C565="","",IFERROR(INDEX('Animais'!$M$6:$M$1005,MATCH(C565,'Animais'!$A$6:$A$1005,0)),"Brinco não cadastrado"))</f>
        <v/>
      </c>
      <c r="I565" s="34">
        <f>IF(A565="","",YEAR(A565))</f>
        <v/>
      </c>
      <c r="J565" s="45">
        <f>IF(OR(N(D565)=0,N(E565)=0),"",IFERROR(E565/D565,""))</f>
        <v/>
      </c>
    </row>
    <row r="566">
      <c r="A566" s="31" t="n"/>
      <c r="B566" s="37" t="n"/>
      <c r="C566" s="36" t="n"/>
      <c r="D566" s="38" t="n"/>
      <c r="E566" s="44" t="n"/>
      <c r="F566" s="32" t="n"/>
      <c r="G566" s="32" t="n"/>
      <c r="H566" s="39">
        <f>IF(C566="","",IFERROR(INDEX('Animais'!$M$6:$M$1005,MATCH(C566,'Animais'!$A$6:$A$1005,0)),"Brinco não cadastrado"))</f>
        <v/>
      </c>
      <c r="I566" s="34">
        <f>IF(A566="","",YEAR(A566))</f>
        <v/>
      </c>
      <c r="J566" s="45">
        <f>IF(OR(N(D566)=0,N(E566)=0),"",IFERROR(E566/D566,""))</f>
        <v/>
      </c>
    </row>
    <row r="567">
      <c r="A567" s="31" t="n"/>
      <c r="B567" s="37" t="n"/>
      <c r="C567" s="36" t="n"/>
      <c r="D567" s="38" t="n"/>
      <c r="E567" s="44" t="n"/>
      <c r="F567" s="32" t="n"/>
      <c r="G567" s="32" t="n"/>
      <c r="H567" s="39">
        <f>IF(C567="","",IFERROR(INDEX('Animais'!$M$6:$M$1005,MATCH(C567,'Animais'!$A$6:$A$1005,0)),"Brinco não cadastrado"))</f>
        <v/>
      </c>
      <c r="I567" s="34">
        <f>IF(A567="","",YEAR(A567))</f>
        <v/>
      </c>
      <c r="J567" s="45">
        <f>IF(OR(N(D567)=0,N(E567)=0),"",IFERROR(E567/D567,""))</f>
        <v/>
      </c>
    </row>
    <row r="568">
      <c r="A568" s="31" t="n"/>
      <c r="B568" s="37" t="n"/>
      <c r="C568" s="36" t="n"/>
      <c r="D568" s="38" t="n"/>
      <c r="E568" s="44" t="n"/>
      <c r="F568" s="32" t="n"/>
      <c r="G568" s="32" t="n"/>
      <c r="H568" s="39">
        <f>IF(C568="","",IFERROR(INDEX('Animais'!$M$6:$M$1005,MATCH(C568,'Animais'!$A$6:$A$1005,0)),"Brinco não cadastrado"))</f>
        <v/>
      </c>
      <c r="I568" s="34">
        <f>IF(A568="","",YEAR(A568))</f>
        <v/>
      </c>
      <c r="J568" s="45">
        <f>IF(OR(N(D568)=0,N(E568)=0),"",IFERROR(E568/D568,""))</f>
        <v/>
      </c>
    </row>
    <row r="569">
      <c r="A569" s="31" t="n"/>
      <c r="B569" s="37" t="n"/>
      <c r="C569" s="36" t="n"/>
      <c r="D569" s="38" t="n"/>
      <c r="E569" s="44" t="n"/>
      <c r="F569" s="32" t="n"/>
      <c r="G569" s="32" t="n"/>
      <c r="H569" s="39">
        <f>IF(C569="","",IFERROR(INDEX('Animais'!$M$6:$M$1005,MATCH(C569,'Animais'!$A$6:$A$1005,0)),"Brinco não cadastrado"))</f>
        <v/>
      </c>
      <c r="I569" s="34">
        <f>IF(A569="","",YEAR(A569))</f>
        <v/>
      </c>
      <c r="J569" s="45">
        <f>IF(OR(N(D569)=0,N(E569)=0),"",IFERROR(E569/D569,""))</f>
        <v/>
      </c>
    </row>
    <row r="570">
      <c r="A570" s="31" t="n"/>
      <c r="B570" s="37" t="n"/>
      <c r="C570" s="36" t="n"/>
      <c r="D570" s="38" t="n"/>
      <c r="E570" s="44" t="n"/>
      <c r="F570" s="32" t="n"/>
      <c r="G570" s="32" t="n"/>
      <c r="H570" s="39">
        <f>IF(C570="","",IFERROR(INDEX('Animais'!$M$6:$M$1005,MATCH(C570,'Animais'!$A$6:$A$1005,0)),"Brinco não cadastrado"))</f>
        <v/>
      </c>
      <c r="I570" s="34">
        <f>IF(A570="","",YEAR(A570))</f>
        <v/>
      </c>
      <c r="J570" s="45">
        <f>IF(OR(N(D570)=0,N(E570)=0),"",IFERROR(E570/D570,""))</f>
        <v/>
      </c>
    </row>
    <row r="571">
      <c r="A571" s="31" t="n"/>
      <c r="B571" s="37" t="n"/>
      <c r="C571" s="36" t="n"/>
      <c r="D571" s="38" t="n"/>
      <c r="E571" s="44" t="n"/>
      <c r="F571" s="32" t="n"/>
      <c r="G571" s="32" t="n"/>
      <c r="H571" s="39">
        <f>IF(C571="","",IFERROR(INDEX('Animais'!$M$6:$M$1005,MATCH(C571,'Animais'!$A$6:$A$1005,0)),"Brinco não cadastrado"))</f>
        <v/>
      </c>
      <c r="I571" s="34">
        <f>IF(A571="","",YEAR(A571))</f>
        <v/>
      </c>
      <c r="J571" s="45">
        <f>IF(OR(N(D571)=0,N(E571)=0),"",IFERROR(E571/D571,""))</f>
        <v/>
      </c>
    </row>
    <row r="572">
      <c r="A572" s="31" t="n"/>
      <c r="B572" s="37" t="n"/>
      <c r="C572" s="36" t="n"/>
      <c r="D572" s="38" t="n"/>
      <c r="E572" s="44" t="n"/>
      <c r="F572" s="32" t="n"/>
      <c r="G572" s="32" t="n"/>
      <c r="H572" s="39">
        <f>IF(C572="","",IFERROR(INDEX('Animais'!$M$6:$M$1005,MATCH(C572,'Animais'!$A$6:$A$1005,0)),"Brinco não cadastrado"))</f>
        <v/>
      </c>
      <c r="I572" s="34">
        <f>IF(A572="","",YEAR(A572))</f>
        <v/>
      </c>
      <c r="J572" s="45">
        <f>IF(OR(N(D572)=0,N(E572)=0),"",IFERROR(E572/D572,""))</f>
        <v/>
      </c>
    </row>
    <row r="573">
      <c r="A573" s="31" t="n"/>
      <c r="B573" s="37" t="n"/>
      <c r="C573" s="36" t="n"/>
      <c r="D573" s="38" t="n"/>
      <c r="E573" s="44" t="n"/>
      <c r="F573" s="32" t="n"/>
      <c r="G573" s="32" t="n"/>
      <c r="H573" s="39">
        <f>IF(C573="","",IFERROR(INDEX('Animais'!$M$6:$M$1005,MATCH(C573,'Animais'!$A$6:$A$1005,0)),"Brinco não cadastrado"))</f>
        <v/>
      </c>
      <c r="I573" s="34">
        <f>IF(A573="","",YEAR(A573))</f>
        <v/>
      </c>
      <c r="J573" s="45">
        <f>IF(OR(N(D573)=0,N(E573)=0),"",IFERROR(E573/D573,""))</f>
        <v/>
      </c>
    </row>
    <row r="574">
      <c r="A574" s="31" t="n"/>
      <c r="B574" s="37" t="n"/>
      <c r="C574" s="36" t="n"/>
      <c r="D574" s="38" t="n"/>
      <c r="E574" s="44" t="n"/>
      <c r="F574" s="32" t="n"/>
      <c r="G574" s="32" t="n"/>
      <c r="H574" s="39">
        <f>IF(C574="","",IFERROR(INDEX('Animais'!$M$6:$M$1005,MATCH(C574,'Animais'!$A$6:$A$1005,0)),"Brinco não cadastrado"))</f>
        <v/>
      </c>
      <c r="I574" s="34">
        <f>IF(A574="","",YEAR(A574))</f>
        <v/>
      </c>
      <c r="J574" s="45">
        <f>IF(OR(N(D574)=0,N(E574)=0),"",IFERROR(E574/D574,""))</f>
        <v/>
      </c>
    </row>
    <row r="575">
      <c r="A575" s="31" t="n"/>
      <c r="B575" s="37" t="n"/>
      <c r="C575" s="36" t="n"/>
      <c r="D575" s="38" t="n"/>
      <c r="E575" s="44" t="n"/>
      <c r="F575" s="32" t="n"/>
      <c r="G575" s="32" t="n"/>
      <c r="H575" s="39">
        <f>IF(C575="","",IFERROR(INDEX('Animais'!$M$6:$M$1005,MATCH(C575,'Animais'!$A$6:$A$1005,0)),"Brinco não cadastrado"))</f>
        <v/>
      </c>
      <c r="I575" s="34">
        <f>IF(A575="","",YEAR(A575))</f>
        <v/>
      </c>
      <c r="J575" s="45">
        <f>IF(OR(N(D575)=0,N(E575)=0),"",IFERROR(E575/D575,""))</f>
        <v/>
      </c>
    </row>
    <row r="576">
      <c r="A576" s="31" t="n"/>
      <c r="B576" s="37" t="n"/>
      <c r="C576" s="36" t="n"/>
      <c r="D576" s="38" t="n"/>
      <c r="E576" s="44" t="n"/>
      <c r="F576" s="32" t="n"/>
      <c r="G576" s="32" t="n"/>
      <c r="H576" s="39">
        <f>IF(C576="","",IFERROR(INDEX('Animais'!$M$6:$M$1005,MATCH(C576,'Animais'!$A$6:$A$1005,0)),"Brinco não cadastrado"))</f>
        <v/>
      </c>
      <c r="I576" s="34">
        <f>IF(A576="","",YEAR(A576))</f>
        <v/>
      </c>
      <c r="J576" s="45">
        <f>IF(OR(N(D576)=0,N(E576)=0),"",IFERROR(E576/D576,""))</f>
        <v/>
      </c>
    </row>
    <row r="577">
      <c r="A577" s="31" t="n"/>
      <c r="B577" s="37" t="n"/>
      <c r="C577" s="36" t="n"/>
      <c r="D577" s="38" t="n"/>
      <c r="E577" s="44" t="n"/>
      <c r="F577" s="32" t="n"/>
      <c r="G577" s="32" t="n"/>
      <c r="H577" s="39">
        <f>IF(C577="","",IFERROR(INDEX('Animais'!$M$6:$M$1005,MATCH(C577,'Animais'!$A$6:$A$1005,0)),"Brinco não cadastrado"))</f>
        <v/>
      </c>
      <c r="I577" s="34">
        <f>IF(A577="","",YEAR(A577))</f>
        <v/>
      </c>
      <c r="J577" s="45">
        <f>IF(OR(N(D577)=0,N(E577)=0),"",IFERROR(E577/D577,""))</f>
        <v/>
      </c>
    </row>
    <row r="578">
      <c r="A578" s="31" t="n"/>
      <c r="B578" s="37" t="n"/>
      <c r="C578" s="36" t="n"/>
      <c r="D578" s="38" t="n"/>
      <c r="E578" s="44" t="n"/>
      <c r="F578" s="32" t="n"/>
      <c r="G578" s="32" t="n"/>
      <c r="H578" s="39">
        <f>IF(C578="","",IFERROR(INDEX('Animais'!$M$6:$M$1005,MATCH(C578,'Animais'!$A$6:$A$1005,0)),"Brinco não cadastrado"))</f>
        <v/>
      </c>
      <c r="I578" s="34">
        <f>IF(A578="","",YEAR(A578))</f>
        <v/>
      </c>
      <c r="J578" s="45">
        <f>IF(OR(N(D578)=0,N(E578)=0),"",IFERROR(E578/D578,""))</f>
        <v/>
      </c>
    </row>
    <row r="579">
      <c r="A579" s="31" t="n"/>
      <c r="B579" s="37" t="n"/>
      <c r="C579" s="36" t="n"/>
      <c r="D579" s="38" t="n"/>
      <c r="E579" s="44" t="n"/>
      <c r="F579" s="32" t="n"/>
      <c r="G579" s="32" t="n"/>
      <c r="H579" s="39">
        <f>IF(C579="","",IFERROR(INDEX('Animais'!$M$6:$M$1005,MATCH(C579,'Animais'!$A$6:$A$1005,0)),"Brinco não cadastrado"))</f>
        <v/>
      </c>
      <c r="I579" s="34">
        <f>IF(A579="","",YEAR(A579))</f>
        <v/>
      </c>
      <c r="J579" s="45">
        <f>IF(OR(N(D579)=0,N(E579)=0),"",IFERROR(E579/D579,""))</f>
        <v/>
      </c>
    </row>
    <row r="580">
      <c r="A580" s="31" t="n"/>
      <c r="B580" s="37" t="n"/>
      <c r="C580" s="36" t="n"/>
      <c r="D580" s="38" t="n"/>
      <c r="E580" s="44" t="n"/>
      <c r="F580" s="32" t="n"/>
      <c r="G580" s="32" t="n"/>
      <c r="H580" s="39">
        <f>IF(C580="","",IFERROR(INDEX('Animais'!$M$6:$M$1005,MATCH(C580,'Animais'!$A$6:$A$1005,0)),"Brinco não cadastrado"))</f>
        <v/>
      </c>
      <c r="I580" s="34">
        <f>IF(A580="","",YEAR(A580))</f>
        <v/>
      </c>
      <c r="J580" s="45">
        <f>IF(OR(N(D580)=0,N(E580)=0),"",IFERROR(E580/D580,""))</f>
        <v/>
      </c>
    </row>
    <row r="581">
      <c r="A581" s="31" t="n"/>
      <c r="B581" s="37" t="n"/>
      <c r="C581" s="36" t="n"/>
      <c r="D581" s="38" t="n"/>
      <c r="E581" s="44" t="n"/>
      <c r="F581" s="32" t="n"/>
      <c r="G581" s="32" t="n"/>
      <c r="H581" s="39">
        <f>IF(C581="","",IFERROR(INDEX('Animais'!$M$6:$M$1005,MATCH(C581,'Animais'!$A$6:$A$1005,0)),"Brinco não cadastrado"))</f>
        <v/>
      </c>
      <c r="I581" s="34">
        <f>IF(A581="","",YEAR(A581))</f>
        <v/>
      </c>
      <c r="J581" s="45">
        <f>IF(OR(N(D581)=0,N(E581)=0),"",IFERROR(E581/D581,""))</f>
        <v/>
      </c>
    </row>
    <row r="582">
      <c r="A582" s="31" t="n"/>
      <c r="B582" s="37" t="n"/>
      <c r="C582" s="36" t="n"/>
      <c r="D582" s="38" t="n"/>
      <c r="E582" s="44" t="n"/>
      <c r="F582" s="32" t="n"/>
      <c r="G582" s="32" t="n"/>
      <c r="H582" s="39">
        <f>IF(C582="","",IFERROR(INDEX('Animais'!$M$6:$M$1005,MATCH(C582,'Animais'!$A$6:$A$1005,0)),"Brinco não cadastrado"))</f>
        <v/>
      </c>
      <c r="I582" s="34">
        <f>IF(A582="","",YEAR(A582))</f>
        <v/>
      </c>
      <c r="J582" s="45">
        <f>IF(OR(N(D582)=0,N(E582)=0),"",IFERROR(E582/D582,""))</f>
        <v/>
      </c>
    </row>
    <row r="583">
      <c r="A583" s="31" t="n"/>
      <c r="B583" s="37" t="n"/>
      <c r="C583" s="36" t="n"/>
      <c r="D583" s="38" t="n"/>
      <c r="E583" s="44" t="n"/>
      <c r="F583" s="32" t="n"/>
      <c r="G583" s="32" t="n"/>
      <c r="H583" s="39">
        <f>IF(C583="","",IFERROR(INDEX('Animais'!$M$6:$M$1005,MATCH(C583,'Animais'!$A$6:$A$1005,0)),"Brinco não cadastrado"))</f>
        <v/>
      </c>
      <c r="I583" s="34">
        <f>IF(A583="","",YEAR(A583))</f>
        <v/>
      </c>
      <c r="J583" s="45">
        <f>IF(OR(N(D583)=0,N(E583)=0),"",IFERROR(E583/D583,""))</f>
        <v/>
      </c>
    </row>
    <row r="584">
      <c r="A584" s="31" t="n"/>
      <c r="B584" s="37" t="n"/>
      <c r="C584" s="36" t="n"/>
      <c r="D584" s="38" t="n"/>
      <c r="E584" s="44" t="n"/>
      <c r="F584" s="32" t="n"/>
      <c r="G584" s="32" t="n"/>
      <c r="H584" s="39">
        <f>IF(C584="","",IFERROR(INDEX('Animais'!$M$6:$M$1005,MATCH(C584,'Animais'!$A$6:$A$1005,0)),"Brinco não cadastrado"))</f>
        <v/>
      </c>
      <c r="I584" s="34">
        <f>IF(A584="","",YEAR(A584))</f>
        <v/>
      </c>
      <c r="J584" s="45">
        <f>IF(OR(N(D584)=0,N(E584)=0),"",IFERROR(E584/D584,""))</f>
        <v/>
      </c>
    </row>
    <row r="585">
      <c r="A585" s="31" t="n"/>
      <c r="B585" s="37" t="n"/>
      <c r="C585" s="36" t="n"/>
      <c r="D585" s="38" t="n"/>
      <c r="E585" s="44" t="n"/>
      <c r="F585" s="32" t="n"/>
      <c r="G585" s="32" t="n"/>
      <c r="H585" s="39">
        <f>IF(C585="","",IFERROR(INDEX('Animais'!$M$6:$M$1005,MATCH(C585,'Animais'!$A$6:$A$1005,0)),"Brinco não cadastrado"))</f>
        <v/>
      </c>
      <c r="I585" s="34">
        <f>IF(A585="","",YEAR(A585))</f>
        <v/>
      </c>
      <c r="J585" s="45">
        <f>IF(OR(N(D585)=0,N(E585)=0),"",IFERROR(E585/D585,""))</f>
        <v/>
      </c>
    </row>
    <row r="586">
      <c r="A586" s="31" t="n"/>
      <c r="B586" s="37" t="n"/>
      <c r="C586" s="36" t="n"/>
      <c r="D586" s="38" t="n"/>
      <c r="E586" s="44" t="n"/>
      <c r="F586" s="32" t="n"/>
      <c r="G586" s="32" t="n"/>
      <c r="H586" s="39">
        <f>IF(C586="","",IFERROR(INDEX('Animais'!$M$6:$M$1005,MATCH(C586,'Animais'!$A$6:$A$1005,0)),"Brinco não cadastrado"))</f>
        <v/>
      </c>
      <c r="I586" s="34">
        <f>IF(A586="","",YEAR(A586))</f>
        <v/>
      </c>
      <c r="J586" s="45">
        <f>IF(OR(N(D586)=0,N(E586)=0),"",IFERROR(E586/D586,""))</f>
        <v/>
      </c>
    </row>
    <row r="587">
      <c r="A587" s="31" t="n"/>
      <c r="B587" s="37" t="n"/>
      <c r="C587" s="36" t="n"/>
      <c r="D587" s="38" t="n"/>
      <c r="E587" s="44" t="n"/>
      <c r="F587" s="32" t="n"/>
      <c r="G587" s="32" t="n"/>
      <c r="H587" s="39">
        <f>IF(C587="","",IFERROR(INDEX('Animais'!$M$6:$M$1005,MATCH(C587,'Animais'!$A$6:$A$1005,0)),"Brinco não cadastrado"))</f>
        <v/>
      </c>
      <c r="I587" s="34">
        <f>IF(A587="","",YEAR(A587))</f>
        <v/>
      </c>
      <c r="J587" s="45">
        <f>IF(OR(N(D587)=0,N(E587)=0),"",IFERROR(E587/D587,""))</f>
        <v/>
      </c>
    </row>
    <row r="588">
      <c r="A588" s="31" t="n"/>
      <c r="B588" s="37" t="n"/>
      <c r="C588" s="36" t="n"/>
      <c r="D588" s="38" t="n"/>
      <c r="E588" s="44" t="n"/>
      <c r="F588" s="32" t="n"/>
      <c r="G588" s="32" t="n"/>
      <c r="H588" s="39">
        <f>IF(C588="","",IFERROR(INDEX('Animais'!$M$6:$M$1005,MATCH(C588,'Animais'!$A$6:$A$1005,0)),"Brinco não cadastrado"))</f>
        <v/>
      </c>
      <c r="I588" s="34">
        <f>IF(A588="","",YEAR(A588))</f>
        <v/>
      </c>
      <c r="J588" s="45">
        <f>IF(OR(N(D588)=0,N(E588)=0),"",IFERROR(E588/D588,""))</f>
        <v/>
      </c>
    </row>
    <row r="589">
      <c r="A589" s="31" t="n"/>
      <c r="B589" s="37" t="n"/>
      <c r="C589" s="36" t="n"/>
      <c r="D589" s="38" t="n"/>
      <c r="E589" s="44" t="n"/>
      <c r="F589" s="32" t="n"/>
      <c r="G589" s="32" t="n"/>
      <c r="H589" s="39">
        <f>IF(C589="","",IFERROR(INDEX('Animais'!$M$6:$M$1005,MATCH(C589,'Animais'!$A$6:$A$1005,0)),"Brinco não cadastrado"))</f>
        <v/>
      </c>
      <c r="I589" s="34">
        <f>IF(A589="","",YEAR(A589))</f>
        <v/>
      </c>
      <c r="J589" s="45">
        <f>IF(OR(N(D589)=0,N(E589)=0),"",IFERROR(E589/D589,""))</f>
        <v/>
      </c>
    </row>
    <row r="590">
      <c r="A590" s="31" t="n"/>
      <c r="B590" s="37" t="n"/>
      <c r="C590" s="36" t="n"/>
      <c r="D590" s="38" t="n"/>
      <c r="E590" s="44" t="n"/>
      <c r="F590" s="32" t="n"/>
      <c r="G590" s="32" t="n"/>
      <c r="H590" s="39">
        <f>IF(C590="","",IFERROR(INDEX('Animais'!$M$6:$M$1005,MATCH(C590,'Animais'!$A$6:$A$1005,0)),"Brinco não cadastrado"))</f>
        <v/>
      </c>
      <c r="I590" s="34">
        <f>IF(A590="","",YEAR(A590))</f>
        <v/>
      </c>
      <c r="J590" s="45">
        <f>IF(OR(N(D590)=0,N(E590)=0),"",IFERROR(E590/D590,""))</f>
        <v/>
      </c>
    </row>
    <row r="591">
      <c r="A591" s="31" t="n"/>
      <c r="B591" s="37" t="n"/>
      <c r="C591" s="36" t="n"/>
      <c r="D591" s="38" t="n"/>
      <c r="E591" s="44" t="n"/>
      <c r="F591" s="32" t="n"/>
      <c r="G591" s="32" t="n"/>
      <c r="H591" s="39">
        <f>IF(C591="","",IFERROR(INDEX('Animais'!$M$6:$M$1005,MATCH(C591,'Animais'!$A$6:$A$1005,0)),"Brinco não cadastrado"))</f>
        <v/>
      </c>
      <c r="I591" s="34">
        <f>IF(A591="","",YEAR(A591))</f>
        <v/>
      </c>
      <c r="J591" s="45">
        <f>IF(OR(N(D591)=0,N(E591)=0),"",IFERROR(E591/D591,""))</f>
        <v/>
      </c>
    </row>
    <row r="592">
      <c r="A592" s="31" t="n"/>
      <c r="B592" s="37" t="n"/>
      <c r="C592" s="36" t="n"/>
      <c r="D592" s="38" t="n"/>
      <c r="E592" s="44" t="n"/>
      <c r="F592" s="32" t="n"/>
      <c r="G592" s="32" t="n"/>
      <c r="H592" s="39">
        <f>IF(C592="","",IFERROR(INDEX('Animais'!$M$6:$M$1005,MATCH(C592,'Animais'!$A$6:$A$1005,0)),"Brinco não cadastrado"))</f>
        <v/>
      </c>
      <c r="I592" s="34">
        <f>IF(A592="","",YEAR(A592))</f>
        <v/>
      </c>
      <c r="J592" s="45">
        <f>IF(OR(N(D592)=0,N(E592)=0),"",IFERROR(E592/D592,""))</f>
        <v/>
      </c>
    </row>
    <row r="593">
      <c r="A593" s="31" t="n"/>
      <c r="B593" s="37" t="n"/>
      <c r="C593" s="36" t="n"/>
      <c r="D593" s="38" t="n"/>
      <c r="E593" s="44" t="n"/>
      <c r="F593" s="32" t="n"/>
      <c r="G593" s="32" t="n"/>
      <c r="H593" s="39">
        <f>IF(C593="","",IFERROR(INDEX('Animais'!$M$6:$M$1005,MATCH(C593,'Animais'!$A$6:$A$1005,0)),"Brinco não cadastrado"))</f>
        <v/>
      </c>
      <c r="I593" s="34">
        <f>IF(A593="","",YEAR(A593))</f>
        <v/>
      </c>
      <c r="J593" s="45">
        <f>IF(OR(N(D593)=0,N(E593)=0),"",IFERROR(E593/D593,""))</f>
        <v/>
      </c>
    </row>
    <row r="594">
      <c r="A594" s="31" t="n"/>
      <c r="B594" s="37" t="n"/>
      <c r="C594" s="36" t="n"/>
      <c r="D594" s="38" t="n"/>
      <c r="E594" s="44" t="n"/>
      <c r="F594" s="32" t="n"/>
      <c r="G594" s="32" t="n"/>
      <c r="H594" s="39">
        <f>IF(C594="","",IFERROR(INDEX('Animais'!$M$6:$M$1005,MATCH(C594,'Animais'!$A$6:$A$1005,0)),"Brinco não cadastrado"))</f>
        <v/>
      </c>
      <c r="I594" s="34">
        <f>IF(A594="","",YEAR(A594))</f>
        <v/>
      </c>
      <c r="J594" s="45">
        <f>IF(OR(N(D594)=0,N(E594)=0),"",IFERROR(E594/D594,""))</f>
        <v/>
      </c>
    </row>
    <row r="595">
      <c r="A595" s="31" t="n"/>
      <c r="B595" s="37" t="n"/>
      <c r="C595" s="36" t="n"/>
      <c r="D595" s="38" t="n"/>
      <c r="E595" s="44" t="n"/>
      <c r="F595" s="32" t="n"/>
      <c r="G595" s="32" t="n"/>
      <c r="H595" s="39">
        <f>IF(C595="","",IFERROR(INDEX('Animais'!$M$6:$M$1005,MATCH(C595,'Animais'!$A$6:$A$1005,0)),"Brinco não cadastrado"))</f>
        <v/>
      </c>
      <c r="I595" s="34">
        <f>IF(A595="","",YEAR(A595))</f>
        <v/>
      </c>
      <c r="J595" s="45">
        <f>IF(OR(N(D595)=0,N(E595)=0),"",IFERROR(E595/D595,""))</f>
        <v/>
      </c>
    </row>
    <row r="596">
      <c r="A596" s="31" t="n"/>
      <c r="B596" s="37" t="n"/>
      <c r="C596" s="36" t="n"/>
      <c r="D596" s="38" t="n"/>
      <c r="E596" s="44" t="n"/>
      <c r="F596" s="32" t="n"/>
      <c r="G596" s="32" t="n"/>
      <c r="H596" s="39">
        <f>IF(C596="","",IFERROR(INDEX('Animais'!$M$6:$M$1005,MATCH(C596,'Animais'!$A$6:$A$1005,0)),"Brinco não cadastrado"))</f>
        <v/>
      </c>
      <c r="I596" s="34">
        <f>IF(A596="","",YEAR(A596))</f>
        <v/>
      </c>
      <c r="J596" s="45">
        <f>IF(OR(N(D596)=0,N(E596)=0),"",IFERROR(E596/D596,""))</f>
        <v/>
      </c>
    </row>
    <row r="597">
      <c r="A597" s="31" t="n"/>
      <c r="B597" s="37" t="n"/>
      <c r="C597" s="36" t="n"/>
      <c r="D597" s="38" t="n"/>
      <c r="E597" s="44" t="n"/>
      <c r="F597" s="32" t="n"/>
      <c r="G597" s="32" t="n"/>
      <c r="H597" s="39">
        <f>IF(C597="","",IFERROR(INDEX('Animais'!$M$6:$M$1005,MATCH(C597,'Animais'!$A$6:$A$1005,0)),"Brinco não cadastrado"))</f>
        <v/>
      </c>
      <c r="I597" s="34">
        <f>IF(A597="","",YEAR(A597))</f>
        <v/>
      </c>
      <c r="J597" s="45">
        <f>IF(OR(N(D597)=0,N(E597)=0),"",IFERROR(E597/D597,""))</f>
        <v/>
      </c>
    </row>
    <row r="598">
      <c r="A598" s="31" t="n"/>
      <c r="B598" s="37" t="n"/>
      <c r="C598" s="36" t="n"/>
      <c r="D598" s="38" t="n"/>
      <c r="E598" s="44" t="n"/>
      <c r="F598" s="32" t="n"/>
      <c r="G598" s="32" t="n"/>
      <c r="H598" s="39">
        <f>IF(C598="","",IFERROR(INDEX('Animais'!$M$6:$M$1005,MATCH(C598,'Animais'!$A$6:$A$1005,0)),"Brinco não cadastrado"))</f>
        <v/>
      </c>
      <c r="I598" s="34">
        <f>IF(A598="","",YEAR(A598))</f>
        <v/>
      </c>
      <c r="J598" s="45">
        <f>IF(OR(N(D598)=0,N(E598)=0),"",IFERROR(E598/D598,""))</f>
        <v/>
      </c>
    </row>
    <row r="599">
      <c r="A599" s="31" t="n"/>
      <c r="B599" s="37" t="n"/>
      <c r="C599" s="36" t="n"/>
      <c r="D599" s="38" t="n"/>
      <c r="E599" s="44" t="n"/>
      <c r="F599" s="32" t="n"/>
      <c r="G599" s="32" t="n"/>
      <c r="H599" s="39">
        <f>IF(C599="","",IFERROR(INDEX('Animais'!$M$6:$M$1005,MATCH(C599,'Animais'!$A$6:$A$1005,0)),"Brinco não cadastrado"))</f>
        <v/>
      </c>
      <c r="I599" s="34">
        <f>IF(A599="","",YEAR(A599))</f>
        <v/>
      </c>
      <c r="J599" s="45">
        <f>IF(OR(N(D599)=0,N(E599)=0),"",IFERROR(E599/D599,""))</f>
        <v/>
      </c>
    </row>
    <row r="600">
      <c r="A600" s="31" t="n"/>
      <c r="B600" s="37" t="n"/>
      <c r="C600" s="36" t="n"/>
      <c r="D600" s="38" t="n"/>
      <c r="E600" s="44" t="n"/>
      <c r="F600" s="32" t="n"/>
      <c r="G600" s="32" t="n"/>
      <c r="H600" s="39">
        <f>IF(C600="","",IFERROR(INDEX('Animais'!$M$6:$M$1005,MATCH(C600,'Animais'!$A$6:$A$1005,0)),"Brinco não cadastrado"))</f>
        <v/>
      </c>
      <c r="I600" s="34">
        <f>IF(A600="","",YEAR(A600))</f>
        <v/>
      </c>
      <c r="J600" s="45">
        <f>IF(OR(N(D600)=0,N(E600)=0),"",IFERROR(E600/D600,""))</f>
        <v/>
      </c>
    </row>
    <row r="601">
      <c r="A601" s="31" t="n"/>
      <c r="B601" s="37" t="n"/>
      <c r="C601" s="36" t="n"/>
      <c r="D601" s="38" t="n"/>
      <c r="E601" s="44" t="n"/>
      <c r="F601" s="32" t="n"/>
      <c r="G601" s="32" t="n"/>
      <c r="H601" s="39">
        <f>IF(C601="","",IFERROR(INDEX('Animais'!$M$6:$M$1005,MATCH(C601,'Animais'!$A$6:$A$1005,0)),"Brinco não cadastrado"))</f>
        <v/>
      </c>
      <c r="I601" s="34">
        <f>IF(A601="","",YEAR(A601))</f>
        <v/>
      </c>
      <c r="J601" s="45">
        <f>IF(OR(N(D601)=0,N(E601)=0),"",IFERROR(E601/D601,""))</f>
        <v/>
      </c>
    </row>
    <row r="602">
      <c r="A602" s="31" t="n"/>
      <c r="B602" s="37" t="n"/>
      <c r="C602" s="36" t="n"/>
      <c r="D602" s="38" t="n"/>
      <c r="E602" s="44" t="n"/>
      <c r="F602" s="32" t="n"/>
      <c r="G602" s="32" t="n"/>
      <c r="H602" s="39">
        <f>IF(C602="","",IFERROR(INDEX('Animais'!$M$6:$M$1005,MATCH(C602,'Animais'!$A$6:$A$1005,0)),"Brinco não cadastrado"))</f>
        <v/>
      </c>
      <c r="I602" s="34">
        <f>IF(A602="","",YEAR(A602))</f>
        <v/>
      </c>
      <c r="J602" s="45">
        <f>IF(OR(N(D602)=0,N(E602)=0),"",IFERROR(E602/D602,""))</f>
        <v/>
      </c>
    </row>
    <row r="603">
      <c r="A603" s="31" t="n"/>
      <c r="B603" s="37" t="n"/>
      <c r="C603" s="36" t="n"/>
      <c r="D603" s="38" t="n"/>
      <c r="E603" s="44" t="n"/>
      <c r="F603" s="32" t="n"/>
      <c r="G603" s="32" t="n"/>
      <c r="H603" s="39">
        <f>IF(C603="","",IFERROR(INDEX('Animais'!$M$6:$M$1005,MATCH(C603,'Animais'!$A$6:$A$1005,0)),"Brinco não cadastrado"))</f>
        <v/>
      </c>
      <c r="I603" s="34">
        <f>IF(A603="","",YEAR(A603))</f>
        <v/>
      </c>
      <c r="J603" s="45">
        <f>IF(OR(N(D603)=0,N(E603)=0),"",IFERROR(E603/D603,""))</f>
        <v/>
      </c>
    </row>
    <row r="604">
      <c r="A604" s="31" t="n"/>
      <c r="B604" s="37" t="n"/>
      <c r="C604" s="36" t="n"/>
      <c r="D604" s="38" t="n"/>
      <c r="E604" s="44" t="n"/>
      <c r="F604" s="32" t="n"/>
      <c r="G604" s="32" t="n"/>
      <c r="H604" s="39">
        <f>IF(C604="","",IFERROR(INDEX('Animais'!$M$6:$M$1005,MATCH(C604,'Animais'!$A$6:$A$1005,0)),"Brinco não cadastrado"))</f>
        <v/>
      </c>
      <c r="I604" s="34">
        <f>IF(A604="","",YEAR(A604))</f>
        <v/>
      </c>
      <c r="J604" s="45">
        <f>IF(OR(N(D604)=0,N(E604)=0),"",IFERROR(E604/D604,""))</f>
        <v/>
      </c>
    </row>
    <row r="605">
      <c r="A605" s="31" t="n"/>
      <c r="B605" s="37" t="n"/>
      <c r="C605" s="36" t="n"/>
      <c r="D605" s="38" t="n"/>
      <c r="E605" s="44" t="n"/>
      <c r="F605" s="32" t="n"/>
      <c r="G605" s="32" t="n"/>
      <c r="H605" s="39">
        <f>IF(C605="","",IFERROR(INDEX('Animais'!$M$6:$M$1005,MATCH(C605,'Animais'!$A$6:$A$1005,0)),"Brinco não cadastrado"))</f>
        <v/>
      </c>
      <c r="I605" s="34">
        <f>IF(A605="","",YEAR(A605))</f>
        <v/>
      </c>
      <c r="J605" s="45">
        <f>IF(OR(N(D605)=0,N(E605)=0),"",IFERROR(E605/D605,""))</f>
        <v/>
      </c>
    </row>
    <row r="606">
      <c r="A606" s="31" t="n"/>
      <c r="B606" s="37" t="n"/>
      <c r="C606" s="36" t="n"/>
      <c r="D606" s="38" t="n"/>
      <c r="E606" s="44" t="n"/>
      <c r="F606" s="32" t="n"/>
      <c r="G606" s="32" t="n"/>
      <c r="H606" s="39">
        <f>IF(C606="","",IFERROR(INDEX('Animais'!$M$6:$M$1005,MATCH(C606,'Animais'!$A$6:$A$1005,0)),"Brinco não cadastrado"))</f>
        <v/>
      </c>
      <c r="I606" s="34">
        <f>IF(A606="","",YEAR(A606))</f>
        <v/>
      </c>
      <c r="J606" s="45">
        <f>IF(OR(N(D606)=0,N(E606)=0),"",IFERROR(E606/D606,""))</f>
        <v/>
      </c>
    </row>
    <row r="607">
      <c r="A607" s="31" t="n"/>
      <c r="B607" s="37" t="n"/>
      <c r="C607" s="36" t="n"/>
      <c r="D607" s="38" t="n"/>
      <c r="E607" s="44" t="n"/>
      <c r="F607" s="32" t="n"/>
      <c r="G607" s="32" t="n"/>
      <c r="H607" s="39">
        <f>IF(C607="","",IFERROR(INDEX('Animais'!$M$6:$M$1005,MATCH(C607,'Animais'!$A$6:$A$1005,0)),"Brinco não cadastrado"))</f>
        <v/>
      </c>
      <c r="I607" s="34">
        <f>IF(A607="","",YEAR(A607))</f>
        <v/>
      </c>
      <c r="J607" s="45">
        <f>IF(OR(N(D607)=0,N(E607)=0),"",IFERROR(E607/D607,""))</f>
        <v/>
      </c>
    </row>
    <row r="608">
      <c r="A608" s="31" t="n"/>
      <c r="B608" s="37" t="n"/>
      <c r="C608" s="36" t="n"/>
      <c r="D608" s="38" t="n"/>
      <c r="E608" s="44" t="n"/>
      <c r="F608" s="32" t="n"/>
      <c r="G608" s="32" t="n"/>
      <c r="H608" s="39">
        <f>IF(C608="","",IFERROR(INDEX('Animais'!$M$6:$M$1005,MATCH(C608,'Animais'!$A$6:$A$1005,0)),"Brinco não cadastrado"))</f>
        <v/>
      </c>
      <c r="I608" s="34">
        <f>IF(A608="","",YEAR(A608))</f>
        <v/>
      </c>
      <c r="J608" s="45">
        <f>IF(OR(N(D608)=0,N(E608)=0),"",IFERROR(E608/D608,""))</f>
        <v/>
      </c>
    </row>
    <row r="609">
      <c r="A609" s="31" t="n"/>
      <c r="B609" s="37" t="n"/>
      <c r="C609" s="36" t="n"/>
      <c r="D609" s="38" t="n"/>
      <c r="E609" s="44" t="n"/>
      <c r="F609" s="32" t="n"/>
      <c r="G609" s="32" t="n"/>
      <c r="H609" s="39">
        <f>IF(C609="","",IFERROR(INDEX('Animais'!$M$6:$M$1005,MATCH(C609,'Animais'!$A$6:$A$1005,0)),"Brinco não cadastrado"))</f>
        <v/>
      </c>
      <c r="I609" s="34">
        <f>IF(A609="","",YEAR(A609))</f>
        <v/>
      </c>
      <c r="J609" s="45">
        <f>IF(OR(N(D609)=0,N(E609)=0),"",IFERROR(E609/D609,""))</f>
        <v/>
      </c>
    </row>
    <row r="610">
      <c r="A610" s="31" t="n"/>
      <c r="B610" s="37" t="n"/>
      <c r="C610" s="36" t="n"/>
      <c r="D610" s="38" t="n"/>
      <c r="E610" s="44" t="n"/>
      <c r="F610" s="32" t="n"/>
      <c r="G610" s="32" t="n"/>
      <c r="H610" s="39">
        <f>IF(C610="","",IFERROR(INDEX('Animais'!$M$6:$M$1005,MATCH(C610,'Animais'!$A$6:$A$1005,0)),"Brinco não cadastrado"))</f>
        <v/>
      </c>
      <c r="I610" s="34">
        <f>IF(A610="","",YEAR(A610))</f>
        <v/>
      </c>
      <c r="J610" s="45">
        <f>IF(OR(N(D610)=0,N(E610)=0),"",IFERROR(E610/D610,""))</f>
        <v/>
      </c>
    </row>
    <row r="611">
      <c r="A611" s="31" t="n"/>
      <c r="B611" s="37" t="n"/>
      <c r="C611" s="36" t="n"/>
      <c r="D611" s="38" t="n"/>
      <c r="E611" s="44" t="n"/>
      <c r="F611" s="32" t="n"/>
      <c r="G611" s="32" t="n"/>
      <c r="H611" s="39">
        <f>IF(C611="","",IFERROR(INDEX('Animais'!$M$6:$M$1005,MATCH(C611,'Animais'!$A$6:$A$1005,0)),"Brinco não cadastrado"))</f>
        <v/>
      </c>
      <c r="I611" s="34">
        <f>IF(A611="","",YEAR(A611))</f>
        <v/>
      </c>
      <c r="J611" s="45">
        <f>IF(OR(N(D611)=0,N(E611)=0),"",IFERROR(E611/D611,""))</f>
        <v/>
      </c>
    </row>
    <row r="612">
      <c r="A612" s="31" t="n"/>
      <c r="B612" s="37" t="n"/>
      <c r="C612" s="36" t="n"/>
      <c r="D612" s="38" t="n"/>
      <c r="E612" s="44" t="n"/>
      <c r="F612" s="32" t="n"/>
      <c r="G612" s="32" t="n"/>
      <c r="H612" s="39">
        <f>IF(C612="","",IFERROR(INDEX('Animais'!$M$6:$M$1005,MATCH(C612,'Animais'!$A$6:$A$1005,0)),"Brinco não cadastrado"))</f>
        <v/>
      </c>
      <c r="I612" s="34">
        <f>IF(A612="","",YEAR(A612))</f>
        <v/>
      </c>
      <c r="J612" s="45">
        <f>IF(OR(N(D612)=0,N(E612)=0),"",IFERROR(E612/D612,""))</f>
        <v/>
      </c>
    </row>
    <row r="613">
      <c r="A613" s="31" t="n"/>
      <c r="B613" s="37" t="n"/>
      <c r="C613" s="36" t="n"/>
      <c r="D613" s="38" t="n"/>
      <c r="E613" s="44" t="n"/>
      <c r="F613" s="32" t="n"/>
      <c r="G613" s="32" t="n"/>
      <c r="H613" s="39">
        <f>IF(C613="","",IFERROR(INDEX('Animais'!$M$6:$M$1005,MATCH(C613,'Animais'!$A$6:$A$1005,0)),"Brinco não cadastrado"))</f>
        <v/>
      </c>
      <c r="I613" s="34">
        <f>IF(A613="","",YEAR(A613))</f>
        <v/>
      </c>
      <c r="J613" s="45">
        <f>IF(OR(N(D613)=0,N(E613)=0),"",IFERROR(E613/D613,""))</f>
        <v/>
      </c>
    </row>
    <row r="614">
      <c r="A614" s="31" t="n"/>
      <c r="B614" s="37" t="n"/>
      <c r="C614" s="36" t="n"/>
      <c r="D614" s="38" t="n"/>
      <c r="E614" s="44" t="n"/>
      <c r="F614" s="32" t="n"/>
      <c r="G614" s="32" t="n"/>
      <c r="H614" s="39">
        <f>IF(C614="","",IFERROR(INDEX('Animais'!$M$6:$M$1005,MATCH(C614,'Animais'!$A$6:$A$1005,0)),"Brinco não cadastrado"))</f>
        <v/>
      </c>
      <c r="I614" s="34">
        <f>IF(A614="","",YEAR(A614))</f>
        <v/>
      </c>
      <c r="J614" s="45">
        <f>IF(OR(N(D614)=0,N(E614)=0),"",IFERROR(E614/D614,""))</f>
        <v/>
      </c>
    </row>
    <row r="615">
      <c r="A615" s="31" t="n"/>
      <c r="B615" s="37" t="n"/>
      <c r="C615" s="36" t="n"/>
      <c r="D615" s="38" t="n"/>
      <c r="E615" s="44" t="n"/>
      <c r="F615" s="32" t="n"/>
      <c r="G615" s="32" t="n"/>
      <c r="H615" s="39">
        <f>IF(C615="","",IFERROR(INDEX('Animais'!$M$6:$M$1005,MATCH(C615,'Animais'!$A$6:$A$1005,0)),"Brinco não cadastrado"))</f>
        <v/>
      </c>
      <c r="I615" s="34">
        <f>IF(A615="","",YEAR(A615))</f>
        <v/>
      </c>
      <c r="J615" s="45">
        <f>IF(OR(N(D615)=0,N(E615)=0),"",IFERROR(E615/D615,""))</f>
        <v/>
      </c>
    </row>
    <row r="616">
      <c r="A616" s="31" t="n"/>
      <c r="B616" s="37" t="n"/>
      <c r="C616" s="36" t="n"/>
      <c r="D616" s="38" t="n"/>
      <c r="E616" s="44" t="n"/>
      <c r="F616" s="32" t="n"/>
      <c r="G616" s="32" t="n"/>
      <c r="H616" s="39">
        <f>IF(C616="","",IFERROR(INDEX('Animais'!$M$6:$M$1005,MATCH(C616,'Animais'!$A$6:$A$1005,0)),"Brinco não cadastrado"))</f>
        <v/>
      </c>
      <c r="I616" s="34">
        <f>IF(A616="","",YEAR(A616))</f>
        <v/>
      </c>
      <c r="J616" s="45">
        <f>IF(OR(N(D616)=0,N(E616)=0),"",IFERROR(E616/D616,""))</f>
        <v/>
      </c>
    </row>
    <row r="617">
      <c r="A617" s="31" t="n"/>
      <c r="B617" s="37" t="n"/>
      <c r="C617" s="36" t="n"/>
      <c r="D617" s="38" t="n"/>
      <c r="E617" s="44" t="n"/>
      <c r="F617" s="32" t="n"/>
      <c r="G617" s="32" t="n"/>
      <c r="H617" s="39">
        <f>IF(C617="","",IFERROR(INDEX('Animais'!$M$6:$M$1005,MATCH(C617,'Animais'!$A$6:$A$1005,0)),"Brinco não cadastrado"))</f>
        <v/>
      </c>
      <c r="I617" s="34">
        <f>IF(A617="","",YEAR(A617))</f>
        <v/>
      </c>
      <c r="J617" s="45">
        <f>IF(OR(N(D617)=0,N(E617)=0),"",IFERROR(E617/D617,""))</f>
        <v/>
      </c>
    </row>
    <row r="618">
      <c r="A618" s="31" t="n"/>
      <c r="B618" s="37" t="n"/>
      <c r="C618" s="36" t="n"/>
      <c r="D618" s="38" t="n"/>
      <c r="E618" s="44" t="n"/>
      <c r="F618" s="32" t="n"/>
      <c r="G618" s="32" t="n"/>
      <c r="H618" s="39">
        <f>IF(C618="","",IFERROR(INDEX('Animais'!$M$6:$M$1005,MATCH(C618,'Animais'!$A$6:$A$1005,0)),"Brinco não cadastrado"))</f>
        <v/>
      </c>
      <c r="I618" s="34">
        <f>IF(A618="","",YEAR(A618))</f>
        <v/>
      </c>
      <c r="J618" s="45">
        <f>IF(OR(N(D618)=0,N(E618)=0),"",IFERROR(E618/D618,""))</f>
        <v/>
      </c>
    </row>
    <row r="619">
      <c r="A619" s="31" t="n"/>
      <c r="B619" s="37" t="n"/>
      <c r="C619" s="36" t="n"/>
      <c r="D619" s="38" t="n"/>
      <c r="E619" s="44" t="n"/>
      <c r="F619" s="32" t="n"/>
      <c r="G619" s="32" t="n"/>
      <c r="H619" s="39">
        <f>IF(C619="","",IFERROR(INDEX('Animais'!$M$6:$M$1005,MATCH(C619,'Animais'!$A$6:$A$1005,0)),"Brinco não cadastrado"))</f>
        <v/>
      </c>
      <c r="I619" s="34">
        <f>IF(A619="","",YEAR(A619))</f>
        <v/>
      </c>
      <c r="J619" s="45">
        <f>IF(OR(N(D619)=0,N(E619)=0),"",IFERROR(E619/D619,""))</f>
        <v/>
      </c>
    </row>
    <row r="620">
      <c r="A620" s="31" t="n"/>
      <c r="B620" s="37" t="n"/>
      <c r="C620" s="36" t="n"/>
      <c r="D620" s="38" t="n"/>
      <c r="E620" s="44" t="n"/>
      <c r="F620" s="32" t="n"/>
      <c r="G620" s="32" t="n"/>
      <c r="H620" s="39">
        <f>IF(C620="","",IFERROR(INDEX('Animais'!$M$6:$M$1005,MATCH(C620,'Animais'!$A$6:$A$1005,0)),"Brinco não cadastrado"))</f>
        <v/>
      </c>
      <c r="I620" s="34">
        <f>IF(A620="","",YEAR(A620))</f>
        <v/>
      </c>
      <c r="J620" s="45">
        <f>IF(OR(N(D620)=0,N(E620)=0),"",IFERROR(E620/D620,""))</f>
        <v/>
      </c>
    </row>
    <row r="621">
      <c r="A621" s="31" t="n"/>
      <c r="B621" s="37" t="n"/>
      <c r="C621" s="36" t="n"/>
      <c r="D621" s="38" t="n"/>
      <c r="E621" s="44" t="n"/>
      <c r="F621" s="32" t="n"/>
      <c r="G621" s="32" t="n"/>
      <c r="H621" s="39">
        <f>IF(C621="","",IFERROR(INDEX('Animais'!$M$6:$M$1005,MATCH(C621,'Animais'!$A$6:$A$1005,0)),"Brinco não cadastrado"))</f>
        <v/>
      </c>
      <c r="I621" s="34">
        <f>IF(A621="","",YEAR(A621))</f>
        <v/>
      </c>
      <c r="J621" s="45">
        <f>IF(OR(N(D621)=0,N(E621)=0),"",IFERROR(E621/D621,""))</f>
        <v/>
      </c>
    </row>
    <row r="622">
      <c r="A622" s="31" t="n"/>
      <c r="B622" s="37" t="n"/>
      <c r="C622" s="36" t="n"/>
      <c r="D622" s="38" t="n"/>
      <c r="E622" s="44" t="n"/>
      <c r="F622" s="32" t="n"/>
      <c r="G622" s="32" t="n"/>
      <c r="H622" s="39">
        <f>IF(C622="","",IFERROR(INDEX('Animais'!$M$6:$M$1005,MATCH(C622,'Animais'!$A$6:$A$1005,0)),"Brinco não cadastrado"))</f>
        <v/>
      </c>
      <c r="I622" s="34">
        <f>IF(A622="","",YEAR(A622))</f>
        <v/>
      </c>
      <c r="J622" s="45">
        <f>IF(OR(N(D622)=0,N(E622)=0),"",IFERROR(E622/D622,""))</f>
        <v/>
      </c>
    </row>
    <row r="623">
      <c r="A623" s="31" t="n"/>
      <c r="B623" s="37" t="n"/>
      <c r="C623" s="36" t="n"/>
      <c r="D623" s="38" t="n"/>
      <c r="E623" s="44" t="n"/>
      <c r="F623" s="32" t="n"/>
      <c r="G623" s="32" t="n"/>
      <c r="H623" s="39">
        <f>IF(C623="","",IFERROR(INDEX('Animais'!$M$6:$M$1005,MATCH(C623,'Animais'!$A$6:$A$1005,0)),"Brinco não cadastrado"))</f>
        <v/>
      </c>
      <c r="I623" s="34">
        <f>IF(A623="","",YEAR(A623))</f>
        <v/>
      </c>
      <c r="J623" s="45">
        <f>IF(OR(N(D623)=0,N(E623)=0),"",IFERROR(E623/D623,""))</f>
        <v/>
      </c>
    </row>
    <row r="624">
      <c r="A624" s="31" t="n"/>
      <c r="B624" s="37" t="n"/>
      <c r="C624" s="36" t="n"/>
      <c r="D624" s="38" t="n"/>
      <c r="E624" s="44" t="n"/>
      <c r="F624" s="32" t="n"/>
      <c r="G624" s="32" t="n"/>
      <c r="H624" s="39">
        <f>IF(C624="","",IFERROR(INDEX('Animais'!$M$6:$M$1005,MATCH(C624,'Animais'!$A$6:$A$1005,0)),"Brinco não cadastrado"))</f>
        <v/>
      </c>
      <c r="I624" s="34">
        <f>IF(A624="","",YEAR(A624))</f>
        <v/>
      </c>
      <c r="J624" s="45">
        <f>IF(OR(N(D624)=0,N(E624)=0),"",IFERROR(E624/D624,""))</f>
        <v/>
      </c>
    </row>
    <row r="625">
      <c r="A625" s="31" t="n"/>
      <c r="B625" s="37" t="n"/>
      <c r="C625" s="36" t="n"/>
      <c r="D625" s="38" t="n"/>
      <c r="E625" s="44" t="n"/>
      <c r="F625" s="32" t="n"/>
      <c r="G625" s="32" t="n"/>
      <c r="H625" s="39">
        <f>IF(C625="","",IFERROR(INDEX('Animais'!$M$6:$M$1005,MATCH(C625,'Animais'!$A$6:$A$1005,0)),"Brinco não cadastrado"))</f>
        <v/>
      </c>
      <c r="I625" s="34">
        <f>IF(A625="","",YEAR(A625))</f>
        <v/>
      </c>
      <c r="J625" s="45">
        <f>IF(OR(N(D625)=0,N(E625)=0),"",IFERROR(E625/D625,""))</f>
        <v/>
      </c>
    </row>
    <row r="626">
      <c r="A626" s="31" t="n"/>
      <c r="B626" s="37" t="n"/>
      <c r="C626" s="36" t="n"/>
      <c r="D626" s="38" t="n"/>
      <c r="E626" s="44" t="n"/>
      <c r="F626" s="32" t="n"/>
      <c r="G626" s="32" t="n"/>
      <c r="H626" s="39">
        <f>IF(C626="","",IFERROR(INDEX('Animais'!$M$6:$M$1005,MATCH(C626,'Animais'!$A$6:$A$1005,0)),"Brinco não cadastrado"))</f>
        <v/>
      </c>
      <c r="I626" s="34">
        <f>IF(A626="","",YEAR(A626))</f>
        <v/>
      </c>
      <c r="J626" s="45">
        <f>IF(OR(N(D626)=0,N(E626)=0),"",IFERROR(E626/D626,""))</f>
        <v/>
      </c>
    </row>
    <row r="627">
      <c r="A627" s="31" t="n"/>
      <c r="B627" s="37" t="n"/>
      <c r="C627" s="36" t="n"/>
      <c r="D627" s="38" t="n"/>
      <c r="E627" s="44" t="n"/>
      <c r="F627" s="32" t="n"/>
      <c r="G627" s="32" t="n"/>
      <c r="H627" s="39">
        <f>IF(C627="","",IFERROR(INDEX('Animais'!$M$6:$M$1005,MATCH(C627,'Animais'!$A$6:$A$1005,0)),"Brinco não cadastrado"))</f>
        <v/>
      </c>
      <c r="I627" s="34">
        <f>IF(A627="","",YEAR(A627))</f>
        <v/>
      </c>
      <c r="J627" s="45">
        <f>IF(OR(N(D627)=0,N(E627)=0),"",IFERROR(E627/D627,""))</f>
        <v/>
      </c>
    </row>
    <row r="628">
      <c r="A628" s="31" t="n"/>
      <c r="B628" s="37" t="n"/>
      <c r="C628" s="36" t="n"/>
      <c r="D628" s="38" t="n"/>
      <c r="E628" s="44" t="n"/>
      <c r="F628" s="32" t="n"/>
      <c r="G628" s="32" t="n"/>
      <c r="H628" s="39">
        <f>IF(C628="","",IFERROR(INDEX('Animais'!$M$6:$M$1005,MATCH(C628,'Animais'!$A$6:$A$1005,0)),"Brinco não cadastrado"))</f>
        <v/>
      </c>
      <c r="I628" s="34">
        <f>IF(A628="","",YEAR(A628))</f>
        <v/>
      </c>
      <c r="J628" s="45">
        <f>IF(OR(N(D628)=0,N(E628)=0),"",IFERROR(E628/D628,""))</f>
        <v/>
      </c>
    </row>
    <row r="629">
      <c r="A629" s="31" t="n"/>
      <c r="B629" s="37" t="n"/>
      <c r="C629" s="36" t="n"/>
      <c r="D629" s="38" t="n"/>
      <c r="E629" s="44" t="n"/>
      <c r="F629" s="32" t="n"/>
      <c r="G629" s="32" t="n"/>
      <c r="H629" s="39">
        <f>IF(C629="","",IFERROR(INDEX('Animais'!$M$6:$M$1005,MATCH(C629,'Animais'!$A$6:$A$1005,0)),"Brinco não cadastrado"))</f>
        <v/>
      </c>
      <c r="I629" s="34">
        <f>IF(A629="","",YEAR(A629))</f>
        <v/>
      </c>
      <c r="J629" s="45">
        <f>IF(OR(N(D629)=0,N(E629)=0),"",IFERROR(E629/D629,""))</f>
        <v/>
      </c>
    </row>
    <row r="630">
      <c r="A630" s="31" t="n"/>
      <c r="B630" s="37" t="n"/>
      <c r="C630" s="36" t="n"/>
      <c r="D630" s="38" t="n"/>
      <c r="E630" s="44" t="n"/>
      <c r="F630" s="32" t="n"/>
      <c r="G630" s="32" t="n"/>
      <c r="H630" s="39">
        <f>IF(C630="","",IFERROR(INDEX('Animais'!$M$6:$M$1005,MATCH(C630,'Animais'!$A$6:$A$1005,0)),"Brinco não cadastrado"))</f>
        <v/>
      </c>
      <c r="I630" s="34">
        <f>IF(A630="","",YEAR(A630))</f>
        <v/>
      </c>
      <c r="J630" s="45">
        <f>IF(OR(N(D630)=0,N(E630)=0),"",IFERROR(E630/D630,""))</f>
        <v/>
      </c>
    </row>
    <row r="631">
      <c r="A631" s="31" t="n"/>
      <c r="B631" s="37" t="n"/>
      <c r="C631" s="36" t="n"/>
      <c r="D631" s="38" t="n"/>
      <c r="E631" s="44" t="n"/>
      <c r="F631" s="32" t="n"/>
      <c r="G631" s="32" t="n"/>
      <c r="H631" s="39">
        <f>IF(C631="","",IFERROR(INDEX('Animais'!$M$6:$M$1005,MATCH(C631,'Animais'!$A$6:$A$1005,0)),"Brinco não cadastrado"))</f>
        <v/>
      </c>
      <c r="I631" s="34">
        <f>IF(A631="","",YEAR(A631))</f>
        <v/>
      </c>
      <c r="J631" s="45">
        <f>IF(OR(N(D631)=0,N(E631)=0),"",IFERROR(E631/D631,""))</f>
        <v/>
      </c>
    </row>
    <row r="632">
      <c r="A632" s="31" t="n"/>
      <c r="B632" s="37" t="n"/>
      <c r="C632" s="36" t="n"/>
      <c r="D632" s="38" t="n"/>
      <c r="E632" s="44" t="n"/>
      <c r="F632" s="32" t="n"/>
      <c r="G632" s="32" t="n"/>
      <c r="H632" s="39">
        <f>IF(C632="","",IFERROR(INDEX('Animais'!$M$6:$M$1005,MATCH(C632,'Animais'!$A$6:$A$1005,0)),"Brinco não cadastrado"))</f>
        <v/>
      </c>
      <c r="I632" s="34">
        <f>IF(A632="","",YEAR(A632))</f>
        <v/>
      </c>
      <c r="J632" s="45">
        <f>IF(OR(N(D632)=0,N(E632)=0),"",IFERROR(E632/D632,""))</f>
        <v/>
      </c>
    </row>
    <row r="633">
      <c r="A633" s="31" t="n"/>
      <c r="B633" s="37" t="n"/>
      <c r="C633" s="36" t="n"/>
      <c r="D633" s="38" t="n"/>
      <c r="E633" s="44" t="n"/>
      <c r="F633" s="32" t="n"/>
      <c r="G633" s="32" t="n"/>
      <c r="H633" s="39">
        <f>IF(C633="","",IFERROR(INDEX('Animais'!$M$6:$M$1005,MATCH(C633,'Animais'!$A$6:$A$1005,0)),"Brinco não cadastrado"))</f>
        <v/>
      </c>
      <c r="I633" s="34">
        <f>IF(A633="","",YEAR(A633))</f>
        <v/>
      </c>
      <c r="J633" s="45">
        <f>IF(OR(N(D633)=0,N(E633)=0),"",IFERROR(E633/D633,""))</f>
        <v/>
      </c>
    </row>
    <row r="634">
      <c r="A634" s="31" t="n"/>
      <c r="B634" s="37" t="n"/>
      <c r="C634" s="36" t="n"/>
      <c r="D634" s="38" t="n"/>
      <c r="E634" s="44" t="n"/>
      <c r="F634" s="32" t="n"/>
      <c r="G634" s="32" t="n"/>
      <c r="H634" s="39">
        <f>IF(C634="","",IFERROR(INDEX('Animais'!$M$6:$M$1005,MATCH(C634,'Animais'!$A$6:$A$1005,0)),"Brinco não cadastrado"))</f>
        <v/>
      </c>
      <c r="I634" s="34">
        <f>IF(A634="","",YEAR(A634))</f>
        <v/>
      </c>
      <c r="J634" s="45">
        <f>IF(OR(N(D634)=0,N(E634)=0),"",IFERROR(E634/D634,""))</f>
        <v/>
      </c>
    </row>
    <row r="635">
      <c r="A635" s="31" t="n"/>
      <c r="B635" s="37" t="n"/>
      <c r="C635" s="36" t="n"/>
      <c r="D635" s="38" t="n"/>
      <c r="E635" s="44" t="n"/>
      <c r="F635" s="32" t="n"/>
      <c r="G635" s="32" t="n"/>
      <c r="H635" s="39">
        <f>IF(C635="","",IFERROR(INDEX('Animais'!$M$6:$M$1005,MATCH(C635,'Animais'!$A$6:$A$1005,0)),"Brinco não cadastrado"))</f>
        <v/>
      </c>
      <c r="I635" s="34">
        <f>IF(A635="","",YEAR(A635))</f>
        <v/>
      </c>
      <c r="J635" s="45">
        <f>IF(OR(N(D635)=0,N(E635)=0),"",IFERROR(E635/D635,""))</f>
        <v/>
      </c>
    </row>
    <row r="636">
      <c r="A636" s="31" t="n"/>
      <c r="B636" s="37" t="n"/>
      <c r="C636" s="36" t="n"/>
      <c r="D636" s="38" t="n"/>
      <c r="E636" s="44" t="n"/>
      <c r="F636" s="32" t="n"/>
      <c r="G636" s="32" t="n"/>
      <c r="H636" s="39">
        <f>IF(C636="","",IFERROR(INDEX('Animais'!$M$6:$M$1005,MATCH(C636,'Animais'!$A$6:$A$1005,0)),"Brinco não cadastrado"))</f>
        <v/>
      </c>
      <c r="I636" s="34">
        <f>IF(A636="","",YEAR(A636))</f>
        <v/>
      </c>
      <c r="J636" s="45">
        <f>IF(OR(N(D636)=0,N(E636)=0),"",IFERROR(E636/D636,""))</f>
        <v/>
      </c>
    </row>
    <row r="637">
      <c r="A637" s="31" t="n"/>
      <c r="B637" s="37" t="n"/>
      <c r="C637" s="36" t="n"/>
      <c r="D637" s="38" t="n"/>
      <c r="E637" s="44" t="n"/>
      <c r="F637" s="32" t="n"/>
      <c r="G637" s="32" t="n"/>
      <c r="H637" s="39">
        <f>IF(C637="","",IFERROR(INDEX('Animais'!$M$6:$M$1005,MATCH(C637,'Animais'!$A$6:$A$1005,0)),"Brinco não cadastrado"))</f>
        <v/>
      </c>
      <c r="I637" s="34">
        <f>IF(A637="","",YEAR(A637))</f>
        <v/>
      </c>
      <c r="J637" s="45">
        <f>IF(OR(N(D637)=0,N(E637)=0),"",IFERROR(E637/D637,""))</f>
        <v/>
      </c>
    </row>
    <row r="638">
      <c r="A638" s="31" t="n"/>
      <c r="B638" s="37" t="n"/>
      <c r="C638" s="36" t="n"/>
      <c r="D638" s="38" t="n"/>
      <c r="E638" s="44" t="n"/>
      <c r="F638" s="32" t="n"/>
      <c r="G638" s="32" t="n"/>
      <c r="H638" s="39">
        <f>IF(C638="","",IFERROR(INDEX('Animais'!$M$6:$M$1005,MATCH(C638,'Animais'!$A$6:$A$1005,0)),"Brinco não cadastrado"))</f>
        <v/>
      </c>
      <c r="I638" s="34">
        <f>IF(A638="","",YEAR(A638))</f>
        <v/>
      </c>
      <c r="J638" s="45">
        <f>IF(OR(N(D638)=0,N(E638)=0),"",IFERROR(E638/D638,""))</f>
        <v/>
      </c>
    </row>
    <row r="639">
      <c r="A639" s="31" t="n"/>
      <c r="B639" s="37" t="n"/>
      <c r="C639" s="36" t="n"/>
      <c r="D639" s="38" t="n"/>
      <c r="E639" s="44" t="n"/>
      <c r="F639" s="32" t="n"/>
      <c r="G639" s="32" t="n"/>
      <c r="H639" s="39">
        <f>IF(C639="","",IFERROR(INDEX('Animais'!$M$6:$M$1005,MATCH(C639,'Animais'!$A$6:$A$1005,0)),"Brinco não cadastrado"))</f>
        <v/>
      </c>
      <c r="I639" s="34">
        <f>IF(A639="","",YEAR(A639))</f>
        <v/>
      </c>
      <c r="J639" s="45">
        <f>IF(OR(N(D639)=0,N(E639)=0),"",IFERROR(E639/D639,""))</f>
        <v/>
      </c>
    </row>
    <row r="640">
      <c r="A640" s="31" t="n"/>
      <c r="B640" s="37" t="n"/>
      <c r="C640" s="36" t="n"/>
      <c r="D640" s="38" t="n"/>
      <c r="E640" s="44" t="n"/>
      <c r="F640" s="32" t="n"/>
      <c r="G640" s="32" t="n"/>
      <c r="H640" s="39">
        <f>IF(C640="","",IFERROR(INDEX('Animais'!$M$6:$M$1005,MATCH(C640,'Animais'!$A$6:$A$1005,0)),"Brinco não cadastrado"))</f>
        <v/>
      </c>
      <c r="I640" s="34">
        <f>IF(A640="","",YEAR(A640))</f>
        <v/>
      </c>
      <c r="J640" s="45">
        <f>IF(OR(N(D640)=0,N(E640)=0),"",IFERROR(E640/D640,""))</f>
        <v/>
      </c>
    </row>
    <row r="641">
      <c r="A641" s="31" t="n"/>
      <c r="B641" s="37" t="n"/>
      <c r="C641" s="36" t="n"/>
      <c r="D641" s="38" t="n"/>
      <c r="E641" s="44" t="n"/>
      <c r="F641" s="32" t="n"/>
      <c r="G641" s="32" t="n"/>
      <c r="H641" s="39">
        <f>IF(C641="","",IFERROR(INDEX('Animais'!$M$6:$M$1005,MATCH(C641,'Animais'!$A$6:$A$1005,0)),"Brinco não cadastrado"))</f>
        <v/>
      </c>
      <c r="I641" s="34">
        <f>IF(A641="","",YEAR(A641))</f>
        <v/>
      </c>
      <c r="J641" s="45">
        <f>IF(OR(N(D641)=0,N(E641)=0),"",IFERROR(E641/D641,""))</f>
        <v/>
      </c>
    </row>
    <row r="642">
      <c r="A642" s="31" t="n"/>
      <c r="B642" s="37" t="n"/>
      <c r="C642" s="36" t="n"/>
      <c r="D642" s="38" t="n"/>
      <c r="E642" s="44" t="n"/>
      <c r="F642" s="32" t="n"/>
      <c r="G642" s="32" t="n"/>
      <c r="H642" s="39">
        <f>IF(C642="","",IFERROR(INDEX('Animais'!$M$6:$M$1005,MATCH(C642,'Animais'!$A$6:$A$1005,0)),"Brinco não cadastrado"))</f>
        <v/>
      </c>
      <c r="I642" s="34">
        <f>IF(A642="","",YEAR(A642))</f>
        <v/>
      </c>
      <c r="J642" s="45">
        <f>IF(OR(N(D642)=0,N(E642)=0),"",IFERROR(E642/D642,""))</f>
        <v/>
      </c>
    </row>
    <row r="643">
      <c r="A643" s="31" t="n"/>
      <c r="B643" s="37" t="n"/>
      <c r="C643" s="36" t="n"/>
      <c r="D643" s="38" t="n"/>
      <c r="E643" s="44" t="n"/>
      <c r="F643" s="32" t="n"/>
      <c r="G643" s="32" t="n"/>
      <c r="H643" s="39">
        <f>IF(C643="","",IFERROR(INDEX('Animais'!$M$6:$M$1005,MATCH(C643,'Animais'!$A$6:$A$1005,0)),"Brinco não cadastrado"))</f>
        <v/>
      </c>
      <c r="I643" s="34">
        <f>IF(A643="","",YEAR(A643))</f>
        <v/>
      </c>
      <c r="J643" s="45">
        <f>IF(OR(N(D643)=0,N(E643)=0),"",IFERROR(E643/D643,""))</f>
        <v/>
      </c>
    </row>
    <row r="644">
      <c r="A644" s="31" t="n"/>
      <c r="B644" s="37" t="n"/>
      <c r="C644" s="36" t="n"/>
      <c r="D644" s="38" t="n"/>
      <c r="E644" s="44" t="n"/>
      <c r="F644" s="32" t="n"/>
      <c r="G644" s="32" t="n"/>
      <c r="H644" s="39">
        <f>IF(C644="","",IFERROR(INDEX('Animais'!$M$6:$M$1005,MATCH(C644,'Animais'!$A$6:$A$1005,0)),"Brinco não cadastrado"))</f>
        <v/>
      </c>
      <c r="I644" s="34">
        <f>IF(A644="","",YEAR(A644))</f>
        <v/>
      </c>
      <c r="J644" s="45">
        <f>IF(OR(N(D644)=0,N(E644)=0),"",IFERROR(E644/D644,""))</f>
        <v/>
      </c>
    </row>
    <row r="645">
      <c r="A645" s="31" t="n"/>
      <c r="B645" s="37" t="n"/>
      <c r="C645" s="36" t="n"/>
      <c r="D645" s="38" t="n"/>
      <c r="E645" s="44" t="n"/>
      <c r="F645" s="32" t="n"/>
      <c r="G645" s="32" t="n"/>
      <c r="H645" s="39">
        <f>IF(C645="","",IFERROR(INDEX('Animais'!$M$6:$M$1005,MATCH(C645,'Animais'!$A$6:$A$1005,0)),"Brinco não cadastrado"))</f>
        <v/>
      </c>
      <c r="I645" s="34">
        <f>IF(A645="","",YEAR(A645))</f>
        <v/>
      </c>
      <c r="J645" s="45">
        <f>IF(OR(N(D645)=0,N(E645)=0),"",IFERROR(E645/D645,""))</f>
        <v/>
      </c>
    </row>
    <row r="646">
      <c r="A646" s="31" t="n"/>
      <c r="B646" s="37" t="n"/>
      <c r="C646" s="36" t="n"/>
      <c r="D646" s="38" t="n"/>
      <c r="E646" s="44" t="n"/>
      <c r="F646" s="32" t="n"/>
      <c r="G646" s="32" t="n"/>
      <c r="H646" s="39">
        <f>IF(C646="","",IFERROR(INDEX('Animais'!$M$6:$M$1005,MATCH(C646,'Animais'!$A$6:$A$1005,0)),"Brinco não cadastrado"))</f>
        <v/>
      </c>
      <c r="I646" s="34">
        <f>IF(A646="","",YEAR(A646))</f>
        <v/>
      </c>
      <c r="J646" s="45">
        <f>IF(OR(N(D646)=0,N(E646)=0),"",IFERROR(E646/D646,""))</f>
        <v/>
      </c>
    </row>
    <row r="647">
      <c r="A647" s="31" t="n"/>
      <c r="B647" s="37" t="n"/>
      <c r="C647" s="36" t="n"/>
      <c r="D647" s="38" t="n"/>
      <c r="E647" s="44" t="n"/>
      <c r="F647" s="32" t="n"/>
      <c r="G647" s="32" t="n"/>
      <c r="H647" s="39">
        <f>IF(C647="","",IFERROR(INDEX('Animais'!$M$6:$M$1005,MATCH(C647,'Animais'!$A$6:$A$1005,0)),"Brinco não cadastrado"))</f>
        <v/>
      </c>
      <c r="I647" s="34">
        <f>IF(A647="","",YEAR(A647))</f>
        <v/>
      </c>
      <c r="J647" s="45">
        <f>IF(OR(N(D647)=0,N(E647)=0),"",IFERROR(E647/D647,""))</f>
        <v/>
      </c>
    </row>
    <row r="648">
      <c r="A648" s="31" t="n"/>
      <c r="B648" s="37" t="n"/>
      <c r="C648" s="36" t="n"/>
      <c r="D648" s="38" t="n"/>
      <c r="E648" s="44" t="n"/>
      <c r="F648" s="32" t="n"/>
      <c r="G648" s="32" t="n"/>
      <c r="H648" s="39">
        <f>IF(C648="","",IFERROR(INDEX('Animais'!$M$6:$M$1005,MATCH(C648,'Animais'!$A$6:$A$1005,0)),"Brinco não cadastrado"))</f>
        <v/>
      </c>
      <c r="I648" s="34">
        <f>IF(A648="","",YEAR(A648))</f>
        <v/>
      </c>
      <c r="J648" s="45">
        <f>IF(OR(N(D648)=0,N(E648)=0),"",IFERROR(E648/D648,""))</f>
        <v/>
      </c>
    </row>
    <row r="649">
      <c r="A649" s="31" t="n"/>
      <c r="B649" s="37" t="n"/>
      <c r="C649" s="36" t="n"/>
      <c r="D649" s="38" t="n"/>
      <c r="E649" s="44" t="n"/>
      <c r="F649" s="32" t="n"/>
      <c r="G649" s="32" t="n"/>
      <c r="H649" s="39">
        <f>IF(C649="","",IFERROR(INDEX('Animais'!$M$6:$M$1005,MATCH(C649,'Animais'!$A$6:$A$1005,0)),"Brinco não cadastrado"))</f>
        <v/>
      </c>
      <c r="I649" s="34">
        <f>IF(A649="","",YEAR(A649))</f>
        <v/>
      </c>
      <c r="J649" s="45">
        <f>IF(OR(N(D649)=0,N(E649)=0),"",IFERROR(E649/D649,""))</f>
        <v/>
      </c>
    </row>
    <row r="650">
      <c r="A650" s="31" t="n"/>
      <c r="B650" s="37" t="n"/>
      <c r="C650" s="36" t="n"/>
      <c r="D650" s="38" t="n"/>
      <c r="E650" s="44" t="n"/>
      <c r="F650" s="32" t="n"/>
      <c r="G650" s="32" t="n"/>
      <c r="H650" s="39">
        <f>IF(C650="","",IFERROR(INDEX('Animais'!$M$6:$M$1005,MATCH(C650,'Animais'!$A$6:$A$1005,0)),"Brinco não cadastrado"))</f>
        <v/>
      </c>
      <c r="I650" s="34">
        <f>IF(A650="","",YEAR(A650))</f>
        <v/>
      </c>
      <c r="J650" s="45">
        <f>IF(OR(N(D650)=0,N(E650)=0),"",IFERROR(E650/D650,""))</f>
        <v/>
      </c>
    </row>
    <row r="651">
      <c r="A651" s="31" t="n"/>
      <c r="B651" s="37" t="n"/>
      <c r="C651" s="36" t="n"/>
      <c r="D651" s="38" t="n"/>
      <c r="E651" s="44" t="n"/>
      <c r="F651" s="32" t="n"/>
      <c r="G651" s="32" t="n"/>
      <c r="H651" s="39">
        <f>IF(C651="","",IFERROR(INDEX('Animais'!$M$6:$M$1005,MATCH(C651,'Animais'!$A$6:$A$1005,0)),"Brinco não cadastrado"))</f>
        <v/>
      </c>
      <c r="I651" s="34">
        <f>IF(A651="","",YEAR(A651))</f>
        <v/>
      </c>
      <c r="J651" s="45">
        <f>IF(OR(N(D651)=0,N(E651)=0),"",IFERROR(E651/D651,""))</f>
        <v/>
      </c>
    </row>
    <row r="652">
      <c r="A652" s="31" t="n"/>
      <c r="B652" s="37" t="n"/>
      <c r="C652" s="36" t="n"/>
      <c r="D652" s="38" t="n"/>
      <c r="E652" s="44" t="n"/>
      <c r="F652" s="32" t="n"/>
      <c r="G652" s="32" t="n"/>
      <c r="H652" s="39">
        <f>IF(C652="","",IFERROR(INDEX('Animais'!$M$6:$M$1005,MATCH(C652,'Animais'!$A$6:$A$1005,0)),"Brinco não cadastrado"))</f>
        <v/>
      </c>
      <c r="I652" s="34">
        <f>IF(A652="","",YEAR(A652))</f>
        <v/>
      </c>
      <c r="J652" s="45">
        <f>IF(OR(N(D652)=0,N(E652)=0),"",IFERROR(E652/D652,""))</f>
        <v/>
      </c>
    </row>
    <row r="653">
      <c r="A653" s="31" t="n"/>
      <c r="B653" s="37" t="n"/>
      <c r="C653" s="36" t="n"/>
      <c r="D653" s="38" t="n"/>
      <c r="E653" s="44" t="n"/>
      <c r="F653" s="32" t="n"/>
      <c r="G653" s="32" t="n"/>
      <c r="H653" s="39">
        <f>IF(C653="","",IFERROR(INDEX('Animais'!$M$6:$M$1005,MATCH(C653,'Animais'!$A$6:$A$1005,0)),"Brinco não cadastrado"))</f>
        <v/>
      </c>
      <c r="I653" s="34">
        <f>IF(A653="","",YEAR(A653))</f>
        <v/>
      </c>
      <c r="J653" s="45">
        <f>IF(OR(N(D653)=0,N(E653)=0),"",IFERROR(E653/D653,""))</f>
        <v/>
      </c>
    </row>
    <row r="654">
      <c r="A654" s="31" t="n"/>
      <c r="B654" s="37" t="n"/>
      <c r="C654" s="36" t="n"/>
      <c r="D654" s="38" t="n"/>
      <c r="E654" s="44" t="n"/>
      <c r="F654" s="32" t="n"/>
      <c r="G654" s="32" t="n"/>
      <c r="H654" s="39">
        <f>IF(C654="","",IFERROR(INDEX('Animais'!$M$6:$M$1005,MATCH(C654,'Animais'!$A$6:$A$1005,0)),"Brinco não cadastrado"))</f>
        <v/>
      </c>
      <c r="I654" s="34">
        <f>IF(A654="","",YEAR(A654))</f>
        <v/>
      </c>
      <c r="J654" s="45">
        <f>IF(OR(N(D654)=0,N(E654)=0),"",IFERROR(E654/D654,""))</f>
        <v/>
      </c>
    </row>
    <row r="655">
      <c r="A655" s="31" t="n"/>
      <c r="B655" s="37" t="n"/>
      <c r="C655" s="36" t="n"/>
      <c r="D655" s="38" t="n"/>
      <c r="E655" s="44" t="n"/>
      <c r="F655" s="32" t="n"/>
      <c r="G655" s="32" t="n"/>
      <c r="H655" s="39">
        <f>IF(C655="","",IFERROR(INDEX('Animais'!$M$6:$M$1005,MATCH(C655,'Animais'!$A$6:$A$1005,0)),"Brinco não cadastrado"))</f>
        <v/>
      </c>
      <c r="I655" s="34">
        <f>IF(A655="","",YEAR(A655))</f>
        <v/>
      </c>
      <c r="J655" s="45">
        <f>IF(OR(N(D655)=0,N(E655)=0),"",IFERROR(E655/D655,""))</f>
        <v/>
      </c>
    </row>
    <row r="656">
      <c r="A656" s="31" t="n"/>
      <c r="B656" s="37" t="n"/>
      <c r="C656" s="36" t="n"/>
      <c r="D656" s="38" t="n"/>
      <c r="E656" s="44" t="n"/>
      <c r="F656" s="32" t="n"/>
      <c r="G656" s="32" t="n"/>
      <c r="H656" s="39">
        <f>IF(C656="","",IFERROR(INDEX('Animais'!$M$6:$M$1005,MATCH(C656,'Animais'!$A$6:$A$1005,0)),"Brinco não cadastrado"))</f>
        <v/>
      </c>
      <c r="I656" s="34">
        <f>IF(A656="","",YEAR(A656))</f>
        <v/>
      </c>
      <c r="J656" s="45">
        <f>IF(OR(N(D656)=0,N(E656)=0),"",IFERROR(E656/D656,""))</f>
        <v/>
      </c>
    </row>
    <row r="657">
      <c r="A657" s="31" t="n"/>
      <c r="B657" s="37" t="n"/>
      <c r="C657" s="36" t="n"/>
      <c r="D657" s="38" t="n"/>
      <c r="E657" s="44" t="n"/>
      <c r="F657" s="32" t="n"/>
      <c r="G657" s="32" t="n"/>
      <c r="H657" s="39">
        <f>IF(C657="","",IFERROR(INDEX('Animais'!$M$6:$M$1005,MATCH(C657,'Animais'!$A$6:$A$1005,0)),"Brinco não cadastrado"))</f>
        <v/>
      </c>
      <c r="I657" s="34">
        <f>IF(A657="","",YEAR(A657))</f>
        <v/>
      </c>
      <c r="J657" s="45">
        <f>IF(OR(N(D657)=0,N(E657)=0),"",IFERROR(E657/D657,""))</f>
        <v/>
      </c>
    </row>
    <row r="658">
      <c r="A658" s="31" t="n"/>
      <c r="B658" s="37" t="n"/>
      <c r="C658" s="36" t="n"/>
      <c r="D658" s="38" t="n"/>
      <c r="E658" s="44" t="n"/>
      <c r="F658" s="32" t="n"/>
      <c r="G658" s="32" t="n"/>
      <c r="H658" s="39">
        <f>IF(C658="","",IFERROR(INDEX('Animais'!$M$6:$M$1005,MATCH(C658,'Animais'!$A$6:$A$1005,0)),"Brinco não cadastrado"))</f>
        <v/>
      </c>
      <c r="I658" s="34">
        <f>IF(A658="","",YEAR(A658))</f>
        <v/>
      </c>
      <c r="J658" s="45">
        <f>IF(OR(N(D658)=0,N(E658)=0),"",IFERROR(E658/D658,""))</f>
        <v/>
      </c>
    </row>
    <row r="659">
      <c r="A659" s="31" t="n"/>
      <c r="B659" s="37" t="n"/>
      <c r="C659" s="36" t="n"/>
      <c r="D659" s="38" t="n"/>
      <c r="E659" s="44" t="n"/>
      <c r="F659" s="32" t="n"/>
      <c r="G659" s="32" t="n"/>
      <c r="H659" s="39">
        <f>IF(C659="","",IFERROR(INDEX('Animais'!$M$6:$M$1005,MATCH(C659,'Animais'!$A$6:$A$1005,0)),"Brinco não cadastrado"))</f>
        <v/>
      </c>
      <c r="I659" s="34">
        <f>IF(A659="","",YEAR(A659))</f>
        <v/>
      </c>
      <c r="J659" s="45">
        <f>IF(OR(N(D659)=0,N(E659)=0),"",IFERROR(E659/D659,""))</f>
        <v/>
      </c>
    </row>
    <row r="660">
      <c r="A660" s="31" t="n"/>
      <c r="B660" s="37" t="n"/>
      <c r="C660" s="36" t="n"/>
      <c r="D660" s="38" t="n"/>
      <c r="E660" s="44" t="n"/>
      <c r="F660" s="32" t="n"/>
      <c r="G660" s="32" t="n"/>
      <c r="H660" s="39">
        <f>IF(C660="","",IFERROR(INDEX('Animais'!$M$6:$M$1005,MATCH(C660,'Animais'!$A$6:$A$1005,0)),"Brinco não cadastrado"))</f>
        <v/>
      </c>
      <c r="I660" s="34">
        <f>IF(A660="","",YEAR(A660))</f>
        <v/>
      </c>
      <c r="J660" s="45">
        <f>IF(OR(N(D660)=0,N(E660)=0),"",IFERROR(E660/D660,""))</f>
        <v/>
      </c>
    </row>
    <row r="661">
      <c r="A661" s="31" t="n"/>
      <c r="B661" s="37" t="n"/>
      <c r="C661" s="36" t="n"/>
      <c r="D661" s="38" t="n"/>
      <c r="E661" s="44" t="n"/>
      <c r="F661" s="32" t="n"/>
      <c r="G661" s="32" t="n"/>
      <c r="H661" s="39">
        <f>IF(C661="","",IFERROR(INDEX('Animais'!$M$6:$M$1005,MATCH(C661,'Animais'!$A$6:$A$1005,0)),"Brinco não cadastrado"))</f>
        <v/>
      </c>
      <c r="I661" s="34">
        <f>IF(A661="","",YEAR(A661))</f>
        <v/>
      </c>
      <c r="J661" s="45">
        <f>IF(OR(N(D661)=0,N(E661)=0),"",IFERROR(E661/D661,""))</f>
        <v/>
      </c>
    </row>
    <row r="662">
      <c r="A662" s="31" t="n"/>
      <c r="B662" s="37" t="n"/>
      <c r="C662" s="36" t="n"/>
      <c r="D662" s="38" t="n"/>
      <c r="E662" s="44" t="n"/>
      <c r="F662" s="32" t="n"/>
      <c r="G662" s="32" t="n"/>
      <c r="H662" s="39">
        <f>IF(C662="","",IFERROR(INDEX('Animais'!$M$6:$M$1005,MATCH(C662,'Animais'!$A$6:$A$1005,0)),"Brinco não cadastrado"))</f>
        <v/>
      </c>
      <c r="I662" s="34">
        <f>IF(A662="","",YEAR(A662))</f>
        <v/>
      </c>
      <c r="J662" s="45">
        <f>IF(OR(N(D662)=0,N(E662)=0),"",IFERROR(E662/D662,""))</f>
        <v/>
      </c>
    </row>
    <row r="663">
      <c r="A663" s="31" t="n"/>
      <c r="B663" s="37" t="n"/>
      <c r="C663" s="36" t="n"/>
      <c r="D663" s="38" t="n"/>
      <c r="E663" s="44" t="n"/>
      <c r="F663" s="32" t="n"/>
      <c r="G663" s="32" t="n"/>
      <c r="H663" s="39">
        <f>IF(C663="","",IFERROR(INDEX('Animais'!$M$6:$M$1005,MATCH(C663,'Animais'!$A$6:$A$1005,0)),"Brinco não cadastrado"))</f>
        <v/>
      </c>
      <c r="I663" s="34">
        <f>IF(A663="","",YEAR(A663))</f>
        <v/>
      </c>
      <c r="J663" s="45">
        <f>IF(OR(N(D663)=0,N(E663)=0),"",IFERROR(E663/D663,""))</f>
        <v/>
      </c>
    </row>
    <row r="664">
      <c r="A664" s="31" t="n"/>
      <c r="B664" s="37" t="n"/>
      <c r="C664" s="36" t="n"/>
      <c r="D664" s="38" t="n"/>
      <c r="E664" s="44" t="n"/>
      <c r="F664" s="32" t="n"/>
      <c r="G664" s="32" t="n"/>
      <c r="H664" s="39">
        <f>IF(C664="","",IFERROR(INDEX('Animais'!$M$6:$M$1005,MATCH(C664,'Animais'!$A$6:$A$1005,0)),"Brinco não cadastrado"))</f>
        <v/>
      </c>
      <c r="I664" s="34">
        <f>IF(A664="","",YEAR(A664))</f>
        <v/>
      </c>
      <c r="J664" s="45">
        <f>IF(OR(N(D664)=0,N(E664)=0),"",IFERROR(E664/D664,""))</f>
        <v/>
      </c>
    </row>
    <row r="665">
      <c r="A665" s="31" t="n"/>
      <c r="B665" s="37" t="n"/>
      <c r="C665" s="36" t="n"/>
      <c r="D665" s="38" t="n"/>
      <c r="E665" s="44" t="n"/>
      <c r="F665" s="32" t="n"/>
      <c r="G665" s="32" t="n"/>
      <c r="H665" s="39">
        <f>IF(C665="","",IFERROR(INDEX('Animais'!$M$6:$M$1005,MATCH(C665,'Animais'!$A$6:$A$1005,0)),"Brinco não cadastrado"))</f>
        <v/>
      </c>
      <c r="I665" s="34">
        <f>IF(A665="","",YEAR(A665))</f>
        <v/>
      </c>
      <c r="J665" s="45">
        <f>IF(OR(N(D665)=0,N(E665)=0),"",IFERROR(E665/D665,""))</f>
        <v/>
      </c>
    </row>
    <row r="666">
      <c r="A666" s="31" t="n"/>
      <c r="B666" s="37" t="n"/>
      <c r="C666" s="36" t="n"/>
      <c r="D666" s="38" t="n"/>
      <c r="E666" s="44" t="n"/>
      <c r="F666" s="32" t="n"/>
      <c r="G666" s="32" t="n"/>
      <c r="H666" s="39">
        <f>IF(C666="","",IFERROR(INDEX('Animais'!$M$6:$M$1005,MATCH(C666,'Animais'!$A$6:$A$1005,0)),"Brinco não cadastrado"))</f>
        <v/>
      </c>
      <c r="I666" s="34">
        <f>IF(A666="","",YEAR(A666))</f>
        <v/>
      </c>
      <c r="J666" s="45">
        <f>IF(OR(N(D666)=0,N(E666)=0),"",IFERROR(E666/D666,""))</f>
        <v/>
      </c>
    </row>
    <row r="667">
      <c r="A667" s="31" t="n"/>
      <c r="B667" s="37" t="n"/>
      <c r="C667" s="36" t="n"/>
      <c r="D667" s="38" t="n"/>
      <c r="E667" s="44" t="n"/>
      <c r="F667" s="32" t="n"/>
      <c r="G667" s="32" t="n"/>
      <c r="H667" s="39">
        <f>IF(C667="","",IFERROR(INDEX('Animais'!$M$6:$M$1005,MATCH(C667,'Animais'!$A$6:$A$1005,0)),"Brinco não cadastrado"))</f>
        <v/>
      </c>
      <c r="I667" s="34">
        <f>IF(A667="","",YEAR(A667))</f>
        <v/>
      </c>
      <c r="J667" s="45">
        <f>IF(OR(N(D667)=0,N(E667)=0),"",IFERROR(E667/D667,""))</f>
        <v/>
      </c>
    </row>
    <row r="668">
      <c r="A668" s="31" t="n"/>
      <c r="B668" s="37" t="n"/>
      <c r="C668" s="36" t="n"/>
      <c r="D668" s="38" t="n"/>
      <c r="E668" s="44" t="n"/>
      <c r="F668" s="32" t="n"/>
      <c r="G668" s="32" t="n"/>
      <c r="H668" s="39">
        <f>IF(C668="","",IFERROR(INDEX('Animais'!$M$6:$M$1005,MATCH(C668,'Animais'!$A$6:$A$1005,0)),"Brinco não cadastrado"))</f>
        <v/>
      </c>
      <c r="I668" s="34">
        <f>IF(A668="","",YEAR(A668))</f>
        <v/>
      </c>
      <c r="J668" s="45">
        <f>IF(OR(N(D668)=0,N(E668)=0),"",IFERROR(E668/D668,""))</f>
        <v/>
      </c>
    </row>
    <row r="669">
      <c r="A669" s="31" t="n"/>
      <c r="B669" s="37" t="n"/>
      <c r="C669" s="36" t="n"/>
      <c r="D669" s="38" t="n"/>
      <c r="E669" s="44" t="n"/>
      <c r="F669" s="32" t="n"/>
      <c r="G669" s="32" t="n"/>
      <c r="H669" s="39">
        <f>IF(C669="","",IFERROR(INDEX('Animais'!$M$6:$M$1005,MATCH(C669,'Animais'!$A$6:$A$1005,0)),"Brinco não cadastrado"))</f>
        <v/>
      </c>
      <c r="I669" s="34">
        <f>IF(A669="","",YEAR(A669))</f>
        <v/>
      </c>
      <c r="J669" s="45">
        <f>IF(OR(N(D669)=0,N(E669)=0),"",IFERROR(E669/D669,""))</f>
        <v/>
      </c>
    </row>
    <row r="670">
      <c r="A670" s="31" t="n"/>
      <c r="B670" s="37" t="n"/>
      <c r="C670" s="36" t="n"/>
      <c r="D670" s="38" t="n"/>
      <c r="E670" s="44" t="n"/>
      <c r="F670" s="32" t="n"/>
      <c r="G670" s="32" t="n"/>
      <c r="H670" s="39">
        <f>IF(C670="","",IFERROR(INDEX('Animais'!$M$6:$M$1005,MATCH(C670,'Animais'!$A$6:$A$1005,0)),"Brinco não cadastrado"))</f>
        <v/>
      </c>
      <c r="I670" s="34">
        <f>IF(A670="","",YEAR(A670))</f>
        <v/>
      </c>
      <c r="J670" s="45">
        <f>IF(OR(N(D670)=0,N(E670)=0),"",IFERROR(E670/D670,""))</f>
        <v/>
      </c>
    </row>
    <row r="671">
      <c r="A671" s="31" t="n"/>
      <c r="B671" s="37" t="n"/>
      <c r="C671" s="36" t="n"/>
      <c r="D671" s="38" t="n"/>
      <c r="E671" s="44" t="n"/>
      <c r="F671" s="32" t="n"/>
      <c r="G671" s="32" t="n"/>
      <c r="H671" s="39">
        <f>IF(C671="","",IFERROR(INDEX('Animais'!$M$6:$M$1005,MATCH(C671,'Animais'!$A$6:$A$1005,0)),"Brinco não cadastrado"))</f>
        <v/>
      </c>
      <c r="I671" s="34">
        <f>IF(A671="","",YEAR(A671))</f>
        <v/>
      </c>
      <c r="J671" s="45">
        <f>IF(OR(N(D671)=0,N(E671)=0),"",IFERROR(E671/D671,""))</f>
        <v/>
      </c>
    </row>
    <row r="672">
      <c r="A672" s="31" t="n"/>
      <c r="B672" s="37" t="n"/>
      <c r="C672" s="36" t="n"/>
      <c r="D672" s="38" t="n"/>
      <c r="E672" s="44" t="n"/>
      <c r="F672" s="32" t="n"/>
      <c r="G672" s="32" t="n"/>
      <c r="H672" s="39">
        <f>IF(C672="","",IFERROR(INDEX('Animais'!$M$6:$M$1005,MATCH(C672,'Animais'!$A$6:$A$1005,0)),"Brinco não cadastrado"))</f>
        <v/>
      </c>
      <c r="I672" s="34">
        <f>IF(A672="","",YEAR(A672))</f>
        <v/>
      </c>
      <c r="J672" s="45">
        <f>IF(OR(N(D672)=0,N(E672)=0),"",IFERROR(E672/D672,""))</f>
        <v/>
      </c>
    </row>
    <row r="673">
      <c r="A673" s="31" t="n"/>
      <c r="B673" s="37" t="n"/>
      <c r="C673" s="36" t="n"/>
      <c r="D673" s="38" t="n"/>
      <c r="E673" s="44" t="n"/>
      <c r="F673" s="32" t="n"/>
      <c r="G673" s="32" t="n"/>
      <c r="H673" s="39">
        <f>IF(C673="","",IFERROR(INDEX('Animais'!$M$6:$M$1005,MATCH(C673,'Animais'!$A$6:$A$1005,0)),"Brinco não cadastrado"))</f>
        <v/>
      </c>
      <c r="I673" s="34">
        <f>IF(A673="","",YEAR(A673))</f>
        <v/>
      </c>
      <c r="J673" s="45">
        <f>IF(OR(N(D673)=0,N(E673)=0),"",IFERROR(E673/D673,""))</f>
        <v/>
      </c>
    </row>
    <row r="674">
      <c r="A674" s="31" t="n"/>
      <c r="B674" s="37" t="n"/>
      <c r="C674" s="36" t="n"/>
      <c r="D674" s="38" t="n"/>
      <c r="E674" s="44" t="n"/>
      <c r="F674" s="32" t="n"/>
      <c r="G674" s="32" t="n"/>
      <c r="H674" s="39">
        <f>IF(C674="","",IFERROR(INDEX('Animais'!$M$6:$M$1005,MATCH(C674,'Animais'!$A$6:$A$1005,0)),"Brinco não cadastrado"))</f>
        <v/>
      </c>
      <c r="I674" s="34">
        <f>IF(A674="","",YEAR(A674))</f>
        <v/>
      </c>
      <c r="J674" s="45">
        <f>IF(OR(N(D674)=0,N(E674)=0),"",IFERROR(E674/D674,""))</f>
        <v/>
      </c>
    </row>
    <row r="675">
      <c r="A675" s="31" t="n"/>
      <c r="B675" s="37" t="n"/>
      <c r="C675" s="36" t="n"/>
      <c r="D675" s="38" t="n"/>
      <c r="E675" s="44" t="n"/>
      <c r="F675" s="32" t="n"/>
      <c r="G675" s="32" t="n"/>
      <c r="H675" s="39">
        <f>IF(C675="","",IFERROR(INDEX('Animais'!$M$6:$M$1005,MATCH(C675,'Animais'!$A$6:$A$1005,0)),"Brinco não cadastrado"))</f>
        <v/>
      </c>
      <c r="I675" s="34">
        <f>IF(A675="","",YEAR(A675))</f>
        <v/>
      </c>
      <c r="J675" s="45">
        <f>IF(OR(N(D675)=0,N(E675)=0),"",IFERROR(E675/D675,""))</f>
        <v/>
      </c>
    </row>
    <row r="676">
      <c r="A676" s="31" t="n"/>
      <c r="B676" s="37" t="n"/>
      <c r="C676" s="36" t="n"/>
      <c r="D676" s="38" t="n"/>
      <c r="E676" s="44" t="n"/>
      <c r="F676" s="32" t="n"/>
      <c r="G676" s="32" t="n"/>
      <c r="H676" s="39">
        <f>IF(C676="","",IFERROR(INDEX('Animais'!$M$6:$M$1005,MATCH(C676,'Animais'!$A$6:$A$1005,0)),"Brinco não cadastrado"))</f>
        <v/>
      </c>
      <c r="I676" s="34">
        <f>IF(A676="","",YEAR(A676))</f>
        <v/>
      </c>
      <c r="J676" s="45">
        <f>IF(OR(N(D676)=0,N(E676)=0),"",IFERROR(E676/D676,""))</f>
        <v/>
      </c>
    </row>
    <row r="677">
      <c r="A677" s="31" t="n"/>
      <c r="B677" s="37" t="n"/>
      <c r="C677" s="36" t="n"/>
      <c r="D677" s="38" t="n"/>
      <c r="E677" s="44" t="n"/>
      <c r="F677" s="32" t="n"/>
      <c r="G677" s="32" t="n"/>
      <c r="H677" s="39">
        <f>IF(C677="","",IFERROR(INDEX('Animais'!$M$6:$M$1005,MATCH(C677,'Animais'!$A$6:$A$1005,0)),"Brinco não cadastrado"))</f>
        <v/>
      </c>
      <c r="I677" s="34">
        <f>IF(A677="","",YEAR(A677))</f>
        <v/>
      </c>
      <c r="J677" s="45">
        <f>IF(OR(N(D677)=0,N(E677)=0),"",IFERROR(E677/D677,""))</f>
        <v/>
      </c>
    </row>
    <row r="678">
      <c r="A678" s="31" t="n"/>
      <c r="B678" s="37" t="n"/>
      <c r="C678" s="36" t="n"/>
      <c r="D678" s="38" t="n"/>
      <c r="E678" s="44" t="n"/>
      <c r="F678" s="32" t="n"/>
      <c r="G678" s="32" t="n"/>
      <c r="H678" s="39">
        <f>IF(C678="","",IFERROR(INDEX('Animais'!$M$6:$M$1005,MATCH(C678,'Animais'!$A$6:$A$1005,0)),"Brinco não cadastrado"))</f>
        <v/>
      </c>
      <c r="I678" s="34">
        <f>IF(A678="","",YEAR(A678))</f>
        <v/>
      </c>
      <c r="J678" s="45">
        <f>IF(OR(N(D678)=0,N(E678)=0),"",IFERROR(E678/D678,""))</f>
        <v/>
      </c>
    </row>
    <row r="679">
      <c r="A679" s="31" t="n"/>
      <c r="B679" s="37" t="n"/>
      <c r="C679" s="36" t="n"/>
      <c r="D679" s="38" t="n"/>
      <c r="E679" s="44" t="n"/>
      <c r="F679" s="32" t="n"/>
      <c r="G679" s="32" t="n"/>
      <c r="H679" s="39">
        <f>IF(C679="","",IFERROR(INDEX('Animais'!$M$6:$M$1005,MATCH(C679,'Animais'!$A$6:$A$1005,0)),"Brinco não cadastrado"))</f>
        <v/>
      </c>
      <c r="I679" s="34">
        <f>IF(A679="","",YEAR(A679))</f>
        <v/>
      </c>
      <c r="J679" s="45">
        <f>IF(OR(N(D679)=0,N(E679)=0),"",IFERROR(E679/D679,""))</f>
        <v/>
      </c>
    </row>
    <row r="680">
      <c r="A680" s="31" t="n"/>
      <c r="B680" s="37" t="n"/>
      <c r="C680" s="36" t="n"/>
      <c r="D680" s="38" t="n"/>
      <c r="E680" s="44" t="n"/>
      <c r="F680" s="32" t="n"/>
      <c r="G680" s="32" t="n"/>
      <c r="H680" s="39">
        <f>IF(C680="","",IFERROR(INDEX('Animais'!$M$6:$M$1005,MATCH(C680,'Animais'!$A$6:$A$1005,0)),"Brinco não cadastrado"))</f>
        <v/>
      </c>
      <c r="I680" s="34">
        <f>IF(A680="","",YEAR(A680))</f>
        <v/>
      </c>
      <c r="J680" s="45">
        <f>IF(OR(N(D680)=0,N(E680)=0),"",IFERROR(E680/D680,""))</f>
        <v/>
      </c>
    </row>
    <row r="681">
      <c r="A681" s="31" t="n"/>
      <c r="B681" s="37" t="n"/>
      <c r="C681" s="36" t="n"/>
      <c r="D681" s="38" t="n"/>
      <c r="E681" s="44" t="n"/>
      <c r="F681" s="32" t="n"/>
      <c r="G681" s="32" t="n"/>
      <c r="H681" s="39">
        <f>IF(C681="","",IFERROR(INDEX('Animais'!$M$6:$M$1005,MATCH(C681,'Animais'!$A$6:$A$1005,0)),"Brinco não cadastrado"))</f>
        <v/>
      </c>
      <c r="I681" s="34">
        <f>IF(A681="","",YEAR(A681))</f>
        <v/>
      </c>
      <c r="J681" s="45">
        <f>IF(OR(N(D681)=0,N(E681)=0),"",IFERROR(E681/D681,""))</f>
        <v/>
      </c>
    </row>
    <row r="682">
      <c r="A682" s="31" t="n"/>
      <c r="B682" s="37" t="n"/>
      <c r="C682" s="36" t="n"/>
      <c r="D682" s="38" t="n"/>
      <c r="E682" s="44" t="n"/>
      <c r="F682" s="32" t="n"/>
      <c r="G682" s="32" t="n"/>
      <c r="H682" s="39">
        <f>IF(C682="","",IFERROR(INDEX('Animais'!$M$6:$M$1005,MATCH(C682,'Animais'!$A$6:$A$1005,0)),"Brinco não cadastrado"))</f>
        <v/>
      </c>
      <c r="I682" s="34">
        <f>IF(A682="","",YEAR(A682))</f>
        <v/>
      </c>
      <c r="J682" s="45">
        <f>IF(OR(N(D682)=0,N(E682)=0),"",IFERROR(E682/D682,""))</f>
        <v/>
      </c>
    </row>
    <row r="683">
      <c r="A683" s="31" t="n"/>
      <c r="B683" s="37" t="n"/>
      <c r="C683" s="36" t="n"/>
      <c r="D683" s="38" t="n"/>
      <c r="E683" s="44" t="n"/>
      <c r="F683" s="32" t="n"/>
      <c r="G683" s="32" t="n"/>
      <c r="H683" s="39">
        <f>IF(C683="","",IFERROR(INDEX('Animais'!$M$6:$M$1005,MATCH(C683,'Animais'!$A$6:$A$1005,0)),"Brinco não cadastrado"))</f>
        <v/>
      </c>
      <c r="I683" s="34">
        <f>IF(A683="","",YEAR(A683))</f>
        <v/>
      </c>
      <c r="J683" s="45">
        <f>IF(OR(N(D683)=0,N(E683)=0),"",IFERROR(E683/D683,""))</f>
        <v/>
      </c>
    </row>
    <row r="684">
      <c r="A684" s="31" t="n"/>
      <c r="B684" s="37" t="n"/>
      <c r="C684" s="36" t="n"/>
      <c r="D684" s="38" t="n"/>
      <c r="E684" s="44" t="n"/>
      <c r="F684" s="32" t="n"/>
      <c r="G684" s="32" t="n"/>
      <c r="H684" s="39">
        <f>IF(C684="","",IFERROR(INDEX('Animais'!$M$6:$M$1005,MATCH(C684,'Animais'!$A$6:$A$1005,0)),"Brinco não cadastrado"))</f>
        <v/>
      </c>
      <c r="I684" s="34">
        <f>IF(A684="","",YEAR(A684))</f>
        <v/>
      </c>
      <c r="J684" s="45">
        <f>IF(OR(N(D684)=0,N(E684)=0),"",IFERROR(E684/D684,""))</f>
        <v/>
      </c>
    </row>
    <row r="685">
      <c r="A685" s="31" t="n"/>
      <c r="B685" s="37" t="n"/>
      <c r="C685" s="36" t="n"/>
      <c r="D685" s="38" t="n"/>
      <c r="E685" s="44" t="n"/>
      <c r="F685" s="32" t="n"/>
      <c r="G685" s="32" t="n"/>
      <c r="H685" s="39">
        <f>IF(C685="","",IFERROR(INDEX('Animais'!$M$6:$M$1005,MATCH(C685,'Animais'!$A$6:$A$1005,0)),"Brinco não cadastrado"))</f>
        <v/>
      </c>
      <c r="I685" s="34">
        <f>IF(A685="","",YEAR(A685))</f>
        <v/>
      </c>
      <c r="J685" s="45">
        <f>IF(OR(N(D685)=0,N(E685)=0),"",IFERROR(E685/D685,""))</f>
        <v/>
      </c>
    </row>
    <row r="686">
      <c r="A686" s="31" t="n"/>
      <c r="B686" s="37" t="n"/>
      <c r="C686" s="36" t="n"/>
      <c r="D686" s="38" t="n"/>
      <c r="E686" s="44" t="n"/>
      <c r="F686" s="32" t="n"/>
      <c r="G686" s="32" t="n"/>
      <c r="H686" s="39">
        <f>IF(C686="","",IFERROR(INDEX('Animais'!$M$6:$M$1005,MATCH(C686,'Animais'!$A$6:$A$1005,0)),"Brinco não cadastrado"))</f>
        <v/>
      </c>
      <c r="I686" s="34">
        <f>IF(A686="","",YEAR(A686))</f>
        <v/>
      </c>
      <c r="J686" s="45">
        <f>IF(OR(N(D686)=0,N(E686)=0),"",IFERROR(E686/D686,""))</f>
        <v/>
      </c>
    </row>
    <row r="687">
      <c r="A687" s="31" t="n"/>
      <c r="B687" s="37" t="n"/>
      <c r="C687" s="36" t="n"/>
      <c r="D687" s="38" t="n"/>
      <c r="E687" s="44" t="n"/>
      <c r="F687" s="32" t="n"/>
      <c r="G687" s="32" t="n"/>
      <c r="H687" s="39">
        <f>IF(C687="","",IFERROR(INDEX('Animais'!$M$6:$M$1005,MATCH(C687,'Animais'!$A$6:$A$1005,0)),"Brinco não cadastrado"))</f>
        <v/>
      </c>
      <c r="I687" s="34">
        <f>IF(A687="","",YEAR(A687))</f>
        <v/>
      </c>
      <c r="J687" s="45">
        <f>IF(OR(N(D687)=0,N(E687)=0),"",IFERROR(E687/D687,""))</f>
        <v/>
      </c>
    </row>
    <row r="688">
      <c r="A688" s="31" t="n"/>
      <c r="B688" s="37" t="n"/>
      <c r="C688" s="36" t="n"/>
      <c r="D688" s="38" t="n"/>
      <c r="E688" s="44" t="n"/>
      <c r="F688" s="32" t="n"/>
      <c r="G688" s="32" t="n"/>
      <c r="H688" s="39">
        <f>IF(C688="","",IFERROR(INDEX('Animais'!$M$6:$M$1005,MATCH(C688,'Animais'!$A$6:$A$1005,0)),"Brinco não cadastrado"))</f>
        <v/>
      </c>
      <c r="I688" s="34">
        <f>IF(A688="","",YEAR(A688))</f>
        <v/>
      </c>
      <c r="J688" s="45">
        <f>IF(OR(N(D688)=0,N(E688)=0),"",IFERROR(E688/D688,""))</f>
        <v/>
      </c>
    </row>
    <row r="689">
      <c r="A689" s="31" t="n"/>
      <c r="B689" s="37" t="n"/>
      <c r="C689" s="36" t="n"/>
      <c r="D689" s="38" t="n"/>
      <c r="E689" s="44" t="n"/>
      <c r="F689" s="32" t="n"/>
      <c r="G689" s="32" t="n"/>
      <c r="H689" s="39">
        <f>IF(C689="","",IFERROR(INDEX('Animais'!$M$6:$M$1005,MATCH(C689,'Animais'!$A$6:$A$1005,0)),"Brinco não cadastrado"))</f>
        <v/>
      </c>
      <c r="I689" s="34">
        <f>IF(A689="","",YEAR(A689))</f>
        <v/>
      </c>
      <c r="J689" s="45">
        <f>IF(OR(N(D689)=0,N(E689)=0),"",IFERROR(E689/D689,""))</f>
        <v/>
      </c>
    </row>
    <row r="690">
      <c r="A690" s="31" t="n"/>
      <c r="B690" s="37" t="n"/>
      <c r="C690" s="36" t="n"/>
      <c r="D690" s="38" t="n"/>
      <c r="E690" s="44" t="n"/>
      <c r="F690" s="32" t="n"/>
      <c r="G690" s="32" t="n"/>
      <c r="H690" s="39">
        <f>IF(C690="","",IFERROR(INDEX('Animais'!$M$6:$M$1005,MATCH(C690,'Animais'!$A$6:$A$1005,0)),"Brinco não cadastrado"))</f>
        <v/>
      </c>
      <c r="I690" s="34">
        <f>IF(A690="","",YEAR(A690))</f>
        <v/>
      </c>
      <c r="J690" s="45">
        <f>IF(OR(N(D690)=0,N(E690)=0),"",IFERROR(E690/D690,""))</f>
        <v/>
      </c>
    </row>
    <row r="691">
      <c r="A691" s="31" t="n"/>
      <c r="B691" s="37" t="n"/>
      <c r="C691" s="36" t="n"/>
      <c r="D691" s="38" t="n"/>
      <c r="E691" s="44" t="n"/>
      <c r="F691" s="32" t="n"/>
      <c r="G691" s="32" t="n"/>
      <c r="H691" s="39">
        <f>IF(C691="","",IFERROR(INDEX('Animais'!$M$6:$M$1005,MATCH(C691,'Animais'!$A$6:$A$1005,0)),"Brinco não cadastrado"))</f>
        <v/>
      </c>
      <c r="I691" s="34">
        <f>IF(A691="","",YEAR(A691))</f>
        <v/>
      </c>
      <c r="J691" s="45">
        <f>IF(OR(N(D691)=0,N(E691)=0),"",IFERROR(E691/D691,""))</f>
        <v/>
      </c>
    </row>
    <row r="692">
      <c r="A692" s="31" t="n"/>
      <c r="B692" s="37" t="n"/>
      <c r="C692" s="36" t="n"/>
      <c r="D692" s="38" t="n"/>
      <c r="E692" s="44" t="n"/>
      <c r="F692" s="32" t="n"/>
      <c r="G692" s="32" t="n"/>
      <c r="H692" s="39">
        <f>IF(C692="","",IFERROR(INDEX('Animais'!$M$6:$M$1005,MATCH(C692,'Animais'!$A$6:$A$1005,0)),"Brinco não cadastrado"))</f>
        <v/>
      </c>
      <c r="I692" s="34">
        <f>IF(A692="","",YEAR(A692))</f>
        <v/>
      </c>
      <c r="J692" s="45">
        <f>IF(OR(N(D692)=0,N(E692)=0),"",IFERROR(E692/D692,""))</f>
        <v/>
      </c>
    </row>
    <row r="693">
      <c r="A693" s="31" t="n"/>
      <c r="B693" s="37" t="n"/>
      <c r="C693" s="36" t="n"/>
      <c r="D693" s="38" t="n"/>
      <c r="E693" s="44" t="n"/>
      <c r="F693" s="32" t="n"/>
      <c r="G693" s="32" t="n"/>
      <c r="H693" s="39">
        <f>IF(C693="","",IFERROR(INDEX('Animais'!$M$6:$M$1005,MATCH(C693,'Animais'!$A$6:$A$1005,0)),"Brinco não cadastrado"))</f>
        <v/>
      </c>
      <c r="I693" s="34">
        <f>IF(A693="","",YEAR(A693))</f>
        <v/>
      </c>
      <c r="J693" s="45">
        <f>IF(OR(N(D693)=0,N(E693)=0),"",IFERROR(E693/D693,""))</f>
        <v/>
      </c>
    </row>
    <row r="694">
      <c r="A694" s="31" t="n"/>
      <c r="B694" s="37" t="n"/>
      <c r="C694" s="36" t="n"/>
      <c r="D694" s="38" t="n"/>
      <c r="E694" s="44" t="n"/>
      <c r="F694" s="32" t="n"/>
      <c r="G694" s="32" t="n"/>
      <c r="H694" s="39">
        <f>IF(C694="","",IFERROR(INDEX('Animais'!$M$6:$M$1005,MATCH(C694,'Animais'!$A$6:$A$1005,0)),"Brinco não cadastrado"))</f>
        <v/>
      </c>
      <c r="I694" s="34">
        <f>IF(A694="","",YEAR(A694))</f>
        <v/>
      </c>
      <c r="J694" s="45">
        <f>IF(OR(N(D694)=0,N(E694)=0),"",IFERROR(E694/D694,""))</f>
        <v/>
      </c>
    </row>
    <row r="695">
      <c r="A695" s="31" t="n"/>
      <c r="B695" s="37" t="n"/>
      <c r="C695" s="36" t="n"/>
      <c r="D695" s="38" t="n"/>
      <c r="E695" s="44" t="n"/>
      <c r="F695" s="32" t="n"/>
      <c r="G695" s="32" t="n"/>
      <c r="H695" s="39">
        <f>IF(C695="","",IFERROR(INDEX('Animais'!$M$6:$M$1005,MATCH(C695,'Animais'!$A$6:$A$1005,0)),"Brinco não cadastrado"))</f>
        <v/>
      </c>
      <c r="I695" s="34">
        <f>IF(A695="","",YEAR(A695))</f>
        <v/>
      </c>
      <c r="J695" s="45">
        <f>IF(OR(N(D695)=0,N(E695)=0),"",IFERROR(E695/D695,""))</f>
        <v/>
      </c>
    </row>
    <row r="696">
      <c r="A696" s="31" t="n"/>
      <c r="B696" s="37" t="n"/>
      <c r="C696" s="36" t="n"/>
      <c r="D696" s="38" t="n"/>
      <c r="E696" s="44" t="n"/>
      <c r="F696" s="32" t="n"/>
      <c r="G696" s="32" t="n"/>
      <c r="H696" s="39">
        <f>IF(C696="","",IFERROR(INDEX('Animais'!$M$6:$M$1005,MATCH(C696,'Animais'!$A$6:$A$1005,0)),"Brinco não cadastrado"))</f>
        <v/>
      </c>
      <c r="I696" s="34">
        <f>IF(A696="","",YEAR(A696))</f>
        <v/>
      </c>
      <c r="J696" s="45">
        <f>IF(OR(N(D696)=0,N(E696)=0),"",IFERROR(E696/D696,""))</f>
        <v/>
      </c>
    </row>
    <row r="697">
      <c r="A697" s="31" t="n"/>
      <c r="B697" s="37" t="n"/>
      <c r="C697" s="36" t="n"/>
      <c r="D697" s="38" t="n"/>
      <c r="E697" s="44" t="n"/>
      <c r="F697" s="32" t="n"/>
      <c r="G697" s="32" t="n"/>
      <c r="H697" s="39">
        <f>IF(C697="","",IFERROR(INDEX('Animais'!$M$6:$M$1005,MATCH(C697,'Animais'!$A$6:$A$1005,0)),"Brinco não cadastrado"))</f>
        <v/>
      </c>
      <c r="I697" s="34">
        <f>IF(A697="","",YEAR(A697))</f>
        <v/>
      </c>
      <c r="J697" s="45">
        <f>IF(OR(N(D697)=0,N(E697)=0),"",IFERROR(E697/D697,""))</f>
        <v/>
      </c>
    </row>
    <row r="698">
      <c r="A698" s="31" t="n"/>
      <c r="B698" s="37" t="n"/>
      <c r="C698" s="36" t="n"/>
      <c r="D698" s="38" t="n"/>
      <c r="E698" s="44" t="n"/>
      <c r="F698" s="32" t="n"/>
      <c r="G698" s="32" t="n"/>
      <c r="H698" s="39">
        <f>IF(C698="","",IFERROR(INDEX('Animais'!$M$6:$M$1005,MATCH(C698,'Animais'!$A$6:$A$1005,0)),"Brinco não cadastrado"))</f>
        <v/>
      </c>
      <c r="I698" s="34">
        <f>IF(A698="","",YEAR(A698))</f>
        <v/>
      </c>
      <c r="J698" s="45">
        <f>IF(OR(N(D698)=0,N(E698)=0),"",IFERROR(E698/D698,""))</f>
        <v/>
      </c>
    </row>
    <row r="699">
      <c r="A699" s="31" t="n"/>
      <c r="B699" s="37" t="n"/>
      <c r="C699" s="36" t="n"/>
      <c r="D699" s="38" t="n"/>
      <c r="E699" s="44" t="n"/>
      <c r="F699" s="32" t="n"/>
      <c r="G699" s="32" t="n"/>
      <c r="H699" s="39">
        <f>IF(C699="","",IFERROR(INDEX('Animais'!$M$6:$M$1005,MATCH(C699,'Animais'!$A$6:$A$1005,0)),"Brinco não cadastrado"))</f>
        <v/>
      </c>
      <c r="I699" s="34">
        <f>IF(A699="","",YEAR(A699))</f>
        <v/>
      </c>
      <c r="J699" s="45">
        <f>IF(OR(N(D699)=0,N(E699)=0),"",IFERROR(E699/D699,""))</f>
        <v/>
      </c>
    </row>
    <row r="700">
      <c r="A700" s="31" t="n"/>
      <c r="B700" s="37" t="n"/>
      <c r="C700" s="36" t="n"/>
      <c r="D700" s="38" t="n"/>
      <c r="E700" s="44" t="n"/>
      <c r="F700" s="32" t="n"/>
      <c r="G700" s="32" t="n"/>
      <c r="H700" s="39">
        <f>IF(C700="","",IFERROR(INDEX('Animais'!$M$6:$M$1005,MATCH(C700,'Animais'!$A$6:$A$1005,0)),"Brinco não cadastrado"))</f>
        <v/>
      </c>
      <c r="I700" s="34">
        <f>IF(A700="","",YEAR(A700))</f>
        <v/>
      </c>
      <c r="J700" s="45">
        <f>IF(OR(N(D700)=0,N(E700)=0),"",IFERROR(E700/D700,""))</f>
        <v/>
      </c>
    </row>
    <row r="701">
      <c r="A701" s="31" t="n"/>
      <c r="B701" s="37" t="n"/>
      <c r="C701" s="36" t="n"/>
      <c r="D701" s="38" t="n"/>
      <c r="E701" s="44" t="n"/>
      <c r="F701" s="32" t="n"/>
      <c r="G701" s="32" t="n"/>
      <c r="H701" s="39">
        <f>IF(C701="","",IFERROR(INDEX('Animais'!$M$6:$M$1005,MATCH(C701,'Animais'!$A$6:$A$1005,0)),"Brinco não cadastrado"))</f>
        <v/>
      </c>
      <c r="I701" s="34">
        <f>IF(A701="","",YEAR(A701))</f>
        <v/>
      </c>
      <c r="J701" s="45">
        <f>IF(OR(N(D701)=0,N(E701)=0),"",IFERROR(E701/D701,""))</f>
        <v/>
      </c>
    </row>
    <row r="702">
      <c r="A702" s="31" t="n"/>
      <c r="B702" s="37" t="n"/>
      <c r="C702" s="36" t="n"/>
      <c r="D702" s="38" t="n"/>
      <c r="E702" s="44" t="n"/>
      <c r="F702" s="32" t="n"/>
      <c r="G702" s="32" t="n"/>
      <c r="H702" s="39">
        <f>IF(C702="","",IFERROR(INDEX('Animais'!$M$6:$M$1005,MATCH(C702,'Animais'!$A$6:$A$1005,0)),"Brinco não cadastrado"))</f>
        <v/>
      </c>
      <c r="I702" s="34">
        <f>IF(A702="","",YEAR(A702))</f>
        <v/>
      </c>
      <c r="J702" s="45">
        <f>IF(OR(N(D702)=0,N(E702)=0),"",IFERROR(E702/D702,""))</f>
        <v/>
      </c>
    </row>
    <row r="703">
      <c r="A703" s="31" t="n"/>
      <c r="B703" s="37" t="n"/>
      <c r="C703" s="36" t="n"/>
      <c r="D703" s="38" t="n"/>
      <c r="E703" s="44" t="n"/>
      <c r="F703" s="32" t="n"/>
      <c r="G703" s="32" t="n"/>
      <c r="H703" s="39">
        <f>IF(C703="","",IFERROR(INDEX('Animais'!$M$6:$M$1005,MATCH(C703,'Animais'!$A$6:$A$1005,0)),"Brinco não cadastrado"))</f>
        <v/>
      </c>
      <c r="I703" s="34">
        <f>IF(A703="","",YEAR(A703))</f>
        <v/>
      </c>
      <c r="J703" s="45">
        <f>IF(OR(N(D703)=0,N(E703)=0),"",IFERROR(E703/D703,""))</f>
        <v/>
      </c>
    </row>
    <row r="704">
      <c r="A704" s="31" t="n"/>
      <c r="B704" s="37" t="n"/>
      <c r="C704" s="36" t="n"/>
      <c r="D704" s="38" t="n"/>
      <c r="E704" s="44" t="n"/>
      <c r="F704" s="32" t="n"/>
      <c r="G704" s="32" t="n"/>
      <c r="H704" s="39">
        <f>IF(C704="","",IFERROR(INDEX('Animais'!$M$6:$M$1005,MATCH(C704,'Animais'!$A$6:$A$1005,0)),"Brinco não cadastrado"))</f>
        <v/>
      </c>
      <c r="I704" s="34">
        <f>IF(A704="","",YEAR(A704))</f>
        <v/>
      </c>
      <c r="J704" s="45">
        <f>IF(OR(N(D704)=0,N(E704)=0),"",IFERROR(E704/D704,""))</f>
        <v/>
      </c>
    </row>
    <row r="705">
      <c r="A705" s="31" t="n"/>
      <c r="B705" s="37" t="n"/>
      <c r="C705" s="36" t="n"/>
      <c r="D705" s="38" t="n"/>
      <c r="E705" s="44" t="n"/>
      <c r="F705" s="32" t="n"/>
      <c r="G705" s="32" t="n"/>
      <c r="H705" s="39">
        <f>IF(C705="","",IFERROR(INDEX('Animais'!$M$6:$M$1005,MATCH(C705,'Animais'!$A$6:$A$1005,0)),"Brinco não cadastrado"))</f>
        <v/>
      </c>
      <c r="I705" s="34">
        <f>IF(A705="","",YEAR(A705))</f>
        <v/>
      </c>
      <c r="J705" s="45">
        <f>IF(OR(N(D705)=0,N(E705)=0),"",IFERROR(E705/D705,""))</f>
        <v/>
      </c>
    </row>
    <row r="706">
      <c r="A706" s="31" t="n"/>
      <c r="B706" s="37" t="n"/>
      <c r="C706" s="36" t="n"/>
      <c r="D706" s="38" t="n"/>
      <c r="E706" s="44" t="n"/>
      <c r="F706" s="32" t="n"/>
      <c r="G706" s="32" t="n"/>
      <c r="H706" s="39">
        <f>IF(C706="","",IFERROR(INDEX('Animais'!$M$6:$M$1005,MATCH(C706,'Animais'!$A$6:$A$1005,0)),"Brinco não cadastrado"))</f>
        <v/>
      </c>
      <c r="I706" s="34">
        <f>IF(A706="","",YEAR(A706))</f>
        <v/>
      </c>
      <c r="J706" s="45">
        <f>IF(OR(N(D706)=0,N(E706)=0),"",IFERROR(E706/D706,""))</f>
        <v/>
      </c>
    </row>
    <row r="707">
      <c r="A707" s="31" t="n"/>
      <c r="B707" s="37" t="n"/>
      <c r="C707" s="36" t="n"/>
      <c r="D707" s="38" t="n"/>
      <c r="E707" s="44" t="n"/>
      <c r="F707" s="32" t="n"/>
      <c r="G707" s="32" t="n"/>
      <c r="H707" s="39">
        <f>IF(C707="","",IFERROR(INDEX('Animais'!$M$6:$M$1005,MATCH(C707,'Animais'!$A$6:$A$1005,0)),"Brinco não cadastrado"))</f>
        <v/>
      </c>
      <c r="I707" s="34">
        <f>IF(A707="","",YEAR(A707))</f>
        <v/>
      </c>
      <c r="J707" s="45">
        <f>IF(OR(N(D707)=0,N(E707)=0),"",IFERROR(E707/D707,""))</f>
        <v/>
      </c>
    </row>
    <row r="708">
      <c r="A708" s="31" t="n"/>
      <c r="B708" s="37" t="n"/>
      <c r="C708" s="36" t="n"/>
      <c r="D708" s="38" t="n"/>
      <c r="E708" s="44" t="n"/>
      <c r="F708" s="32" t="n"/>
      <c r="G708" s="32" t="n"/>
      <c r="H708" s="39">
        <f>IF(C708="","",IFERROR(INDEX('Animais'!$M$6:$M$1005,MATCH(C708,'Animais'!$A$6:$A$1005,0)),"Brinco não cadastrado"))</f>
        <v/>
      </c>
      <c r="I708" s="34">
        <f>IF(A708="","",YEAR(A708))</f>
        <v/>
      </c>
      <c r="J708" s="45">
        <f>IF(OR(N(D708)=0,N(E708)=0),"",IFERROR(E708/D708,""))</f>
        <v/>
      </c>
    </row>
    <row r="709">
      <c r="A709" s="31" t="n"/>
      <c r="B709" s="37" t="n"/>
      <c r="C709" s="36" t="n"/>
      <c r="D709" s="38" t="n"/>
      <c r="E709" s="44" t="n"/>
      <c r="F709" s="32" t="n"/>
      <c r="G709" s="32" t="n"/>
      <c r="H709" s="39">
        <f>IF(C709="","",IFERROR(INDEX('Animais'!$M$6:$M$1005,MATCH(C709,'Animais'!$A$6:$A$1005,0)),"Brinco não cadastrado"))</f>
        <v/>
      </c>
      <c r="I709" s="34">
        <f>IF(A709="","",YEAR(A709))</f>
        <v/>
      </c>
      <c r="J709" s="45">
        <f>IF(OR(N(D709)=0,N(E709)=0),"",IFERROR(E709/D709,""))</f>
        <v/>
      </c>
    </row>
    <row r="710">
      <c r="A710" s="31" t="n"/>
      <c r="B710" s="37" t="n"/>
      <c r="C710" s="36" t="n"/>
      <c r="D710" s="38" t="n"/>
      <c r="E710" s="44" t="n"/>
      <c r="F710" s="32" t="n"/>
      <c r="G710" s="32" t="n"/>
      <c r="H710" s="39">
        <f>IF(C710="","",IFERROR(INDEX('Animais'!$M$6:$M$1005,MATCH(C710,'Animais'!$A$6:$A$1005,0)),"Brinco não cadastrado"))</f>
        <v/>
      </c>
      <c r="I710" s="34">
        <f>IF(A710="","",YEAR(A710))</f>
        <v/>
      </c>
      <c r="J710" s="45">
        <f>IF(OR(N(D710)=0,N(E710)=0),"",IFERROR(E710/D710,""))</f>
        <v/>
      </c>
    </row>
    <row r="711">
      <c r="A711" s="31" t="n"/>
      <c r="B711" s="37" t="n"/>
      <c r="C711" s="36" t="n"/>
      <c r="D711" s="38" t="n"/>
      <c r="E711" s="44" t="n"/>
      <c r="F711" s="32" t="n"/>
      <c r="G711" s="32" t="n"/>
      <c r="H711" s="39">
        <f>IF(C711="","",IFERROR(INDEX('Animais'!$M$6:$M$1005,MATCH(C711,'Animais'!$A$6:$A$1005,0)),"Brinco não cadastrado"))</f>
        <v/>
      </c>
      <c r="I711" s="34">
        <f>IF(A711="","",YEAR(A711))</f>
        <v/>
      </c>
      <c r="J711" s="45">
        <f>IF(OR(N(D711)=0,N(E711)=0),"",IFERROR(E711/D711,""))</f>
        <v/>
      </c>
    </row>
    <row r="712">
      <c r="A712" s="31" t="n"/>
      <c r="B712" s="37" t="n"/>
      <c r="C712" s="36" t="n"/>
      <c r="D712" s="38" t="n"/>
      <c r="E712" s="44" t="n"/>
      <c r="F712" s="32" t="n"/>
      <c r="G712" s="32" t="n"/>
      <c r="H712" s="39">
        <f>IF(C712="","",IFERROR(INDEX('Animais'!$M$6:$M$1005,MATCH(C712,'Animais'!$A$6:$A$1005,0)),"Brinco não cadastrado"))</f>
        <v/>
      </c>
      <c r="I712" s="34">
        <f>IF(A712="","",YEAR(A712))</f>
        <v/>
      </c>
      <c r="J712" s="45">
        <f>IF(OR(N(D712)=0,N(E712)=0),"",IFERROR(E712/D712,""))</f>
        <v/>
      </c>
    </row>
    <row r="713">
      <c r="A713" s="31" t="n"/>
      <c r="B713" s="37" t="n"/>
      <c r="C713" s="36" t="n"/>
      <c r="D713" s="38" t="n"/>
      <c r="E713" s="44" t="n"/>
      <c r="F713" s="32" t="n"/>
      <c r="G713" s="32" t="n"/>
      <c r="H713" s="39">
        <f>IF(C713="","",IFERROR(INDEX('Animais'!$M$6:$M$1005,MATCH(C713,'Animais'!$A$6:$A$1005,0)),"Brinco não cadastrado"))</f>
        <v/>
      </c>
      <c r="I713" s="34">
        <f>IF(A713="","",YEAR(A713))</f>
        <v/>
      </c>
      <c r="J713" s="45">
        <f>IF(OR(N(D713)=0,N(E713)=0),"",IFERROR(E713/D713,""))</f>
        <v/>
      </c>
    </row>
    <row r="714">
      <c r="A714" s="31" t="n"/>
      <c r="B714" s="37" t="n"/>
      <c r="C714" s="36" t="n"/>
      <c r="D714" s="38" t="n"/>
      <c r="E714" s="44" t="n"/>
      <c r="F714" s="32" t="n"/>
      <c r="G714" s="32" t="n"/>
      <c r="H714" s="39">
        <f>IF(C714="","",IFERROR(INDEX('Animais'!$M$6:$M$1005,MATCH(C714,'Animais'!$A$6:$A$1005,0)),"Brinco não cadastrado"))</f>
        <v/>
      </c>
      <c r="I714" s="34">
        <f>IF(A714="","",YEAR(A714))</f>
        <v/>
      </c>
      <c r="J714" s="45">
        <f>IF(OR(N(D714)=0,N(E714)=0),"",IFERROR(E714/D714,""))</f>
        <v/>
      </c>
    </row>
    <row r="715">
      <c r="A715" s="31" t="n"/>
      <c r="B715" s="37" t="n"/>
      <c r="C715" s="36" t="n"/>
      <c r="D715" s="38" t="n"/>
      <c r="E715" s="44" t="n"/>
      <c r="F715" s="32" t="n"/>
      <c r="G715" s="32" t="n"/>
      <c r="H715" s="39">
        <f>IF(C715="","",IFERROR(INDEX('Animais'!$M$6:$M$1005,MATCH(C715,'Animais'!$A$6:$A$1005,0)),"Brinco não cadastrado"))</f>
        <v/>
      </c>
      <c r="I715" s="34">
        <f>IF(A715="","",YEAR(A715))</f>
        <v/>
      </c>
      <c r="J715" s="45">
        <f>IF(OR(N(D715)=0,N(E715)=0),"",IFERROR(E715/D715,""))</f>
        <v/>
      </c>
    </row>
    <row r="716">
      <c r="A716" s="31" t="n"/>
      <c r="B716" s="37" t="n"/>
      <c r="C716" s="36" t="n"/>
      <c r="D716" s="38" t="n"/>
      <c r="E716" s="44" t="n"/>
      <c r="F716" s="32" t="n"/>
      <c r="G716" s="32" t="n"/>
      <c r="H716" s="39">
        <f>IF(C716="","",IFERROR(INDEX('Animais'!$M$6:$M$1005,MATCH(C716,'Animais'!$A$6:$A$1005,0)),"Brinco não cadastrado"))</f>
        <v/>
      </c>
      <c r="I716" s="34">
        <f>IF(A716="","",YEAR(A716))</f>
        <v/>
      </c>
      <c r="J716" s="45">
        <f>IF(OR(N(D716)=0,N(E716)=0),"",IFERROR(E716/D716,""))</f>
        <v/>
      </c>
    </row>
    <row r="717">
      <c r="A717" s="31" t="n"/>
      <c r="B717" s="37" t="n"/>
      <c r="C717" s="36" t="n"/>
      <c r="D717" s="38" t="n"/>
      <c r="E717" s="44" t="n"/>
      <c r="F717" s="32" t="n"/>
      <c r="G717" s="32" t="n"/>
      <c r="H717" s="39">
        <f>IF(C717="","",IFERROR(INDEX('Animais'!$M$6:$M$1005,MATCH(C717,'Animais'!$A$6:$A$1005,0)),"Brinco não cadastrado"))</f>
        <v/>
      </c>
      <c r="I717" s="34">
        <f>IF(A717="","",YEAR(A717))</f>
        <v/>
      </c>
      <c r="J717" s="45">
        <f>IF(OR(N(D717)=0,N(E717)=0),"",IFERROR(E717/D717,""))</f>
        <v/>
      </c>
    </row>
    <row r="718">
      <c r="A718" s="31" t="n"/>
      <c r="B718" s="37" t="n"/>
      <c r="C718" s="36" t="n"/>
      <c r="D718" s="38" t="n"/>
      <c r="E718" s="44" t="n"/>
      <c r="F718" s="32" t="n"/>
      <c r="G718" s="32" t="n"/>
      <c r="H718" s="39">
        <f>IF(C718="","",IFERROR(INDEX('Animais'!$M$6:$M$1005,MATCH(C718,'Animais'!$A$6:$A$1005,0)),"Brinco não cadastrado"))</f>
        <v/>
      </c>
      <c r="I718" s="34">
        <f>IF(A718="","",YEAR(A718))</f>
        <v/>
      </c>
      <c r="J718" s="45">
        <f>IF(OR(N(D718)=0,N(E718)=0),"",IFERROR(E718/D718,""))</f>
        <v/>
      </c>
    </row>
    <row r="719">
      <c r="A719" s="31" t="n"/>
      <c r="B719" s="37" t="n"/>
      <c r="C719" s="36" t="n"/>
      <c r="D719" s="38" t="n"/>
      <c r="E719" s="44" t="n"/>
      <c r="F719" s="32" t="n"/>
      <c r="G719" s="32" t="n"/>
      <c r="H719" s="39">
        <f>IF(C719="","",IFERROR(INDEX('Animais'!$M$6:$M$1005,MATCH(C719,'Animais'!$A$6:$A$1005,0)),"Brinco não cadastrado"))</f>
        <v/>
      </c>
      <c r="I719" s="34">
        <f>IF(A719="","",YEAR(A719))</f>
        <v/>
      </c>
      <c r="J719" s="45">
        <f>IF(OR(N(D719)=0,N(E719)=0),"",IFERROR(E719/D719,""))</f>
        <v/>
      </c>
    </row>
    <row r="720">
      <c r="A720" s="31" t="n"/>
      <c r="B720" s="37" t="n"/>
      <c r="C720" s="36" t="n"/>
      <c r="D720" s="38" t="n"/>
      <c r="E720" s="44" t="n"/>
      <c r="F720" s="32" t="n"/>
      <c r="G720" s="32" t="n"/>
      <c r="H720" s="39">
        <f>IF(C720="","",IFERROR(INDEX('Animais'!$M$6:$M$1005,MATCH(C720,'Animais'!$A$6:$A$1005,0)),"Brinco não cadastrado"))</f>
        <v/>
      </c>
      <c r="I720" s="34">
        <f>IF(A720="","",YEAR(A720))</f>
        <v/>
      </c>
      <c r="J720" s="45">
        <f>IF(OR(N(D720)=0,N(E720)=0),"",IFERROR(E720/D720,""))</f>
        <v/>
      </c>
    </row>
    <row r="721">
      <c r="A721" s="31" t="n"/>
      <c r="B721" s="37" t="n"/>
      <c r="C721" s="36" t="n"/>
      <c r="D721" s="38" t="n"/>
      <c r="E721" s="44" t="n"/>
      <c r="F721" s="32" t="n"/>
      <c r="G721" s="32" t="n"/>
      <c r="H721" s="39">
        <f>IF(C721="","",IFERROR(INDEX('Animais'!$M$6:$M$1005,MATCH(C721,'Animais'!$A$6:$A$1005,0)),"Brinco não cadastrado"))</f>
        <v/>
      </c>
      <c r="I721" s="34">
        <f>IF(A721="","",YEAR(A721))</f>
        <v/>
      </c>
      <c r="J721" s="45">
        <f>IF(OR(N(D721)=0,N(E721)=0),"",IFERROR(E721/D721,""))</f>
        <v/>
      </c>
    </row>
    <row r="722">
      <c r="A722" s="31" t="n"/>
      <c r="B722" s="37" t="n"/>
      <c r="C722" s="36" t="n"/>
      <c r="D722" s="38" t="n"/>
      <c r="E722" s="44" t="n"/>
      <c r="F722" s="32" t="n"/>
      <c r="G722" s="32" t="n"/>
      <c r="H722" s="39">
        <f>IF(C722="","",IFERROR(INDEX('Animais'!$M$6:$M$1005,MATCH(C722,'Animais'!$A$6:$A$1005,0)),"Brinco não cadastrado"))</f>
        <v/>
      </c>
      <c r="I722" s="34">
        <f>IF(A722="","",YEAR(A722))</f>
        <v/>
      </c>
      <c r="J722" s="45">
        <f>IF(OR(N(D722)=0,N(E722)=0),"",IFERROR(E722/D722,""))</f>
        <v/>
      </c>
    </row>
    <row r="723">
      <c r="A723" s="31" t="n"/>
      <c r="B723" s="37" t="n"/>
      <c r="C723" s="36" t="n"/>
      <c r="D723" s="38" t="n"/>
      <c r="E723" s="44" t="n"/>
      <c r="F723" s="32" t="n"/>
      <c r="G723" s="32" t="n"/>
      <c r="H723" s="39">
        <f>IF(C723="","",IFERROR(INDEX('Animais'!$M$6:$M$1005,MATCH(C723,'Animais'!$A$6:$A$1005,0)),"Brinco não cadastrado"))</f>
        <v/>
      </c>
      <c r="I723" s="34">
        <f>IF(A723="","",YEAR(A723))</f>
        <v/>
      </c>
      <c r="J723" s="45">
        <f>IF(OR(N(D723)=0,N(E723)=0),"",IFERROR(E723/D723,""))</f>
        <v/>
      </c>
    </row>
    <row r="724">
      <c r="A724" s="31" t="n"/>
      <c r="B724" s="37" t="n"/>
      <c r="C724" s="36" t="n"/>
      <c r="D724" s="38" t="n"/>
      <c r="E724" s="44" t="n"/>
      <c r="F724" s="32" t="n"/>
      <c r="G724" s="32" t="n"/>
      <c r="H724" s="39">
        <f>IF(C724="","",IFERROR(INDEX('Animais'!$M$6:$M$1005,MATCH(C724,'Animais'!$A$6:$A$1005,0)),"Brinco não cadastrado"))</f>
        <v/>
      </c>
      <c r="I724" s="34">
        <f>IF(A724="","",YEAR(A724))</f>
        <v/>
      </c>
      <c r="J724" s="45">
        <f>IF(OR(N(D724)=0,N(E724)=0),"",IFERROR(E724/D724,""))</f>
        <v/>
      </c>
    </row>
    <row r="725">
      <c r="A725" s="31" t="n"/>
      <c r="B725" s="37" t="n"/>
      <c r="C725" s="36" t="n"/>
      <c r="D725" s="38" t="n"/>
      <c r="E725" s="44" t="n"/>
      <c r="F725" s="32" t="n"/>
      <c r="G725" s="32" t="n"/>
      <c r="H725" s="39">
        <f>IF(C725="","",IFERROR(INDEX('Animais'!$M$6:$M$1005,MATCH(C725,'Animais'!$A$6:$A$1005,0)),"Brinco não cadastrado"))</f>
        <v/>
      </c>
      <c r="I725" s="34">
        <f>IF(A725="","",YEAR(A725))</f>
        <v/>
      </c>
      <c r="J725" s="45">
        <f>IF(OR(N(D725)=0,N(E725)=0),"",IFERROR(E725/D725,""))</f>
        <v/>
      </c>
    </row>
    <row r="726">
      <c r="A726" s="31" t="n"/>
      <c r="B726" s="37" t="n"/>
      <c r="C726" s="36" t="n"/>
      <c r="D726" s="38" t="n"/>
      <c r="E726" s="44" t="n"/>
      <c r="F726" s="32" t="n"/>
      <c r="G726" s="32" t="n"/>
      <c r="H726" s="39">
        <f>IF(C726="","",IFERROR(INDEX('Animais'!$M$6:$M$1005,MATCH(C726,'Animais'!$A$6:$A$1005,0)),"Brinco não cadastrado"))</f>
        <v/>
      </c>
      <c r="I726" s="34">
        <f>IF(A726="","",YEAR(A726))</f>
        <v/>
      </c>
      <c r="J726" s="45">
        <f>IF(OR(N(D726)=0,N(E726)=0),"",IFERROR(E726/D726,""))</f>
        <v/>
      </c>
    </row>
    <row r="727">
      <c r="A727" s="31" t="n"/>
      <c r="B727" s="37" t="n"/>
      <c r="C727" s="36" t="n"/>
      <c r="D727" s="38" t="n"/>
      <c r="E727" s="44" t="n"/>
      <c r="F727" s="32" t="n"/>
      <c r="G727" s="32" t="n"/>
      <c r="H727" s="39">
        <f>IF(C727="","",IFERROR(INDEX('Animais'!$M$6:$M$1005,MATCH(C727,'Animais'!$A$6:$A$1005,0)),"Brinco não cadastrado"))</f>
        <v/>
      </c>
      <c r="I727" s="34">
        <f>IF(A727="","",YEAR(A727))</f>
        <v/>
      </c>
      <c r="J727" s="45">
        <f>IF(OR(N(D727)=0,N(E727)=0),"",IFERROR(E727/D727,""))</f>
        <v/>
      </c>
    </row>
    <row r="728">
      <c r="A728" s="31" t="n"/>
      <c r="B728" s="37" t="n"/>
      <c r="C728" s="36" t="n"/>
      <c r="D728" s="38" t="n"/>
      <c r="E728" s="44" t="n"/>
      <c r="F728" s="32" t="n"/>
      <c r="G728" s="32" t="n"/>
      <c r="H728" s="39">
        <f>IF(C728="","",IFERROR(INDEX('Animais'!$M$6:$M$1005,MATCH(C728,'Animais'!$A$6:$A$1005,0)),"Brinco não cadastrado"))</f>
        <v/>
      </c>
      <c r="I728" s="34">
        <f>IF(A728="","",YEAR(A728))</f>
        <v/>
      </c>
      <c r="J728" s="45">
        <f>IF(OR(N(D728)=0,N(E728)=0),"",IFERROR(E728/D728,""))</f>
        <v/>
      </c>
    </row>
    <row r="729">
      <c r="A729" s="31" t="n"/>
      <c r="B729" s="37" t="n"/>
      <c r="C729" s="36" t="n"/>
      <c r="D729" s="38" t="n"/>
      <c r="E729" s="44" t="n"/>
      <c r="F729" s="32" t="n"/>
      <c r="G729" s="32" t="n"/>
      <c r="H729" s="39">
        <f>IF(C729="","",IFERROR(INDEX('Animais'!$M$6:$M$1005,MATCH(C729,'Animais'!$A$6:$A$1005,0)),"Brinco não cadastrado"))</f>
        <v/>
      </c>
      <c r="I729" s="34">
        <f>IF(A729="","",YEAR(A729))</f>
        <v/>
      </c>
      <c r="J729" s="45">
        <f>IF(OR(N(D729)=0,N(E729)=0),"",IFERROR(E729/D729,""))</f>
        <v/>
      </c>
    </row>
    <row r="730">
      <c r="A730" s="31" t="n"/>
      <c r="B730" s="37" t="n"/>
      <c r="C730" s="36" t="n"/>
      <c r="D730" s="38" t="n"/>
      <c r="E730" s="44" t="n"/>
      <c r="F730" s="32" t="n"/>
      <c r="G730" s="32" t="n"/>
      <c r="H730" s="39">
        <f>IF(C730="","",IFERROR(INDEX('Animais'!$M$6:$M$1005,MATCH(C730,'Animais'!$A$6:$A$1005,0)),"Brinco não cadastrado"))</f>
        <v/>
      </c>
      <c r="I730" s="34">
        <f>IF(A730="","",YEAR(A730))</f>
        <v/>
      </c>
      <c r="J730" s="45">
        <f>IF(OR(N(D730)=0,N(E730)=0),"",IFERROR(E730/D730,""))</f>
        <v/>
      </c>
    </row>
    <row r="731">
      <c r="A731" s="31" t="n"/>
      <c r="B731" s="37" t="n"/>
      <c r="C731" s="36" t="n"/>
      <c r="D731" s="38" t="n"/>
      <c r="E731" s="44" t="n"/>
      <c r="F731" s="32" t="n"/>
      <c r="G731" s="32" t="n"/>
      <c r="H731" s="39">
        <f>IF(C731="","",IFERROR(INDEX('Animais'!$M$6:$M$1005,MATCH(C731,'Animais'!$A$6:$A$1005,0)),"Brinco não cadastrado"))</f>
        <v/>
      </c>
      <c r="I731" s="34">
        <f>IF(A731="","",YEAR(A731))</f>
        <v/>
      </c>
      <c r="J731" s="45">
        <f>IF(OR(N(D731)=0,N(E731)=0),"",IFERROR(E731/D731,""))</f>
        <v/>
      </c>
    </row>
    <row r="732">
      <c r="A732" s="31" t="n"/>
      <c r="B732" s="37" t="n"/>
      <c r="C732" s="36" t="n"/>
      <c r="D732" s="38" t="n"/>
      <c r="E732" s="44" t="n"/>
      <c r="F732" s="32" t="n"/>
      <c r="G732" s="32" t="n"/>
      <c r="H732" s="39">
        <f>IF(C732="","",IFERROR(INDEX('Animais'!$M$6:$M$1005,MATCH(C732,'Animais'!$A$6:$A$1005,0)),"Brinco não cadastrado"))</f>
        <v/>
      </c>
      <c r="I732" s="34">
        <f>IF(A732="","",YEAR(A732))</f>
        <v/>
      </c>
      <c r="J732" s="45">
        <f>IF(OR(N(D732)=0,N(E732)=0),"",IFERROR(E732/D732,""))</f>
        <v/>
      </c>
    </row>
    <row r="733">
      <c r="A733" s="31" t="n"/>
      <c r="B733" s="37" t="n"/>
      <c r="C733" s="36" t="n"/>
      <c r="D733" s="38" t="n"/>
      <c r="E733" s="44" t="n"/>
      <c r="F733" s="32" t="n"/>
      <c r="G733" s="32" t="n"/>
      <c r="H733" s="39">
        <f>IF(C733="","",IFERROR(INDEX('Animais'!$M$6:$M$1005,MATCH(C733,'Animais'!$A$6:$A$1005,0)),"Brinco não cadastrado"))</f>
        <v/>
      </c>
      <c r="I733" s="34">
        <f>IF(A733="","",YEAR(A733))</f>
        <v/>
      </c>
      <c r="J733" s="45">
        <f>IF(OR(N(D733)=0,N(E733)=0),"",IFERROR(E733/D733,""))</f>
        <v/>
      </c>
    </row>
    <row r="734">
      <c r="A734" s="31" t="n"/>
      <c r="B734" s="37" t="n"/>
      <c r="C734" s="36" t="n"/>
      <c r="D734" s="38" t="n"/>
      <c r="E734" s="44" t="n"/>
      <c r="F734" s="32" t="n"/>
      <c r="G734" s="32" t="n"/>
      <c r="H734" s="39">
        <f>IF(C734="","",IFERROR(INDEX('Animais'!$M$6:$M$1005,MATCH(C734,'Animais'!$A$6:$A$1005,0)),"Brinco não cadastrado"))</f>
        <v/>
      </c>
      <c r="I734" s="34">
        <f>IF(A734="","",YEAR(A734))</f>
        <v/>
      </c>
      <c r="J734" s="45">
        <f>IF(OR(N(D734)=0,N(E734)=0),"",IFERROR(E734/D734,""))</f>
        <v/>
      </c>
    </row>
    <row r="735">
      <c r="A735" s="31" t="n"/>
      <c r="B735" s="37" t="n"/>
      <c r="C735" s="36" t="n"/>
      <c r="D735" s="38" t="n"/>
      <c r="E735" s="44" t="n"/>
      <c r="F735" s="32" t="n"/>
      <c r="G735" s="32" t="n"/>
      <c r="H735" s="39">
        <f>IF(C735="","",IFERROR(INDEX('Animais'!$M$6:$M$1005,MATCH(C735,'Animais'!$A$6:$A$1005,0)),"Brinco não cadastrado"))</f>
        <v/>
      </c>
      <c r="I735" s="34">
        <f>IF(A735="","",YEAR(A735))</f>
        <v/>
      </c>
      <c r="J735" s="45">
        <f>IF(OR(N(D735)=0,N(E735)=0),"",IFERROR(E735/D735,""))</f>
        <v/>
      </c>
    </row>
    <row r="736">
      <c r="A736" s="31" t="n"/>
      <c r="B736" s="37" t="n"/>
      <c r="C736" s="36" t="n"/>
      <c r="D736" s="38" t="n"/>
      <c r="E736" s="44" t="n"/>
      <c r="F736" s="32" t="n"/>
      <c r="G736" s="32" t="n"/>
      <c r="H736" s="39">
        <f>IF(C736="","",IFERROR(INDEX('Animais'!$M$6:$M$1005,MATCH(C736,'Animais'!$A$6:$A$1005,0)),"Brinco não cadastrado"))</f>
        <v/>
      </c>
      <c r="I736" s="34">
        <f>IF(A736="","",YEAR(A736))</f>
        <v/>
      </c>
      <c r="J736" s="45">
        <f>IF(OR(N(D736)=0,N(E736)=0),"",IFERROR(E736/D736,""))</f>
        <v/>
      </c>
    </row>
    <row r="737">
      <c r="A737" s="31" t="n"/>
      <c r="B737" s="37" t="n"/>
      <c r="C737" s="36" t="n"/>
      <c r="D737" s="38" t="n"/>
      <c r="E737" s="44" t="n"/>
      <c r="F737" s="32" t="n"/>
      <c r="G737" s="32" t="n"/>
      <c r="H737" s="39">
        <f>IF(C737="","",IFERROR(INDEX('Animais'!$M$6:$M$1005,MATCH(C737,'Animais'!$A$6:$A$1005,0)),"Brinco não cadastrado"))</f>
        <v/>
      </c>
      <c r="I737" s="34">
        <f>IF(A737="","",YEAR(A737))</f>
        <v/>
      </c>
      <c r="J737" s="45">
        <f>IF(OR(N(D737)=0,N(E737)=0),"",IFERROR(E737/D737,""))</f>
        <v/>
      </c>
    </row>
    <row r="738">
      <c r="A738" s="31" t="n"/>
      <c r="B738" s="37" t="n"/>
      <c r="C738" s="36" t="n"/>
      <c r="D738" s="38" t="n"/>
      <c r="E738" s="44" t="n"/>
      <c r="F738" s="32" t="n"/>
      <c r="G738" s="32" t="n"/>
      <c r="H738" s="39">
        <f>IF(C738="","",IFERROR(INDEX('Animais'!$M$6:$M$1005,MATCH(C738,'Animais'!$A$6:$A$1005,0)),"Brinco não cadastrado"))</f>
        <v/>
      </c>
      <c r="I738" s="34">
        <f>IF(A738="","",YEAR(A738))</f>
        <v/>
      </c>
      <c r="J738" s="45">
        <f>IF(OR(N(D738)=0,N(E738)=0),"",IFERROR(E738/D738,""))</f>
        <v/>
      </c>
    </row>
    <row r="739">
      <c r="A739" s="31" t="n"/>
      <c r="B739" s="37" t="n"/>
      <c r="C739" s="36" t="n"/>
      <c r="D739" s="38" t="n"/>
      <c r="E739" s="44" t="n"/>
      <c r="F739" s="32" t="n"/>
      <c r="G739" s="32" t="n"/>
      <c r="H739" s="39">
        <f>IF(C739="","",IFERROR(INDEX('Animais'!$M$6:$M$1005,MATCH(C739,'Animais'!$A$6:$A$1005,0)),"Brinco não cadastrado"))</f>
        <v/>
      </c>
      <c r="I739" s="34">
        <f>IF(A739="","",YEAR(A739))</f>
        <v/>
      </c>
      <c r="J739" s="45">
        <f>IF(OR(N(D739)=0,N(E739)=0),"",IFERROR(E739/D739,""))</f>
        <v/>
      </c>
    </row>
    <row r="740">
      <c r="A740" s="31" t="n"/>
      <c r="B740" s="37" t="n"/>
      <c r="C740" s="36" t="n"/>
      <c r="D740" s="38" t="n"/>
      <c r="E740" s="44" t="n"/>
      <c r="F740" s="32" t="n"/>
      <c r="G740" s="32" t="n"/>
      <c r="H740" s="39">
        <f>IF(C740="","",IFERROR(INDEX('Animais'!$M$6:$M$1005,MATCH(C740,'Animais'!$A$6:$A$1005,0)),"Brinco não cadastrado"))</f>
        <v/>
      </c>
      <c r="I740" s="34">
        <f>IF(A740="","",YEAR(A740))</f>
        <v/>
      </c>
      <c r="J740" s="45">
        <f>IF(OR(N(D740)=0,N(E740)=0),"",IFERROR(E740/D740,""))</f>
        <v/>
      </c>
    </row>
    <row r="741">
      <c r="A741" s="31" t="n"/>
      <c r="B741" s="37" t="n"/>
      <c r="C741" s="36" t="n"/>
      <c r="D741" s="38" t="n"/>
      <c r="E741" s="44" t="n"/>
      <c r="F741" s="32" t="n"/>
      <c r="G741" s="32" t="n"/>
      <c r="H741" s="39">
        <f>IF(C741="","",IFERROR(INDEX('Animais'!$M$6:$M$1005,MATCH(C741,'Animais'!$A$6:$A$1005,0)),"Brinco não cadastrado"))</f>
        <v/>
      </c>
      <c r="I741" s="34">
        <f>IF(A741="","",YEAR(A741))</f>
        <v/>
      </c>
      <c r="J741" s="45">
        <f>IF(OR(N(D741)=0,N(E741)=0),"",IFERROR(E741/D741,""))</f>
        <v/>
      </c>
    </row>
    <row r="742">
      <c r="A742" s="31" t="n"/>
      <c r="B742" s="37" t="n"/>
      <c r="C742" s="36" t="n"/>
      <c r="D742" s="38" t="n"/>
      <c r="E742" s="44" t="n"/>
      <c r="F742" s="32" t="n"/>
      <c r="G742" s="32" t="n"/>
      <c r="H742" s="39">
        <f>IF(C742="","",IFERROR(INDEX('Animais'!$M$6:$M$1005,MATCH(C742,'Animais'!$A$6:$A$1005,0)),"Brinco não cadastrado"))</f>
        <v/>
      </c>
      <c r="I742" s="34">
        <f>IF(A742="","",YEAR(A742))</f>
        <v/>
      </c>
      <c r="J742" s="45">
        <f>IF(OR(N(D742)=0,N(E742)=0),"",IFERROR(E742/D742,""))</f>
        <v/>
      </c>
    </row>
    <row r="743">
      <c r="A743" s="31" t="n"/>
      <c r="B743" s="37" t="n"/>
      <c r="C743" s="36" t="n"/>
      <c r="D743" s="38" t="n"/>
      <c r="E743" s="44" t="n"/>
      <c r="F743" s="32" t="n"/>
      <c r="G743" s="32" t="n"/>
      <c r="H743" s="39">
        <f>IF(C743="","",IFERROR(INDEX('Animais'!$M$6:$M$1005,MATCH(C743,'Animais'!$A$6:$A$1005,0)),"Brinco não cadastrado"))</f>
        <v/>
      </c>
      <c r="I743" s="34">
        <f>IF(A743="","",YEAR(A743))</f>
        <v/>
      </c>
      <c r="J743" s="45">
        <f>IF(OR(N(D743)=0,N(E743)=0),"",IFERROR(E743/D743,""))</f>
        <v/>
      </c>
    </row>
    <row r="744">
      <c r="A744" s="31" t="n"/>
      <c r="B744" s="37" t="n"/>
      <c r="C744" s="36" t="n"/>
      <c r="D744" s="38" t="n"/>
      <c r="E744" s="44" t="n"/>
      <c r="F744" s="32" t="n"/>
      <c r="G744" s="32" t="n"/>
      <c r="H744" s="39">
        <f>IF(C744="","",IFERROR(INDEX('Animais'!$M$6:$M$1005,MATCH(C744,'Animais'!$A$6:$A$1005,0)),"Brinco não cadastrado"))</f>
        <v/>
      </c>
      <c r="I744" s="34">
        <f>IF(A744="","",YEAR(A744))</f>
        <v/>
      </c>
      <c r="J744" s="45">
        <f>IF(OR(N(D744)=0,N(E744)=0),"",IFERROR(E744/D744,""))</f>
        <v/>
      </c>
    </row>
    <row r="745">
      <c r="A745" s="31" t="n"/>
      <c r="B745" s="37" t="n"/>
      <c r="C745" s="36" t="n"/>
      <c r="D745" s="38" t="n"/>
      <c r="E745" s="44" t="n"/>
      <c r="F745" s="32" t="n"/>
      <c r="G745" s="32" t="n"/>
      <c r="H745" s="39">
        <f>IF(C745="","",IFERROR(INDEX('Animais'!$M$6:$M$1005,MATCH(C745,'Animais'!$A$6:$A$1005,0)),"Brinco não cadastrado"))</f>
        <v/>
      </c>
      <c r="I745" s="34">
        <f>IF(A745="","",YEAR(A745))</f>
        <v/>
      </c>
      <c r="J745" s="45">
        <f>IF(OR(N(D745)=0,N(E745)=0),"",IFERROR(E745/D745,""))</f>
        <v/>
      </c>
    </row>
    <row r="746">
      <c r="A746" s="31" t="n"/>
      <c r="B746" s="37" t="n"/>
      <c r="C746" s="36" t="n"/>
      <c r="D746" s="38" t="n"/>
      <c r="E746" s="44" t="n"/>
      <c r="F746" s="32" t="n"/>
      <c r="G746" s="32" t="n"/>
      <c r="H746" s="39">
        <f>IF(C746="","",IFERROR(INDEX('Animais'!$M$6:$M$1005,MATCH(C746,'Animais'!$A$6:$A$1005,0)),"Brinco não cadastrado"))</f>
        <v/>
      </c>
      <c r="I746" s="34">
        <f>IF(A746="","",YEAR(A746))</f>
        <v/>
      </c>
      <c r="J746" s="45">
        <f>IF(OR(N(D746)=0,N(E746)=0),"",IFERROR(E746/D746,""))</f>
        <v/>
      </c>
    </row>
    <row r="747">
      <c r="A747" s="31" t="n"/>
      <c r="B747" s="37" t="n"/>
      <c r="C747" s="36" t="n"/>
      <c r="D747" s="38" t="n"/>
      <c r="E747" s="44" t="n"/>
      <c r="F747" s="32" t="n"/>
      <c r="G747" s="32" t="n"/>
      <c r="H747" s="39">
        <f>IF(C747="","",IFERROR(INDEX('Animais'!$M$6:$M$1005,MATCH(C747,'Animais'!$A$6:$A$1005,0)),"Brinco não cadastrado"))</f>
        <v/>
      </c>
      <c r="I747" s="34">
        <f>IF(A747="","",YEAR(A747))</f>
        <v/>
      </c>
      <c r="J747" s="45">
        <f>IF(OR(N(D747)=0,N(E747)=0),"",IFERROR(E747/D747,""))</f>
        <v/>
      </c>
    </row>
    <row r="748">
      <c r="A748" s="31" t="n"/>
      <c r="B748" s="37" t="n"/>
      <c r="C748" s="36" t="n"/>
      <c r="D748" s="38" t="n"/>
      <c r="E748" s="44" t="n"/>
      <c r="F748" s="32" t="n"/>
      <c r="G748" s="32" t="n"/>
      <c r="H748" s="39">
        <f>IF(C748="","",IFERROR(INDEX('Animais'!$M$6:$M$1005,MATCH(C748,'Animais'!$A$6:$A$1005,0)),"Brinco não cadastrado"))</f>
        <v/>
      </c>
      <c r="I748" s="34">
        <f>IF(A748="","",YEAR(A748))</f>
        <v/>
      </c>
      <c r="J748" s="45">
        <f>IF(OR(N(D748)=0,N(E748)=0),"",IFERROR(E748/D748,""))</f>
        <v/>
      </c>
    </row>
    <row r="749">
      <c r="A749" s="31" t="n"/>
      <c r="B749" s="37" t="n"/>
      <c r="C749" s="36" t="n"/>
      <c r="D749" s="38" t="n"/>
      <c r="E749" s="44" t="n"/>
      <c r="F749" s="32" t="n"/>
      <c r="G749" s="32" t="n"/>
      <c r="H749" s="39">
        <f>IF(C749="","",IFERROR(INDEX('Animais'!$M$6:$M$1005,MATCH(C749,'Animais'!$A$6:$A$1005,0)),"Brinco não cadastrado"))</f>
        <v/>
      </c>
      <c r="I749" s="34">
        <f>IF(A749="","",YEAR(A749))</f>
        <v/>
      </c>
      <c r="J749" s="45">
        <f>IF(OR(N(D749)=0,N(E749)=0),"",IFERROR(E749/D749,""))</f>
        <v/>
      </c>
    </row>
    <row r="750">
      <c r="A750" s="31" t="n"/>
      <c r="B750" s="37" t="n"/>
      <c r="C750" s="36" t="n"/>
      <c r="D750" s="38" t="n"/>
      <c r="E750" s="44" t="n"/>
      <c r="F750" s="32" t="n"/>
      <c r="G750" s="32" t="n"/>
      <c r="H750" s="39">
        <f>IF(C750="","",IFERROR(INDEX('Animais'!$M$6:$M$1005,MATCH(C750,'Animais'!$A$6:$A$1005,0)),"Brinco não cadastrado"))</f>
        <v/>
      </c>
      <c r="I750" s="34">
        <f>IF(A750="","",YEAR(A750))</f>
        <v/>
      </c>
      <c r="J750" s="45">
        <f>IF(OR(N(D750)=0,N(E750)=0),"",IFERROR(E750/D750,""))</f>
        <v/>
      </c>
    </row>
    <row r="751">
      <c r="A751" s="31" t="n"/>
      <c r="B751" s="37" t="n"/>
      <c r="C751" s="36" t="n"/>
      <c r="D751" s="38" t="n"/>
      <c r="E751" s="44" t="n"/>
      <c r="F751" s="32" t="n"/>
      <c r="G751" s="32" t="n"/>
      <c r="H751" s="39">
        <f>IF(C751="","",IFERROR(INDEX('Animais'!$M$6:$M$1005,MATCH(C751,'Animais'!$A$6:$A$1005,0)),"Brinco não cadastrado"))</f>
        <v/>
      </c>
      <c r="I751" s="34">
        <f>IF(A751="","",YEAR(A751))</f>
        <v/>
      </c>
      <c r="J751" s="45">
        <f>IF(OR(N(D751)=0,N(E751)=0),"",IFERROR(E751/D751,""))</f>
        <v/>
      </c>
    </row>
    <row r="752">
      <c r="A752" s="31" t="n"/>
      <c r="B752" s="37" t="n"/>
      <c r="C752" s="36" t="n"/>
      <c r="D752" s="38" t="n"/>
      <c r="E752" s="44" t="n"/>
      <c r="F752" s="32" t="n"/>
      <c r="G752" s="32" t="n"/>
      <c r="H752" s="39">
        <f>IF(C752="","",IFERROR(INDEX('Animais'!$M$6:$M$1005,MATCH(C752,'Animais'!$A$6:$A$1005,0)),"Brinco não cadastrado"))</f>
        <v/>
      </c>
      <c r="I752" s="34">
        <f>IF(A752="","",YEAR(A752))</f>
        <v/>
      </c>
      <c r="J752" s="45">
        <f>IF(OR(N(D752)=0,N(E752)=0),"",IFERROR(E752/D752,""))</f>
        <v/>
      </c>
    </row>
    <row r="753">
      <c r="A753" s="31" t="n"/>
      <c r="B753" s="37" t="n"/>
      <c r="C753" s="36" t="n"/>
      <c r="D753" s="38" t="n"/>
      <c r="E753" s="44" t="n"/>
      <c r="F753" s="32" t="n"/>
      <c r="G753" s="32" t="n"/>
      <c r="H753" s="39">
        <f>IF(C753="","",IFERROR(INDEX('Animais'!$M$6:$M$1005,MATCH(C753,'Animais'!$A$6:$A$1005,0)),"Brinco não cadastrado"))</f>
        <v/>
      </c>
      <c r="I753" s="34">
        <f>IF(A753="","",YEAR(A753))</f>
        <v/>
      </c>
      <c r="J753" s="45">
        <f>IF(OR(N(D753)=0,N(E753)=0),"",IFERROR(E753/D753,""))</f>
        <v/>
      </c>
    </row>
    <row r="754">
      <c r="A754" s="31" t="n"/>
      <c r="B754" s="37" t="n"/>
      <c r="C754" s="36" t="n"/>
      <c r="D754" s="38" t="n"/>
      <c r="E754" s="44" t="n"/>
      <c r="F754" s="32" t="n"/>
      <c r="G754" s="32" t="n"/>
      <c r="H754" s="39">
        <f>IF(C754="","",IFERROR(INDEX('Animais'!$M$6:$M$1005,MATCH(C754,'Animais'!$A$6:$A$1005,0)),"Brinco não cadastrado"))</f>
        <v/>
      </c>
      <c r="I754" s="34">
        <f>IF(A754="","",YEAR(A754))</f>
        <v/>
      </c>
      <c r="J754" s="45">
        <f>IF(OR(N(D754)=0,N(E754)=0),"",IFERROR(E754/D754,""))</f>
        <v/>
      </c>
    </row>
    <row r="755">
      <c r="A755" s="31" t="n"/>
      <c r="B755" s="37" t="n"/>
      <c r="C755" s="36" t="n"/>
      <c r="D755" s="38" t="n"/>
      <c r="E755" s="44" t="n"/>
      <c r="F755" s="32" t="n"/>
      <c r="G755" s="32" t="n"/>
      <c r="H755" s="39">
        <f>IF(C755="","",IFERROR(INDEX('Animais'!$M$6:$M$1005,MATCH(C755,'Animais'!$A$6:$A$1005,0)),"Brinco não cadastrado"))</f>
        <v/>
      </c>
      <c r="I755" s="34">
        <f>IF(A755="","",YEAR(A755))</f>
        <v/>
      </c>
      <c r="J755" s="45">
        <f>IF(OR(N(D755)=0,N(E755)=0),"",IFERROR(E755/D755,""))</f>
        <v/>
      </c>
    </row>
    <row r="756">
      <c r="A756" s="31" t="n"/>
      <c r="B756" s="37" t="n"/>
      <c r="C756" s="36" t="n"/>
      <c r="D756" s="38" t="n"/>
      <c r="E756" s="44" t="n"/>
      <c r="F756" s="32" t="n"/>
      <c r="G756" s="32" t="n"/>
      <c r="H756" s="39">
        <f>IF(C756="","",IFERROR(INDEX('Animais'!$M$6:$M$1005,MATCH(C756,'Animais'!$A$6:$A$1005,0)),"Brinco não cadastrado"))</f>
        <v/>
      </c>
      <c r="I756" s="34">
        <f>IF(A756="","",YEAR(A756))</f>
        <v/>
      </c>
      <c r="J756" s="45">
        <f>IF(OR(N(D756)=0,N(E756)=0),"",IFERROR(E756/D756,""))</f>
        <v/>
      </c>
    </row>
    <row r="757">
      <c r="A757" s="31" t="n"/>
      <c r="B757" s="37" t="n"/>
      <c r="C757" s="36" t="n"/>
      <c r="D757" s="38" t="n"/>
      <c r="E757" s="44" t="n"/>
      <c r="F757" s="32" t="n"/>
      <c r="G757" s="32" t="n"/>
      <c r="H757" s="39">
        <f>IF(C757="","",IFERROR(INDEX('Animais'!$M$6:$M$1005,MATCH(C757,'Animais'!$A$6:$A$1005,0)),"Brinco não cadastrado"))</f>
        <v/>
      </c>
      <c r="I757" s="34">
        <f>IF(A757="","",YEAR(A757))</f>
        <v/>
      </c>
      <c r="J757" s="45">
        <f>IF(OR(N(D757)=0,N(E757)=0),"",IFERROR(E757/D757,""))</f>
        <v/>
      </c>
    </row>
    <row r="758">
      <c r="A758" s="31" t="n"/>
      <c r="B758" s="37" t="n"/>
      <c r="C758" s="36" t="n"/>
      <c r="D758" s="38" t="n"/>
      <c r="E758" s="44" t="n"/>
      <c r="F758" s="32" t="n"/>
      <c r="G758" s="32" t="n"/>
      <c r="H758" s="39">
        <f>IF(C758="","",IFERROR(INDEX('Animais'!$M$6:$M$1005,MATCH(C758,'Animais'!$A$6:$A$1005,0)),"Brinco não cadastrado"))</f>
        <v/>
      </c>
      <c r="I758" s="34">
        <f>IF(A758="","",YEAR(A758))</f>
        <v/>
      </c>
      <c r="J758" s="45">
        <f>IF(OR(N(D758)=0,N(E758)=0),"",IFERROR(E758/D758,""))</f>
        <v/>
      </c>
    </row>
    <row r="759">
      <c r="A759" s="31" t="n"/>
      <c r="B759" s="37" t="n"/>
      <c r="C759" s="36" t="n"/>
      <c r="D759" s="38" t="n"/>
      <c r="E759" s="44" t="n"/>
      <c r="F759" s="32" t="n"/>
      <c r="G759" s="32" t="n"/>
      <c r="H759" s="39">
        <f>IF(C759="","",IFERROR(INDEX('Animais'!$M$6:$M$1005,MATCH(C759,'Animais'!$A$6:$A$1005,0)),"Brinco não cadastrado"))</f>
        <v/>
      </c>
      <c r="I759" s="34">
        <f>IF(A759="","",YEAR(A759))</f>
        <v/>
      </c>
      <c r="J759" s="45">
        <f>IF(OR(N(D759)=0,N(E759)=0),"",IFERROR(E759/D759,""))</f>
        <v/>
      </c>
    </row>
    <row r="760">
      <c r="A760" s="31" t="n"/>
      <c r="B760" s="37" t="n"/>
      <c r="C760" s="36" t="n"/>
      <c r="D760" s="38" t="n"/>
      <c r="E760" s="44" t="n"/>
      <c r="F760" s="32" t="n"/>
      <c r="G760" s="32" t="n"/>
      <c r="H760" s="39">
        <f>IF(C760="","",IFERROR(INDEX('Animais'!$M$6:$M$1005,MATCH(C760,'Animais'!$A$6:$A$1005,0)),"Brinco não cadastrado"))</f>
        <v/>
      </c>
      <c r="I760" s="34">
        <f>IF(A760="","",YEAR(A760))</f>
        <v/>
      </c>
      <c r="J760" s="45">
        <f>IF(OR(N(D760)=0,N(E760)=0),"",IFERROR(E760/D760,""))</f>
        <v/>
      </c>
    </row>
    <row r="761">
      <c r="A761" s="31" t="n"/>
      <c r="B761" s="37" t="n"/>
      <c r="C761" s="36" t="n"/>
      <c r="D761" s="38" t="n"/>
      <c r="E761" s="44" t="n"/>
      <c r="F761" s="32" t="n"/>
      <c r="G761" s="32" t="n"/>
      <c r="H761" s="39">
        <f>IF(C761="","",IFERROR(INDEX('Animais'!$M$6:$M$1005,MATCH(C761,'Animais'!$A$6:$A$1005,0)),"Brinco não cadastrado"))</f>
        <v/>
      </c>
      <c r="I761" s="34">
        <f>IF(A761="","",YEAR(A761))</f>
        <v/>
      </c>
      <c r="J761" s="45">
        <f>IF(OR(N(D761)=0,N(E761)=0),"",IFERROR(E761/D761,""))</f>
        <v/>
      </c>
    </row>
    <row r="762">
      <c r="A762" s="31" t="n"/>
      <c r="B762" s="37" t="n"/>
      <c r="C762" s="36" t="n"/>
      <c r="D762" s="38" t="n"/>
      <c r="E762" s="44" t="n"/>
      <c r="F762" s="32" t="n"/>
      <c r="G762" s="32" t="n"/>
      <c r="H762" s="39">
        <f>IF(C762="","",IFERROR(INDEX('Animais'!$M$6:$M$1005,MATCH(C762,'Animais'!$A$6:$A$1005,0)),"Brinco não cadastrado"))</f>
        <v/>
      </c>
      <c r="I762" s="34">
        <f>IF(A762="","",YEAR(A762))</f>
        <v/>
      </c>
      <c r="J762" s="45">
        <f>IF(OR(N(D762)=0,N(E762)=0),"",IFERROR(E762/D762,""))</f>
        <v/>
      </c>
    </row>
    <row r="763">
      <c r="A763" s="31" t="n"/>
      <c r="B763" s="37" t="n"/>
      <c r="C763" s="36" t="n"/>
      <c r="D763" s="38" t="n"/>
      <c r="E763" s="44" t="n"/>
      <c r="F763" s="32" t="n"/>
      <c r="G763" s="32" t="n"/>
      <c r="H763" s="39">
        <f>IF(C763="","",IFERROR(INDEX('Animais'!$M$6:$M$1005,MATCH(C763,'Animais'!$A$6:$A$1005,0)),"Brinco não cadastrado"))</f>
        <v/>
      </c>
      <c r="I763" s="34">
        <f>IF(A763="","",YEAR(A763))</f>
        <v/>
      </c>
      <c r="J763" s="45">
        <f>IF(OR(N(D763)=0,N(E763)=0),"",IFERROR(E763/D763,""))</f>
        <v/>
      </c>
    </row>
    <row r="764">
      <c r="A764" s="31" t="n"/>
      <c r="B764" s="37" t="n"/>
      <c r="C764" s="36" t="n"/>
      <c r="D764" s="38" t="n"/>
      <c r="E764" s="44" t="n"/>
      <c r="F764" s="32" t="n"/>
      <c r="G764" s="32" t="n"/>
      <c r="H764" s="39">
        <f>IF(C764="","",IFERROR(INDEX('Animais'!$M$6:$M$1005,MATCH(C764,'Animais'!$A$6:$A$1005,0)),"Brinco não cadastrado"))</f>
        <v/>
      </c>
      <c r="I764" s="34">
        <f>IF(A764="","",YEAR(A764))</f>
        <v/>
      </c>
      <c r="J764" s="45">
        <f>IF(OR(N(D764)=0,N(E764)=0),"",IFERROR(E764/D764,""))</f>
        <v/>
      </c>
    </row>
    <row r="765">
      <c r="A765" s="31" t="n"/>
      <c r="B765" s="37" t="n"/>
      <c r="C765" s="36" t="n"/>
      <c r="D765" s="38" t="n"/>
      <c r="E765" s="44" t="n"/>
      <c r="F765" s="32" t="n"/>
      <c r="G765" s="32" t="n"/>
      <c r="H765" s="39">
        <f>IF(C765="","",IFERROR(INDEX('Animais'!$M$6:$M$1005,MATCH(C765,'Animais'!$A$6:$A$1005,0)),"Brinco não cadastrado"))</f>
        <v/>
      </c>
      <c r="I765" s="34">
        <f>IF(A765="","",YEAR(A765))</f>
        <v/>
      </c>
      <c r="J765" s="45">
        <f>IF(OR(N(D765)=0,N(E765)=0),"",IFERROR(E765/D765,""))</f>
        <v/>
      </c>
    </row>
    <row r="766">
      <c r="A766" s="31" t="n"/>
      <c r="B766" s="37" t="n"/>
      <c r="C766" s="36" t="n"/>
      <c r="D766" s="38" t="n"/>
      <c r="E766" s="44" t="n"/>
      <c r="F766" s="32" t="n"/>
      <c r="G766" s="32" t="n"/>
      <c r="H766" s="39">
        <f>IF(C766="","",IFERROR(INDEX('Animais'!$M$6:$M$1005,MATCH(C766,'Animais'!$A$6:$A$1005,0)),"Brinco não cadastrado"))</f>
        <v/>
      </c>
      <c r="I766" s="34">
        <f>IF(A766="","",YEAR(A766))</f>
        <v/>
      </c>
      <c r="J766" s="45">
        <f>IF(OR(N(D766)=0,N(E766)=0),"",IFERROR(E766/D766,""))</f>
        <v/>
      </c>
    </row>
    <row r="767">
      <c r="A767" s="31" t="n"/>
      <c r="B767" s="37" t="n"/>
      <c r="C767" s="36" t="n"/>
      <c r="D767" s="38" t="n"/>
      <c r="E767" s="44" t="n"/>
      <c r="F767" s="32" t="n"/>
      <c r="G767" s="32" t="n"/>
      <c r="H767" s="39">
        <f>IF(C767="","",IFERROR(INDEX('Animais'!$M$6:$M$1005,MATCH(C767,'Animais'!$A$6:$A$1005,0)),"Brinco não cadastrado"))</f>
        <v/>
      </c>
      <c r="I767" s="34">
        <f>IF(A767="","",YEAR(A767))</f>
        <v/>
      </c>
      <c r="J767" s="45">
        <f>IF(OR(N(D767)=0,N(E767)=0),"",IFERROR(E767/D767,""))</f>
        <v/>
      </c>
    </row>
    <row r="768">
      <c r="A768" s="31" t="n"/>
      <c r="B768" s="37" t="n"/>
      <c r="C768" s="36" t="n"/>
      <c r="D768" s="38" t="n"/>
      <c r="E768" s="44" t="n"/>
      <c r="F768" s="32" t="n"/>
      <c r="G768" s="32" t="n"/>
      <c r="H768" s="39">
        <f>IF(C768="","",IFERROR(INDEX('Animais'!$M$6:$M$1005,MATCH(C768,'Animais'!$A$6:$A$1005,0)),"Brinco não cadastrado"))</f>
        <v/>
      </c>
      <c r="I768" s="34">
        <f>IF(A768="","",YEAR(A768))</f>
        <v/>
      </c>
      <c r="J768" s="45">
        <f>IF(OR(N(D768)=0,N(E768)=0),"",IFERROR(E768/D768,""))</f>
        <v/>
      </c>
    </row>
    <row r="769">
      <c r="A769" s="31" t="n"/>
      <c r="B769" s="37" t="n"/>
      <c r="C769" s="36" t="n"/>
      <c r="D769" s="38" t="n"/>
      <c r="E769" s="44" t="n"/>
      <c r="F769" s="32" t="n"/>
      <c r="G769" s="32" t="n"/>
      <c r="H769" s="39">
        <f>IF(C769="","",IFERROR(INDEX('Animais'!$M$6:$M$1005,MATCH(C769,'Animais'!$A$6:$A$1005,0)),"Brinco não cadastrado"))</f>
        <v/>
      </c>
      <c r="I769" s="34">
        <f>IF(A769="","",YEAR(A769))</f>
        <v/>
      </c>
      <c r="J769" s="45">
        <f>IF(OR(N(D769)=0,N(E769)=0),"",IFERROR(E769/D769,""))</f>
        <v/>
      </c>
    </row>
    <row r="770">
      <c r="A770" s="31" t="n"/>
      <c r="B770" s="37" t="n"/>
      <c r="C770" s="36" t="n"/>
      <c r="D770" s="38" t="n"/>
      <c r="E770" s="44" t="n"/>
      <c r="F770" s="32" t="n"/>
      <c r="G770" s="32" t="n"/>
      <c r="H770" s="39">
        <f>IF(C770="","",IFERROR(INDEX('Animais'!$M$6:$M$1005,MATCH(C770,'Animais'!$A$6:$A$1005,0)),"Brinco não cadastrado"))</f>
        <v/>
      </c>
      <c r="I770" s="34">
        <f>IF(A770="","",YEAR(A770))</f>
        <v/>
      </c>
      <c r="J770" s="45">
        <f>IF(OR(N(D770)=0,N(E770)=0),"",IFERROR(E770/D770,""))</f>
        <v/>
      </c>
    </row>
    <row r="771">
      <c r="A771" s="31" t="n"/>
      <c r="B771" s="37" t="n"/>
      <c r="C771" s="36" t="n"/>
      <c r="D771" s="38" t="n"/>
      <c r="E771" s="44" t="n"/>
      <c r="F771" s="32" t="n"/>
      <c r="G771" s="32" t="n"/>
      <c r="H771" s="39">
        <f>IF(C771="","",IFERROR(INDEX('Animais'!$M$6:$M$1005,MATCH(C771,'Animais'!$A$6:$A$1005,0)),"Brinco não cadastrado"))</f>
        <v/>
      </c>
      <c r="I771" s="34">
        <f>IF(A771="","",YEAR(A771))</f>
        <v/>
      </c>
      <c r="J771" s="45">
        <f>IF(OR(N(D771)=0,N(E771)=0),"",IFERROR(E771/D771,""))</f>
        <v/>
      </c>
    </row>
    <row r="772">
      <c r="A772" s="31" t="n"/>
      <c r="B772" s="37" t="n"/>
      <c r="C772" s="36" t="n"/>
      <c r="D772" s="38" t="n"/>
      <c r="E772" s="44" t="n"/>
      <c r="F772" s="32" t="n"/>
      <c r="G772" s="32" t="n"/>
      <c r="H772" s="39">
        <f>IF(C772="","",IFERROR(INDEX('Animais'!$M$6:$M$1005,MATCH(C772,'Animais'!$A$6:$A$1005,0)),"Brinco não cadastrado"))</f>
        <v/>
      </c>
      <c r="I772" s="34">
        <f>IF(A772="","",YEAR(A772))</f>
        <v/>
      </c>
      <c r="J772" s="45">
        <f>IF(OR(N(D772)=0,N(E772)=0),"",IFERROR(E772/D772,""))</f>
        <v/>
      </c>
    </row>
    <row r="773">
      <c r="A773" s="31" t="n"/>
      <c r="B773" s="37" t="n"/>
      <c r="C773" s="36" t="n"/>
      <c r="D773" s="38" t="n"/>
      <c r="E773" s="44" t="n"/>
      <c r="F773" s="32" t="n"/>
      <c r="G773" s="32" t="n"/>
      <c r="H773" s="39">
        <f>IF(C773="","",IFERROR(INDEX('Animais'!$M$6:$M$1005,MATCH(C773,'Animais'!$A$6:$A$1005,0)),"Brinco não cadastrado"))</f>
        <v/>
      </c>
      <c r="I773" s="34">
        <f>IF(A773="","",YEAR(A773))</f>
        <v/>
      </c>
      <c r="J773" s="45">
        <f>IF(OR(N(D773)=0,N(E773)=0),"",IFERROR(E773/D773,""))</f>
        <v/>
      </c>
    </row>
    <row r="774">
      <c r="A774" s="31" t="n"/>
      <c r="B774" s="37" t="n"/>
      <c r="C774" s="36" t="n"/>
      <c r="D774" s="38" t="n"/>
      <c r="E774" s="44" t="n"/>
      <c r="F774" s="32" t="n"/>
      <c r="G774" s="32" t="n"/>
      <c r="H774" s="39">
        <f>IF(C774="","",IFERROR(INDEX('Animais'!$M$6:$M$1005,MATCH(C774,'Animais'!$A$6:$A$1005,0)),"Brinco não cadastrado"))</f>
        <v/>
      </c>
      <c r="I774" s="34">
        <f>IF(A774="","",YEAR(A774))</f>
        <v/>
      </c>
      <c r="J774" s="45">
        <f>IF(OR(N(D774)=0,N(E774)=0),"",IFERROR(E774/D774,""))</f>
        <v/>
      </c>
    </row>
    <row r="775">
      <c r="A775" s="31" t="n"/>
      <c r="B775" s="37" t="n"/>
      <c r="C775" s="36" t="n"/>
      <c r="D775" s="38" t="n"/>
      <c r="E775" s="44" t="n"/>
      <c r="F775" s="32" t="n"/>
      <c r="G775" s="32" t="n"/>
      <c r="H775" s="39">
        <f>IF(C775="","",IFERROR(INDEX('Animais'!$M$6:$M$1005,MATCH(C775,'Animais'!$A$6:$A$1005,0)),"Brinco não cadastrado"))</f>
        <v/>
      </c>
      <c r="I775" s="34">
        <f>IF(A775="","",YEAR(A775))</f>
        <v/>
      </c>
      <c r="J775" s="45">
        <f>IF(OR(N(D775)=0,N(E775)=0),"",IFERROR(E775/D775,""))</f>
        <v/>
      </c>
    </row>
    <row r="776">
      <c r="A776" s="31" t="n"/>
      <c r="B776" s="37" t="n"/>
      <c r="C776" s="36" t="n"/>
      <c r="D776" s="38" t="n"/>
      <c r="E776" s="44" t="n"/>
      <c r="F776" s="32" t="n"/>
      <c r="G776" s="32" t="n"/>
      <c r="H776" s="39">
        <f>IF(C776="","",IFERROR(INDEX('Animais'!$M$6:$M$1005,MATCH(C776,'Animais'!$A$6:$A$1005,0)),"Brinco não cadastrado"))</f>
        <v/>
      </c>
      <c r="I776" s="34">
        <f>IF(A776="","",YEAR(A776))</f>
        <v/>
      </c>
      <c r="J776" s="45">
        <f>IF(OR(N(D776)=0,N(E776)=0),"",IFERROR(E776/D776,""))</f>
        <v/>
      </c>
    </row>
    <row r="777">
      <c r="A777" s="31" t="n"/>
      <c r="B777" s="37" t="n"/>
      <c r="C777" s="36" t="n"/>
      <c r="D777" s="38" t="n"/>
      <c r="E777" s="44" t="n"/>
      <c r="F777" s="32" t="n"/>
      <c r="G777" s="32" t="n"/>
      <c r="H777" s="39">
        <f>IF(C777="","",IFERROR(INDEX('Animais'!$M$6:$M$1005,MATCH(C777,'Animais'!$A$6:$A$1005,0)),"Brinco não cadastrado"))</f>
        <v/>
      </c>
      <c r="I777" s="34">
        <f>IF(A777="","",YEAR(A777))</f>
        <v/>
      </c>
      <c r="J777" s="45">
        <f>IF(OR(N(D777)=0,N(E777)=0),"",IFERROR(E777/D777,""))</f>
        <v/>
      </c>
    </row>
    <row r="778">
      <c r="A778" s="31" t="n"/>
      <c r="B778" s="37" t="n"/>
      <c r="C778" s="36" t="n"/>
      <c r="D778" s="38" t="n"/>
      <c r="E778" s="44" t="n"/>
      <c r="F778" s="32" t="n"/>
      <c r="G778" s="32" t="n"/>
      <c r="H778" s="39">
        <f>IF(C778="","",IFERROR(INDEX('Animais'!$M$6:$M$1005,MATCH(C778,'Animais'!$A$6:$A$1005,0)),"Brinco não cadastrado"))</f>
        <v/>
      </c>
      <c r="I778" s="34">
        <f>IF(A778="","",YEAR(A778))</f>
        <v/>
      </c>
      <c r="J778" s="45">
        <f>IF(OR(N(D778)=0,N(E778)=0),"",IFERROR(E778/D778,""))</f>
        <v/>
      </c>
    </row>
    <row r="779">
      <c r="A779" s="31" t="n"/>
      <c r="B779" s="37" t="n"/>
      <c r="C779" s="36" t="n"/>
      <c r="D779" s="38" t="n"/>
      <c r="E779" s="44" t="n"/>
      <c r="F779" s="32" t="n"/>
      <c r="G779" s="32" t="n"/>
      <c r="H779" s="39">
        <f>IF(C779="","",IFERROR(INDEX('Animais'!$M$6:$M$1005,MATCH(C779,'Animais'!$A$6:$A$1005,0)),"Brinco não cadastrado"))</f>
        <v/>
      </c>
      <c r="I779" s="34">
        <f>IF(A779="","",YEAR(A779))</f>
        <v/>
      </c>
      <c r="J779" s="45">
        <f>IF(OR(N(D779)=0,N(E779)=0),"",IFERROR(E779/D779,""))</f>
        <v/>
      </c>
    </row>
    <row r="780">
      <c r="A780" s="31" t="n"/>
      <c r="B780" s="37" t="n"/>
      <c r="C780" s="36" t="n"/>
      <c r="D780" s="38" t="n"/>
      <c r="E780" s="44" t="n"/>
      <c r="F780" s="32" t="n"/>
      <c r="G780" s="32" t="n"/>
      <c r="H780" s="39">
        <f>IF(C780="","",IFERROR(INDEX('Animais'!$M$6:$M$1005,MATCH(C780,'Animais'!$A$6:$A$1005,0)),"Brinco não cadastrado"))</f>
        <v/>
      </c>
      <c r="I780" s="34">
        <f>IF(A780="","",YEAR(A780))</f>
        <v/>
      </c>
      <c r="J780" s="45">
        <f>IF(OR(N(D780)=0,N(E780)=0),"",IFERROR(E780/D780,""))</f>
        <v/>
      </c>
    </row>
    <row r="781">
      <c r="A781" s="31" t="n"/>
      <c r="B781" s="37" t="n"/>
      <c r="C781" s="36" t="n"/>
      <c r="D781" s="38" t="n"/>
      <c r="E781" s="44" t="n"/>
      <c r="F781" s="32" t="n"/>
      <c r="G781" s="32" t="n"/>
      <c r="H781" s="39">
        <f>IF(C781="","",IFERROR(INDEX('Animais'!$M$6:$M$1005,MATCH(C781,'Animais'!$A$6:$A$1005,0)),"Brinco não cadastrado"))</f>
        <v/>
      </c>
      <c r="I781" s="34">
        <f>IF(A781="","",YEAR(A781))</f>
        <v/>
      </c>
      <c r="J781" s="45">
        <f>IF(OR(N(D781)=0,N(E781)=0),"",IFERROR(E781/D781,""))</f>
        <v/>
      </c>
    </row>
    <row r="782">
      <c r="A782" s="31" t="n"/>
      <c r="B782" s="37" t="n"/>
      <c r="C782" s="36" t="n"/>
      <c r="D782" s="38" t="n"/>
      <c r="E782" s="44" t="n"/>
      <c r="F782" s="32" t="n"/>
      <c r="G782" s="32" t="n"/>
      <c r="H782" s="39">
        <f>IF(C782="","",IFERROR(INDEX('Animais'!$M$6:$M$1005,MATCH(C782,'Animais'!$A$6:$A$1005,0)),"Brinco não cadastrado"))</f>
        <v/>
      </c>
      <c r="I782" s="34">
        <f>IF(A782="","",YEAR(A782))</f>
        <v/>
      </c>
      <c r="J782" s="45">
        <f>IF(OR(N(D782)=0,N(E782)=0),"",IFERROR(E782/D782,""))</f>
        <v/>
      </c>
    </row>
    <row r="783">
      <c r="A783" s="31" t="n"/>
      <c r="B783" s="37" t="n"/>
      <c r="C783" s="36" t="n"/>
      <c r="D783" s="38" t="n"/>
      <c r="E783" s="44" t="n"/>
      <c r="F783" s="32" t="n"/>
      <c r="G783" s="32" t="n"/>
      <c r="H783" s="39">
        <f>IF(C783="","",IFERROR(INDEX('Animais'!$M$6:$M$1005,MATCH(C783,'Animais'!$A$6:$A$1005,0)),"Brinco não cadastrado"))</f>
        <v/>
      </c>
      <c r="I783" s="34">
        <f>IF(A783="","",YEAR(A783))</f>
        <v/>
      </c>
      <c r="J783" s="45">
        <f>IF(OR(N(D783)=0,N(E783)=0),"",IFERROR(E783/D783,""))</f>
        <v/>
      </c>
    </row>
    <row r="784">
      <c r="A784" s="31" t="n"/>
      <c r="B784" s="37" t="n"/>
      <c r="C784" s="36" t="n"/>
      <c r="D784" s="38" t="n"/>
      <c r="E784" s="44" t="n"/>
      <c r="F784" s="32" t="n"/>
      <c r="G784" s="32" t="n"/>
      <c r="H784" s="39">
        <f>IF(C784="","",IFERROR(INDEX('Animais'!$M$6:$M$1005,MATCH(C784,'Animais'!$A$6:$A$1005,0)),"Brinco não cadastrado"))</f>
        <v/>
      </c>
      <c r="I784" s="34">
        <f>IF(A784="","",YEAR(A784))</f>
        <v/>
      </c>
      <c r="J784" s="45">
        <f>IF(OR(N(D784)=0,N(E784)=0),"",IFERROR(E784/D784,""))</f>
        <v/>
      </c>
    </row>
    <row r="785">
      <c r="A785" s="31" t="n"/>
      <c r="B785" s="37" t="n"/>
      <c r="C785" s="36" t="n"/>
      <c r="D785" s="38" t="n"/>
      <c r="E785" s="44" t="n"/>
      <c r="F785" s="32" t="n"/>
      <c r="G785" s="32" t="n"/>
      <c r="H785" s="39">
        <f>IF(C785="","",IFERROR(INDEX('Animais'!$M$6:$M$1005,MATCH(C785,'Animais'!$A$6:$A$1005,0)),"Brinco não cadastrado"))</f>
        <v/>
      </c>
      <c r="I785" s="34">
        <f>IF(A785="","",YEAR(A785))</f>
        <v/>
      </c>
      <c r="J785" s="45">
        <f>IF(OR(N(D785)=0,N(E785)=0),"",IFERROR(E785/D785,""))</f>
        <v/>
      </c>
    </row>
    <row r="786">
      <c r="A786" s="31" t="n"/>
      <c r="B786" s="37" t="n"/>
      <c r="C786" s="36" t="n"/>
      <c r="D786" s="38" t="n"/>
      <c r="E786" s="44" t="n"/>
      <c r="F786" s="32" t="n"/>
      <c r="G786" s="32" t="n"/>
      <c r="H786" s="39">
        <f>IF(C786="","",IFERROR(INDEX('Animais'!$M$6:$M$1005,MATCH(C786,'Animais'!$A$6:$A$1005,0)),"Brinco não cadastrado"))</f>
        <v/>
      </c>
      <c r="I786" s="34">
        <f>IF(A786="","",YEAR(A786))</f>
        <v/>
      </c>
      <c r="J786" s="45">
        <f>IF(OR(N(D786)=0,N(E786)=0),"",IFERROR(E786/D786,""))</f>
        <v/>
      </c>
    </row>
    <row r="787">
      <c r="A787" s="31" t="n"/>
      <c r="B787" s="37" t="n"/>
      <c r="C787" s="36" t="n"/>
      <c r="D787" s="38" t="n"/>
      <c r="E787" s="44" t="n"/>
      <c r="F787" s="32" t="n"/>
      <c r="G787" s="32" t="n"/>
      <c r="H787" s="39">
        <f>IF(C787="","",IFERROR(INDEX('Animais'!$M$6:$M$1005,MATCH(C787,'Animais'!$A$6:$A$1005,0)),"Brinco não cadastrado"))</f>
        <v/>
      </c>
      <c r="I787" s="34">
        <f>IF(A787="","",YEAR(A787))</f>
        <v/>
      </c>
      <c r="J787" s="45">
        <f>IF(OR(N(D787)=0,N(E787)=0),"",IFERROR(E787/D787,""))</f>
        <v/>
      </c>
    </row>
    <row r="788">
      <c r="A788" s="31" t="n"/>
      <c r="B788" s="37" t="n"/>
      <c r="C788" s="36" t="n"/>
      <c r="D788" s="38" t="n"/>
      <c r="E788" s="44" t="n"/>
      <c r="F788" s="32" t="n"/>
      <c r="G788" s="32" t="n"/>
      <c r="H788" s="39">
        <f>IF(C788="","",IFERROR(INDEX('Animais'!$M$6:$M$1005,MATCH(C788,'Animais'!$A$6:$A$1005,0)),"Brinco não cadastrado"))</f>
        <v/>
      </c>
      <c r="I788" s="34">
        <f>IF(A788="","",YEAR(A788))</f>
        <v/>
      </c>
      <c r="J788" s="45">
        <f>IF(OR(N(D788)=0,N(E788)=0),"",IFERROR(E788/D788,""))</f>
        <v/>
      </c>
    </row>
    <row r="789">
      <c r="A789" s="31" t="n"/>
      <c r="B789" s="37" t="n"/>
      <c r="C789" s="36" t="n"/>
      <c r="D789" s="38" t="n"/>
      <c r="E789" s="44" t="n"/>
      <c r="F789" s="32" t="n"/>
      <c r="G789" s="32" t="n"/>
      <c r="H789" s="39">
        <f>IF(C789="","",IFERROR(INDEX('Animais'!$M$6:$M$1005,MATCH(C789,'Animais'!$A$6:$A$1005,0)),"Brinco não cadastrado"))</f>
        <v/>
      </c>
      <c r="I789" s="34">
        <f>IF(A789="","",YEAR(A789))</f>
        <v/>
      </c>
      <c r="J789" s="45">
        <f>IF(OR(N(D789)=0,N(E789)=0),"",IFERROR(E789/D789,""))</f>
        <v/>
      </c>
    </row>
    <row r="790">
      <c r="A790" s="31" t="n"/>
      <c r="B790" s="37" t="n"/>
      <c r="C790" s="36" t="n"/>
      <c r="D790" s="38" t="n"/>
      <c r="E790" s="44" t="n"/>
      <c r="F790" s="32" t="n"/>
      <c r="G790" s="32" t="n"/>
      <c r="H790" s="39">
        <f>IF(C790="","",IFERROR(INDEX('Animais'!$M$6:$M$1005,MATCH(C790,'Animais'!$A$6:$A$1005,0)),"Brinco não cadastrado"))</f>
        <v/>
      </c>
      <c r="I790" s="34">
        <f>IF(A790="","",YEAR(A790))</f>
        <v/>
      </c>
      <c r="J790" s="45">
        <f>IF(OR(N(D790)=0,N(E790)=0),"",IFERROR(E790/D790,""))</f>
        <v/>
      </c>
    </row>
    <row r="791">
      <c r="A791" s="31" t="n"/>
      <c r="B791" s="37" t="n"/>
      <c r="C791" s="36" t="n"/>
      <c r="D791" s="38" t="n"/>
      <c r="E791" s="44" t="n"/>
      <c r="F791" s="32" t="n"/>
      <c r="G791" s="32" t="n"/>
      <c r="H791" s="39">
        <f>IF(C791="","",IFERROR(INDEX('Animais'!$M$6:$M$1005,MATCH(C791,'Animais'!$A$6:$A$1005,0)),"Brinco não cadastrado"))</f>
        <v/>
      </c>
      <c r="I791" s="34">
        <f>IF(A791="","",YEAR(A791))</f>
        <v/>
      </c>
      <c r="J791" s="45">
        <f>IF(OR(N(D791)=0,N(E791)=0),"",IFERROR(E791/D791,""))</f>
        <v/>
      </c>
    </row>
    <row r="792">
      <c r="A792" s="31" t="n"/>
      <c r="B792" s="37" t="n"/>
      <c r="C792" s="36" t="n"/>
      <c r="D792" s="38" t="n"/>
      <c r="E792" s="44" t="n"/>
      <c r="F792" s="32" t="n"/>
      <c r="G792" s="32" t="n"/>
      <c r="H792" s="39">
        <f>IF(C792="","",IFERROR(INDEX('Animais'!$M$6:$M$1005,MATCH(C792,'Animais'!$A$6:$A$1005,0)),"Brinco não cadastrado"))</f>
        <v/>
      </c>
      <c r="I792" s="34">
        <f>IF(A792="","",YEAR(A792))</f>
        <v/>
      </c>
      <c r="J792" s="45">
        <f>IF(OR(N(D792)=0,N(E792)=0),"",IFERROR(E792/D792,""))</f>
        <v/>
      </c>
    </row>
    <row r="793">
      <c r="A793" s="31" t="n"/>
      <c r="B793" s="37" t="n"/>
      <c r="C793" s="36" t="n"/>
      <c r="D793" s="38" t="n"/>
      <c r="E793" s="44" t="n"/>
      <c r="F793" s="32" t="n"/>
      <c r="G793" s="32" t="n"/>
      <c r="H793" s="39">
        <f>IF(C793="","",IFERROR(INDEX('Animais'!$M$6:$M$1005,MATCH(C793,'Animais'!$A$6:$A$1005,0)),"Brinco não cadastrado"))</f>
        <v/>
      </c>
      <c r="I793" s="34">
        <f>IF(A793="","",YEAR(A793))</f>
        <v/>
      </c>
      <c r="J793" s="45">
        <f>IF(OR(N(D793)=0,N(E793)=0),"",IFERROR(E793/D793,""))</f>
        <v/>
      </c>
    </row>
    <row r="794">
      <c r="A794" s="31" t="n"/>
      <c r="B794" s="37" t="n"/>
      <c r="C794" s="36" t="n"/>
      <c r="D794" s="38" t="n"/>
      <c r="E794" s="44" t="n"/>
      <c r="F794" s="32" t="n"/>
      <c r="G794" s="32" t="n"/>
      <c r="H794" s="39">
        <f>IF(C794="","",IFERROR(INDEX('Animais'!$M$6:$M$1005,MATCH(C794,'Animais'!$A$6:$A$1005,0)),"Brinco não cadastrado"))</f>
        <v/>
      </c>
      <c r="I794" s="34">
        <f>IF(A794="","",YEAR(A794))</f>
        <v/>
      </c>
      <c r="J794" s="45">
        <f>IF(OR(N(D794)=0,N(E794)=0),"",IFERROR(E794/D794,""))</f>
        <v/>
      </c>
    </row>
    <row r="795">
      <c r="A795" s="31" t="n"/>
      <c r="B795" s="37" t="n"/>
      <c r="C795" s="36" t="n"/>
      <c r="D795" s="38" t="n"/>
      <c r="E795" s="44" t="n"/>
      <c r="F795" s="32" t="n"/>
      <c r="G795" s="32" t="n"/>
      <c r="H795" s="39">
        <f>IF(C795="","",IFERROR(INDEX('Animais'!$M$6:$M$1005,MATCH(C795,'Animais'!$A$6:$A$1005,0)),"Brinco não cadastrado"))</f>
        <v/>
      </c>
      <c r="I795" s="34">
        <f>IF(A795="","",YEAR(A795))</f>
        <v/>
      </c>
      <c r="J795" s="45">
        <f>IF(OR(N(D795)=0,N(E795)=0),"",IFERROR(E795/D795,""))</f>
        <v/>
      </c>
    </row>
    <row r="796">
      <c r="A796" s="31" t="n"/>
      <c r="B796" s="37" t="n"/>
      <c r="C796" s="36" t="n"/>
      <c r="D796" s="38" t="n"/>
      <c r="E796" s="44" t="n"/>
      <c r="F796" s="32" t="n"/>
      <c r="G796" s="32" t="n"/>
      <c r="H796" s="39">
        <f>IF(C796="","",IFERROR(INDEX('Animais'!$M$6:$M$1005,MATCH(C796,'Animais'!$A$6:$A$1005,0)),"Brinco não cadastrado"))</f>
        <v/>
      </c>
      <c r="I796" s="34">
        <f>IF(A796="","",YEAR(A796))</f>
        <v/>
      </c>
      <c r="J796" s="45">
        <f>IF(OR(N(D796)=0,N(E796)=0),"",IFERROR(E796/D796,""))</f>
        <v/>
      </c>
    </row>
    <row r="797">
      <c r="A797" s="31" t="n"/>
      <c r="B797" s="37" t="n"/>
      <c r="C797" s="36" t="n"/>
      <c r="D797" s="38" t="n"/>
      <c r="E797" s="44" t="n"/>
      <c r="F797" s="32" t="n"/>
      <c r="G797" s="32" t="n"/>
      <c r="H797" s="39">
        <f>IF(C797="","",IFERROR(INDEX('Animais'!$M$6:$M$1005,MATCH(C797,'Animais'!$A$6:$A$1005,0)),"Brinco não cadastrado"))</f>
        <v/>
      </c>
      <c r="I797" s="34">
        <f>IF(A797="","",YEAR(A797))</f>
        <v/>
      </c>
      <c r="J797" s="45">
        <f>IF(OR(N(D797)=0,N(E797)=0),"",IFERROR(E797/D797,""))</f>
        <v/>
      </c>
    </row>
    <row r="798">
      <c r="A798" s="31" t="n"/>
      <c r="B798" s="37" t="n"/>
      <c r="C798" s="36" t="n"/>
      <c r="D798" s="38" t="n"/>
      <c r="E798" s="44" t="n"/>
      <c r="F798" s="32" t="n"/>
      <c r="G798" s="32" t="n"/>
      <c r="H798" s="39">
        <f>IF(C798="","",IFERROR(INDEX('Animais'!$M$6:$M$1005,MATCH(C798,'Animais'!$A$6:$A$1005,0)),"Brinco não cadastrado"))</f>
        <v/>
      </c>
      <c r="I798" s="34">
        <f>IF(A798="","",YEAR(A798))</f>
        <v/>
      </c>
      <c r="J798" s="45">
        <f>IF(OR(N(D798)=0,N(E798)=0),"",IFERROR(E798/D798,""))</f>
        <v/>
      </c>
    </row>
    <row r="799">
      <c r="A799" s="31" t="n"/>
      <c r="B799" s="37" t="n"/>
      <c r="C799" s="36" t="n"/>
      <c r="D799" s="38" t="n"/>
      <c r="E799" s="44" t="n"/>
      <c r="F799" s="32" t="n"/>
      <c r="G799" s="32" t="n"/>
      <c r="H799" s="39">
        <f>IF(C799="","",IFERROR(INDEX('Animais'!$M$6:$M$1005,MATCH(C799,'Animais'!$A$6:$A$1005,0)),"Brinco não cadastrado"))</f>
        <v/>
      </c>
      <c r="I799" s="34">
        <f>IF(A799="","",YEAR(A799))</f>
        <v/>
      </c>
      <c r="J799" s="45">
        <f>IF(OR(N(D799)=0,N(E799)=0),"",IFERROR(E799/D799,""))</f>
        <v/>
      </c>
    </row>
    <row r="800">
      <c r="A800" s="31" t="n"/>
      <c r="B800" s="37" t="n"/>
      <c r="C800" s="36" t="n"/>
      <c r="D800" s="38" t="n"/>
      <c r="E800" s="44" t="n"/>
      <c r="F800" s="32" t="n"/>
      <c r="G800" s="32" t="n"/>
      <c r="H800" s="39">
        <f>IF(C800="","",IFERROR(INDEX('Animais'!$M$6:$M$1005,MATCH(C800,'Animais'!$A$6:$A$1005,0)),"Brinco não cadastrado"))</f>
        <v/>
      </c>
      <c r="I800" s="34">
        <f>IF(A800="","",YEAR(A800))</f>
        <v/>
      </c>
      <c r="J800" s="45">
        <f>IF(OR(N(D800)=0,N(E800)=0),"",IFERROR(E800/D800,""))</f>
        <v/>
      </c>
    </row>
    <row r="801">
      <c r="A801" s="31" t="n"/>
      <c r="B801" s="37" t="n"/>
      <c r="C801" s="36" t="n"/>
      <c r="D801" s="38" t="n"/>
      <c r="E801" s="44" t="n"/>
      <c r="F801" s="32" t="n"/>
      <c r="G801" s="32" t="n"/>
      <c r="H801" s="39">
        <f>IF(C801="","",IFERROR(INDEX('Animais'!$M$6:$M$1005,MATCH(C801,'Animais'!$A$6:$A$1005,0)),"Brinco não cadastrado"))</f>
        <v/>
      </c>
      <c r="I801" s="34">
        <f>IF(A801="","",YEAR(A801))</f>
        <v/>
      </c>
      <c r="J801" s="45">
        <f>IF(OR(N(D801)=0,N(E801)=0),"",IFERROR(E801/D801,""))</f>
        <v/>
      </c>
    </row>
    <row r="802">
      <c r="A802" s="31" t="n"/>
      <c r="B802" s="37" t="n"/>
      <c r="C802" s="36" t="n"/>
      <c r="D802" s="38" t="n"/>
      <c r="E802" s="44" t="n"/>
      <c r="F802" s="32" t="n"/>
      <c r="G802" s="32" t="n"/>
      <c r="H802" s="39">
        <f>IF(C802="","",IFERROR(INDEX('Animais'!$M$6:$M$1005,MATCH(C802,'Animais'!$A$6:$A$1005,0)),"Brinco não cadastrado"))</f>
        <v/>
      </c>
      <c r="I802" s="34">
        <f>IF(A802="","",YEAR(A802))</f>
        <v/>
      </c>
      <c r="J802" s="45">
        <f>IF(OR(N(D802)=0,N(E802)=0),"",IFERROR(E802/D802,""))</f>
        <v/>
      </c>
    </row>
    <row r="803">
      <c r="A803" s="31" t="n"/>
      <c r="B803" s="37" t="n"/>
      <c r="C803" s="36" t="n"/>
      <c r="D803" s="38" t="n"/>
      <c r="E803" s="44" t="n"/>
      <c r="F803" s="32" t="n"/>
      <c r="G803" s="32" t="n"/>
      <c r="H803" s="39">
        <f>IF(C803="","",IFERROR(INDEX('Animais'!$M$6:$M$1005,MATCH(C803,'Animais'!$A$6:$A$1005,0)),"Brinco não cadastrado"))</f>
        <v/>
      </c>
      <c r="I803" s="34">
        <f>IF(A803="","",YEAR(A803))</f>
        <v/>
      </c>
      <c r="J803" s="45">
        <f>IF(OR(N(D803)=0,N(E803)=0),"",IFERROR(E803/D803,""))</f>
        <v/>
      </c>
    </row>
    <row r="804">
      <c r="A804" s="31" t="n"/>
      <c r="B804" s="37" t="n"/>
      <c r="C804" s="36" t="n"/>
      <c r="D804" s="38" t="n"/>
      <c r="E804" s="44" t="n"/>
      <c r="F804" s="32" t="n"/>
      <c r="G804" s="32" t="n"/>
      <c r="H804" s="39">
        <f>IF(C804="","",IFERROR(INDEX('Animais'!$M$6:$M$1005,MATCH(C804,'Animais'!$A$6:$A$1005,0)),"Brinco não cadastrado"))</f>
        <v/>
      </c>
      <c r="I804" s="34">
        <f>IF(A804="","",YEAR(A804))</f>
        <v/>
      </c>
      <c r="J804" s="45">
        <f>IF(OR(N(D804)=0,N(E804)=0),"",IFERROR(E804/D804,""))</f>
        <v/>
      </c>
    </row>
    <row r="805">
      <c r="A805" s="31" t="n"/>
      <c r="B805" s="37" t="n"/>
      <c r="C805" s="36" t="n"/>
      <c r="D805" s="38" t="n"/>
      <c r="E805" s="44" t="n"/>
      <c r="F805" s="32" t="n"/>
      <c r="G805" s="32" t="n"/>
      <c r="H805" s="39">
        <f>IF(C805="","",IFERROR(INDEX('Animais'!$M$6:$M$1005,MATCH(C805,'Animais'!$A$6:$A$1005,0)),"Brinco não cadastrado"))</f>
        <v/>
      </c>
      <c r="I805" s="34">
        <f>IF(A805="","",YEAR(A805))</f>
        <v/>
      </c>
      <c r="J805" s="45">
        <f>IF(OR(N(D805)=0,N(E805)=0),"",IFERROR(E805/D805,""))</f>
        <v/>
      </c>
    </row>
    <row r="806">
      <c r="A806" s="31" t="n"/>
      <c r="B806" s="37" t="n"/>
      <c r="C806" s="36" t="n"/>
      <c r="D806" s="38" t="n"/>
      <c r="E806" s="44" t="n"/>
      <c r="F806" s="32" t="n"/>
      <c r="G806" s="32" t="n"/>
      <c r="H806" s="39">
        <f>IF(C806="","",IFERROR(INDEX('Animais'!$M$6:$M$1005,MATCH(C806,'Animais'!$A$6:$A$1005,0)),"Brinco não cadastrado"))</f>
        <v/>
      </c>
      <c r="I806" s="34">
        <f>IF(A806="","",YEAR(A806))</f>
        <v/>
      </c>
      <c r="J806" s="45">
        <f>IF(OR(N(D806)=0,N(E806)=0),"",IFERROR(E806/D806,""))</f>
        <v/>
      </c>
    </row>
    <row r="807">
      <c r="A807" s="31" t="n"/>
      <c r="B807" s="37" t="n"/>
      <c r="C807" s="36" t="n"/>
      <c r="D807" s="38" t="n"/>
      <c r="E807" s="44" t="n"/>
      <c r="F807" s="32" t="n"/>
      <c r="G807" s="32" t="n"/>
      <c r="H807" s="39">
        <f>IF(C807="","",IFERROR(INDEX('Animais'!$M$6:$M$1005,MATCH(C807,'Animais'!$A$6:$A$1005,0)),"Brinco não cadastrado"))</f>
        <v/>
      </c>
      <c r="I807" s="34">
        <f>IF(A807="","",YEAR(A807))</f>
        <v/>
      </c>
      <c r="J807" s="45">
        <f>IF(OR(N(D807)=0,N(E807)=0),"",IFERROR(E807/D807,""))</f>
        <v/>
      </c>
    </row>
    <row r="808">
      <c r="A808" s="31" t="n"/>
      <c r="B808" s="37" t="n"/>
      <c r="C808" s="36" t="n"/>
      <c r="D808" s="38" t="n"/>
      <c r="E808" s="44" t="n"/>
      <c r="F808" s="32" t="n"/>
      <c r="G808" s="32" t="n"/>
      <c r="H808" s="39">
        <f>IF(C808="","",IFERROR(INDEX('Animais'!$M$6:$M$1005,MATCH(C808,'Animais'!$A$6:$A$1005,0)),"Brinco não cadastrado"))</f>
        <v/>
      </c>
      <c r="I808" s="34">
        <f>IF(A808="","",YEAR(A808))</f>
        <v/>
      </c>
      <c r="J808" s="45">
        <f>IF(OR(N(D808)=0,N(E808)=0),"",IFERROR(E808/D808,""))</f>
        <v/>
      </c>
    </row>
    <row r="809">
      <c r="A809" s="31" t="n"/>
      <c r="B809" s="37" t="n"/>
      <c r="C809" s="36" t="n"/>
      <c r="D809" s="38" t="n"/>
      <c r="E809" s="44" t="n"/>
      <c r="F809" s="32" t="n"/>
      <c r="G809" s="32" t="n"/>
      <c r="H809" s="39">
        <f>IF(C809="","",IFERROR(INDEX('Animais'!$M$6:$M$1005,MATCH(C809,'Animais'!$A$6:$A$1005,0)),"Brinco não cadastrado"))</f>
        <v/>
      </c>
      <c r="I809" s="34">
        <f>IF(A809="","",YEAR(A809))</f>
        <v/>
      </c>
      <c r="J809" s="45">
        <f>IF(OR(N(D809)=0,N(E809)=0),"",IFERROR(E809/D809,""))</f>
        <v/>
      </c>
    </row>
    <row r="810">
      <c r="A810" s="31" t="n"/>
      <c r="B810" s="37" t="n"/>
      <c r="C810" s="36" t="n"/>
      <c r="D810" s="38" t="n"/>
      <c r="E810" s="44" t="n"/>
      <c r="F810" s="32" t="n"/>
      <c r="G810" s="32" t="n"/>
      <c r="H810" s="39">
        <f>IF(C810="","",IFERROR(INDEX('Animais'!$M$6:$M$1005,MATCH(C810,'Animais'!$A$6:$A$1005,0)),"Brinco não cadastrado"))</f>
        <v/>
      </c>
      <c r="I810" s="34">
        <f>IF(A810="","",YEAR(A810))</f>
        <v/>
      </c>
      <c r="J810" s="45">
        <f>IF(OR(N(D810)=0,N(E810)=0),"",IFERROR(E810/D810,""))</f>
        <v/>
      </c>
    </row>
    <row r="811">
      <c r="A811" s="31" t="n"/>
      <c r="B811" s="37" t="n"/>
      <c r="C811" s="36" t="n"/>
      <c r="D811" s="38" t="n"/>
      <c r="E811" s="44" t="n"/>
      <c r="F811" s="32" t="n"/>
      <c r="G811" s="32" t="n"/>
      <c r="H811" s="39">
        <f>IF(C811="","",IFERROR(INDEX('Animais'!$M$6:$M$1005,MATCH(C811,'Animais'!$A$6:$A$1005,0)),"Brinco não cadastrado"))</f>
        <v/>
      </c>
      <c r="I811" s="34">
        <f>IF(A811="","",YEAR(A811))</f>
        <v/>
      </c>
      <c r="J811" s="45">
        <f>IF(OR(N(D811)=0,N(E811)=0),"",IFERROR(E811/D811,""))</f>
        <v/>
      </c>
    </row>
    <row r="812">
      <c r="A812" s="31" t="n"/>
      <c r="B812" s="37" t="n"/>
      <c r="C812" s="36" t="n"/>
      <c r="D812" s="38" t="n"/>
      <c r="E812" s="44" t="n"/>
      <c r="F812" s="32" t="n"/>
      <c r="G812" s="32" t="n"/>
      <c r="H812" s="39">
        <f>IF(C812="","",IFERROR(INDEX('Animais'!$M$6:$M$1005,MATCH(C812,'Animais'!$A$6:$A$1005,0)),"Brinco não cadastrado"))</f>
        <v/>
      </c>
      <c r="I812" s="34">
        <f>IF(A812="","",YEAR(A812))</f>
        <v/>
      </c>
      <c r="J812" s="45">
        <f>IF(OR(N(D812)=0,N(E812)=0),"",IFERROR(E812/D812,""))</f>
        <v/>
      </c>
    </row>
    <row r="813">
      <c r="A813" s="31" t="n"/>
      <c r="B813" s="37" t="n"/>
      <c r="C813" s="36" t="n"/>
      <c r="D813" s="38" t="n"/>
      <c r="E813" s="44" t="n"/>
      <c r="F813" s="32" t="n"/>
      <c r="G813" s="32" t="n"/>
      <c r="H813" s="39">
        <f>IF(C813="","",IFERROR(INDEX('Animais'!$M$6:$M$1005,MATCH(C813,'Animais'!$A$6:$A$1005,0)),"Brinco não cadastrado"))</f>
        <v/>
      </c>
      <c r="I813" s="34">
        <f>IF(A813="","",YEAR(A813))</f>
        <v/>
      </c>
      <c r="J813" s="45">
        <f>IF(OR(N(D813)=0,N(E813)=0),"",IFERROR(E813/D813,""))</f>
        <v/>
      </c>
    </row>
    <row r="814">
      <c r="A814" s="31" t="n"/>
      <c r="B814" s="37" t="n"/>
      <c r="C814" s="36" t="n"/>
      <c r="D814" s="38" t="n"/>
      <c r="E814" s="44" t="n"/>
      <c r="F814" s="32" t="n"/>
      <c r="G814" s="32" t="n"/>
      <c r="H814" s="39">
        <f>IF(C814="","",IFERROR(INDEX('Animais'!$M$6:$M$1005,MATCH(C814,'Animais'!$A$6:$A$1005,0)),"Brinco não cadastrado"))</f>
        <v/>
      </c>
      <c r="I814" s="34">
        <f>IF(A814="","",YEAR(A814))</f>
        <v/>
      </c>
      <c r="J814" s="45">
        <f>IF(OR(N(D814)=0,N(E814)=0),"",IFERROR(E814/D814,""))</f>
        <v/>
      </c>
    </row>
    <row r="815">
      <c r="A815" s="31" t="n"/>
      <c r="B815" s="37" t="n"/>
      <c r="C815" s="36" t="n"/>
      <c r="D815" s="38" t="n"/>
      <c r="E815" s="44" t="n"/>
      <c r="F815" s="32" t="n"/>
      <c r="G815" s="32" t="n"/>
      <c r="H815" s="39">
        <f>IF(C815="","",IFERROR(INDEX('Animais'!$M$6:$M$1005,MATCH(C815,'Animais'!$A$6:$A$1005,0)),"Brinco não cadastrado"))</f>
        <v/>
      </c>
      <c r="I815" s="34">
        <f>IF(A815="","",YEAR(A815))</f>
        <v/>
      </c>
      <c r="J815" s="45">
        <f>IF(OR(N(D815)=0,N(E815)=0),"",IFERROR(E815/D815,""))</f>
        <v/>
      </c>
    </row>
    <row r="816">
      <c r="A816" s="31" t="n"/>
      <c r="B816" s="37" t="n"/>
      <c r="C816" s="36" t="n"/>
      <c r="D816" s="38" t="n"/>
      <c r="E816" s="44" t="n"/>
      <c r="F816" s="32" t="n"/>
      <c r="G816" s="32" t="n"/>
      <c r="H816" s="39">
        <f>IF(C816="","",IFERROR(INDEX('Animais'!$M$6:$M$1005,MATCH(C816,'Animais'!$A$6:$A$1005,0)),"Brinco não cadastrado"))</f>
        <v/>
      </c>
      <c r="I816" s="34">
        <f>IF(A816="","",YEAR(A816))</f>
        <v/>
      </c>
      <c r="J816" s="45">
        <f>IF(OR(N(D816)=0,N(E816)=0),"",IFERROR(E816/D816,""))</f>
        <v/>
      </c>
    </row>
    <row r="817">
      <c r="A817" s="31" t="n"/>
      <c r="B817" s="37" t="n"/>
      <c r="C817" s="36" t="n"/>
      <c r="D817" s="38" t="n"/>
      <c r="E817" s="44" t="n"/>
      <c r="F817" s="32" t="n"/>
      <c r="G817" s="32" t="n"/>
      <c r="H817" s="39">
        <f>IF(C817="","",IFERROR(INDEX('Animais'!$M$6:$M$1005,MATCH(C817,'Animais'!$A$6:$A$1005,0)),"Brinco não cadastrado"))</f>
        <v/>
      </c>
      <c r="I817" s="34">
        <f>IF(A817="","",YEAR(A817))</f>
        <v/>
      </c>
      <c r="J817" s="45">
        <f>IF(OR(N(D817)=0,N(E817)=0),"",IFERROR(E817/D817,""))</f>
        <v/>
      </c>
    </row>
    <row r="818">
      <c r="A818" s="31" t="n"/>
      <c r="B818" s="37" t="n"/>
      <c r="C818" s="36" t="n"/>
      <c r="D818" s="38" t="n"/>
      <c r="E818" s="44" t="n"/>
      <c r="F818" s="32" t="n"/>
      <c r="G818" s="32" t="n"/>
      <c r="H818" s="39">
        <f>IF(C818="","",IFERROR(INDEX('Animais'!$M$6:$M$1005,MATCH(C818,'Animais'!$A$6:$A$1005,0)),"Brinco não cadastrado"))</f>
        <v/>
      </c>
      <c r="I818" s="34">
        <f>IF(A818="","",YEAR(A818))</f>
        <v/>
      </c>
      <c r="J818" s="45">
        <f>IF(OR(N(D818)=0,N(E818)=0),"",IFERROR(E818/D818,""))</f>
        <v/>
      </c>
    </row>
    <row r="819">
      <c r="A819" s="31" t="n"/>
      <c r="B819" s="37" t="n"/>
      <c r="C819" s="36" t="n"/>
      <c r="D819" s="38" t="n"/>
      <c r="E819" s="44" t="n"/>
      <c r="F819" s="32" t="n"/>
      <c r="G819" s="32" t="n"/>
      <c r="H819" s="39">
        <f>IF(C819="","",IFERROR(INDEX('Animais'!$M$6:$M$1005,MATCH(C819,'Animais'!$A$6:$A$1005,0)),"Brinco não cadastrado"))</f>
        <v/>
      </c>
      <c r="I819" s="34">
        <f>IF(A819="","",YEAR(A819))</f>
        <v/>
      </c>
      <c r="J819" s="45">
        <f>IF(OR(N(D819)=0,N(E819)=0),"",IFERROR(E819/D819,""))</f>
        <v/>
      </c>
    </row>
    <row r="820">
      <c r="A820" s="31" t="n"/>
      <c r="B820" s="37" t="n"/>
      <c r="C820" s="36" t="n"/>
      <c r="D820" s="38" t="n"/>
      <c r="E820" s="44" t="n"/>
      <c r="F820" s="32" t="n"/>
      <c r="G820" s="32" t="n"/>
      <c r="H820" s="39">
        <f>IF(C820="","",IFERROR(INDEX('Animais'!$M$6:$M$1005,MATCH(C820,'Animais'!$A$6:$A$1005,0)),"Brinco não cadastrado"))</f>
        <v/>
      </c>
      <c r="I820" s="34">
        <f>IF(A820="","",YEAR(A820))</f>
        <v/>
      </c>
      <c r="J820" s="45">
        <f>IF(OR(N(D820)=0,N(E820)=0),"",IFERROR(E820/D820,""))</f>
        <v/>
      </c>
    </row>
    <row r="821">
      <c r="A821" s="31" t="n"/>
      <c r="B821" s="37" t="n"/>
      <c r="C821" s="36" t="n"/>
      <c r="D821" s="38" t="n"/>
      <c r="E821" s="44" t="n"/>
      <c r="F821" s="32" t="n"/>
      <c r="G821" s="32" t="n"/>
      <c r="H821" s="39">
        <f>IF(C821="","",IFERROR(INDEX('Animais'!$M$6:$M$1005,MATCH(C821,'Animais'!$A$6:$A$1005,0)),"Brinco não cadastrado"))</f>
        <v/>
      </c>
      <c r="I821" s="34">
        <f>IF(A821="","",YEAR(A821))</f>
        <v/>
      </c>
      <c r="J821" s="45">
        <f>IF(OR(N(D821)=0,N(E821)=0),"",IFERROR(E821/D821,""))</f>
        <v/>
      </c>
    </row>
    <row r="822">
      <c r="A822" s="31" t="n"/>
      <c r="B822" s="37" t="n"/>
      <c r="C822" s="36" t="n"/>
      <c r="D822" s="38" t="n"/>
      <c r="E822" s="44" t="n"/>
      <c r="F822" s="32" t="n"/>
      <c r="G822" s="32" t="n"/>
      <c r="H822" s="39">
        <f>IF(C822="","",IFERROR(INDEX('Animais'!$M$6:$M$1005,MATCH(C822,'Animais'!$A$6:$A$1005,0)),"Brinco não cadastrado"))</f>
        <v/>
      </c>
      <c r="I822" s="34">
        <f>IF(A822="","",YEAR(A822))</f>
        <v/>
      </c>
      <c r="J822" s="45">
        <f>IF(OR(N(D822)=0,N(E822)=0),"",IFERROR(E822/D822,""))</f>
        <v/>
      </c>
    </row>
    <row r="823">
      <c r="A823" s="31" t="n"/>
      <c r="B823" s="37" t="n"/>
      <c r="C823" s="36" t="n"/>
      <c r="D823" s="38" t="n"/>
      <c r="E823" s="44" t="n"/>
      <c r="F823" s="32" t="n"/>
      <c r="G823" s="32" t="n"/>
      <c r="H823" s="39">
        <f>IF(C823="","",IFERROR(INDEX('Animais'!$M$6:$M$1005,MATCH(C823,'Animais'!$A$6:$A$1005,0)),"Brinco não cadastrado"))</f>
        <v/>
      </c>
      <c r="I823" s="34">
        <f>IF(A823="","",YEAR(A823))</f>
        <v/>
      </c>
      <c r="J823" s="45">
        <f>IF(OR(N(D823)=0,N(E823)=0),"",IFERROR(E823/D823,""))</f>
        <v/>
      </c>
    </row>
    <row r="824">
      <c r="A824" s="31" t="n"/>
      <c r="B824" s="37" t="n"/>
      <c r="C824" s="36" t="n"/>
      <c r="D824" s="38" t="n"/>
      <c r="E824" s="44" t="n"/>
      <c r="F824" s="32" t="n"/>
      <c r="G824" s="32" t="n"/>
      <c r="H824" s="39">
        <f>IF(C824="","",IFERROR(INDEX('Animais'!$M$6:$M$1005,MATCH(C824,'Animais'!$A$6:$A$1005,0)),"Brinco não cadastrado"))</f>
        <v/>
      </c>
      <c r="I824" s="34">
        <f>IF(A824="","",YEAR(A824))</f>
        <v/>
      </c>
      <c r="J824" s="45">
        <f>IF(OR(N(D824)=0,N(E824)=0),"",IFERROR(E824/D824,""))</f>
        <v/>
      </c>
    </row>
    <row r="825">
      <c r="A825" s="31" t="n"/>
      <c r="B825" s="37" t="n"/>
      <c r="C825" s="36" t="n"/>
      <c r="D825" s="38" t="n"/>
      <c r="E825" s="44" t="n"/>
      <c r="F825" s="32" t="n"/>
      <c r="G825" s="32" t="n"/>
      <c r="H825" s="39">
        <f>IF(C825="","",IFERROR(INDEX('Animais'!$M$6:$M$1005,MATCH(C825,'Animais'!$A$6:$A$1005,0)),"Brinco não cadastrado"))</f>
        <v/>
      </c>
      <c r="I825" s="34">
        <f>IF(A825="","",YEAR(A825))</f>
        <v/>
      </c>
      <c r="J825" s="45">
        <f>IF(OR(N(D825)=0,N(E825)=0),"",IFERROR(E825/D825,""))</f>
        <v/>
      </c>
    </row>
    <row r="826">
      <c r="A826" s="31" t="n"/>
      <c r="B826" s="37" t="n"/>
      <c r="C826" s="36" t="n"/>
      <c r="D826" s="38" t="n"/>
      <c r="E826" s="44" t="n"/>
      <c r="F826" s="32" t="n"/>
      <c r="G826" s="32" t="n"/>
      <c r="H826" s="39">
        <f>IF(C826="","",IFERROR(INDEX('Animais'!$M$6:$M$1005,MATCH(C826,'Animais'!$A$6:$A$1005,0)),"Brinco não cadastrado"))</f>
        <v/>
      </c>
      <c r="I826" s="34">
        <f>IF(A826="","",YEAR(A826))</f>
        <v/>
      </c>
      <c r="J826" s="45">
        <f>IF(OR(N(D826)=0,N(E826)=0),"",IFERROR(E826/D826,""))</f>
        <v/>
      </c>
    </row>
    <row r="827">
      <c r="A827" s="31" t="n"/>
      <c r="B827" s="37" t="n"/>
      <c r="C827" s="36" t="n"/>
      <c r="D827" s="38" t="n"/>
      <c r="E827" s="44" t="n"/>
      <c r="F827" s="32" t="n"/>
      <c r="G827" s="32" t="n"/>
      <c r="H827" s="39">
        <f>IF(C827="","",IFERROR(INDEX('Animais'!$M$6:$M$1005,MATCH(C827,'Animais'!$A$6:$A$1005,0)),"Brinco não cadastrado"))</f>
        <v/>
      </c>
      <c r="I827" s="34">
        <f>IF(A827="","",YEAR(A827))</f>
        <v/>
      </c>
      <c r="J827" s="45">
        <f>IF(OR(N(D827)=0,N(E827)=0),"",IFERROR(E827/D827,""))</f>
        <v/>
      </c>
    </row>
    <row r="828">
      <c r="A828" s="31" t="n"/>
      <c r="B828" s="37" t="n"/>
      <c r="C828" s="36" t="n"/>
      <c r="D828" s="38" t="n"/>
      <c r="E828" s="44" t="n"/>
      <c r="F828" s="32" t="n"/>
      <c r="G828" s="32" t="n"/>
      <c r="H828" s="39">
        <f>IF(C828="","",IFERROR(INDEX('Animais'!$M$6:$M$1005,MATCH(C828,'Animais'!$A$6:$A$1005,0)),"Brinco não cadastrado"))</f>
        <v/>
      </c>
      <c r="I828" s="34">
        <f>IF(A828="","",YEAR(A828))</f>
        <v/>
      </c>
      <c r="J828" s="45">
        <f>IF(OR(N(D828)=0,N(E828)=0),"",IFERROR(E828/D828,""))</f>
        <v/>
      </c>
    </row>
    <row r="829">
      <c r="A829" s="31" t="n"/>
      <c r="B829" s="37" t="n"/>
      <c r="C829" s="36" t="n"/>
      <c r="D829" s="38" t="n"/>
      <c r="E829" s="44" t="n"/>
      <c r="F829" s="32" t="n"/>
      <c r="G829" s="32" t="n"/>
      <c r="H829" s="39">
        <f>IF(C829="","",IFERROR(INDEX('Animais'!$M$6:$M$1005,MATCH(C829,'Animais'!$A$6:$A$1005,0)),"Brinco não cadastrado"))</f>
        <v/>
      </c>
      <c r="I829" s="34">
        <f>IF(A829="","",YEAR(A829))</f>
        <v/>
      </c>
      <c r="J829" s="45">
        <f>IF(OR(N(D829)=0,N(E829)=0),"",IFERROR(E829/D829,""))</f>
        <v/>
      </c>
    </row>
    <row r="830">
      <c r="A830" s="31" t="n"/>
      <c r="B830" s="37" t="n"/>
      <c r="C830" s="36" t="n"/>
      <c r="D830" s="38" t="n"/>
      <c r="E830" s="44" t="n"/>
      <c r="F830" s="32" t="n"/>
      <c r="G830" s="32" t="n"/>
      <c r="H830" s="39">
        <f>IF(C830="","",IFERROR(INDEX('Animais'!$M$6:$M$1005,MATCH(C830,'Animais'!$A$6:$A$1005,0)),"Brinco não cadastrado"))</f>
        <v/>
      </c>
      <c r="I830" s="34">
        <f>IF(A830="","",YEAR(A830))</f>
        <v/>
      </c>
      <c r="J830" s="45">
        <f>IF(OR(N(D830)=0,N(E830)=0),"",IFERROR(E830/D830,""))</f>
        <v/>
      </c>
    </row>
    <row r="831">
      <c r="A831" s="31" t="n"/>
      <c r="B831" s="37" t="n"/>
      <c r="C831" s="36" t="n"/>
      <c r="D831" s="38" t="n"/>
      <c r="E831" s="44" t="n"/>
      <c r="F831" s="32" t="n"/>
      <c r="G831" s="32" t="n"/>
      <c r="H831" s="39">
        <f>IF(C831="","",IFERROR(INDEX('Animais'!$M$6:$M$1005,MATCH(C831,'Animais'!$A$6:$A$1005,0)),"Brinco não cadastrado"))</f>
        <v/>
      </c>
      <c r="I831" s="34">
        <f>IF(A831="","",YEAR(A831))</f>
        <v/>
      </c>
      <c r="J831" s="45">
        <f>IF(OR(N(D831)=0,N(E831)=0),"",IFERROR(E831/D831,""))</f>
        <v/>
      </c>
    </row>
    <row r="832">
      <c r="A832" s="31" t="n"/>
      <c r="B832" s="37" t="n"/>
      <c r="C832" s="36" t="n"/>
      <c r="D832" s="38" t="n"/>
      <c r="E832" s="44" t="n"/>
      <c r="F832" s="32" t="n"/>
      <c r="G832" s="32" t="n"/>
      <c r="H832" s="39">
        <f>IF(C832="","",IFERROR(INDEX('Animais'!$M$6:$M$1005,MATCH(C832,'Animais'!$A$6:$A$1005,0)),"Brinco não cadastrado"))</f>
        <v/>
      </c>
      <c r="I832" s="34">
        <f>IF(A832="","",YEAR(A832))</f>
        <v/>
      </c>
      <c r="J832" s="45">
        <f>IF(OR(N(D832)=0,N(E832)=0),"",IFERROR(E832/D832,""))</f>
        <v/>
      </c>
    </row>
    <row r="833">
      <c r="A833" s="31" t="n"/>
      <c r="B833" s="37" t="n"/>
      <c r="C833" s="36" t="n"/>
      <c r="D833" s="38" t="n"/>
      <c r="E833" s="44" t="n"/>
      <c r="F833" s="32" t="n"/>
      <c r="G833" s="32" t="n"/>
      <c r="H833" s="39">
        <f>IF(C833="","",IFERROR(INDEX('Animais'!$M$6:$M$1005,MATCH(C833,'Animais'!$A$6:$A$1005,0)),"Brinco não cadastrado"))</f>
        <v/>
      </c>
      <c r="I833" s="34">
        <f>IF(A833="","",YEAR(A833))</f>
        <v/>
      </c>
      <c r="J833" s="45">
        <f>IF(OR(N(D833)=0,N(E833)=0),"",IFERROR(E833/D833,""))</f>
        <v/>
      </c>
    </row>
    <row r="834">
      <c r="A834" s="31" t="n"/>
      <c r="B834" s="37" t="n"/>
      <c r="C834" s="36" t="n"/>
      <c r="D834" s="38" t="n"/>
      <c r="E834" s="44" t="n"/>
      <c r="F834" s="32" t="n"/>
      <c r="G834" s="32" t="n"/>
      <c r="H834" s="39">
        <f>IF(C834="","",IFERROR(INDEX('Animais'!$M$6:$M$1005,MATCH(C834,'Animais'!$A$6:$A$1005,0)),"Brinco não cadastrado"))</f>
        <v/>
      </c>
      <c r="I834" s="34">
        <f>IF(A834="","",YEAR(A834))</f>
        <v/>
      </c>
      <c r="J834" s="45">
        <f>IF(OR(N(D834)=0,N(E834)=0),"",IFERROR(E834/D834,""))</f>
        <v/>
      </c>
    </row>
    <row r="835">
      <c r="A835" s="31" t="n"/>
      <c r="B835" s="37" t="n"/>
      <c r="C835" s="36" t="n"/>
      <c r="D835" s="38" t="n"/>
      <c r="E835" s="44" t="n"/>
      <c r="F835" s="32" t="n"/>
      <c r="G835" s="32" t="n"/>
      <c r="H835" s="39">
        <f>IF(C835="","",IFERROR(INDEX('Animais'!$M$6:$M$1005,MATCH(C835,'Animais'!$A$6:$A$1005,0)),"Brinco não cadastrado"))</f>
        <v/>
      </c>
      <c r="I835" s="34">
        <f>IF(A835="","",YEAR(A835))</f>
        <v/>
      </c>
      <c r="J835" s="45">
        <f>IF(OR(N(D835)=0,N(E835)=0),"",IFERROR(E835/D835,""))</f>
        <v/>
      </c>
    </row>
    <row r="836">
      <c r="A836" s="31" t="n"/>
      <c r="B836" s="37" t="n"/>
      <c r="C836" s="36" t="n"/>
      <c r="D836" s="38" t="n"/>
      <c r="E836" s="44" t="n"/>
      <c r="F836" s="32" t="n"/>
      <c r="G836" s="32" t="n"/>
      <c r="H836" s="39">
        <f>IF(C836="","",IFERROR(INDEX('Animais'!$M$6:$M$1005,MATCH(C836,'Animais'!$A$6:$A$1005,0)),"Brinco não cadastrado"))</f>
        <v/>
      </c>
      <c r="I836" s="34">
        <f>IF(A836="","",YEAR(A836))</f>
        <v/>
      </c>
      <c r="J836" s="45">
        <f>IF(OR(N(D836)=0,N(E836)=0),"",IFERROR(E836/D836,""))</f>
        <v/>
      </c>
    </row>
    <row r="837">
      <c r="A837" s="31" t="n"/>
      <c r="B837" s="37" t="n"/>
      <c r="C837" s="36" t="n"/>
      <c r="D837" s="38" t="n"/>
      <c r="E837" s="44" t="n"/>
      <c r="F837" s="32" t="n"/>
      <c r="G837" s="32" t="n"/>
      <c r="H837" s="39">
        <f>IF(C837="","",IFERROR(INDEX('Animais'!$M$6:$M$1005,MATCH(C837,'Animais'!$A$6:$A$1005,0)),"Brinco não cadastrado"))</f>
        <v/>
      </c>
      <c r="I837" s="34">
        <f>IF(A837="","",YEAR(A837))</f>
        <v/>
      </c>
      <c r="J837" s="45">
        <f>IF(OR(N(D837)=0,N(E837)=0),"",IFERROR(E837/D837,""))</f>
        <v/>
      </c>
    </row>
    <row r="838">
      <c r="A838" s="31" t="n"/>
      <c r="B838" s="37" t="n"/>
      <c r="C838" s="36" t="n"/>
      <c r="D838" s="38" t="n"/>
      <c r="E838" s="44" t="n"/>
      <c r="F838" s="32" t="n"/>
      <c r="G838" s="32" t="n"/>
      <c r="H838" s="39">
        <f>IF(C838="","",IFERROR(INDEX('Animais'!$M$6:$M$1005,MATCH(C838,'Animais'!$A$6:$A$1005,0)),"Brinco não cadastrado"))</f>
        <v/>
      </c>
      <c r="I838" s="34">
        <f>IF(A838="","",YEAR(A838))</f>
        <v/>
      </c>
      <c r="J838" s="45">
        <f>IF(OR(N(D838)=0,N(E838)=0),"",IFERROR(E838/D838,""))</f>
        <v/>
      </c>
    </row>
    <row r="839">
      <c r="A839" s="31" t="n"/>
      <c r="B839" s="37" t="n"/>
      <c r="C839" s="36" t="n"/>
      <c r="D839" s="38" t="n"/>
      <c r="E839" s="44" t="n"/>
      <c r="F839" s="32" t="n"/>
      <c r="G839" s="32" t="n"/>
      <c r="H839" s="39">
        <f>IF(C839="","",IFERROR(INDEX('Animais'!$M$6:$M$1005,MATCH(C839,'Animais'!$A$6:$A$1005,0)),"Brinco não cadastrado"))</f>
        <v/>
      </c>
      <c r="I839" s="34">
        <f>IF(A839="","",YEAR(A839))</f>
        <v/>
      </c>
      <c r="J839" s="45">
        <f>IF(OR(N(D839)=0,N(E839)=0),"",IFERROR(E839/D839,""))</f>
        <v/>
      </c>
    </row>
    <row r="840">
      <c r="A840" s="31" t="n"/>
      <c r="B840" s="37" t="n"/>
      <c r="C840" s="36" t="n"/>
      <c r="D840" s="38" t="n"/>
      <c r="E840" s="44" t="n"/>
      <c r="F840" s="32" t="n"/>
      <c r="G840" s="32" t="n"/>
      <c r="H840" s="39">
        <f>IF(C840="","",IFERROR(INDEX('Animais'!$M$6:$M$1005,MATCH(C840,'Animais'!$A$6:$A$1005,0)),"Brinco não cadastrado"))</f>
        <v/>
      </c>
      <c r="I840" s="34">
        <f>IF(A840="","",YEAR(A840))</f>
        <v/>
      </c>
      <c r="J840" s="45">
        <f>IF(OR(N(D840)=0,N(E840)=0),"",IFERROR(E840/D840,""))</f>
        <v/>
      </c>
    </row>
    <row r="841">
      <c r="A841" s="31" t="n"/>
      <c r="B841" s="37" t="n"/>
      <c r="C841" s="36" t="n"/>
      <c r="D841" s="38" t="n"/>
      <c r="E841" s="44" t="n"/>
      <c r="F841" s="32" t="n"/>
      <c r="G841" s="32" t="n"/>
      <c r="H841" s="39">
        <f>IF(C841="","",IFERROR(INDEX('Animais'!$M$6:$M$1005,MATCH(C841,'Animais'!$A$6:$A$1005,0)),"Brinco não cadastrado"))</f>
        <v/>
      </c>
      <c r="I841" s="34">
        <f>IF(A841="","",YEAR(A841))</f>
        <v/>
      </c>
      <c r="J841" s="45">
        <f>IF(OR(N(D841)=0,N(E841)=0),"",IFERROR(E841/D841,""))</f>
        <v/>
      </c>
    </row>
    <row r="842">
      <c r="A842" s="31" t="n"/>
      <c r="B842" s="37" t="n"/>
      <c r="C842" s="36" t="n"/>
      <c r="D842" s="38" t="n"/>
      <c r="E842" s="44" t="n"/>
      <c r="F842" s="32" t="n"/>
      <c r="G842" s="32" t="n"/>
      <c r="H842" s="39">
        <f>IF(C842="","",IFERROR(INDEX('Animais'!$M$6:$M$1005,MATCH(C842,'Animais'!$A$6:$A$1005,0)),"Brinco não cadastrado"))</f>
        <v/>
      </c>
      <c r="I842" s="34">
        <f>IF(A842="","",YEAR(A842))</f>
        <v/>
      </c>
      <c r="J842" s="45">
        <f>IF(OR(N(D842)=0,N(E842)=0),"",IFERROR(E842/D842,""))</f>
        <v/>
      </c>
    </row>
    <row r="843">
      <c r="A843" s="31" t="n"/>
      <c r="B843" s="37" t="n"/>
      <c r="C843" s="36" t="n"/>
      <c r="D843" s="38" t="n"/>
      <c r="E843" s="44" t="n"/>
      <c r="F843" s="32" t="n"/>
      <c r="G843" s="32" t="n"/>
      <c r="H843" s="39">
        <f>IF(C843="","",IFERROR(INDEX('Animais'!$M$6:$M$1005,MATCH(C843,'Animais'!$A$6:$A$1005,0)),"Brinco não cadastrado"))</f>
        <v/>
      </c>
      <c r="I843" s="34">
        <f>IF(A843="","",YEAR(A843))</f>
        <v/>
      </c>
      <c r="J843" s="45">
        <f>IF(OR(N(D843)=0,N(E843)=0),"",IFERROR(E843/D843,""))</f>
        <v/>
      </c>
    </row>
    <row r="844">
      <c r="A844" s="31" t="n"/>
      <c r="B844" s="37" t="n"/>
      <c r="C844" s="36" t="n"/>
      <c r="D844" s="38" t="n"/>
      <c r="E844" s="44" t="n"/>
      <c r="F844" s="32" t="n"/>
      <c r="G844" s="32" t="n"/>
      <c r="H844" s="39">
        <f>IF(C844="","",IFERROR(INDEX('Animais'!$M$6:$M$1005,MATCH(C844,'Animais'!$A$6:$A$1005,0)),"Brinco não cadastrado"))</f>
        <v/>
      </c>
      <c r="I844" s="34">
        <f>IF(A844="","",YEAR(A844))</f>
        <v/>
      </c>
      <c r="J844" s="45">
        <f>IF(OR(N(D844)=0,N(E844)=0),"",IFERROR(E844/D844,""))</f>
        <v/>
      </c>
    </row>
    <row r="845">
      <c r="A845" s="31" t="n"/>
      <c r="B845" s="37" t="n"/>
      <c r="C845" s="36" t="n"/>
      <c r="D845" s="38" t="n"/>
      <c r="E845" s="44" t="n"/>
      <c r="F845" s="32" t="n"/>
      <c r="G845" s="32" t="n"/>
      <c r="H845" s="39">
        <f>IF(C845="","",IFERROR(INDEX('Animais'!$M$6:$M$1005,MATCH(C845,'Animais'!$A$6:$A$1005,0)),"Brinco não cadastrado"))</f>
        <v/>
      </c>
      <c r="I845" s="34">
        <f>IF(A845="","",YEAR(A845))</f>
        <v/>
      </c>
      <c r="J845" s="45">
        <f>IF(OR(N(D845)=0,N(E845)=0),"",IFERROR(E845/D845,""))</f>
        <v/>
      </c>
    </row>
    <row r="846">
      <c r="A846" s="31" t="n"/>
      <c r="B846" s="37" t="n"/>
      <c r="C846" s="36" t="n"/>
      <c r="D846" s="38" t="n"/>
      <c r="E846" s="44" t="n"/>
      <c r="F846" s="32" t="n"/>
      <c r="G846" s="32" t="n"/>
      <c r="H846" s="39">
        <f>IF(C846="","",IFERROR(INDEX('Animais'!$M$6:$M$1005,MATCH(C846,'Animais'!$A$6:$A$1005,0)),"Brinco não cadastrado"))</f>
        <v/>
      </c>
      <c r="I846" s="34">
        <f>IF(A846="","",YEAR(A846))</f>
        <v/>
      </c>
      <c r="J846" s="45">
        <f>IF(OR(N(D846)=0,N(E846)=0),"",IFERROR(E846/D846,""))</f>
        <v/>
      </c>
    </row>
    <row r="847">
      <c r="A847" s="31" t="n"/>
      <c r="B847" s="37" t="n"/>
      <c r="C847" s="36" t="n"/>
      <c r="D847" s="38" t="n"/>
      <c r="E847" s="44" t="n"/>
      <c r="F847" s="32" t="n"/>
      <c r="G847" s="32" t="n"/>
      <c r="H847" s="39">
        <f>IF(C847="","",IFERROR(INDEX('Animais'!$M$6:$M$1005,MATCH(C847,'Animais'!$A$6:$A$1005,0)),"Brinco não cadastrado"))</f>
        <v/>
      </c>
      <c r="I847" s="34">
        <f>IF(A847="","",YEAR(A847))</f>
        <v/>
      </c>
      <c r="J847" s="45">
        <f>IF(OR(N(D847)=0,N(E847)=0),"",IFERROR(E847/D847,""))</f>
        <v/>
      </c>
    </row>
    <row r="848">
      <c r="A848" s="31" t="n"/>
      <c r="B848" s="37" t="n"/>
      <c r="C848" s="36" t="n"/>
      <c r="D848" s="38" t="n"/>
      <c r="E848" s="44" t="n"/>
      <c r="F848" s="32" t="n"/>
      <c r="G848" s="32" t="n"/>
      <c r="H848" s="39">
        <f>IF(C848="","",IFERROR(INDEX('Animais'!$M$6:$M$1005,MATCH(C848,'Animais'!$A$6:$A$1005,0)),"Brinco não cadastrado"))</f>
        <v/>
      </c>
      <c r="I848" s="34">
        <f>IF(A848="","",YEAR(A848))</f>
        <v/>
      </c>
      <c r="J848" s="45">
        <f>IF(OR(N(D848)=0,N(E848)=0),"",IFERROR(E848/D848,""))</f>
        <v/>
      </c>
    </row>
    <row r="849">
      <c r="A849" s="31" t="n"/>
      <c r="B849" s="37" t="n"/>
      <c r="C849" s="36" t="n"/>
      <c r="D849" s="38" t="n"/>
      <c r="E849" s="44" t="n"/>
      <c r="F849" s="32" t="n"/>
      <c r="G849" s="32" t="n"/>
      <c r="H849" s="39">
        <f>IF(C849="","",IFERROR(INDEX('Animais'!$M$6:$M$1005,MATCH(C849,'Animais'!$A$6:$A$1005,0)),"Brinco não cadastrado"))</f>
        <v/>
      </c>
      <c r="I849" s="34">
        <f>IF(A849="","",YEAR(A849))</f>
        <v/>
      </c>
      <c r="J849" s="45">
        <f>IF(OR(N(D849)=0,N(E849)=0),"",IFERROR(E849/D849,""))</f>
        <v/>
      </c>
    </row>
    <row r="850">
      <c r="A850" s="31" t="n"/>
      <c r="B850" s="37" t="n"/>
      <c r="C850" s="36" t="n"/>
      <c r="D850" s="38" t="n"/>
      <c r="E850" s="44" t="n"/>
      <c r="F850" s="32" t="n"/>
      <c r="G850" s="32" t="n"/>
      <c r="H850" s="39">
        <f>IF(C850="","",IFERROR(INDEX('Animais'!$M$6:$M$1005,MATCH(C850,'Animais'!$A$6:$A$1005,0)),"Brinco não cadastrado"))</f>
        <v/>
      </c>
      <c r="I850" s="34">
        <f>IF(A850="","",YEAR(A850))</f>
        <v/>
      </c>
      <c r="J850" s="45">
        <f>IF(OR(N(D850)=0,N(E850)=0),"",IFERROR(E850/D850,""))</f>
        <v/>
      </c>
    </row>
    <row r="851">
      <c r="A851" s="31" t="n"/>
      <c r="B851" s="37" t="n"/>
      <c r="C851" s="36" t="n"/>
      <c r="D851" s="38" t="n"/>
      <c r="E851" s="44" t="n"/>
      <c r="F851" s="32" t="n"/>
      <c r="G851" s="32" t="n"/>
      <c r="H851" s="39">
        <f>IF(C851="","",IFERROR(INDEX('Animais'!$M$6:$M$1005,MATCH(C851,'Animais'!$A$6:$A$1005,0)),"Brinco não cadastrado"))</f>
        <v/>
      </c>
      <c r="I851" s="34">
        <f>IF(A851="","",YEAR(A851))</f>
        <v/>
      </c>
      <c r="J851" s="45">
        <f>IF(OR(N(D851)=0,N(E851)=0),"",IFERROR(E851/D851,""))</f>
        <v/>
      </c>
    </row>
    <row r="852">
      <c r="A852" s="31" t="n"/>
      <c r="B852" s="37" t="n"/>
      <c r="C852" s="36" t="n"/>
      <c r="D852" s="38" t="n"/>
      <c r="E852" s="44" t="n"/>
      <c r="F852" s="32" t="n"/>
      <c r="G852" s="32" t="n"/>
      <c r="H852" s="39">
        <f>IF(C852="","",IFERROR(INDEX('Animais'!$M$6:$M$1005,MATCH(C852,'Animais'!$A$6:$A$1005,0)),"Brinco não cadastrado"))</f>
        <v/>
      </c>
      <c r="I852" s="34">
        <f>IF(A852="","",YEAR(A852))</f>
        <v/>
      </c>
      <c r="J852" s="45">
        <f>IF(OR(N(D852)=0,N(E852)=0),"",IFERROR(E852/D852,""))</f>
        <v/>
      </c>
    </row>
    <row r="853">
      <c r="A853" s="31" t="n"/>
      <c r="B853" s="37" t="n"/>
      <c r="C853" s="36" t="n"/>
      <c r="D853" s="38" t="n"/>
      <c r="E853" s="44" t="n"/>
      <c r="F853" s="32" t="n"/>
      <c r="G853" s="32" t="n"/>
      <c r="H853" s="39">
        <f>IF(C853="","",IFERROR(INDEX('Animais'!$M$6:$M$1005,MATCH(C853,'Animais'!$A$6:$A$1005,0)),"Brinco não cadastrado"))</f>
        <v/>
      </c>
      <c r="I853" s="34">
        <f>IF(A853="","",YEAR(A853))</f>
        <v/>
      </c>
      <c r="J853" s="45">
        <f>IF(OR(N(D853)=0,N(E853)=0),"",IFERROR(E853/D853,""))</f>
        <v/>
      </c>
    </row>
    <row r="854">
      <c r="A854" s="31" t="n"/>
      <c r="B854" s="37" t="n"/>
      <c r="C854" s="36" t="n"/>
      <c r="D854" s="38" t="n"/>
      <c r="E854" s="44" t="n"/>
      <c r="F854" s="32" t="n"/>
      <c r="G854" s="32" t="n"/>
      <c r="H854" s="39">
        <f>IF(C854="","",IFERROR(INDEX('Animais'!$M$6:$M$1005,MATCH(C854,'Animais'!$A$6:$A$1005,0)),"Brinco não cadastrado"))</f>
        <v/>
      </c>
      <c r="I854" s="34">
        <f>IF(A854="","",YEAR(A854))</f>
        <v/>
      </c>
      <c r="J854" s="45">
        <f>IF(OR(N(D854)=0,N(E854)=0),"",IFERROR(E854/D854,""))</f>
        <v/>
      </c>
    </row>
    <row r="855">
      <c r="A855" s="31" t="n"/>
      <c r="B855" s="37" t="n"/>
      <c r="C855" s="36" t="n"/>
      <c r="D855" s="38" t="n"/>
      <c r="E855" s="44" t="n"/>
      <c r="F855" s="32" t="n"/>
      <c r="G855" s="32" t="n"/>
      <c r="H855" s="39">
        <f>IF(C855="","",IFERROR(INDEX('Animais'!$M$6:$M$1005,MATCH(C855,'Animais'!$A$6:$A$1005,0)),"Brinco não cadastrado"))</f>
        <v/>
      </c>
      <c r="I855" s="34">
        <f>IF(A855="","",YEAR(A855))</f>
        <v/>
      </c>
      <c r="J855" s="45">
        <f>IF(OR(N(D855)=0,N(E855)=0),"",IFERROR(E855/D855,""))</f>
        <v/>
      </c>
    </row>
    <row r="856">
      <c r="A856" s="31" t="n"/>
      <c r="B856" s="37" t="n"/>
      <c r="C856" s="36" t="n"/>
      <c r="D856" s="38" t="n"/>
      <c r="E856" s="44" t="n"/>
      <c r="F856" s="32" t="n"/>
      <c r="G856" s="32" t="n"/>
      <c r="H856" s="39">
        <f>IF(C856="","",IFERROR(INDEX('Animais'!$M$6:$M$1005,MATCH(C856,'Animais'!$A$6:$A$1005,0)),"Brinco não cadastrado"))</f>
        <v/>
      </c>
      <c r="I856" s="34">
        <f>IF(A856="","",YEAR(A856))</f>
        <v/>
      </c>
      <c r="J856" s="45">
        <f>IF(OR(N(D856)=0,N(E856)=0),"",IFERROR(E856/D856,""))</f>
        <v/>
      </c>
    </row>
    <row r="857">
      <c r="A857" s="31" t="n"/>
      <c r="B857" s="37" t="n"/>
      <c r="C857" s="36" t="n"/>
      <c r="D857" s="38" t="n"/>
      <c r="E857" s="44" t="n"/>
      <c r="F857" s="32" t="n"/>
      <c r="G857" s="32" t="n"/>
      <c r="H857" s="39">
        <f>IF(C857="","",IFERROR(INDEX('Animais'!$M$6:$M$1005,MATCH(C857,'Animais'!$A$6:$A$1005,0)),"Brinco não cadastrado"))</f>
        <v/>
      </c>
      <c r="I857" s="34">
        <f>IF(A857="","",YEAR(A857))</f>
        <v/>
      </c>
      <c r="J857" s="45">
        <f>IF(OR(N(D857)=0,N(E857)=0),"",IFERROR(E857/D857,""))</f>
        <v/>
      </c>
    </row>
    <row r="858">
      <c r="A858" s="31" t="n"/>
      <c r="B858" s="37" t="n"/>
      <c r="C858" s="36" t="n"/>
      <c r="D858" s="38" t="n"/>
      <c r="E858" s="44" t="n"/>
      <c r="F858" s="32" t="n"/>
      <c r="G858" s="32" t="n"/>
      <c r="H858" s="39">
        <f>IF(C858="","",IFERROR(INDEX('Animais'!$M$6:$M$1005,MATCH(C858,'Animais'!$A$6:$A$1005,0)),"Brinco não cadastrado"))</f>
        <v/>
      </c>
      <c r="I858" s="34">
        <f>IF(A858="","",YEAR(A858))</f>
        <v/>
      </c>
      <c r="J858" s="45">
        <f>IF(OR(N(D858)=0,N(E858)=0),"",IFERROR(E858/D858,""))</f>
        <v/>
      </c>
    </row>
    <row r="859">
      <c r="A859" s="31" t="n"/>
      <c r="B859" s="37" t="n"/>
      <c r="C859" s="36" t="n"/>
      <c r="D859" s="38" t="n"/>
      <c r="E859" s="44" t="n"/>
      <c r="F859" s="32" t="n"/>
      <c r="G859" s="32" t="n"/>
      <c r="H859" s="39">
        <f>IF(C859="","",IFERROR(INDEX('Animais'!$M$6:$M$1005,MATCH(C859,'Animais'!$A$6:$A$1005,0)),"Brinco não cadastrado"))</f>
        <v/>
      </c>
      <c r="I859" s="34">
        <f>IF(A859="","",YEAR(A859))</f>
        <v/>
      </c>
      <c r="J859" s="45">
        <f>IF(OR(N(D859)=0,N(E859)=0),"",IFERROR(E859/D859,""))</f>
        <v/>
      </c>
    </row>
    <row r="860">
      <c r="A860" s="31" t="n"/>
      <c r="B860" s="37" t="n"/>
      <c r="C860" s="36" t="n"/>
      <c r="D860" s="38" t="n"/>
      <c r="E860" s="44" t="n"/>
      <c r="F860" s="32" t="n"/>
      <c r="G860" s="32" t="n"/>
      <c r="H860" s="39">
        <f>IF(C860="","",IFERROR(INDEX('Animais'!$M$6:$M$1005,MATCH(C860,'Animais'!$A$6:$A$1005,0)),"Brinco não cadastrado"))</f>
        <v/>
      </c>
      <c r="I860" s="34">
        <f>IF(A860="","",YEAR(A860))</f>
        <v/>
      </c>
      <c r="J860" s="45">
        <f>IF(OR(N(D860)=0,N(E860)=0),"",IFERROR(E860/D860,""))</f>
        <v/>
      </c>
    </row>
    <row r="861">
      <c r="A861" s="31" t="n"/>
      <c r="B861" s="37" t="n"/>
      <c r="C861" s="36" t="n"/>
      <c r="D861" s="38" t="n"/>
      <c r="E861" s="44" t="n"/>
      <c r="F861" s="32" t="n"/>
      <c r="G861" s="32" t="n"/>
      <c r="H861" s="39">
        <f>IF(C861="","",IFERROR(INDEX('Animais'!$M$6:$M$1005,MATCH(C861,'Animais'!$A$6:$A$1005,0)),"Brinco não cadastrado"))</f>
        <v/>
      </c>
      <c r="I861" s="34">
        <f>IF(A861="","",YEAR(A861))</f>
        <v/>
      </c>
      <c r="J861" s="45">
        <f>IF(OR(N(D861)=0,N(E861)=0),"",IFERROR(E861/D861,""))</f>
        <v/>
      </c>
    </row>
    <row r="862">
      <c r="A862" s="31" t="n"/>
      <c r="B862" s="37" t="n"/>
      <c r="C862" s="36" t="n"/>
      <c r="D862" s="38" t="n"/>
      <c r="E862" s="44" t="n"/>
      <c r="F862" s="32" t="n"/>
      <c r="G862" s="32" t="n"/>
      <c r="H862" s="39">
        <f>IF(C862="","",IFERROR(INDEX('Animais'!$M$6:$M$1005,MATCH(C862,'Animais'!$A$6:$A$1005,0)),"Brinco não cadastrado"))</f>
        <v/>
      </c>
      <c r="I862" s="34">
        <f>IF(A862="","",YEAR(A862))</f>
        <v/>
      </c>
      <c r="J862" s="45">
        <f>IF(OR(N(D862)=0,N(E862)=0),"",IFERROR(E862/D862,""))</f>
        <v/>
      </c>
    </row>
    <row r="863">
      <c r="A863" s="31" t="n"/>
      <c r="B863" s="37" t="n"/>
      <c r="C863" s="36" t="n"/>
      <c r="D863" s="38" t="n"/>
      <c r="E863" s="44" t="n"/>
      <c r="F863" s="32" t="n"/>
      <c r="G863" s="32" t="n"/>
      <c r="H863" s="39">
        <f>IF(C863="","",IFERROR(INDEX('Animais'!$M$6:$M$1005,MATCH(C863,'Animais'!$A$6:$A$1005,0)),"Brinco não cadastrado"))</f>
        <v/>
      </c>
      <c r="I863" s="34">
        <f>IF(A863="","",YEAR(A863))</f>
        <v/>
      </c>
      <c r="J863" s="45">
        <f>IF(OR(N(D863)=0,N(E863)=0),"",IFERROR(E863/D863,""))</f>
        <v/>
      </c>
    </row>
    <row r="864">
      <c r="A864" s="31" t="n"/>
      <c r="B864" s="37" t="n"/>
      <c r="C864" s="36" t="n"/>
      <c r="D864" s="38" t="n"/>
      <c r="E864" s="44" t="n"/>
      <c r="F864" s="32" t="n"/>
      <c r="G864" s="32" t="n"/>
      <c r="H864" s="39">
        <f>IF(C864="","",IFERROR(INDEX('Animais'!$M$6:$M$1005,MATCH(C864,'Animais'!$A$6:$A$1005,0)),"Brinco não cadastrado"))</f>
        <v/>
      </c>
      <c r="I864" s="34">
        <f>IF(A864="","",YEAR(A864))</f>
        <v/>
      </c>
      <c r="J864" s="45">
        <f>IF(OR(N(D864)=0,N(E864)=0),"",IFERROR(E864/D864,""))</f>
        <v/>
      </c>
    </row>
    <row r="865">
      <c r="A865" s="31" t="n"/>
      <c r="B865" s="37" t="n"/>
      <c r="C865" s="36" t="n"/>
      <c r="D865" s="38" t="n"/>
      <c r="E865" s="44" t="n"/>
      <c r="F865" s="32" t="n"/>
      <c r="G865" s="32" t="n"/>
      <c r="H865" s="39">
        <f>IF(C865="","",IFERROR(INDEX('Animais'!$M$6:$M$1005,MATCH(C865,'Animais'!$A$6:$A$1005,0)),"Brinco não cadastrado"))</f>
        <v/>
      </c>
      <c r="I865" s="34">
        <f>IF(A865="","",YEAR(A865))</f>
        <v/>
      </c>
      <c r="J865" s="45">
        <f>IF(OR(N(D865)=0,N(E865)=0),"",IFERROR(E865/D865,""))</f>
        <v/>
      </c>
    </row>
    <row r="866">
      <c r="A866" s="31" t="n"/>
      <c r="B866" s="37" t="n"/>
      <c r="C866" s="36" t="n"/>
      <c r="D866" s="38" t="n"/>
      <c r="E866" s="44" t="n"/>
      <c r="F866" s="32" t="n"/>
      <c r="G866" s="32" t="n"/>
      <c r="H866" s="39">
        <f>IF(C866="","",IFERROR(INDEX('Animais'!$M$6:$M$1005,MATCH(C866,'Animais'!$A$6:$A$1005,0)),"Brinco não cadastrado"))</f>
        <v/>
      </c>
      <c r="I866" s="34">
        <f>IF(A866="","",YEAR(A866))</f>
        <v/>
      </c>
      <c r="J866" s="45">
        <f>IF(OR(N(D866)=0,N(E866)=0),"",IFERROR(E866/D866,""))</f>
        <v/>
      </c>
    </row>
    <row r="867">
      <c r="A867" s="31" t="n"/>
      <c r="B867" s="37" t="n"/>
      <c r="C867" s="36" t="n"/>
      <c r="D867" s="38" t="n"/>
      <c r="E867" s="44" t="n"/>
      <c r="F867" s="32" t="n"/>
      <c r="G867" s="32" t="n"/>
      <c r="H867" s="39">
        <f>IF(C867="","",IFERROR(INDEX('Animais'!$M$6:$M$1005,MATCH(C867,'Animais'!$A$6:$A$1005,0)),"Brinco não cadastrado"))</f>
        <v/>
      </c>
      <c r="I867" s="34">
        <f>IF(A867="","",YEAR(A867))</f>
        <v/>
      </c>
      <c r="J867" s="45">
        <f>IF(OR(N(D867)=0,N(E867)=0),"",IFERROR(E867/D867,""))</f>
        <v/>
      </c>
    </row>
    <row r="868">
      <c r="A868" s="31" t="n"/>
      <c r="B868" s="37" t="n"/>
      <c r="C868" s="36" t="n"/>
      <c r="D868" s="38" t="n"/>
      <c r="E868" s="44" t="n"/>
      <c r="F868" s="32" t="n"/>
      <c r="G868" s="32" t="n"/>
      <c r="H868" s="39">
        <f>IF(C868="","",IFERROR(INDEX('Animais'!$M$6:$M$1005,MATCH(C868,'Animais'!$A$6:$A$1005,0)),"Brinco não cadastrado"))</f>
        <v/>
      </c>
      <c r="I868" s="34">
        <f>IF(A868="","",YEAR(A868))</f>
        <v/>
      </c>
      <c r="J868" s="45">
        <f>IF(OR(N(D868)=0,N(E868)=0),"",IFERROR(E868/D868,""))</f>
        <v/>
      </c>
    </row>
    <row r="869">
      <c r="A869" s="31" t="n"/>
      <c r="B869" s="37" t="n"/>
      <c r="C869" s="36" t="n"/>
      <c r="D869" s="38" t="n"/>
      <c r="E869" s="44" t="n"/>
      <c r="F869" s="32" t="n"/>
      <c r="G869" s="32" t="n"/>
      <c r="H869" s="39">
        <f>IF(C869="","",IFERROR(INDEX('Animais'!$M$6:$M$1005,MATCH(C869,'Animais'!$A$6:$A$1005,0)),"Brinco não cadastrado"))</f>
        <v/>
      </c>
      <c r="I869" s="34">
        <f>IF(A869="","",YEAR(A869))</f>
        <v/>
      </c>
      <c r="J869" s="45">
        <f>IF(OR(N(D869)=0,N(E869)=0),"",IFERROR(E869/D869,""))</f>
        <v/>
      </c>
    </row>
    <row r="870">
      <c r="A870" s="31" t="n"/>
      <c r="B870" s="37" t="n"/>
      <c r="C870" s="36" t="n"/>
      <c r="D870" s="38" t="n"/>
      <c r="E870" s="44" t="n"/>
      <c r="F870" s="32" t="n"/>
      <c r="G870" s="32" t="n"/>
      <c r="H870" s="39">
        <f>IF(C870="","",IFERROR(INDEX('Animais'!$M$6:$M$1005,MATCH(C870,'Animais'!$A$6:$A$1005,0)),"Brinco não cadastrado"))</f>
        <v/>
      </c>
      <c r="I870" s="34">
        <f>IF(A870="","",YEAR(A870))</f>
        <v/>
      </c>
      <c r="J870" s="45">
        <f>IF(OR(N(D870)=0,N(E870)=0),"",IFERROR(E870/D870,""))</f>
        <v/>
      </c>
    </row>
    <row r="871">
      <c r="A871" s="31" t="n"/>
      <c r="B871" s="37" t="n"/>
      <c r="C871" s="36" t="n"/>
      <c r="D871" s="38" t="n"/>
      <c r="E871" s="44" t="n"/>
      <c r="F871" s="32" t="n"/>
      <c r="G871" s="32" t="n"/>
      <c r="H871" s="39">
        <f>IF(C871="","",IFERROR(INDEX('Animais'!$M$6:$M$1005,MATCH(C871,'Animais'!$A$6:$A$1005,0)),"Brinco não cadastrado"))</f>
        <v/>
      </c>
      <c r="I871" s="34">
        <f>IF(A871="","",YEAR(A871))</f>
        <v/>
      </c>
      <c r="J871" s="45">
        <f>IF(OR(N(D871)=0,N(E871)=0),"",IFERROR(E871/D871,""))</f>
        <v/>
      </c>
    </row>
    <row r="872">
      <c r="A872" s="31" t="n"/>
      <c r="B872" s="37" t="n"/>
      <c r="C872" s="36" t="n"/>
      <c r="D872" s="38" t="n"/>
      <c r="E872" s="44" t="n"/>
      <c r="F872" s="32" t="n"/>
      <c r="G872" s="32" t="n"/>
      <c r="H872" s="39">
        <f>IF(C872="","",IFERROR(INDEX('Animais'!$M$6:$M$1005,MATCH(C872,'Animais'!$A$6:$A$1005,0)),"Brinco não cadastrado"))</f>
        <v/>
      </c>
      <c r="I872" s="34">
        <f>IF(A872="","",YEAR(A872))</f>
        <v/>
      </c>
      <c r="J872" s="45">
        <f>IF(OR(N(D872)=0,N(E872)=0),"",IFERROR(E872/D872,""))</f>
        <v/>
      </c>
    </row>
    <row r="873">
      <c r="A873" s="31" t="n"/>
      <c r="B873" s="37" t="n"/>
      <c r="C873" s="36" t="n"/>
      <c r="D873" s="38" t="n"/>
      <c r="E873" s="44" t="n"/>
      <c r="F873" s="32" t="n"/>
      <c r="G873" s="32" t="n"/>
      <c r="H873" s="39">
        <f>IF(C873="","",IFERROR(INDEX('Animais'!$M$6:$M$1005,MATCH(C873,'Animais'!$A$6:$A$1005,0)),"Brinco não cadastrado"))</f>
        <v/>
      </c>
      <c r="I873" s="34">
        <f>IF(A873="","",YEAR(A873))</f>
        <v/>
      </c>
      <c r="J873" s="45">
        <f>IF(OR(N(D873)=0,N(E873)=0),"",IFERROR(E873/D873,""))</f>
        <v/>
      </c>
    </row>
    <row r="874">
      <c r="A874" s="31" t="n"/>
      <c r="B874" s="37" t="n"/>
      <c r="C874" s="36" t="n"/>
      <c r="D874" s="38" t="n"/>
      <c r="E874" s="44" t="n"/>
      <c r="F874" s="32" t="n"/>
      <c r="G874" s="32" t="n"/>
      <c r="H874" s="39">
        <f>IF(C874="","",IFERROR(INDEX('Animais'!$M$6:$M$1005,MATCH(C874,'Animais'!$A$6:$A$1005,0)),"Brinco não cadastrado"))</f>
        <v/>
      </c>
      <c r="I874" s="34">
        <f>IF(A874="","",YEAR(A874))</f>
        <v/>
      </c>
      <c r="J874" s="45">
        <f>IF(OR(N(D874)=0,N(E874)=0),"",IFERROR(E874/D874,""))</f>
        <v/>
      </c>
    </row>
    <row r="875">
      <c r="A875" s="31" t="n"/>
      <c r="B875" s="37" t="n"/>
      <c r="C875" s="36" t="n"/>
      <c r="D875" s="38" t="n"/>
      <c r="E875" s="44" t="n"/>
      <c r="F875" s="32" t="n"/>
      <c r="G875" s="32" t="n"/>
      <c r="H875" s="39">
        <f>IF(C875="","",IFERROR(INDEX('Animais'!$M$6:$M$1005,MATCH(C875,'Animais'!$A$6:$A$1005,0)),"Brinco não cadastrado"))</f>
        <v/>
      </c>
      <c r="I875" s="34">
        <f>IF(A875="","",YEAR(A875))</f>
        <v/>
      </c>
      <c r="J875" s="45">
        <f>IF(OR(N(D875)=0,N(E875)=0),"",IFERROR(E875/D875,""))</f>
        <v/>
      </c>
    </row>
    <row r="876">
      <c r="A876" s="31" t="n"/>
      <c r="B876" s="37" t="n"/>
      <c r="C876" s="36" t="n"/>
      <c r="D876" s="38" t="n"/>
      <c r="E876" s="44" t="n"/>
      <c r="F876" s="32" t="n"/>
      <c r="G876" s="32" t="n"/>
      <c r="H876" s="39">
        <f>IF(C876="","",IFERROR(INDEX('Animais'!$M$6:$M$1005,MATCH(C876,'Animais'!$A$6:$A$1005,0)),"Brinco não cadastrado"))</f>
        <v/>
      </c>
      <c r="I876" s="34">
        <f>IF(A876="","",YEAR(A876))</f>
        <v/>
      </c>
      <c r="J876" s="45">
        <f>IF(OR(N(D876)=0,N(E876)=0),"",IFERROR(E876/D876,""))</f>
        <v/>
      </c>
    </row>
    <row r="877">
      <c r="A877" s="31" t="n"/>
      <c r="B877" s="37" t="n"/>
      <c r="C877" s="36" t="n"/>
      <c r="D877" s="38" t="n"/>
      <c r="E877" s="44" t="n"/>
      <c r="F877" s="32" t="n"/>
      <c r="G877" s="32" t="n"/>
      <c r="H877" s="39">
        <f>IF(C877="","",IFERROR(INDEX('Animais'!$M$6:$M$1005,MATCH(C877,'Animais'!$A$6:$A$1005,0)),"Brinco não cadastrado"))</f>
        <v/>
      </c>
      <c r="I877" s="34">
        <f>IF(A877="","",YEAR(A877))</f>
        <v/>
      </c>
      <c r="J877" s="45">
        <f>IF(OR(N(D877)=0,N(E877)=0),"",IFERROR(E877/D877,""))</f>
        <v/>
      </c>
    </row>
    <row r="878">
      <c r="A878" s="31" t="n"/>
      <c r="B878" s="37" t="n"/>
      <c r="C878" s="36" t="n"/>
      <c r="D878" s="38" t="n"/>
      <c r="E878" s="44" t="n"/>
      <c r="F878" s="32" t="n"/>
      <c r="G878" s="32" t="n"/>
      <c r="H878" s="39">
        <f>IF(C878="","",IFERROR(INDEX('Animais'!$M$6:$M$1005,MATCH(C878,'Animais'!$A$6:$A$1005,0)),"Brinco não cadastrado"))</f>
        <v/>
      </c>
      <c r="I878" s="34">
        <f>IF(A878="","",YEAR(A878))</f>
        <v/>
      </c>
      <c r="J878" s="45">
        <f>IF(OR(N(D878)=0,N(E878)=0),"",IFERROR(E878/D878,""))</f>
        <v/>
      </c>
    </row>
    <row r="879">
      <c r="A879" s="31" t="n"/>
      <c r="B879" s="37" t="n"/>
      <c r="C879" s="36" t="n"/>
      <c r="D879" s="38" t="n"/>
      <c r="E879" s="44" t="n"/>
      <c r="F879" s="32" t="n"/>
      <c r="G879" s="32" t="n"/>
      <c r="H879" s="39">
        <f>IF(C879="","",IFERROR(INDEX('Animais'!$M$6:$M$1005,MATCH(C879,'Animais'!$A$6:$A$1005,0)),"Brinco não cadastrado"))</f>
        <v/>
      </c>
      <c r="I879" s="34">
        <f>IF(A879="","",YEAR(A879))</f>
        <v/>
      </c>
      <c r="J879" s="45">
        <f>IF(OR(N(D879)=0,N(E879)=0),"",IFERROR(E879/D879,""))</f>
        <v/>
      </c>
    </row>
    <row r="880">
      <c r="A880" s="31" t="n"/>
      <c r="B880" s="37" t="n"/>
      <c r="C880" s="36" t="n"/>
      <c r="D880" s="38" t="n"/>
      <c r="E880" s="44" t="n"/>
      <c r="F880" s="32" t="n"/>
      <c r="G880" s="32" t="n"/>
      <c r="H880" s="39">
        <f>IF(C880="","",IFERROR(INDEX('Animais'!$M$6:$M$1005,MATCH(C880,'Animais'!$A$6:$A$1005,0)),"Brinco não cadastrado"))</f>
        <v/>
      </c>
      <c r="I880" s="34">
        <f>IF(A880="","",YEAR(A880))</f>
        <v/>
      </c>
      <c r="J880" s="45">
        <f>IF(OR(N(D880)=0,N(E880)=0),"",IFERROR(E880/D880,""))</f>
        <v/>
      </c>
    </row>
    <row r="881">
      <c r="A881" s="31" t="n"/>
      <c r="B881" s="37" t="n"/>
      <c r="C881" s="36" t="n"/>
      <c r="D881" s="38" t="n"/>
      <c r="E881" s="44" t="n"/>
      <c r="F881" s="32" t="n"/>
      <c r="G881" s="32" t="n"/>
      <c r="H881" s="39">
        <f>IF(C881="","",IFERROR(INDEX('Animais'!$M$6:$M$1005,MATCH(C881,'Animais'!$A$6:$A$1005,0)),"Brinco não cadastrado"))</f>
        <v/>
      </c>
      <c r="I881" s="34">
        <f>IF(A881="","",YEAR(A881))</f>
        <v/>
      </c>
      <c r="J881" s="45">
        <f>IF(OR(N(D881)=0,N(E881)=0),"",IFERROR(E881/D881,""))</f>
        <v/>
      </c>
    </row>
    <row r="882">
      <c r="A882" s="31" t="n"/>
      <c r="B882" s="37" t="n"/>
      <c r="C882" s="36" t="n"/>
      <c r="D882" s="38" t="n"/>
      <c r="E882" s="44" t="n"/>
      <c r="F882" s="32" t="n"/>
      <c r="G882" s="32" t="n"/>
      <c r="H882" s="39">
        <f>IF(C882="","",IFERROR(INDEX('Animais'!$M$6:$M$1005,MATCH(C882,'Animais'!$A$6:$A$1005,0)),"Brinco não cadastrado"))</f>
        <v/>
      </c>
      <c r="I882" s="34">
        <f>IF(A882="","",YEAR(A882))</f>
        <v/>
      </c>
      <c r="J882" s="45">
        <f>IF(OR(N(D882)=0,N(E882)=0),"",IFERROR(E882/D882,""))</f>
        <v/>
      </c>
    </row>
    <row r="883">
      <c r="A883" s="31" t="n"/>
      <c r="B883" s="37" t="n"/>
      <c r="C883" s="36" t="n"/>
      <c r="D883" s="38" t="n"/>
      <c r="E883" s="44" t="n"/>
      <c r="F883" s="32" t="n"/>
      <c r="G883" s="32" t="n"/>
      <c r="H883" s="39">
        <f>IF(C883="","",IFERROR(INDEX('Animais'!$M$6:$M$1005,MATCH(C883,'Animais'!$A$6:$A$1005,0)),"Brinco não cadastrado"))</f>
        <v/>
      </c>
      <c r="I883" s="34">
        <f>IF(A883="","",YEAR(A883))</f>
        <v/>
      </c>
      <c r="J883" s="45">
        <f>IF(OR(N(D883)=0,N(E883)=0),"",IFERROR(E883/D883,""))</f>
        <v/>
      </c>
    </row>
    <row r="884">
      <c r="A884" s="31" t="n"/>
      <c r="B884" s="37" t="n"/>
      <c r="C884" s="36" t="n"/>
      <c r="D884" s="38" t="n"/>
      <c r="E884" s="44" t="n"/>
      <c r="F884" s="32" t="n"/>
      <c r="G884" s="32" t="n"/>
      <c r="H884" s="39">
        <f>IF(C884="","",IFERROR(INDEX('Animais'!$M$6:$M$1005,MATCH(C884,'Animais'!$A$6:$A$1005,0)),"Brinco não cadastrado"))</f>
        <v/>
      </c>
      <c r="I884" s="34">
        <f>IF(A884="","",YEAR(A884))</f>
        <v/>
      </c>
      <c r="J884" s="45">
        <f>IF(OR(N(D884)=0,N(E884)=0),"",IFERROR(E884/D884,""))</f>
        <v/>
      </c>
    </row>
    <row r="885">
      <c r="A885" s="31" t="n"/>
      <c r="B885" s="37" t="n"/>
      <c r="C885" s="36" t="n"/>
      <c r="D885" s="38" t="n"/>
      <c r="E885" s="44" t="n"/>
      <c r="F885" s="32" t="n"/>
      <c r="G885" s="32" t="n"/>
      <c r="H885" s="39">
        <f>IF(C885="","",IFERROR(INDEX('Animais'!$M$6:$M$1005,MATCH(C885,'Animais'!$A$6:$A$1005,0)),"Brinco não cadastrado"))</f>
        <v/>
      </c>
      <c r="I885" s="34">
        <f>IF(A885="","",YEAR(A885))</f>
        <v/>
      </c>
      <c r="J885" s="45">
        <f>IF(OR(N(D885)=0,N(E885)=0),"",IFERROR(E885/D885,""))</f>
        <v/>
      </c>
    </row>
    <row r="886">
      <c r="A886" s="31" t="n"/>
      <c r="B886" s="37" t="n"/>
      <c r="C886" s="36" t="n"/>
      <c r="D886" s="38" t="n"/>
      <c r="E886" s="44" t="n"/>
      <c r="F886" s="32" t="n"/>
      <c r="G886" s="32" t="n"/>
      <c r="H886" s="39">
        <f>IF(C886="","",IFERROR(INDEX('Animais'!$M$6:$M$1005,MATCH(C886,'Animais'!$A$6:$A$1005,0)),"Brinco não cadastrado"))</f>
        <v/>
      </c>
      <c r="I886" s="34">
        <f>IF(A886="","",YEAR(A886))</f>
        <v/>
      </c>
      <c r="J886" s="45">
        <f>IF(OR(N(D886)=0,N(E886)=0),"",IFERROR(E886/D886,""))</f>
        <v/>
      </c>
    </row>
    <row r="887">
      <c r="A887" s="31" t="n"/>
      <c r="B887" s="37" t="n"/>
      <c r="C887" s="36" t="n"/>
      <c r="D887" s="38" t="n"/>
      <c r="E887" s="44" t="n"/>
      <c r="F887" s="32" t="n"/>
      <c r="G887" s="32" t="n"/>
      <c r="H887" s="39">
        <f>IF(C887="","",IFERROR(INDEX('Animais'!$M$6:$M$1005,MATCH(C887,'Animais'!$A$6:$A$1005,0)),"Brinco não cadastrado"))</f>
        <v/>
      </c>
      <c r="I887" s="34">
        <f>IF(A887="","",YEAR(A887))</f>
        <v/>
      </c>
      <c r="J887" s="45">
        <f>IF(OR(N(D887)=0,N(E887)=0),"",IFERROR(E887/D887,""))</f>
        <v/>
      </c>
    </row>
    <row r="888">
      <c r="A888" s="31" t="n"/>
      <c r="B888" s="37" t="n"/>
      <c r="C888" s="36" t="n"/>
      <c r="D888" s="38" t="n"/>
      <c r="E888" s="44" t="n"/>
      <c r="F888" s="32" t="n"/>
      <c r="G888" s="32" t="n"/>
      <c r="H888" s="39">
        <f>IF(C888="","",IFERROR(INDEX('Animais'!$M$6:$M$1005,MATCH(C888,'Animais'!$A$6:$A$1005,0)),"Brinco não cadastrado"))</f>
        <v/>
      </c>
      <c r="I888" s="34">
        <f>IF(A888="","",YEAR(A888))</f>
        <v/>
      </c>
      <c r="J888" s="45">
        <f>IF(OR(N(D888)=0,N(E888)=0),"",IFERROR(E888/D888,""))</f>
        <v/>
      </c>
    </row>
    <row r="889">
      <c r="A889" s="31" t="n"/>
      <c r="B889" s="37" t="n"/>
      <c r="C889" s="36" t="n"/>
      <c r="D889" s="38" t="n"/>
      <c r="E889" s="44" t="n"/>
      <c r="F889" s="32" t="n"/>
      <c r="G889" s="32" t="n"/>
      <c r="H889" s="39">
        <f>IF(C889="","",IFERROR(INDEX('Animais'!$M$6:$M$1005,MATCH(C889,'Animais'!$A$6:$A$1005,0)),"Brinco não cadastrado"))</f>
        <v/>
      </c>
      <c r="I889" s="34">
        <f>IF(A889="","",YEAR(A889))</f>
        <v/>
      </c>
      <c r="J889" s="45">
        <f>IF(OR(N(D889)=0,N(E889)=0),"",IFERROR(E889/D889,""))</f>
        <v/>
      </c>
    </row>
    <row r="890">
      <c r="A890" s="31" t="n"/>
      <c r="B890" s="37" t="n"/>
      <c r="C890" s="36" t="n"/>
      <c r="D890" s="38" t="n"/>
      <c r="E890" s="44" t="n"/>
      <c r="F890" s="32" t="n"/>
      <c r="G890" s="32" t="n"/>
      <c r="H890" s="39">
        <f>IF(C890="","",IFERROR(INDEX('Animais'!$M$6:$M$1005,MATCH(C890,'Animais'!$A$6:$A$1005,0)),"Brinco não cadastrado"))</f>
        <v/>
      </c>
      <c r="I890" s="34">
        <f>IF(A890="","",YEAR(A890))</f>
        <v/>
      </c>
      <c r="J890" s="45">
        <f>IF(OR(N(D890)=0,N(E890)=0),"",IFERROR(E890/D890,""))</f>
        <v/>
      </c>
    </row>
    <row r="891">
      <c r="A891" s="31" t="n"/>
      <c r="B891" s="37" t="n"/>
      <c r="C891" s="36" t="n"/>
      <c r="D891" s="38" t="n"/>
      <c r="E891" s="44" t="n"/>
      <c r="F891" s="32" t="n"/>
      <c r="G891" s="32" t="n"/>
      <c r="H891" s="39">
        <f>IF(C891="","",IFERROR(INDEX('Animais'!$M$6:$M$1005,MATCH(C891,'Animais'!$A$6:$A$1005,0)),"Brinco não cadastrado"))</f>
        <v/>
      </c>
      <c r="I891" s="34">
        <f>IF(A891="","",YEAR(A891))</f>
        <v/>
      </c>
      <c r="J891" s="45">
        <f>IF(OR(N(D891)=0,N(E891)=0),"",IFERROR(E891/D891,""))</f>
        <v/>
      </c>
    </row>
    <row r="892">
      <c r="A892" s="31" t="n"/>
      <c r="B892" s="37" t="n"/>
      <c r="C892" s="36" t="n"/>
      <c r="D892" s="38" t="n"/>
      <c r="E892" s="44" t="n"/>
      <c r="F892" s="32" t="n"/>
      <c r="G892" s="32" t="n"/>
      <c r="H892" s="39">
        <f>IF(C892="","",IFERROR(INDEX('Animais'!$M$6:$M$1005,MATCH(C892,'Animais'!$A$6:$A$1005,0)),"Brinco não cadastrado"))</f>
        <v/>
      </c>
      <c r="I892" s="34">
        <f>IF(A892="","",YEAR(A892))</f>
        <v/>
      </c>
      <c r="J892" s="45">
        <f>IF(OR(N(D892)=0,N(E892)=0),"",IFERROR(E892/D892,""))</f>
        <v/>
      </c>
    </row>
    <row r="893">
      <c r="A893" s="31" t="n"/>
      <c r="B893" s="37" t="n"/>
      <c r="C893" s="36" t="n"/>
      <c r="D893" s="38" t="n"/>
      <c r="E893" s="44" t="n"/>
      <c r="F893" s="32" t="n"/>
      <c r="G893" s="32" t="n"/>
      <c r="H893" s="39">
        <f>IF(C893="","",IFERROR(INDEX('Animais'!$M$6:$M$1005,MATCH(C893,'Animais'!$A$6:$A$1005,0)),"Brinco não cadastrado"))</f>
        <v/>
      </c>
      <c r="I893" s="34">
        <f>IF(A893="","",YEAR(A893))</f>
        <v/>
      </c>
      <c r="J893" s="45">
        <f>IF(OR(N(D893)=0,N(E893)=0),"",IFERROR(E893/D893,""))</f>
        <v/>
      </c>
    </row>
    <row r="894">
      <c r="A894" s="31" t="n"/>
      <c r="B894" s="37" t="n"/>
      <c r="C894" s="36" t="n"/>
      <c r="D894" s="38" t="n"/>
      <c r="E894" s="44" t="n"/>
      <c r="F894" s="32" t="n"/>
      <c r="G894" s="32" t="n"/>
      <c r="H894" s="39">
        <f>IF(C894="","",IFERROR(INDEX('Animais'!$M$6:$M$1005,MATCH(C894,'Animais'!$A$6:$A$1005,0)),"Brinco não cadastrado"))</f>
        <v/>
      </c>
      <c r="I894" s="34">
        <f>IF(A894="","",YEAR(A894))</f>
        <v/>
      </c>
      <c r="J894" s="45">
        <f>IF(OR(N(D894)=0,N(E894)=0),"",IFERROR(E894/D894,""))</f>
        <v/>
      </c>
    </row>
    <row r="895">
      <c r="A895" s="31" t="n"/>
      <c r="B895" s="37" t="n"/>
      <c r="C895" s="36" t="n"/>
      <c r="D895" s="38" t="n"/>
      <c r="E895" s="44" t="n"/>
      <c r="F895" s="32" t="n"/>
      <c r="G895" s="32" t="n"/>
      <c r="H895" s="39">
        <f>IF(C895="","",IFERROR(INDEX('Animais'!$M$6:$M$1005,MATCH(C895,'Animais'!$A$6:$A$1005,0)),"Brinco não cadastrado"))</f>
        <v/>
      </c>
      <c r="I895" s="34">
        <f>IF(A895="","",YEAR(A895))</f>
        <v/>
      </c>
      <c r="J895" s="45">
        <f>IF(OR(N(D895)=0,N(E895)=0),"",IFERROR(E895/D895,""))</f>
        <v/>
      </c>
    </row>
    <row r="896">
      <c r="A896" s="31" t="n"/>
      <c r="B896" s="37" t="n"/>
      <c r="C896" s="36" t="n"/>
      <c r="D896" s="38" t="n"/>
      <c r="E896" s="44" t="n"/>
      <c r="F896" s="32" t="n"/>
      <c r="G896" s="32" t="n"/>
      <c r="H896" s="39">
        <f>IF(C896="","",IFERROR(INDEX('Animais'!$M$6:$M$1005,MATCH(C896,'Animais'!$A$6:$A$1005,0)),"Brinco não cadastrado"))</f>
        <v/>
      </c>
      <c r="I896" s="34">
        <f>IF(A896="","",YEAR(A896))</f>
        <v/>
      </c>
      <c r="J896" s="45">
        <f>IF(OR(N(D896)=0,N(E896)=0),"",IFERROR(E896/D896,""))</f>
        <v/>
      </c>
    </row>
    <row r="897">
      <c r="A897" s="31" t="n"/>
      <c r="B897" s="37" t="n"/>
      <c r="C897" s="36" t="n"/>
      <c r="D897" s="38" t="n"/>
      <c r="E897" s="44" t="n"/>
      <c r="F897" s="32" t="n"/>
      <c r="G897" s="32" t="n"/>
      <c r="H897" s="39">
        <f>IF(C897="","",IFERROR(INDEX('Animais'!$M$6:$M$1005,MATCH(C897,'Animais'!$A$6:$A$1005,0)),"Brinco não cadastrado"))</f>
        <v/>
      </c>
      <c r="I897" s="34">
        <f>IF(A897="","",YEAR(A897))</f>
        <v/>
      </c>
      <c r="J897" s="45">
        <f>IF(OR(N(D897)=0,N(E897)=0),"",IFERROR(E897/D897,""))</f>
        <v/>
      </c>
    </row>
    <row r="898">
      <c r="A898" s="31" t="n"/>
      <c r="B898" s="37" t="n"/>
      <c r="C898" s="36" t="n"/>
      <c r="D898" s="38" t="n"/>
      <c r="E898" s="44" t="n"/>
      <c r="F898" s="32" t="n"/>
      <c r="G898" s="32" t="n"/>
      <c r="H898" s="39">
        <f>IF(C898="","",IFERROR(INDEX('Animais'!$M$6:$M$1005,MATCH(C898,'Animais'!$A$6:$A$1005,0)),"Brinco não cadastrado"))</f>
        <v/>
      </c>
      <c r="I898" s="34">
        <f>IF(A898="","",YEAR(A898))</f>
        <v/>
      </c>
      <c r="J898" s="45">
        <f>IF(OR(N(D898)=0,N(E898)=0),"",IFERROR(E898/D898,""))</f>
        <v/>
      </c>
    </row>
    <row r="899">
      <c r="A899" s="31" t="n"/>
      <c r="B899" s="37" t="n"/>
      <c r="C899" s="36" t="n"/>
      <c r="D899" s="38" t="n"/>
      <c r="E899" s="44" t="n"/>
      <c r="F899" s="32" t="n"/>
      <c r="G899" s="32" t="n"/>
      <c r="H899" s="39">
        <f>IF(C899="","",IFERROR(INDEX('Animais'!$M$6:$M$1005,MATCH(C899,'Animais'!$A$6:$A$1005,0)),"Brinco não cadastrado"))</f>
        <v/>
      </c>
      <c r="I899" s="34">
        <f>IF(A899="","",YEAR(A899))</f>
        <v/>
      </c>
      <c r="J899" s="45">
        <f>IF(OR(N(D899)=0,N(E899)=0),"",IFERROR(E899/D899,""))</f>
        <v/>
      </c>
    </row>
    <row r="900">
      <c r="A900" s="31" t="n"/>
      <c r="B900" s="37" t="n"/>
      <c r="C900" s="36" t="n"/>
      <c r="D900" s="38" t="n"/>
      <c r="E900" s="44" t="n"/>
      <c r="F900" s="32" t="n"/>
      <c r="G900" s="32" t="n"/>
      <c r="H900" s="39">
        <f>IF(C900="","",IFERROR(INDEX('Animais'!$M$6:$M$1005,MATCH(C900,'Animais'!$A$6:$A$1005,0)),"Brinco não cadastrado"))</f>
        <v/>
      </c>
      <c r="I900" s="34">
        <f>IF(A900="","",YEAR(A900))</f>
        <v/>
      </c>
      <c r="J900" s="45">
        <f>IF(OR(N(D900)=0,N(E900)=0),"",IFERROR(E900/D900,""))</f>
        <v/>
      </c>
    </row>
    <row r="901">
      <c r="A901" s="31" t="n"/>
      <c r="B901" s="37" t="n"/>
      <c r="C901" s="36" t="n"/>
      <c r="D901" s="38" t="n"/>
      <c r="E901" s="44" t="n"/>
      <c r="F901" s="32" t="n"/>
      <c r="G901" s="32" t="n"/>
      <c r="H901" s="39">
        <f>IF(C901="","",IFERROR(INDEX('Animais'!$M$6:$M$1005,MATCH(C901,'Animais'!$A$6:$A$1005,0)),"Brinco não cadastrado"))</f>
        <v/>
      </c>
      <c r="I901" s="34">
        <f>IF(A901="","",YEAR(A901))</f>
        <v/>
      </c>
      <c r="J901" s="45">
        <f>IF(OR(N(D901)=0,N(E901)=0),"",IFERROR(E901/D901,""))</f>
        <v/>
      </c>
    </row>
    <row r="902">
      <c r="A902" s="31" t="n"/>
      <c r="B902" s="37" t="n"/>
      <c r="C902" s="36" t="n"/>
      <c r="D902" s="38" t="n"/>
      <c r="E902" s="44" t="n"/>
      <c r="F902" s="32" t="n"/>
      <c r="G902" s="32" t="n"/>
      <c r="H902" s="39">
        <f>IF(C902="","",IFERROR(INDEX('Animais'!$M$6:$M$1005,MATCH(C902,'Animais'!$A$6:$A$1005,0)),"Brinco não cadastrado"))</f>
        <v/>
      </c>
      <c r="I902" s="34">
        <f>IF(A902="","",YEAR(A902))</f>
        <v/>
      </c>
      <c r="J902" s="45">
        <f>IF(OR(N(D902)=0,N(E902)=0),"",IFERROR(E902/D902,""))</f>
        <v/>
      </c>
    </row>
    <row r="903">
      <c r="A903" s="31" t="n"/>
      <c r="B903" s="37" t="n"/>
      <c r="C903" s="36" t="n"/>
      <c r="D903" s="38" t="n"/>
      <c r="E903" s="44" t="n"/>
      <c r="F903" s="32" t="n"/>
      <c r="G903" s="32" t="n"/>
      <c r="H903" s="39">
        <f>IF(C903="","",IFERROR(INDEX('Animais'!$M$6:$M$1005,MATCH(C903,'Animais'!$A$6:$A$1005,0)),"Brinco não cadastrado"))</f>
        <v/>
      </c>
      <c r="I903" s="34">
        <f>IF(A903="","",YEAR(A903))</f>
        <v/>
      </c>
      <c r="J903" s="45">
        <f>IF(OR(N(D903)=0,N(E903)=0),"",IFERROR(E903/D903,""))</f>
        <v/>
      </c>
    </row>
    <row r="904">
      <c r="A904" s="31" t="n"/>
      <c r="B904" s="37" t="n"/>
      <c r="C904" s="36" t="n"/>
      <c r="D904" s="38" t="n"/>
      <c r="E904" s="44" t="n"/>
      <c r="F904" s="32" t="n"/>
      <c r="G904" s="32" t="n"/>
      <c r="H904" s="39">
        <f>IF(C904="","",IFERROR(INDEX('Animais'!$M$6:$M$1005,MATCH(C904,'Animais'!$A$6:$A$1005,0)),"Brinco não cadastrado"))</f>
        <v/>
      </c>
      <c r="I904" s="34">
        <f>IF(A904="","",YEAR(A904))</f>
        <v/>
      </c>
      <c r="J904" s="45">
        <f>IF(OR(N(D904)=0,N(E904)=0),"",IFERROR(E904/D904,""))</f>
        <v/>
      </c>
    </row>
    <row r="905">
      <c r="A905" s="31" t="n"/>
      <c r="B905" s="37" t="n"/>
      <c r="C905" s="36" t="n"/>
      <c r="D905" s="38" t="n"/>
      <c r="E905" s="44" t="n"/>
      <c r="F905" s="32" t="n"/>
      <c r="G905" s="32" t="n"/>
      <c r="H905" s="39">
        <f>IF(C905="","",IFERROR(INDEX('Animais'!$M$6:$M$1005,MATCH(C905,'Animais'!$A$6:$A$1005,0)),"Brinco não cadastrado"))</f>
        <v/>
      </c>
      <c r="I905" s="34">
        <f>IF(A905="","",YEAR(A905))</f>
        <v/>
      </c>
      <c r="J905" s="45">
        <f>IF(OR(N(D905)=0,N(E905)=0),"",IFERROR(E905/D905,""))</f>
        <v/>
      </c>
    </row>
    <row r="906">
      <c r="A906" s="31" t="n"/>
      <c r="B906" s="37" t="n"/>
      <c r="C906" s="36" t="n"/>
      <c r="D906" s="38" t="n"/>
      <c r="E906" s="44" t="n"/>
      <c r="F906" s="32" t="n"/>
      <c r="G906" s="32" t="n"/>
      <c r="H906" s="39">
        <f>IF(C906="","",IFERROR(INDEX('Animais'!$M$6:$M$1005,MATCH(C906,'Animais'!$A$6:$A$1005,0)),"Brinco não cadastrado"))</f>
        <v/>
      </c>
      <c r="I906" s="34">
        <f>IF(A906="","",YEAR(A906))</f>
        <v/>
      </c>
      <c r="J906" s="45">
        <f>IF(OR(N(D906)=0,N(E906)=0),"",IFERROR(E906/D906,""))</f>
        <v/>
      </c>
    </row>
    <row r="907">
      <c r="A907" s="31" t="n"/>
      <c r="B907" s="37" t="n"/>
      <c r="C907" s="36" t="n"/>
      <c r="D907" s="38" t="n"/>
      <c r="E907" s="44" t="n"/>
      <c r="F907" s="32" t="n"/>
      <c r="G907" s="32" t="n"/>
      <c r="H907" s="39">
        <f>IF(C907="","",IFERROR(INDEX('Animais'!$M$6:$M$1005,MATCH(C907,'Animais'!$A$6:$A$1005,0)),"Brinco não cadastrado"))</f>
        <v/>
      </c>
      <c r="I907" s="34">
        <f>IF(A907="","",YEAR(A907))</f>
        <v/>
      </c>
      <c r="J907" s="45">
        <f>IF(OR(N(D907)=0,N(E907)=0),"",IFERROR(E907/D907,""))</f>
        <v/>
      </c>
    </row>
    <row r="908">
      <c r="A908" s="31" t="n"/>
      <c r="B908" s="37" t="n"/>
      <c r="C908" s="36" t="n"/>
      <c r="D908" s="38" t="n"/>
      <c r="E908" s="44" t="n"/>
      <c r="F908" s="32" t="n"/>
      <c r="G908" s="32" t="n"/>
      <c r="H908" s="39">
        <f>IF(C908="","",IFERROR(INDEX('Animais'!$M$6:$M$1005,MATCH(C908,'Animais'!$A$6:$A$1005,0)),"Brinco não cadastrado"))</f>
        <v/>
      </c>
      <c r="I908" s="34">
        <f>IF(A908="","",YEAR(A908))</f>
        <v/>
      </c>
      <c r="J908" s="45">
        <f>IF(OR(N(D908)=0,N(E908)=0),"",IFERROR(E908/D908,""))</f>
        <v/>
      </c>
    </row>
    <row r="909">
      <c r="A909" s="31" t="n"/>
      <c r="B909" s="37" t="n"/>
      <c r="C909" s="36" t="n"/>
      <c r="D909" s="38" t="n"/>
      <c r="E909" s="44" t="n"/>
      <c r="F909" s="32" t="n"/>
      <c r="G909" s="32" t="n"/>
      <c r="H909" s="39">
        <f>IF(C909="","",IFERROR(INDEX('Animais'!$M$6:$M$1005,MATCH(C909,'Animais'!$A$6:$A$1005,0)),"Brinco não cadastrado"))</f>
        <v/>
      </c>
      <c r="I909" s="34">
        <f>IF(A909="","",YEAR(A909))</f>
        <v/>
      </c>
      <c r="J909" s="45">
        <f>IF(OR(N(D909)=0,N(E909)=0),"",IFERROR(E909/D909,""))</f>
        <v/>
      </c>
    </row>
    <row r="910">
      <c r="A910" s="31" t="n"/>
      <c r="B910" s="37" t="n"/>
      <c r="C910" s="36" t="n"/>
      <c r="D910" s="38" t="n"/>
      <c r="E910" s="44" t="n"/>
      <c r="F910" s="32" t="n"/>
      <c r="G910" s="32" t="n"/>
      <c r="H910" s="39">
        <f>IF(C910="","",IFERROR(INDEX('Animais'!$M$6:$M$1005,MATCH(C910,'Animais'!$A$6:$A$1005,0)),"Brinco não cadastrado"))</f>
        <v/>
      </c>
      <c r="I910" s="34">
        <f>IF(A910="","",YEAR(A910))</f>
        <v/>
      </c>
      <c r="J910" s="45">
        <f>IF(OR(N(D910)=0,N(E910)=0),"",IFERROR(E910/D910,""))</f>
        <v/>
      </c>
    </row>
    <row r="911">
      <c r="A911" s="31" t="n"/>
      <c r="B911" s="37" t="n"/>
      <c r="C911" s="36" t="n"/>
      <c r="D911" s="38" t="n"/>
      <c r="E911" s="44" t="n"/>
      <c r="F911" s="32" t="n"/>
      <c r="G911" s="32" t="n"/>
      <c r="H911" s="39">
        <f>IF(C911="","",IFERROR(INDEX('Animais'!$M$6:$M$1005,MATCH(C911,'Animais'!$A$6:$A$1005,0)),"Brinco não cadastrado"))</f>
        <v/>
      </c>
      <c r="I911" s="34">
        <f>IF(A911="","",YEAR(A911))</f>
        <v/>
      </c>
      <c r="J911" s="45">
        <f>IF(OR(N(D911)=0,N(E911)=0),"",IFERROR(E911/D911,""))</f>
        <v/>
      </c>
    </row>
    <row r="912">
      <c r="A912" s="31" t="n"/>
      <c r="B912" s="37" t="n"/>
      <c r="C912" s="36" t="n"/>
      <c r="D912" s="38" t="n"/>
      <c r="E912" s="44" t="n"/>
      <c r="F912" s="32" t="n"/>
      <c r="G912" s="32" t="n"/>
      <c r="H912" s="39">
        <f>IF(C912="","",IFERROR(INDEX('Animais'!$M$6:$M$1005,MATCH(C912,'Animais'!$A$6:$A$1005,0)),"Brinco não cadastrado"))</f>
        <v/>
      </c>
      <c r="I912" s="34">
        <f>IF(A912="","",YEAR(A912))</f>
        <v/>
      </c>
      <c r="J912" s="45">
        <f>IF(OR(N(D912)=0,N(E912)=0),"",IFERROR(E912/D912,""))</f>
        <v/>
      </c>
    </row>
    <row r="913">
      <c r="A913" s="31" t="n"/>
      <c r="B913" s="37" t="n"/>
      <c r="C913" s="36" t="n"/>
      <c r="D913" s="38" t="n"/>
      <c r="E913" s="44" t="n"/>
      <c r="F913" s="32" t="n"/>
      <c r="G913" s="32" t="n"/>
      <c r="H913" s="39">
        <f>IF(C913="","",IFERROR(INDEX('Animais'!$M$6:$M$1005,MATCH(C913,'Animais'!$A$6:$A$1005,0)),"Brinco não cadastrado"))</f>
        <v/>
      </c>
      <c r="I913" s="34">
        <f>IF(A913="","",YEAR(A913))</f>
        <v/>
      </c>
      <c r="J913" s="45">
        <f>IF(OR(N(D913)=0,N(E913)=0),"",IFERROR(E913/D913,""))</f>
        <v/>
      </c>
    </row>
    <row r="914">
      <c r="A914" s="31" t="n"/>
      <c r="B914" s="37" t="n"/>
      <c r="C914" s="36" t="n"/>
      <c r="D914" s="38" t="n"/>
      <c r="E914" s="44" t="n"/>
      <c r="F914" s="32" t="n"/>
      <c r="G914" s="32" t="n"/>
      <c r="H914" s="39">
        <f>IF(C914="","",IFERROR(INDEX('Animais'!$M$6:$M$1005,MATCH(C914,'Animais'!$A$6:$A$1005,0)),"Brinco não cadastrado"))</f>
        <v/>
      </c>
      <c r="I914" s="34">
        <f>IF(A914="","",YEAR(A914))</f>
        <v/>
      </c>
      <c r="J914" s="45">
        <f>IF(OR(N(D914)=0,N(E914)=0),"",IFERROR(E914/D914,""))</f>
        <v/>
      </c>
    </row>
    <row r="915">
      <c r="A915" s="31" t="n"/>
      <c r="B915" s="37" t="n"/>
      <c r="C915" s="36" t="n"/>
      <c r="D915" s="38" t="n"/>
      <c r="E915" s="44" t="n"/>
      <c r="F915" s="32" t="n"/>
      <c r="G915" s="32" t="n"/>
      <c r="H915" s="39">
        <f>IF(C915="","",IFERROR(INDEX('Animais'!$M$6:$M$1005,MATCH(C915,'Animais'!$A$6:$A$1005,0)),"Brinco não cadastrado"))</f>
        <v/>
      </c>
      <c r="I915" s="34">
        <f>IF(A915="","",YEAR(A915))</f>
        <v/>
      </c>
      <c r="J915" s="45">
        <f>IF(OR(N(D915)=0,N(E915)=0),"",IFERROR(E915/D915,""))</f>
        <v/>
      </c>
    </row>
    <row r="916">
      <c r="A916" s="31" t="n"/>
      <c r="B916" s="37" t="n"/>
      <c r="C916" s="36" t="n"/>
      <c r="D916" s="38" t="n"/>
      <c r="E916" s="44" t="n"/>
      <c r="F916" s="32" t="n"/>
      <c r="G916" s="32" t="n"/>
      <c r="H916" s="39">
        <f>IF(C916="","",IFERROR(INDEX('Animais'!$M$6:$M$1005,MATCH(C916,'Animais'!$A$6:$A$1005,0)),"Brinco não cadastrado"))</f>
        <v/>
      </c>
      <c r="I916" s="34">
        <f>IF(A916="","",YEAR(A916))</f>
        <v/>
      </c>
      <c r="J916" s="45">
        <f>IF(OR(N(D916)=0,N(E916)=0),"",IFERROR(E916/D916,""))</f>
        <v/>
      </c>
    </row>
    <row r="917">
      <c r="A917" s="31" t="n"/>
      <c r="B917" s="37" t="n"/>
      <c r="C917" s="36" t="n"/>
      <c r="D917" s="38" t="n"/>
      <c r="E917" s="44" t="n"/>
      <c r="F917" s="32" t="n"/>
      <c r="G917" s="32" t="n"/>
      <c r="H917" s="39">
        <f>IF(C917="","",IFERROR(INDEX('Animais'!$M$6:$M$1005,MATCH(C917,'Animais'!$A$6:$A$1005,0)),"Brinco não cadastrado"))</f>
        <v/>
      </c>
      <c r="I917" s="34">
        <f>IF(A917="","",YEAR(A917))</f>
        <v/>
      </c>
      <c r="J917" s="45">
        <f>IF(OR(N(D917)=0,N(E917)=0),"",IFERROR(E917/D917,""))</f>
        <v/>
      </c>
    </row>
    <row r="918">
      <c r="A918" s="31" t="n"/>
      <c r="B918" s="37" t="n"/>
      <c r="C918" s="36" t="n"/>
      <c r="D918" s="38" t="n"/>
      <c r="E918" s="44" t="n"/>
      <c r="F918" s="32" t="n"/>
      <c r="G918" s="32" t="n"/>
      <c r="H918" s="39">
        <f>IF(C918="","",IFERROR(INDEX('Animais'!$M$6:$M$1005,MATCH(C918,'Animais'!$A$6:$A$1005,0)),"Brinco não cadastrado"))</f>
        <v/>
      </c>
      <c r="I918" s="34">
        <f>IF(A918="","",YEAR(A918))</f>
        <v/>
      </c>
      <c r="J918" s="45">
        <f>IF(OR(N(D918)=0,N(E918)=0),"",IFERROR(E918/D918,""))</f>
        <v/>
      </c>
    </row>
    <row r="919">
      <c r="A919" s="31" t="n"/>
      <c r="B919" s="37" t="n"/>
      <c r="C919" s="36" t="n"/>
      <c r="D919" s="38" t="n"/>
      <c r="E919" s="44" t="n"/>
      <c r="F919" s="32" t="n"/>
      <c r="G919" s="32" t="n"/>
      <c r="H919" s="39">
        <f>IF(C919="","",IFERROR(INDEX('Animais'!$M$6:$M$1005,MATCH(C919,'Animais'!$A$6:$A$1005,0)),"Brinco não cadastrado"))</f>
        <v/>
      </c>
      <c r="I919" s="34">
        <f>IF(A919="","",YEAR(A919))</f>
        <v/>
      </c>
      <c r="J919" s="45">
        <f>IF(OR(N(D919)=0,N(E919)=0),"",IFERROR(E919/D919,""))</f>
        <v/>
      </c>
    </row>
    <row r="920">
      <c r="A920" s="31" t="n"/>
      <c r="B920" s="37" t="n"/>
      <c r="C920" s="36" t="n"/>
      <c r="D920" s="38" t="n"/>
      <c r="E920" s="44" t="n"/>
      <c r="F920" s="32" t="n"/>
      <c r="G920" s="32" t="n"/>
      <c r="H920" s="39">
        <f>IF(C920="","",IFERROR(INDEX('Animais'!$M$6:$M$1005,MATCH(C920,'Animais'!$A$6:$A$1005,0)),"Brinco não cadastrado"))</f>
        <v/>
      </c>
      <c r="I920" s="34">
        <f>IF(A920="","",YEAR(A920))</f>
        <v/>
      </c>
      <c r="J920" s="45">
        <f>IF(OR(N(D920)=0,N(E920)=0),"",IFERROR(E920/D920,""))</f>
        <v/>
      </c>
    </row>
    <row r="921">
      <c r="A921" s="31" t="n"/>
      <c r="B921" s="37" t="n"/>
      <c r="C921" s="36" t="n"/>
      <c r="D921" s="38" t="n"/>
      <c r="E921" s="44" t="n"/>
      <c r="F921" s="32" t="n"/>
      <c r="G921" s="32" t="n"/>
      <c r="H921" s="39">
        <f>IF(C921="","",IFERROR(INDEX('Animais'!$M$6:$M$1005,MATCH(C921,'Animais'!$A$6:$A$1005,0)),"Brinco não cadastrado"))</f>
        <v/>
      </c>
      <c r="I921" s="34">
        <f>IF(A921="","",YEAR(A921))</f>
        <v/>
      </c>
      <c r="J921" s="45">
        <f>IF(OR(N(D921)=0,N(E921)=0),"",IFERROR(E921/D921,""))</f>
        <v/>
      </c>
    </row>
    <row r="922">
      <c r="A922" s="31" t="n"/>
      <c r="B922" s="37" t="n"/>
      <c r="C922" s="36" t="n"/>
      <c r="D922" s="38" t="n"/>
      <c r="E922" s="44" t="n"/>
      <c r="F922" s="32" t="n"/>
      <c r="G922" s="32" t="n"/>
      <c r="H922" s="39">
        <f>IF(C922="","",IFERROR(INDEX('Animais'!$M$6:$M$1005,MATCH(C922,'Animais'!$A$6:$A$1005,0)),"Brinco não cadastrado"))</f>
        <v/>
      </c>
      <c r="I922" s="34">
        <f>IF(A922="","",YEAR(A922))</f>
        <v/>
      </c>
      <c r="J922" s="45">
        <f>IF(OR(N(D922)=0,N(E922)=0),"",IFERROR(E922/D922,""))</f>
        <v/>
      </c>
    </row>
    <row r="923">
      <c r="A923" s="31" t="n"/>
      <c r="B923" s="37" t="n"/>
      <c r="C923" s="36" t="n"/>
      <c r="D923" s="38" t="n"/>
      <c r="E923" s="44" t="n"/>
      <c r="F923" s="32" t="n"/>
      <c r="G923" s="32" t="n"/>
      <c r="H923" s="39">
        <f>IF(C923="","",IFERROR(INDEX('Animais'!$M$6:$M$1005,MATCH(C923,'Animais'!$A$6:$A$1005,0)),"Brinco não cadastrado"))</f>
        <v/>
      </c>
      <c r="I923" s="34">
        <f>IF(A923="","",YEAR(A923))</f>
        <v/>
      </c>
      <c r="J923" s="45">
        <f>IF(OR(N(D923)=0,N(E923)=0),"",IFERROR(E923/D923,""))</f>
        <v/>
      </c>
    </row>
    <row r="924">
      <c r="A924" s="31" t="n"/>
      <c r="B924" s="37" t="n"/>
      <c r="C924" s="36" t="n"/>
      <c r="D924" s="38" t="n"/>
      <c r="E924" s="44" t="n"/>
      <c r="F924" s="32" t="n"/>
      <c r="G924" s="32" t="n"/>
      <c r="H924" s="39">
        <f>IF(C924="","",IFERROR(INDEX('Animais'!$M$6:$M$1005,MATCH(C924,'Animais'!$A$6:$A$1005,0)),"Brinco não cadastrado"))</f>
        <v/>
      </c>
      <c r="I924" s="34">
        <f>IF(A924="","",YEAR(A924))</f>
        <v/>
      </c>
      <c r="J924" s="45">
        <f>IF(OR(N(D924)=0,N(E924)=0),"",IFERROR(E924/D924,""))</f>
        <v/>
      </c>
    </row>
    <row r="925">
      <c r="A925" s="31" t="n"/>
      <c r="B925" s="37" t="n"/>
      <c r="C925" s="36" t="n"/>
      <c r="D925" s="38" t="n"/>
      <c r="E925" s="44" t="n"/>
      <c r="F925" s="32" t="n"/>
      <c r="G925" s="32" t="n"/>
      <c r="H925" s="39">
        <f>IF(C925="","",IFERROR(INDEX('Animais'!$M$6:$M$1005,MATCH(C925,'Animais'!$A$6:$A$1005,0)),"Brinco não cadastrado"))</f>
        <v/>
      </c>
      <c r="I925" s="34">
        <f>IF(A925="","",YEAR(A925))</f>
        <v/>
      </c>
      <c r="J925" s="45">
        <f>IF(OR(N(D925)=0,N(E925)=0),"",IFERROR(E925/D925,""))</f>
        <v/>
      </c>
    </row>
    <row r="926">
      <c r="A926" s="31" t="n"/>
      <c r="B926" s="37" t="n"/>
      <c r="C926" s="36" t="n"/>
      <c r="D926" s="38" t="n"/>
      <c r="E926" s="44" t="n"/>
      <c r="F926" s="32" t="n"/>
      <c r="G926" s="32" t="n"/>
      <c r="H926" s="39">
        <f>IF(C926="","",IFERROR(INDEX('Animais'!$M$6:$M$1005,MATCH(C926,'Animais'!$A$6:$A$1005,0)),"Brinco não cadastrado"))</f>
        <v/>
      </c>
      <c r="I926" s="34">
        <f>IF(A926="","",YEAR(A926))</f>
        <v/>
      </c>
      <c r="J926" s="45">
        <f>IF(OR(N(D926)=0,N(E926)=0),"",IFERROR(E926/D926,""))</f>
        <v/>
      </c>
    </row>
    <row r="927">
      <c r="A927" s="31" t="n"/>
      <c r="B927" s="37" t="n"/>
      <c r="C927" s="36" t="n"/>
      <c r="D927" s="38" t="n"/>
      <c r="E927" s="44" t="n"/>
      <c r="F927" s="32" t="n"/>
      <c r="G927" s="32" t="n"/>
      <c r="H927" s="39">
        <f>IF(C927="","",IFERROR(INDEX('Animais'!$M$6:$M$1005,MATCH(C927,'Animais'!$A$6:$A$1005,0)),"Brinco não cadastrado"))</f>
        <v/>
      </c>
      <c r="I927" s="34">
        <f>IF(A927="","",YEAR(A927))</f>
        <v/>
      </c>
      <c r="J927" s="45">
        <f>IF(OR(N(D927)=0,N(E927)=0),"",IFERROR(E927/D927,""))</f>
        <v/>
      </c>
    </row>
    <row r="928">
      <c r="A928" s="31" t="n"/>
      <c r="B928" s="37" t="n"/>
      <c r="C928" s="36" t="n"/>
      <c r="D928" s="38" t="n"/>
      <c r="E928" s="44" t="n"/>
      <c r="F928" s="32" t="n"/>
      <c r="G928" s="32" t="n"/>
      <c r="H928" s="39">
        <f>IF(C928="","",IFERROR(INDEX('Animais'!$M$6:$M$1005,MATCH(C928,'Animais'!$A$6:$A$1005,0)),"Brinco não cadastrado"))</f>
        <v/>
      </c>
      <c r="I928" s="34">
        <f>IF(A928="","",YEAR(A928))</f>
        <v/>
      </c>
      <c r="J928" s="45">
        <f>IF(OR(N(D928)=0,N(E928)=0),"",IFERROR(E928/D928,""))</f>
        <v/>
      </c>
    </row>
    <row r="929">
      <c r="A929" s="31" t="n"/>
      <c r="B929" s="37" t="n"/>
      <c r="C929" s="36" t="n"/>
      <c r="D929" s="38" t="n"/>
      <c r="E929" s="44" t="n"/>
      <c r="F929" s="32" t="n"/>
      <c r="G929" s="32" t="n"/>
      <c r="H929" s="39">
        <f>IF(C929="","",IFERROR(INDEX('Animais'!$M$6:$M$1005,MATCH(C929,'Animais'!$A$6:$A$1005,0)),"Brinco não cadastrado"))</f>
        <v/>
      </c>
      <c r="I929" s="34">
        <f>IF(A929="","",YEAR(A929))</f>
        <v/>
      </c>
      <c r="J929" s="45">
        <f>IF(OR(N(D929)=0,N(E929)=0),"",IFERROR(E929/D929,""))</f>
        <v/>
      </c>
    </row>
    <row r="930">
      <c r="A930" s="31" t="n"/>
      <c r="B930" s="37" t="n"/>
      <c r="C930" s="36" t="n"/>
      <c r="D930" s="38" t="n"/>
      <c r="E930" s="44" t="n"/>
      <c r="F930" s="32" t="n"/>
      <c r="G930" s="32" t="n"/>
      <c r="H930" s="39">
        <f>IF(C930="","",IFERROR(INDEX('Animais'!$M$6:$M$1005,MATCH(C930,'Animais'!$A$6:$A$1005,0)),"Brinco não cadastrado"))</f>
        <v/>
      </c>
      <c r="I930" s="34">
        <f>IF(A930="","",YEAR(A930))</f>
        <v/>
      </c>
      <c r="J930" s="45">
        <f>IF(OR(N(D930)=0,N(E930)=0),"",IFERROR(E930/D930,""))</f>
        <v/>
      </c>
    </row>
    <row r="931">
      <c r="A931" s="31" t="n"/>
      <c r="B931" s="37" t="n"/>
      <c r="C931" s="36" t="n"/>
      <c r="D931" s="38" t="n"/>
      <c r="E931" s="44" t="n"/>
      <c r="F931" s="32" t="n"/>
      <c r="G931" s="32" t="n"/>
      <c r="H931" s="39">
        <f>IF(C931="","",IFERROR(INDEX('Animais'!$M$6:$M$1005,MATCH(C931,'Animais'!$A$6:$A$1005,0)),"Brinco não cadastrado"))</f>
        <v/>
      </c>
      <c r="I931" s="34">
        <f>IF(A931="","",YEAR(A931))</f>
        <v/>
      </c>
      <c r="J931" s="45">
        <f>IF(OR(N(D931)=0,N(E931)=0),"",IFERROR(E931/D931,""))</f>
        <v/>
      </c>
    </row>
    <row r="932">
      <c r="A932" s="31" t="n"/>
      <c r="B932" s="37" t="n"/>
      <c r="C932" s="36" t="n"/>
      <c r="D932" s="38" t="n"/>
      <c r="E932" s="44" t="n"/>
      <c r="F932" s="32" t="n"/>
      <c r="G932" s="32" t="n"/>
      <c r="H932" s="39">
        <f>IF(C932="","",IFERROR(INDEX('Animais'!$M$6:$M$1005,MATCH(C932,'Animais'!$A$6:$A$1005,0)),"Brinco não cadastrado"))</f>
        <v/>
      </c>
      <c r="I932" s="34">
        <f>IF(A932="","",YEAR(A932))</f>
        <v/>
      </c>
      <c r="J932" s="45">
        <f>IF(OR(N(D932)=0,N(E932)=0),"",IFERROR(E932/D932,""))</f>
        <v/>
      </c>
    </row>
    <row r="933">
      <c r="A933" s="31" t="n"/>
      <c r="B933" s="37" t="n"/>
      <c r="C933" s="36" t="n"/>
      <c r="D933" s="38" t="n"/>
      <c r="E933" s="44" t="n"/>
      <c r="F933" s="32" t="n"/>
      <c r="G933" s="32" t="n"/>
      <c r="H933" s="39">
        <f>IF(C933="","",IFERROR(INDEX('Animais'!$M$6:$M$1005,MATCH(C933,'Animais'!$A$6:$A$1005,0)),"Brinco não cadastrado"))</f>
        <v/>
      </c>
      <c r="I933" s="34">
        <f>IF(A933="","",YEAR(A933))</f>
        <v/>
      </c>
      <c r="J933" s="45">
        <f>IF(OR(N(D933)=0,N(E933)=0),"",IFERROR(E933/D933,""))</f>
        <v/>
      </c>
    </row>
    <row r="934">
      <c r="A934" s="31" t="n"/>
      <c r="B934" s="37" t="n"/>
      <c r="C934" s="36" t="n"/>
      <c r="D934" s="38" t="n"/>
      <c r="E934" s="44" t="n"/>
      <c r="F934" s="32" t="n"/>
      <c r="G934" s="32" t="n"/>
      <c r="H934" s="39">
        <f>IF(C934="","",IFERROR(INDEX('Animais'!$M$6:$M$1005,MATCH(C934,'Animais'!$A$6:$A$1005,0)),"Brinco não cadastrado"))</f>
        <v/>
      </c>
      <c r="I934" s="34">
        <f>IF(A934="","",YEAR(A934))</f>
        <v/>
      </c>
      <c r="J934" s="45">
        <f>IF(OR(N(D934)=0,N(E934)=0),"",IFERROR(E934/D934,""))</f>
        <v/>
      </c>
    </row>
    <row r="935">
      <c r="A935" s="31" t="n"/>
      <c r="B935" s="37" t="n"/>
      <c r="C935" s="36" t="n"/>
      <c r="D935" s="38" t="n"/>
      <c r="E935" s="44" t="n"/>
      <c r="F935" s="32" t="n"/>
      <c r="G935" s="32" t="n"/>
      <c r="H935" s="39">
        <f>IF(C935="","",IFERROR(INDEX('Animais'!$M$6:$M$1005,MATCH(C935,'Animais'!$A$6:$A$1005,0)),"Brinco não cadastrado"))</f>
        <v/>
      </c>
      <c r="I935" s="34">
        <f>IF(A935="","",YEAR(A935))</f>
        <v/>
      </c>
      <c r="J935" s="45">
        <f>IF(OR(N(D935)=0,N(E935)=0),"",IFERROR(E935/D935,""))</f>
        <v/>
      </c>
    </row>
    <row r="936">
      <c r="A936" s="31" t="n"/>
      <c r="B936" s="37" t="n"/>
      <c r="C936" s="36" t="n"/>
      <c r="D936" s="38" t="n"/>
      <c r="E936" s="44" t="n"/>
      <c r="F936" s="32" t="n"/>
      <c r="G936" s="32" t="n"/>
      <c r="H936" s="39">
        <f>IF(C936="","",IFERROR(INDEX('Animais'!$M$6:$M$1005,MATCH(C936,'Animais'!$A$6:$A$1005,0)),"Brinco não cadastrado"))</f>
        <v/>
      </c>
      <c r="I936" s="34">
        <f>IF(A936="","",YEAR(A936))</f>
        <v/>
      </c>
      <c r="J936" s="45">
        <f>IF(OR(N(D936)=0,N(E936)=0),"",IFERROR(E936/D936,""))</f>
        <v/>
      </c>
    </row>
    <row r="937">
      <c r="A937" s="31" t="n"/>
      <c r="B937" s="37" t="n"/>
      <c r="C937" s="36" t="n"/>
      <c r="D937" s="38" t="n"/>
      <c r="E937" s="44" t="n"/>
      <c r="F937" s="32" t="n"/>
      <c r="G937" s="32" t="n"/>
      <c r="H937" s="39">
        <f>IF(C937="","",IFERROR(INDEX('Animais'!$M$6:$M$1005,MATCH(C937,'Animais'!$A$6:$A$1005,0)),"Brinco não cadastrado"))</f>
        <v/>
      </c>
      <c r="I937" s="34">
        <f>IF(A937="","",YEAR(A937))</f>
        <v/>
      </c>
      <c r="J937" s="45">
        <f>IF(OR(N(D937)=0,N(E937)=0),"",IFERROR(E937/D937,""))</f>
        <v/>
      </c>
    </row>
    <row r="938">
      <c r="A938" s="31" t="n"/>
      <c r="B938" s="37" t="n"/>
      <c r="C938" s="36" t="n"/>
      <c r="D938" s="38" t="n"/>
      <c r="E938" s="44" t="n"/>
      <c r="F938" s="32" t="n"/>
      <c r="G938" s="32" t="n"/>
      <c r="H938" s="39">
        <f>IF(C938="","",IFERROR(INDEX('Animais'!$M$6:$M$1005,MATCH(C938,'Animais'!$A$6:$A$1005,0)),"Brinco não cadastrado"))</f>
        <v/>
      </c>
      <c r="I938" s="34">
        <f>IF(A938="","",YEAR(A938))</f>
        <v/>
      </c>
      <c r="J938" s="45">
        <f>IF(OR(N(D938)=0,N(E938)=0),"",IFERROR(E938/D938,""))</f>
        <v/>
      </c>
    </row>
    <row r="939">
      <c r="A939" s="31" t="n"/>
      <c r="B939" s="37" t="n"/>
      <c r="C939" s="36" t="n"/>
      <c r="D939" s="38" t="n"/>
      <c r="E939" s="44" t="n"/>
      <c r="F939" s="32" t="n"/>
      <c r="G939" s="32" t="n"/>
      <c r="H939" s="39">
        <f>IF(C939="","",IFERROR(INDEX('Animais'!$M$6:$M$1005,MATCH(C939,'Animais'!$A$6:$A$1005,0)),"Brinco não cadastrado"))</f>
        <v/>
      </c>
      <c r="I939" s="34">
        <f>IF(A939="","",YEAR(A939))</f>
        <v/>
      </c>
      <c r="J939" s="45">
        <f>IF(OR(N(D939)=0,N(E939)=0),"",IFERROR(E939/D939,""))</f>
        <v/>
      </c>
    </row>
    <row r="940">
      <c r="A940" s="31" t="n"/>
      <c r="B940" s="37" t="n"/>
      <c r="C940" s="36" t="n"/>
      <c r="D940" s="38" t="n"/>
      <c r="E940" s="44" t="n"/>
      <c r="F940" s="32" t="n"/>
      <c r="G940" s="32" t="n"/>
      <c r="H940" s="39">
        <f>IF(C940="","",IFERROR(INDEX('Animais'!$M$6:$M$1005,MATCH(C940,'Animais'!$A$6:$A$1005,0)),"Brinco não cadastrado"))</f>
        <v/>
      </c>
      <c r="I940" s="34">
        <f>IF(A940="","",YEAR(A940))</f>
        <v/>
      </c>
      <c r="J940" s="45">
        <f>IF(OR(N(D940)=0,N(E940)=0),"",IFERROR(E940/D940,""))</f>
        <v/>
      </c>
    </row>
    <row r="941">
      <c r="A941" s="31" t="n"/>
      <c r="B941" s="37" t="n"/>
      <c r="C941" s="36" t="n"/>
      <c r="D941" s="38" t="n"/>
      <c r="E941" s="44" t="n"/>
      <c r="F941" s="32" t="n"/>
      <c r="G941" s="32" t="n"/>
      <c r="H941" s="39">
        <f>IF(C941="","",IFERROR(INDEX('Animais'!$M$6:$M$1005,MATCH(C941,'Animais'!$A$6:$A$1005,0)),"Brinco não cadastrado"))</f>
        <v/>
      </c>
      <c r="I941" s="34">
        <f>IF(A941="","",YEAR(A941))</f>
        <v/>
      </c>
      <c r="J941" s="45">
        <f>IF(OR(N(D941)=0,N(E941)=0),"",IFERROR(E941/D941,""))</f>
        <v/>
      </c>
    </row>
    <row r="942">
      <c r="A942" s="31" t="n"/>
      <c r="B942" s="37" t="n"/>
      <c r="C942" s="36" t="n"/>
      <c r="D942" s="38" t="n"/>
      <c r="E942" s="44" t="n"/>
      <c r="F942" s="32" t="n"/>
      <c r="G942" s="32" t="n"/>
      <c r="H942" s="39">
        <f>IF(C942="","",IFERROR(INDEX('Animais'!$M$6:$M$1005,MATCH(C942,'Animais'!$A$6:$A$1005,0)),"Brinco não cadastrado"))</f>
        <v/>
      </c>
      <c r="I942" s="34">
        <f>IF(A942="","",YEAR(A942))</f>
        <v/>
      </c>
      <c r="J942" s="45">
        <f>IF(OR(N(D942)=0,N(E942)=0),"",IFERROR(E942/D942,""))</f>
        <v/>
      </c>
    </row>
    <row r="943">
      <c r="A943" s="31" t="n"/>
      <c r="B943" s="37" t="n"/>
      <c r="C943" s="36" t="n"/>
      <c r="D943" s="38" t="n"/>
      <c r="E943" s="44" t="n"/>
      <c r="F943" s="32" t="n"/>
      <c r="G943" s="32" t="n"/>
      <c r="H943" s="39">
        <f>IF(C943="","",IFERROR(INDEX('Animais'!$M$6:$M$1005,MATCH(C943,'Animais'!$A$6:$A$1005,0)),"Brinco não cadastrado"))</f>
        <v/>
      </c>
      <c r="I943" s="34">
        <f>IF(A943="","",YEAR(A943))</f>
        <v/>
      </c>
      <c r="J943" s="45">
        <f>IF(OR(N(D943)=0,N(E943)=0),"",IFERROR(E943/D943,""))</f>
        <v/>
      </c>
    </row>
    <row r="944">
      <c r="A944" s="31" t="n"/>
      <c r="B944" s="37" t="n"/>
      <c r="C944" s="36" t="n"/>
      <c r="D944" s="38" t="n"/>
      <c r="E944" s="44" t="n"/>
      <c r="F944" s="32" t="n"/>
      <c r="G944" s="32" t="n"/>
      <c r="H944" s="39">
        <f>IF(C944="","",IFERROR(INDEX('Animais'!$M$6:$M$1005,MATCH(C944,'Animais'!$A$6:$A$1005,0)),"Brinco não cadastrado"))</f>
        <v/>
      </c>
      <c r="I944" s="34">
        <f>IF(A944="","",YEAR(A944))</f>
        <v/>
      </c>
      <c r="J944" s="45">
        <f>IF(OR(N(D944)=0,N(E944)=0),"",IFERROR(E944/D944,""))</f>
        <v/>
      </c>
    </row>
    <row r="945">
      <c r="A945" s="31" t="n"/>
      <c r="B945" s="37" t="n"/>
      <c r="C945" s="36" t="n"/>
      <c r="D945" s="38" t="n"/>
      <c r="E945" s="44" t="n"/>
      <c r="F945" s="32" t="n"/>
      <c r="G945" s="32" t="n"/>
      <c r="H945" s="39">
        <f>IF(C945="","",IFERROR(INDEX('Animais'!$M$6:$M$1005,MATCH(C945,'Animais'!$A$6:$A$1005,0)),"Brinco não cadastrado"))</f>
        <v/>
      </c>
      <c r="I945" s="34">
        <f>IF(A945="","",YEAR(A945))</f>
        <v/>
      </c>
      <c r="J945" s="45">
        <f>IF(OR(N(D945)=0,N(E945)=0),"",IFERROR(E945/D945,""))</f>
        <v/>
      </c>
    </row>
    <row r="946">
      <c r="A946" s="31" t="n"/>
      <c r="B946" s="37" t="n"/>
      <c r="C946" s="36" t="n"/>
      <c r="D946" s="38" t="n"/>
      <c r="E946" s="44" t="n"/>
      <c r="F946" s="32" t="n"/>
      <c r="G946" s="32" t="n"/>
      <c r="H946" s="39">
        <f>IF(C946="","",IFERROR(INDEX('Animais'!$M$6:$M$1005,MATCH(C946,'Animais'!$A$6:$A$1005,0)),"Brinco não cadastrado"))</f>
        <v/>
      </c>
      <c r="I946" s="34">
        <f>IF(A946="","",YEAR(A946))</f>
        <v/>
      </c>
      <c r="J946" s="45">
        <f>IF(OR(N(D946)=0,N(E946)=0),"",IFERROR(E946/D946,""))</f>
        <v/>
      </c>
    </row>
    <row r="947">
      <c r="A947" s="31" t="n"/>
      <c r="B947" s="37" t="n"/>
      <c r="C947" s="36" t="n"/>
      <c r="D947" s="38" t="n"/>
      <c r="E947" s="44" t="n"/>
      <c r="F947" s="32" t="n"/>
      <c r="G947" s="32" t="n"/>
      <c r="H947" s="39">
        <f>IF(C947="","",IFERROR(INDEX('Animais'!$M$6:$M$1005,MATCH(C947,'Animais'!$A$6:$A$1005,0)),"Brinco não cadastrado"))</f>
        <v/>
      </c>
      <c r="I947" s="34">
        <f>IF(A947="","",YEAR(A947))</f>
        <v/>
      </c>
      <c r="J947" s="45">
        <f>IF(OR(N(D947)=0,N(E947)=0),"",IFERROR(E947/D947,""))</f>
        <v/>
      </c>
    </row>
    <row r="948">
      <c r="A948" s="31" t="n"/>
      <c r="B948" s="37" t="n"/>
      <c r="C948" s="36" t="n"/>
      <c r="D948" s="38" t="n"/>
      <c r="E948" s="44" t="n"/>
      <c r="F948" s="32" t="n"/>
      <c r="G948" s="32" t="n"/>
      <c r="H948" s="39">
        <f>IF(C948="","",IFERROR(INDEX('Animais'!$M$6:$M$1005,MATCH(C948,'Animais'!$A$6:$A$1005,0)),"Brinco não cadastrado"))</f>
        <v/>
      </c>
      <c r="I948" s="34">
        <f>IF(A948="","",YEAR(A948))</f>
        <v/>
      </c>
      <c r="J948" s="45">
        <f>IF(OR(N(D948)=0,N(E948)=0),"",IFERROR(E948/D948,""))</f>
        <v/>
      </c>
    </row>
    <row r="949">
      <c r="A949" s="31" t="n"/>
      <c r="B949" s="37" t="n"/>
      <c r="C949" s="36" t="n"/>
      <c r="D949" s="38" t="n"/>
      <c r="E949" s="44" t="n"/>
      <c r="F949" s="32" t="n"/>
      <c r="G949" s="32" t="n"/>
      <c r="H949" s="39">
        <f>IF(C949="","",IFERROR(INDEX('Animais'!$M$6:$M$1005,MATCH(C949,'Animais'!$A$6:$A$1005,0)),"Brinco não cadastrado"))</f>
        <v/>
      </c>
      <c r="I949" s="34">
        <f>IF(A949="","",YEAR(A949))</f>
        <v/>
      </c>
      <c r="J949" s="45">
        <f>IF(OR(N(D949)=0,N(E949)=0),"",IFERROR(E949/D949,""))</f>
        <v/>
      </c>
    </row>
    <row r="950">
      <c r="A950" s="31" t="n"/>
      <c r="B950" s="37" t="n"/>
      <c r="C950" s="36" t="n"/>
      <c r="D950" s="38" t="n"/>
      <c r="E950" s="44" t="n"/>
      <c r="F950" s="32" t="n"/>
      <c r="G950" s="32" t="n"/>
      <c r="H950" s="39">
        <f>IF(C950="","",IFERROR(INDEX('Animais'!$M$6:$M$1005,MATCH(C950,'Animais'!$A$6:$A$1005,0)),"Brinco não cadastrado"))</f>
        <v/>
      </c>
      <c r="I950" s="34">
        <f>IF(A950="","",YEAR(A950))</f>
        <v/>
      </c>
      <c r="J950" s="45">
        <f>IF(OR(N(D950)=0,N(E950)=0),"",IFERROR(E950/D950,""))</f>
        <v/>
      </c>
    </row>
    <row r="951">
      <c r="A951" s="31" t="n"/>
      <c r="B951" s="37" t="n"/>
      <c r="C951" s="36" t="n"/>
      <c r="D951" s="38" t="n"/>
      <c r="E951" s="44" t="n"/>
      <c r="F951" s="32" t="n"/>
      <c r="G951" s="32" t="n"/>
      <c r="H951" s="39">
        <f>IF(C951="","",IFERROR(INDEX('Animais'!$M$6:$M$1005,MATCH(C951,'Animais'!$A$6:$A$1005,0)),"Brinco não cadastrado"))</f>
        <v/>
      </c>
      <c r="I951" s="34">
        <f>IF(A951="","",YEAR(A951))</f>
        <v/>
      </c>
      <c r="J951" s="45">
        <f>IF(OR(N(D951)=0,N(E951)=0),"",IFERROR(E951/D951,""))</f>
        <v/>
      </c>
    </row>
    <row r="952">
      <c r="A952" s="31" t="n"/>
      <c r="B952" s="37" t="n"/>
      <c r="C952" s="36" t="n"/>
      <c r="D952" s="38" t="n"/>
      <c r="E952" s="44" t="n"/>
      <c r="F952" s="32" t="n"/>
      <c r="G952" s="32" t="n"/>
      <c r="H952" s="39">
        <f>IF(C952="","",IFERROR(INDEX('Animais'!$M$6:$M$1005,MATCH(C952,'Animais'!$A$6:$A$1005,0)),"Brinco não cadastrado"))</f>
        <v/>
      </c>
      <c r="I952" s="34">
        <f>IF(A952="","",YEAR(A952))</f>
        <v/>
      </c>
      <c r="J952" s="45">
        <f>IF(OR(N(D952)=0,N(E952)=0),"",IFERROR(E952/D952,""))</f>
        <v/>
      </c>
    </row>
    <row r="953">
      <c r="A953" s="31" t="n"/>
      <c r="B953" s="37" t="n"/>
      <c r="C953" s="36" t="n"/>
      <c r="D953" s="38" t="n"/>
      <c r="E953" s="44" t="n"/>
      <c r="F953" s="32" t="n"/>
      <c r="G953" s="32" t="n"/>
      <c r="H953" s="39">
        <f>IF(C953="","",IFERROR(INDEX('Animais'!$M$6:$M$1005,MATCH(C953,'Animais'!$A$6:$A$1005,0)),"Brinco não cadastrado"))</f>
        <v/>
      </c>
      <c r="I953" s="34">
        <f>IF(A953="","",YEAR(A953))</f>
        <v/>
      </c>
      <c r="J953" s="45">
        <f>IF(OR(N(D953)=0,N(E953)=0),"",IFERROR(E953/D953,""))</f>
        <v/>
      </c>
    </row>
    <row r="954">
      <c r="A954" s="31" t="n"/>
      <c r="B954" s="37" t="n"/>
      <c r="C954" s="36" t="n"/>
      <c r="D954" s="38" t="n"/>
      <c r="E954" s="44" t="n"/>
      <c r="F954" s="32" t="n"/>
      <c r="G954" s="32" t="n"/>
      <c r="H954" s="39">
        <f>IF(C954="","",IFERROR(INDEX('Animais'!$M$6:$M$1005,MATCH(C954,'Animais'!$A$6:$A$1005,0)),"Brinco não cadastrado"))</f>
        <v/>
      </c>
      <c r="I954" s="34">
        <f>IF(A954="","",YEAR(A954))</f>
        <v/>
      </c>
      <c r="J954" s="45">
        <f>IF(OR(N(D954)=0,N(E954)=0),"",IFERROR(E954/D954,""))</f>
        <v/>
      </c>
    </row>
    <row r="955">
      <c r="A955" s="31" t="n"/>
      <c r="B955" s="37" t="n"/>
      <c r="C955" s="36" t="n"/>
      <c r="D955" s="38" t="n"/>
      <c r="E955" s="44" t="n"/>
      <c r="F955" s="32" t="n"/>
      <c r="G955" s="32" t="n"/>
      <c r="H955" s="39">
        <f>IF(C955="","",IFERROR(INDEX('Animais'!$M$6:$M$1005,MATCH(C955,'Animais'!$A$6:$A$1005,0)),"Brinco não cadastrado"))</f>
        <v/>
      </c>
      <c r="I955" s="34">
        <f>IF(A955="","",YEAR(A955))</f>
        <v/>
      </c>
      <c r="J955" s="45">
        <f>IF(OR(N(D955)=0,N(E955)=0),"",IFERROR(E955/D955,""))</f>
        <v/>
      </c>
    </row>
    <row r="956">
      <c r="A956" s="31" t="n"/>
      <c r="B956" s="37" t="n"/>
      <c r="C956" s="36" t="n"/>
      <c r="D956" s="38" t="n"/>
      <c r="E956" s="44" t="n"/>
      <c r="F956" s="32" t="n"/>
      <c r="G956" s="32" t="n"/>
      <c r="H956" s="39">
        <f>IF(C956="","",IFERROR(INDEX('Animais'!$M$6:$M$1005,MATCH(C956,'Animais'!$A$6:$A$1005,0)),"Brinco não cadastrado"))</f>
        <v/>
      </c>
      <c r="I956" s="34">
        <f>IF(A956="","",YEAR(A956))</f>
        <v/>
      </c>
      <c r="J956" s="45">
        <f>IF(OR(N(D956)=0,N(E956)=0),"",IFERROR(E956/D956,""))</f>
        <v/>
      </c>
    </row>
    <row r="957">
      <c r="A957" s="31" t="n"/>
      <c r="B957" s="37" t="n"/>
      <c r="C957" s="36" t="n"/>
      <c r="D957" s="38" t="n"/>
      <c r="E957" s="44" t="n"/>
      <c r="F957" s="32" t="n"/>
      <c r="G957" s="32" t="n"/>
      <c r="H957" s="39">
        <f>IF(C957="","",IFERROR(INDEX('Animais'!$M$6:$M$1005,MATCH(C957,'Animais'!$A$6:$A$1005,0)),"Brinco não cadastrado"))</f>
        <v/>
      </c>
      <c r="I957" s="34">
        <f>IF(A957="","",YEAR(A957))</f>
        <v/>
      </c>
      <c r="J957" s="45">
        <f>IF(OR(N(D957)=0,N(E957)=0),"",IFERROR(E957/D957,""))</f>
        <v/>
      </c>
    </row>
    <row r="958">
      <c r="A958" s="31" t="n"/>
      <c r="B958" s="37" t="n"/>
      <c r="C958" s="36" t="n"/>
      <c r="D958" s="38" t="n"/>
      <c r="E958" s="44" t="n"/>
      <c r="F958" s="32" t="n"/>
      <c r="G958" s="32" t="n"/>
      <c r="H958" s="39">
        <f>IF(C958="","",IFERROR(INDEX('Animais'!$M$6:$M$1005,MATCH(C958,'Animais'!$A$6:$A$1005,0)),"Brinco não cadastrado"))</f>
        <v/>
      </c>
      <c r="I958" s="34">
        <f>IF(A958="","",YEAR(A958))</f>
        <v/>
      </c>
      <c r="J958" s="45">
        <f>IF(OR(N(D958)=0,N(E958)=0),"",IFERROR(E958/D958,""))</f>
        <v/>
      </c>
    </row>
    <row r="959">
      <c r="A959" s="31" t="n"/>
      <c r="B959" s="37" t="n"/>
      <c r="C959" s="36" t="n"/>
      <c r="D959" s="38" t="n"/>
      <c r="E959" s="44" t="n"/>
      <c r="F959" s="32" t="n"/>
      <c r="G959" s="32" t="n"/>
      <c r="H959" s="39">
        <f>IF(C959="","",IFERROR(INDEX('Animais'!$M$6:$M$1005,MATCH(C959,'Animais'!$A$6:$A$1005,0)),"Brinco não cadastrado"))</f>
        <v/>
      </c>
      <c r="I959" s="34">
        <f>IF(A959="","",YEAR(A959))</f>
        <v/>
      </c>
      <c r="J959" s="45">
        <f>IF(OR(N(D959)=0,N(E959)=0),"",IFERROR(E959/D959,""))</f>
        <v/>
      </c>
    </row>
    <row r="960">
      <c r="A960" s="31" t="n"/>
      <c r="B960" s="37" t="n"/>
      <c r="C960" s="36" t="n"/>
      <c r="D960" s="38" t="n"/>
      <c r="E960" s="44" t="n"/>
      <c r="F960" s="32" t="n"/>
      <c r="G960" s="32" t="n"/>
      <c r="H960" s="39">
        <f>IF(C960="","",IFERROR(INDEX('Animais'!$M$6:$M$1005,MATCH(C960,'Animais'!$A$6:$A$1005,0)),"Brinco não cadastrado"))</f>
        <v/>
      </c>
      <c r="I960" s="34">
        <f>IF(A960="","",YEAR(A960))</f>
        <v/>
      </c>
      <c r="J960" s="45">
        <f>IF(OR(N(D960)=0,N(E960)=0),"",IFERROR(E960/D960,""))</f>
        <v/>
      </c>
    </row>
    <row r="961">
      <c r="A961" s="31" t="n"/>
      <c r="B961" s="37" t="n"/>
      <c r="C961" s="36" t="n"/>
      <c r="D961" s="38" t="n"/>
      <c r="E961" s="44" t="n"/>
      <c r="F961" s="32" t="n"/>
      <c r="G961" s="32" t="n"/>
      <c r="H961" s="39">
        <f>IF(C961="","",IFERROR(INDEX('Animais'!$M$6:$M$1005,MATCH(C961,'Animais'!$A$6:$A$1005,0)),"Brinco não cadastrado"))</f>
        <v/>
      </c>
      <c r="I961" s="34">
        <f>IF(A961="","",YEAR(A961))</f>
        <v/>
      </c>
      <c r="J961" s="45">
        <f>IF(OR(N(D961)=0,N(E961)=0),"",IFERROR(E961/D961,""))</f>
        <v/>
      </c>
    </row>
    <row r="962">
      <c r="A962" s="31" t="n"/>
      <c r="B962" s="37" t="n"/>
      <c r="C962" s="36" t="n"/>
      <c r="D962" s="38" t="n"/>
      <c r="E962" s="44" t="n"/>
      <c r="F962" s="32" t="n"/>
      <c r="G962" s="32" t="n"/>
      <c r="H962" s="39">
        <f>IF(C962="","",IFERROR(INDEX('Animais'!$M$6:$M$1005,MATCH(C962,'Animais'!$A$6:$A$1005,0)),"Brinco não cadastrado"))</f>
        <v/>
      </c>
      <c r="I962" s="34">
        <f>IF(A962="","",YEAR(A962))</f>
        <v/>
      </c>
      <c r="J962" s="45">
        <f>IF(OR(N(D962)=0,N(E962)=0),"",IFERROR(E962/D962,""))</f>
        <v/>
      </c>
    </row>
    <row r="963">
      <c r="A963" s="31" t="n"/>
      <c r="B963" s="37" t="n"/>
      <c r="C963" s="36" t="n"/>
      <c r="D963" s="38" t="n"/>
      <c r="E963" s="44" t="n"/>
      <c r="F963" s="32" t="n"/>
      <c r="G963" s="32" t="n"/>
      <c r="H963" s="39">
        <f>IF(C963="","",IFERROR(INDEX('Animais'!$M$6:$M$1005,MATCH(C963,'Animais'!$A$6:$A$1005,0)),"Brinco não cadastrado"))</f>
        <v/>
      </c>
      <c r="I963" s="34">
        <f>IF(A963="","",YEAR(A963))</f>
        <v/>
      </c>
      <c r="J963" s="45">
        <f>IF(OR(N(D963)=0,N(E963)=0),"",IFERROR(E963/D963,""))</f>
        <v/>
      </c>
    </row>
    <row r="964">
      <c r="A964" s="31" t="n"/>
      <c r="B964" s="37" t="n"/>
      <c r="C964" s="36" t="n"/>
      <c r="D964" s="38" t="n"/>
      <c r="E964" s="44" t="n"/>
      <c r="F964" s="32" t="n"/>
      <c r="G964" s="32" t="n"/>
      <c r="H964" s="39">
        <f>IF(C964="","",IFERROR(INDEX('Animais'!$M$6:$M$1005,MATCH(C964,'Animais'!$A$6:$A$1005,0)),"Brinco não cadastrado"))</f>
        <v/>
      </c>
      <c r="I964" s="34">
        <f>IF(A964="","",YEAR(A964))</f>
        <v/>
      </c>
      <c r="J964" s="45">
        <f>IF(OR(N(D964)=0,N(E964)=0),"",IFERROR(E964/D964,""))</f>
        <v/>
      </c>
    </row>
    <row r="965">
      <c r="A965" s="31" t="n"/>
      <c r="B965" s="37" t="n"/>
      <c r="C965" s="36" t="n"/>
      <c r="D965" s="38" t="n"/>
      <c r="E965" s="44" t="n"/>
      <c r="F965" s="32" t="n"/>
      <c r="G965" s="32" t="n"/>
      <c r="H965" s="39">
        <f>IF(C965="","",IFERROR(INDEX('Animais'!$M$6:$M$1005,MATCH(C965,'Animais'!$A$6:$A$1005,0)),"Brinco não cadastrado"))</f>
        <v/>
      </c>
      <c r="I965" s="34">
        <f>IF(A965="","",YEAR(A965))</f>
        <v/>
      </c>
      <c r="J965" s="45">
        <f>IF(OR(N(D965)=0,N(E965)=0),"",IFERROR(E965/D965,""))</f>
        <v/>
      </c>
    </row>
    <row r="966">
      <c r="A966" s="31" t="n"/>
      <c r="B966" s="37" t="n"/>
      <c r="C966" s="36" t="n"/>
      <c r="D966" s="38" t="n"/>
      <c r="E966" s="44" t="n"/>
      <c r="F966" s="32" t="n"/>
      <c r="G966" s="32" t="n"/>
      <c r="H966" s="39">
        <f>IF(C966="","",IFERROR(INDEX('Animais'!$M$6:$M$1005,MATCH(C966,'Animais'!$A$6:$A$1005,0)),"Brinco não cadastrado"))</f>
        <v/>
      </c>
      <c r="I966" s="34">
        <f>IF(A966="","",YEAR(A966))</f>
        <v/>
      </c>
      <c r="J966" s="45">
        <f>IF(OR(N(D966)=0,N(E966)=0),"",IFERROR(E966/D966,""))</f>
        <v/>
      </c>
    </row>
    <row r="967">
      <c r="A967" s="31" t="n"/>
      <c r="B967" s="37" t="n"/>
      <c r="C967" s="36" t="n"/>
      <c r="D967" s="38" t="n"/>
      <c r="E967" s="44" t="n"/>
      <c r="F967" s="32" t="n"/>
      <c r="G967" s="32" t="n"/>
      <c r="H967" s="39">
        <f>IF(C967="","",IFERROR(INDEX('Animais'!$M$6:$M$1005,MATCH(C967,'Animais'!$A$6:$A$1005,0)),"Brinco não cadastrado"))</f>
        <v/>
      </c>
      <c r="I967" s="34">
        <f>IF(A967="","",YEAR(A967))</f>
        <v/>
      </c>
      <c r="J967" s="45">
        <f>IF(OR(N(D967)=0,N(E967)=0),"",IFERROR(E967/D967,""))</f>
        <v/>
      </c>
    </row>
    <row r="968">
      <c r="A968" s="31" t="n"/>
      <c r="B968" s="37" t="n"/>
      <c r="C968" s="36" t="n"/>
      <c r="D968" s="38" t="n"/>
      <c r="E968" s="44" t="n"/>
      <c r="F968" s="32" t="n"/>
      <c r="G968" s="32" t="n"/>
      <c r="H968" s="39">
        <f>IF(C968="","",IFERROR(INDEX('Animais'!$M$6:$M$1005,MATCH(C968,'Animais'!$A$6:$A$1005,0)),"Brinco não cadastrado"))</f>
        <v/>
      </c>
      <c r="I968" s="34">
        <f>IF(A968="","",YEAR(A968))</f>
        <v/>
      </c>
      <c r="J968" s="45">
        <f>IF(OR(N(D968)=0,N(E968)=0),"",IFERROR(E968/D968,""))</f>
        <v/>
      </c>
    </row>
    <row r="969">
      <c r="A969" s="31" t="n"/>
      <c r="B969" s="37" t="n"/>
      <c r="C969" s="36" t="n"/>
      <c r="D969" s="38" t="n"/>
      <c r="E969" s="44" t="n"/>
      <c r="F969" s="32" t="n"/>
      <c r="G969" s="32" t="n"/>
      <c r="H969" s="39">
        <f>IF(C969="","",IFERROR(INDEX('Animais'!$M$6:$M$1005,MATCH(C969,'Animais'!$A$6:$A$1005,0)),"Brinco não cadastrado"))</f>
        <v/>
      </c>
      <c r="I969" s="34">
        <f>IF(A969="","",YEAR(A969))</f>
        <v/>
      </c>
      <c r="J969" s="45">
        <f>IF(OR(N(D969)=0,N(E969)=0),"",IFERROR(E969/D969,""))</f>
        <v/>
      </c>
    </row>
    <row r="970">
      <c r="A970" s="31" t="n"/>
      <c r="B970" s="37" t="n"/>
      <c r="C970" s="36" t="n"/>
      <c r="D970" s="38" t="n"/>
      <c r="E970" s="44" t="n"/>
      <c r="F970" s="32" t="n"/>
      <c r="G970" s="32" t="n"/>
      <c r="H970" s="39">
        <f>IF(C970="","",IFERROR(INDEX('Animais'!$M$6:$M$1005,MATCH(C970,'Animais'!$A$6:$A$1005,0)),"Brinco não cadastrado"))</f>
        <v/>
      </c>
      <c r="I970" s="34">
        <f>IF(A970="","",YEAR(A970))</f>
        <v/>
      </c>
      <c r="J970" s="45">
        <f>IF(OR(N(D970)=0,N(E970)=0),"",IFERROR(E970/D970,""))</f>
        <v/>
      </c>
    </row>
    <row r="971">
      <c r="A971" s="31" t="n"/>
      <c r="B971" s="37" t="n"/>
      <c r="C971" s="36" t="n"/>
      <c r="D971" s="38" t="n"/>
      <c r="E971" s="44" t="n"/>
      <c r="F971" s="32" t="n"/>
      <c r="G971" s="32" t="n"/>
      <c r="H971" s="39">
        <f>IF(C971="","",IFERROR(INDEX('Animais'!$M$6:$M$1005,MATCH(C971,'Animais'!$A$6:$A$1005,0)),"Brinco não cadastrado"))</f>
        <v/>
      </c>
      <c r="I971" s="34">
        <f>IF(A971="","",YEAR(A971))</f>
        <v/>
      </c>
      <c r="J971" s="45">
        <f>IF(OR(N(D971)=0,N(E971)=0),"",IFERROR(E971/D971,""))</f>
        <v/>
      </c>
    </row>
    <row r="972">
      <c r="A972" s="31" t="n"/>
      <c r="B972" s="37" t="n"/>
      <c r="C972" s="36" t="n"/>
      <c r="D972" s="38" t="n"/>
      <c r="E972" s="44" t="n"/>
      <c r="F972" s="32" t="n"/>
      <c r="G972" s="32" t="n"/>
      <c r="H972" s="39">
        <f>IF(C972="","",IFERROR(INDEX('Animais'!$M$6:$M$1005,MATCH(C972,'Animais'!$A$6:$A$1005,0)),"Brinco não cadastrado"))</f>
        <v/>
      </c>
      <c r="I972" s="34">
        <f>IF(A972="","",YEAR(A972))</f>
        <v/>
      </c>
      <c r="J972" s="45">
        <f>IF(OR(N(D972)=0,N(E972)=0),"",IFERROR(E972/D972,""))</f>
        <v/>
      </c>
    </row>
    <row r="973">
      <c r="A973" s="31" t="n"/>
      <c r="B973" s="37" t="n"/>
      <c r="C973" s="36" t="n"/>
      <c r="D973" s="38" t="n"/>
      <c r="E973" s="44" t="n"/>
      <c r="F973" s="32" t="n"/>
      <c r="G973" s="32" t="n"/>
      <c r="H973" s="39">
        <f>IF(C973="","",IFERROR(INDEX('Animais'!$M$6:$M$1005,MATCH(C973,'Animais'!$A$6:$A$1005,0)),"Brinco não cadastrado"))</f>
        <v/>
      </c>
      <c r="I973" s="34">
        <f>IF(A973="","",YEAR(A973))</f>
        <v/>
      </c>
      <c r="J973" s="45">
        <f>IF(OR(N(D973)=0,N(E973)=0),"",IFERROR(E973/D973,""))</f>
        <v/>
      </c>
    </row>
    <row r="974">
      <c r="A974" s="31" t="n"/>
      <c r="B974" s="37" t="n"/>
      <c r="C974" s="36" t="n"/>
      <c r="D974" s="38" t="n"/>
      <c r="E974" s="44" t="n"/>
      <c r="F974" s="32" t="n"/>
      <c r="G974" s="32" t="n"/>
      <c r="H974" s="39">
        <f>IF(C974="","",IFERROR(INDEX('Animais'!$M$6:$M$1005,MATCH(C974,'Animais'!$A$6:$A$1005,0)),"Brinco não cadastrado"))</f>
        <v/>
      </c>
      <c r="I974" s="34">
        <f>IF(A974="","",YEAR(A974))</f>
        <v/>
      </c>
      <c r="J974" s="45">
        <f>IF(OR(N(D974)=0,N(E974)=0),"",IFERROR(E974/D974,""))</f>
        <v/>
      </c>
    </row>
    <row r="975">
      <c r="A975" s="31" t="n"/>
      <c r="B975" s="37" t="n"/>
      <c r="C975" s="36" t="n"/>
      <c r="D975" s="38" t="n"/>
      <c r="E975" s="44" t="n"/>
      <c r="F975" s="32" t="n"/>
      <c r="G975" s="32" t="n"/>
      <c r="H975" s="39">
        <f>IF(C975="","",IFERROR(INDEX('Animais'!$M$6:$M$1005,MATCH(C975,'Animais'!$A$6:$A$1005,0)),"Brinco não cadastrado"))</f>
        <v/>
      </c>
      <c r="I975" s="34">
        <f>IF(A975="","",YEAR(A975))</f>
        <v/>
      </c>
      <c r="J975" s="45">
        <f>IF(OR(N(D975)=0,N(E975)=0),"",IFERROR(E975/D975,""))</f>
        <v/>
      </c>
    </row>
    <row r="976">
      <c r="A976" s="31" t="n"/>
      <c r="B976" s="37" t="n"/>
      <c r="C976" s="36" t="n"/>
      <c r="D976" s="38" t="n"/>
      <c r="E976" s="44" t="n"/>
      <c r="F976" s="32" t="n"/>
      <c r="G976" s="32" t="n"/>
      <c r="H976" s="39">
        <f>IF(C976="","",IFERROR(INDEX('Animais'!$M$6:$M$1005,MATCH(C976,'Animais'!$A$6:$A$1005,0)),"Brinco não cadastrado"))</f>
        <v/>
      </c>
      <c r="I976" s="34">
        <f>IF(A976="","",YEAR(A976))</f>
        <v/>
      </c>
      <c r="J976" s="45">
        <f>IF(OR(N(D976)=0,N(E976)=0),"",IFERROR(E976/D976,""))</f>
        <v/>
      </c>
    </row>
    <row r="977">
      <c r="A977" s="31" t="n"/>
      <c r="B977" s="37" t="n"/>
      <c r="C977" s="36" t="n"/>
      <c r="D977" s="38" t="n"/>
      <c r="E977" s="44" t="n"/>
      <c r="F977" s="32" t="n"/>
      <c r="G977" s="32" t="n"/>
      <c r="H977" s="39">
        <f>IF(C977="","",IFERROR(INDEX('Animais'!$M$6:$M$1005,MATCH(C977,'Animais'!$A$6:$A$1005,0)),"Brinco não cadastrado"))</f>
        <v/>
      </c>
      <c r="I977" s="34">
        <f>IF(A977="","",YEAR(A977))</f>
        <v/>
      </c>
      <c r="J977" s="45">
        <f>IF(OR(N(D977)=0,N(E977)=0),"",IFERROR(E977/D977,""))</f>
        <v/>
      </c>
    </row>
    <row r="978">
      <c r="A978" s="31" t="n"/>
      <c r="B978" s="37" t="n"/>
      <c r="C978" s="36" t="n"/>
      <c r="D978" s="38" t="n"/>
      <c r="E978" s="44" t="n"/>
      <c r="F978" s="32" t="n"/>
      <c r="G978" s="32" t="n"/>
      <c r="H978" s="39">
        <f>IF(C978="","",IFERROR(INDEX('Animais'!$M$6:$M$1005,MATCH(C978,'Animais'!$A$6:$A$1005,0)),"Brinco não cadastrado"))</f>
        <v/>
      </c>
      <c r="I978" s="34">
        <f>IF(A978="","",YEAR(A978))</f>
        <v/>
      </c>
      <c r="J978" s="45">
        <f>IF(OR(N(D978)=0,N(E978)=0),"",IFERROR(E978/D978,""))</f>
        <v/>
      </c>
    </row>
    <row r="979">
      <c r="A979" s="31" t="n"/>
      <c r="B979" s="37" t="n"/>
      <c r="C979" s="36" t="n"/>
      <c r="D979" s="38" t="n"/>
      <c r="E979" s="44" t="n"/>
      <c r="F979" s="32" t="n"/>
      <c r="G979" s="32" t="n"/>
      <c r="H979" s="39">
        <f>IF(C979="","",IFERROR(INDEX('Animais'!$M$6:$M$1005,MATCH(C979,'Animais'!$A$6:$A$1005,0)),"Brinco não cadastrado"))</f>
        <v/>
      </c>
      <c r="I979" s="34">
        <f>IF(A979="","",YEAR(A979))</f>
        <v/>
      </c>
      <c r="J979" s="45">
        <f>IF(OR(N(D979)=0,N(E979)=0),"",IFERROR(E979/D979,""))</f>
        <v/>
      </c>
    </row>
    <row r="980">
      <c r="A980" s="31" t="n"/>
      <c r="B980" s="37" t="n"/>
      <c r="C980" s="36" t="n"/>
      <c r="D980" s="38" t="n"/>
      <c r="E980" s="44" t="n"/>
      <c r="F980" s="32" t="n"/>
      <c r="G980" s="32" t="n"/>
      <c r="H980" s="39">
        <f>IF(C980="","",IFERROR(INDEX('Animais'!$M$6:$M$1005,MATCH(C980,'Animais'!$A$6:$A$1005,0)),"Brinco não cadastrado"))</f>
        <v/>
      </c>
      <c r="I980" s="34">
        <f>IF(A980="","",YEAR(A980))</f>
        <v/>
      </c>
      <c r="J980" s="45">
        <f>IF(OR(N(D980)=0,N(E980)=0),"",IFERROR(E980/D980,""))</f>
        <v/>
      </c>
    </row>
    <row r="981">
      <c r="A981" s="31" t="n"/>
      <c r="B981" s="37" t="n"/>
      <c r="C981" s="36" t="n"/>
      <c r="D981" s="38" t="n"/>
      <c r="E981" s="44" t="n"/>
      <c r="F981" s="32" t="n"/>
      <c r="G981" s="32" t="n"/>
      <c r="H981" s="39">
        <f>IF(C981="","",IFERROR(INDEX('Animais'!$M$6:$M$1005,MATCH(C981,'Animais'!$A$6:$A$1005,0)),"Brinco não cadastrado"))</f>
        <v/>
      </c>
      <c r="I981" s="34">
        <f>IF(A981="","",YEAR(A981))</f>
        <v/>
      </c>
      <c r="J981" s="45">
        <f>IF(OR(N(D981)=0,N(E981)=0),"",IFERROR(E981/D981,""))</f>
        <v/>
      </c>
    </row>
    <row r="982">
      <c r="A982" s="31" t="n"/>
      <c r="B982" s="37" t="n"/>
      <c r="C982" s="36" t="n"/>
      <c r="D982" s="38" t="n"/>
      <c r="E982" s="44" t="n"/>
      <c r="F982" s="32" t="n"/>
      <c r="G982" s="32" t="n"/>
      <c r="H982" s="39">
        <f>IF(C982="","",IFERROR(INDEX('Animais'!$M$6:$M$1005,MATCH(C982,'Animais'!$A$6:$A$1005,0)),"Brinco não cadastrado"))</f>
        <v/>
      </c>
      <c r="I982" s="34">
        <f>IF(A982="","",YEAR(A982))</f>
        <v/>
      </c>
      <c r="J982" s="45">
        <f>IF(OR(N(D982)=0,N(E982)=0),"",IFERROR(E982/D982,""))</f>
        <v/>
      </c>
    </row>
    <row r="983">
      <c r="A983" s="31" t="n"/>
      <c r="B983" s="37" t="n"/>
      <c r="C983" s="36" t="n"/>
      <c r="D983" s="38" t="n"/>
      <c r="E983" s="44" t="n"/>
      <c r="F983" s="32" t="n"/>
      <c r="G983" s="32" t="n"/>
      <c r="H983" s="39">
        <f>IF(C983="","",IFERROR(INDEX('Animais'!$M$6:$M$1005,MATCH(C983,'Animais'!$A$6:$A$1005,0)),"Brinco não cadastrado"))</f>
        <v/>
      </c>
      <c r="I983" s="34">
        <f>IF(A983="","",YEAR(A983))</f>
        <v/>
      </c>
      <c r="J983" s="45">
        <f>IF(OR(N(D983)=0,N(E983)=0),"",IFERROR(E983/D983,""))</f>
        <v/>
      </c>
    </row>
    <row r="984">
      <c r="A984" s="31" t="n"/>
      <c r="B984" s="37" t="n"/>
      <c r="C984" s="36" t="n"/>
      <c r="D984" s="38" t="n"/>
      <c r="E984" s="44" t="n"/>
      <c r="F984" s="32" t="n"/>
      <c r="G984" s="32" t="n"/>
      <c r="H984" s="39">
        <f>IF(C984="","",IFERROR(INDEX('Animais'!$M$6:$M$1005,MATCH(C984,'Animais'!$A$6:$A$1005,0)),"Brinco não cadastrado"))</f>
        <v/>
      </c>
      <c r="I984" s="34">
        <f>IF(A984="","",YEAR(A984))</f>
        <v/>
      </c>
      <c r="J984" s="45">
        <f>IF(OR(N(D984)=0,N(E984)=0),"",IFERROR(E984/D984,""))</f>
        <v/>
      </c>
    </row>
    <row r="985">
      <c r="A985" s="31" t="n"/>
      <c r="B985" s="37" t="n"/>
      <c r="C985" s="36" t="n"/>
      <c r="D985" s="38" t="n"/>
      <c r="E985" s="44" t="n"/>
      <c r="F985" s="32" t="n"/>
      <c r="G985" s="32" t="n"/>
      <c r="H985" s="39">
        <f>IF(C985="","",IFERROR(INDEX('Animais'!$M$6:$M$1005,MATCH(C985,'Animais'!$A$6:$A$1005,0)),"Brinco não cadastrado"))</f>
        <v/>
      </c>
      <c r="I985" s="34">
        <f>IF(A985="","",YEAR(A985))</f>
        <v/>
      </c>
      <c r="J985" s="45">
        <f>IF(OR(N(D985)=0,N(E985)=0),"",IFERROR(E985/D985,""))</f>
        <v/>
      </c>
    </row>
    <row r="986">
      <c r="A986" s="31" t="n"/>
      <c r="B986" s="37" t="n"/>
      <c r="C986" s="36" t="n"/>
      <c r="D986" s="38" t="n"/>
      <c r="E986" s="44" t="n"/>
      <c r="F986" s="32" t="n"/>
      <c r="G986" s="32" t="n"/>
      <c r="H986" s="39">
        <f>IF(C986="","",IFERROR(INDEX('Animais'!$M$6:$M$1005,MATCH(C986,'Animais'!$A$6:$A$1005,0)),"Brinco não cadastrado"))</f>
        <v/>
      </c>
      <c r="I986" s="34">
        <f>IF(A986="","",YEAR(A986))</f>
        <v/>
      </c>
      <c r="J986" s="45">
        <f>IF(OR(N(D986)=0,N(E986)=0),"",IFERROR(E986/D986,""))</f>
        <v/>
      </c>
    </row>
    <row r="987">
      <c r="A987" s="31" t="n"/>
      <c r="B987" s="37" t="n"/>
      <c r="C987" s="36" t="n"/>
      <c r="D987" s="38" t="n"/>
      <c r="E987" s="44" t="n"/>
      <c r="F987" s="32" t="n"/>
      <c r="G987" s="32" t="n"/>
      <c r="H987" s="39">
        <f>IF(C987="","",IFERROR(INDEX('Animais'!$M$6:$M$1005,MATCH(C987,'Animais'!$A$6:$A$1005,0)),"Brinco não cadastrado"))</f>
        <v/>
      </c>
      <c r="I987" s="34">
        <f>IF(A987="","",YEAR(A987))</f>
        <v/>
      </c>
      <c r="J987" s="45">
        <f>IF(OR(N(D987)=0,N(E987)=0),"",IFERROR(E987/D987,""))</f>
        <v/>
      </c>
    </row>
    <row r="988">
      <c r="A988" s="31" t="n"/>
      <c r="B988" s="37" t="n"/>
      <c r="C988" s="36" t="n"/>
      <c r="D988" s="38" t="n"/>
      <c r="E988" s="44" t="n"/>
      <c r="F988" s="32" t="n"/>
      <c r="G988" s="32" t="n"/>
      <c r="H988" s="39">
        <f>IF(C988="","",IFERROR(INDEX('Animais'!$M$6:$M$1005,MATCH(C988,'Animais'!$A$6:$A$1005,0)),"Brinco não cadastrado"))</f>
        <v/>
      </c>
      <c r="I988" s="34">
        <f>IF(A988="","",YEAR(A988))</f>
        <v/>
      </c>
      <c r="J988" s="45">
        <f>IF(OR(N(D988)=0,N(E988)=0),"",IFERROR(E988/D988,""))</f>
        <v/>
      </c>
    </row>
    <row r="989">
      <c r="A989" s="31" t="n"/>
      <c r="B989" s="37" t="n"/>
      <c r="C989" s="36" t="n"/>
      <c r="D989" s="38" t="n"/>
      <c r="E989" s="44" t="n"/>
      <c r="F989" s="32" t="n"/>
      <c r="G989" s="32" t="n"/>
      <c r="H989" s="39">
        <f>IF(C989="","",IFERROR(INDEX('Animais'!$M$6:$M$1005,MATCH(C989,'Animais'!$A$6:$A$1005,0)),"Brinco não cadastrado"))</f>
        <v/>
      </c>
      <c r="I989" s="34">
        <f>IF(A989="","",YEAR(A989))</f>
        <v/>
      </c>
      <c r="J989" s="45">
        <f>IF(OR(N(D989)=0,N(E989)=0),"",IFERROR(E989/D989,""))</f>
        <v/>
      </c>
    </row>
    <row r="990">
      <c r="A990" s="31" t="n"/>
      <c r="B990" s="37" t="n"/>
      <c r="C990" s="36" t="n"/>
      <c r="D990" s="38" t="n"/>
      <c r="E990" s="44" t="n"/>
      <c r="F990" s="32" t="n"/>
      <c r="G990" s="32" t="n"/>
      <c r="H990" s="39">
        <f>IF(C990="","",IFERROR(INDEX('Animais'!$M$6:$M$1005,MATCH(C990,'Animais'!$A$6:$A$1005,0)),"Brinco não cadastrado"))</f>
        <v/>
      </c>
      <c r="I990" s="34">
        <f>IF(A990="","",YEAR(A990))</f>
        <v/>
      </c>
      <c r="J990" s="45">
        <f>IF(OR(N(D990)=0,N(E990)=0),"",IFERROR(E990/D990,""))</f>
        <v/>
      </c>
    </row>
    <row r="991">
      <c r="A991" s="31" t="n"/>
      <c r="B991" s="37" t="n"/>
      <c r="C991" s="36" t="n"/>
      <c r="D991" s="38" t="n"/>
      <c r="E991" s="44" t="n"/>
      <c r="F991" s="32" t="n"/>
      <c r="G991" s="32" t="n"/>
      <c r="H991" s="39">
        <f>IF(C991="","",IFERROR(INDEX('Animais'!$M$6:$M$1005,MATCH(C991,'Animais'!$A$6:$A$1005,0)),"Brinco não cadastrado"))</f>
        <v/>
      </c>
      <c r="I991" s="34">
        <f>IF(A991="","",YEAR(A991))</f>
        <v/>
      </c>
      <c r="J991" s="45">
        <f>IF(OR(N(D991)=0,N(E991)=0),"",IFERROR(E991/D991,""))</f>
        <v/>
      </c>
    </row>
    <row r="992">
      <c r="A992" s="31" t="n"/>
      <c r="B992" s="37" t="n"/>
      <c r="C992" s="36" t="n"/>
      <c r="D992" s="38" t="n"/>
      <c r="E992" s="44" t="n"/>
      <c r="F992" s="32" t="n"/>
      <c r="G992" s="32" t="n"/>
      <c r="H992" s="39">
        <f>IF(C992="","",IFERROR(INDEX('Animais'!$M$6:$M$1005,MATCH(C992,'Animais'!$A$6:$A$1005,0)),"Brinco não cadastrado"))</f>
        <v/>
      </c>
      <c r="I992" s="34">
        <f>IF(A992="","",YEAR(A992))</f>
        <v/>
      </c>
      <c r="J992" s="45">
        <f>IF(OR(N(D992)=0,N(E992)=0),"",IFERROR(E992/D992,""))</f>
        <v/>
      </c>
    </row>
    <row r="993">
      <c r="A993" s="31" t="n"/>
      <c r="B993" s="37" t="n"/>
      <c r="C993" s="36" t="n"/>
      <c r="D993" s="38" t="n"/>
      <c r="E993" s="44" t="n"/>
      <c r="F993" s="32" t="n"/>
      <c r="G993" s="32" t="n"/>
      <c r="H993" s="39">
        <f>IF(C993="","",IFERROR(INDEX('Animais'!$M$6:$M$1005,MATCH(C993,'Animais'!$A$6:$A$1005,0)),"Brinco não cadastrado"))</f>
        <v/>
      </c>
      <c r="I993" s="34">
        <f>IF(A993="","",YEAR(A993))</f>
        <v/>
      </c>
      <c r="J993" s="45">
        <f>IF(OR(N(D993)=0,N(E993)=0),"",IFERROR(E993/D993,""))</f>
        <v/>
      </c>
    </row>
    <row r="994">
      <c r="A994" s="31" t="n"/>
      <c r="B994" s="37" t="n"/>
      <c r="C994" s="36" t="n"/>
      <c r="D994" s="38" t="n"/>
      <c r="E994" s="44" t="n"/>
      <c r="F994" s="32" t="n"/>
      <c r="G994" s="32" t="n"/>
      <c r="H994" s="39">
        <f>IF(C994="","",IFERROR(INDEX('Animais'!$M$6:$M$1005,MATCH(C994,'Animais'!$A$6:$A$1005,0)),"Brinco não cadastrado"))</f>
        <v/>
      </c>
      <c r="I994" s="34">
        <f>IF(A994="","",YEAR(A994))</f>
        <v/>
      </c>
      <c r="J994" s="45">
        <f>IF(OR(N(D994)=0,N(E994)=0),"",IFERROR(E994/D994,""))</f>
        <v/>
      </c>
    </row>
    <row r="995">
      <c r="A995" s="31" t="n"/>
      <c r="B995" s="37" t="n"/>
      <c r="C995" s="36" t="n"/>
      <c r="D995" s="38" t="n"/>
      <c r="E995" s="44" t="n"/>
      <c r="F995" s="32" t="n"/>
      <c r="G995" s="32" t="n"/>
      <c r="H995" s="39">
        <f>IF(C995="","",IFERROR(INDEX('Animais'!$M$6:$M$1005,MATCH(C995,'Animais'!$A$6:$A$1005,0)),"Brinco não cadastrado"))</f>
        <v/>
      </c>
      <c r="I995" s="34">
        <f>IF(A995="","",YEAR(A995))</f>
        <v/>
      </c>
      <c r="J995" s="45">
        <f>IF(OR(N(D995)=0,N(E995)=0),"",IFERROR(E995/D995,""))</f>
        <v/>
      </c>
    </row>
    <row r="996">
      <c r="A996" s="31" t="n"/>
      <c r="B996" s="37" t="n"/>
      <c r="C996" s="36" t="n"/>
      <c r="D996" s="38" t="n"/>
      <c r="E996" s="44" t="n"/>
      <c r="F996" s="32" t="n"/>
      <c r="G996" s="32" t="n"/>
      <c r="H996" s="39">
        <f>IF(C996="","",IFERROR(INDEX('Animais'!$M$6:$M$1005,MATCH(C996,'Animais'!$A$6:$A$1005,0)),"Brinco não cadastrado"))</f>
        <v/>
      </c>
      <c r="I996" s="34">
        <f>IF(A996="","",YEAR(A996))</f>
        <v/>
      </c>
      <c r="J996" s="45">
        <f>IF(OR(N(D996)=0,N(E996)=0),"",IFERROR(E996/D996,""))</f>
        <v/>
      </c>
    </row>
    <row r="997">
      <c r="A997" s="31" t="n"/>
      <c r="B997" s="37" t="n"/>
      <c r="C997" s="36" t="n"/>
      <c r="D997" s="38" t="n"/>
      <c r="E997" s="44" t="n"/>
      <c r="F997" s="32" t="n"/>
      <c r="G997" s="32" t="n"/>
      <c r="H997" s="39">
        <f>IF(C997="","",IFERROR(INDEX('Animais'!$M$6:$M$1005,MATCH(C997,'Animais'!$A$6:$A$1005,0)),"Brinco não cadastrado"))</f>
        <v/>
      </c>
      <c r="I997" s="34">
        <f>IF(A997="","",YEAR(A997))</f>
        <v/>
      </c>
      <c r="J997" s="45">
        <f>IF(OR(N(D997)=0,N(E997)=0),"",IFERROR(E997/D997,""))</f>
        <v/>
      </c>
    </row>
    <row r="998">
      <c r="A998" s="31" t="n"/>
      <c r="B998" s="37" t="n"/>
      <c r="C998" s="36" t="n"/>
      <c r="D998" s="38" t="n"/>
      <c r="E998" s="44" t="n"/>
      <c r="F998" s="32" t="n"/>
      <c r="G998" s="32" t="n"/>
      <c r="H998" s="39">
        <f>IF(C998="","",IFERROR(INDEX('Animais'!$M$6:$M$1005,MATCH(C998,'Animais'!$A$6:$A$1005,0)),"Brinco não cadastrado"))</f>
        <v/>
      </c>
      <c r="I998" s="34">
        <f>IF(A998="","",YEAR(A998))</f>
        <v/>
      </c>
      <c r="J998" s="45">
        <f>IF(OR(N(D998)=0,N(E998)=0),"",IFERROR(E998/D998,""))</f>
        <v/>
      </c>
    </row>
    <row r="999">
      <c r="A999" s="31" t="n"/>
      <c r="B999" s="37" t="n"/>
      <c r="C999" s="36" t="n"/>
      <c r="D999" s="38" t="n"/>
      <c r="E999" s="44" t="n"/>
      <c r="F999" s="32" t="n"/>
      <c r="G999" s="32" t="n"/>
      <c r="H999" s="39">
        <f>IF(C999="","",IFERROR(INDEX('Animais'!$M$6:$M$1005,MATCH(C999,'Animais'!$A$6:$A$1005,0)),"Brinco não cadastrado"))</f>
        <v/>
      </c>
      <c r="I999" s="34">
        <f>IF(A999="","",YEAR(A999))</f>
        <v/>
      </c>
      <c r="J999" s="45">
        <f>IF(OR(N(D999)=0,N(E999)=0),"",IFERROR(E999/D999,""))</f>
        <v/>
      </c>
    </row>
    <row r="1000">
      <c r="A1000" s="31" t="n"/>
      <c r="B1000" s="37" t="n"/>
      <c r="C1000" s="36" t="n"/>
      <c r="D1000" s="38" t="n"/>
      <c r="E1000" s="44" t="n"/>
      <c r="F1000" s="32" t="n"/>
      <c r="G1000" s="32" t="n"/>
      <c r="H1000" s="39">
        <f>IF(C1000="","",IFERROR(INDEX('Animais'!$M$6:$M$1005,MATCH(C1000,'Animais'!$A$6:$A$1005,0)),"Brinco não cadastrado"))</f>
        <v/>
      </c>
      <c r="I1000" s="34">
        <f>IF(A1000="","",YEAR(A1000))</f>
        <v/>
      </c>
      <c r="J1000" s="45">
        <f>IF(OR(N(D1000)=0,N(E1000)=0),"",IFERROR(E1000/D1000,""))</f>
        <v/>
      </c>
    </row>
    <row r="1001">
      <c r="A1001" s="31" t="n"/>
      <c r="B1001" s="37" t="n"/>
      <c r="C1001" s="36" t="n"/>
      <c r="D1001" s="38" t="n"/>
      <c r="E1001" s="44" t="n"/>
      <c r="F1001" s="32" t="n"/>
      <c r="G1001" s="32" t="n"/>
      <c r="H1001" s="39">
        <f>IF(C1001="","",IFERROR(INDEX('Animais'!$M$6:$M$1005,MATCH(C1001,'Animais'!$A$6:$A$1005,0)),"Brinco não cadastrado"))</f>
        <v/>
      </c>
      <c r="I1001" s="34">
        <f>IF(A1001="","",YEAR(A1001))</f>
        <v/>
      </c>
      <c r="J1001" s="45">
        <f>IF(OR(N(D1001)=0,N(E1001)=0),"",IFERROR(E1001/D1001,""))</f>
        <v/>
      </c>
    </row>
    <row r="1002">
      <c r="A1002" s="31" t="n"/>
      <c r="B1002" s="37" t="n"/>
      <c r="C1002" s="36" t="n"/>
      <c r="D1002" s="38" t="n"/>
      <c r="E1002" s="44" t="n"/>
      <c r="F1002" s="32" t="n"/>
      <c r="G1002" s="32" t="n"/>
      <c r="H1002" s="39">
        <f>IF(C1002="","",IFERROR(INDEX('Animais'!$M$6:$M$1005,MATCH(C1002,'Animais'!$A$6:$A$1005,0)),"Brinco não cadastrado"))</f>
        <v/>
      </c>
      <c r="I1002" s="34">
        <f>IF(A1002="","",YEAR(A1002))</f>
        <v/>
      </c>
      <c r="J1002" s="45">
        <f>IF(OR(N(D1002)=0,N(E1002)=0),"",IFERROR(E1002/D1002,""))</f>
        <v/>
      </c>
    </row>
    <row r="1003">
      <c r="A1003" s="31" t="n"/>
      <c r="B1003" s="37" t="n"/>
      <c r="C1003" s="36" t="n"/>
      <c r="D1003" s="38" t="n"/>
      <c r="E1003" s="44" t="n"/>
      <c r="F1003" s="32" t="n"/>
      <c r="G1003" s="32" t="n"/>
      <c r="H1003" s="39">
        <f>IF(C1003="","",IFERROR(INDEX('Animais'!$M$6:$M$1005,MATCH(C1003,'Animais'!$A$6:$A$1005,0)),"Brinco não cadastrado"))</f>
        <v/>
      </c>
      <c r="I1003" s="34">
        <f>IF(A1003="","",YEAR(A1003))</f>
        <v/>
      </c>
      <c r="J1003" s="45">
        <f>IF(OR(N(D1003)=0,N(E1003)=0),"",IFERROR(E1003/D1003,""))</f>
        <v/>
      </c>
    </row>
    <row r="1004">
      <c r="A1004" s="31" t="n"/>
      <c r="B1004" s="37" t="n"/>
      <c r="C1004" s="36" t="n"/>
      <c r="D1004" s="38" t="n"/>
      <c r="E1004" s="44" t="n"/>
      <c r="F1004" s="32" t="n"/>
      <c r="G1004" s="32" t="n"/>
      <c r="H1004" s="39">
        <f>IF(C1004="","",IFERROR(INDEX('Animais'!$M$6:$M$1005,MATCH(C1004,'Animais'!$A$6:$A$1005,0)),"Brinco não cadastrado"))</f>
        <v/>
      </c>
      <c r="I1004" s="34">
        <f>IF(A1004="","",YEAR(A1004))</f>
        <v/>
      </c>
      <c r="J1004" s="45">
        <f>IF(OR(N(D1004)=0,N(E1004)=0),"",IFERROR(E1004/D1004,""))</f>
        <v/>
      </c>
    </row>
    <row r="1005">
      <c r="A1005" s="31" t="n"/>
      <c r="B1005" s="37" t="n"/>
      <c r="C1005" s="36" t="n"/>
      <c r="D1005" s="38" t="n"/>
      <c r="E1005" s="44" t="n"/>
      <c r="F1005" s="32" t="n"/>
      <c r="G1005" s="32" t="n"/>
      <c r="H1005" s="39">
        <f>IF(C1005="","",IFERROR(INDEX('Animais'!$M$6:$M$1005,MATCH(C1005,'Animais'!$A$6:$A$1005,0)),"Brinco não cadastrado"))</f>
        <v/>
      </c>
      <c r="I1005" s="34">
        <f>IF(A1005="","",YEAR(A1005))</f>
        <v/>
      </c>
      <c r="J1005" s="45">
        <f>IF(OR(N(D1005)=0,N(E1005)=0),"",IFERROR(E1005/D1005,""))</f>
        <v/>
      </c>
    </row>
    <row r="1006">
      <c r="A1006" s="31" t="n"/>
      <c r="B1006" s="37" t="n"/>
      <c r="C1006" s="36" t="n"/>
      <c r="D1006" s="38" t="n"/>
      <c r="E1006" s="44" t="n"/>
      <c r="F1006" s="32" t="n"/>
      <c r="G1006" s="32" t="n"/>
      <c r="H1006" s="39">
        <f>IF(C1006="","",IFERROR(INDEX('Animais'!$M$6:$M$1005,MATCH(C1006,'Animais'!$A$6:$A$1005,0)),"Brinco não cadastrado"))</f>
        <v/>
      </c>
      <c r="I1006" s="34">
        <f>IF(A1006="","",YEAR(A1006))</f>
        <v/>
      </c>
      <c r="J1006" s="45">
        <f>IF(OR(N(D1006)=0,N(E1006)=0),"",IFERROR(E1006/D1006,""))</f>
        <v/>
      </c>
    </row>
    <row r="1007">
      <c r="A1007" s="31" t="n"/>
      <c r="B1007" s="37" t="n"/>
      <c r="C1007" s="36" t="n"/>
      <c r="D1007" s="38" t="n"/>
      <c r="E1007" s="44" t="n"/>
      <c r="F1007" s="32" t="n"/>
      <c r="G1007" s="32" t="n"/>
      <c r="H1007" s="39">
        <f>IF(C1007="","",IFERROR(INDEX('Animais'!$M$6:$M$1005,MATCH(C1007,'Animais'!$A$6:$A$1005,0)),"Brinco não cadastrado"))</f>
        <v/>
      </c>
      <c r="I1007" s="34">
        <f>IF(A1007="","",YEAR(A1007))</f>
        <v/>
      </c>
      <c r="J1007" s="45">
        <f>IF(OR(N(D1007)=0,N(E1007)=0),"",IFERROR(E1007/D1007,""))</f>
        <v/>
      </c>
    </row>
    <row r="1008">
      <c r="A1008" s="31" t="n"/>
      <c r="B1008" s="37" t="n"/>
      <c r="C1008" s="36" t="n"/>
      <c r="D1008" s="38" t="n"/>
      <c r="E1008" s="44" t="n"/>
      <c r="F1008" s="32" t="n"/>
      <c r="G1008" s="32" t="n"/>
      <c r="H1008" s="39">
        <f>IF(C1008="","",IFERROR(INDEX('Animais'!$M$6:$M$1005,MATCH(C1008,'Animais'!$A$6:$A$1005,0)),"Brinco não cadastrado"))</f>
        <v/>
      </c>
      <c r="I1008" s="34">
        <f>IF(A1008="","",YEAR(A1008))</f>
        <v/>
      </c>
      <c r="J1008" s="45">
        <f>IF(OR(N(D1008)=0,N(E1008)=0),"",IFERROR(E1008/D1008,""))</f>
        <v/>
      </c>
    </row>
    <row r="1009">
      <c r="A1009" s="31" t="n"/>
      <c r="B1009" s="37" t="n"/>
      <c r="C1009" s="36" t="n"/>
      <c r="D1009" s="38" t="n"/>
      <c r="E1009" s="44" t="n"/>
      <c r="F1009" s="32" t="n"/>
      <c r="G1009" s="32" t="n"/>
      <c r="H1009" s="39">
        <f>IF(C1009="","",IFERROR(INDEX('Animais'!$M$6:$M$1005,MATCH(C1009,'Animais'!$A$6:$A$1005,0)),"Brinco não cadastrado"))</f>
        <v/>
      </c>
      <c r="I1009" s="34">
        <f>IF(A1009="","",YEAR(A1009))</f>
        <v/>
      </c>
      <c r="J1009" s="45">
        <f>IF(OR(N(D1009)=0,N(E1009)=0),"",IFERROR(E1009/D1009,""))</f>
        <v/>
      </c>
    </row>
    <row r="1010">
      <c r="A1010" s="31" t="n"/>
      <c r="B1010" s="37" t="n"/>
      <c r="C1010" s="36" t="n"/>
      <c r="D1010" s="38" t="n"/>
      <c r="E1010" s="44" t="n"/>
      <c r="F1010" s="32" t="n"/>
      <c r="G1010" s="32" t="n"/>
      <c r="H1010" s="39">
        <f>IF(C1010="","",IFERROR(INDEX('Animais'!$M$6:$M$1005,MATCH(C1010,'Animais'!$A$6:$A$1005,0)),"Brinco não cadastrado"))</f>
        <v/>
      </c>
      <c r="I1010" s="34">
        <f>IF(A1010="","",YEAR(A1010))</f>
        <v/>
      </c>
      <c r="J1010" s="45">
        <f>IF(OR(N(D1010)=0,N(E1010)=0),"",IFERROR(E1010/D1010,""))</f>
        <v/>
      </c>
    </row>
    <row r="1011">
      <c r="A1011" s="31" t="n"/>
      <c r="B1011" s="37" t="n"/>
      <c r="C1011" s="36" t="n"/>
      <c r="D1011" s="38" t="n"/>
      <c r="E1011" s="44" t="n"/>
      <c r="F1011" s="32" t="n"/>
      <c r="G1011" s="32" t="n"/>
      <c r="H1011" s="39">
        <f>IF(C1011="","",IFERROR(INDEX('Animais'!$M$6:$M$1005,MATCH(C1011,'Animais'!$A$6:$A$1005,0)),"Brinco não cadastrado"))</f>
        <v/>
      </c>
      <c r="I1011" s="34">
        <f>IF(A1011="","",YEAR(A1011))</f>
        <v/>
      </c>
      <c r="J1011" s="45">
        <f>IF(OR(N(D1011)=0,N(E1011)=0),"",IFERROR(E1011/D1011,""))</f>
        <v/>
      </c>
    </row>
    <row r="1012">
      <c r="A1012" s="31" t="n"/>
      <c r="B1012" s="37" t="n"/>
      <c r="C1012" s="36" t="n"/>
      <c r="D1012" s="38" t="n"/>
      <c r="E1012" s="44" t="n"/>
      <c r="F1012" s="32" t="n"/>
      <c r="G1012" s="32" t="n"/>
      <c r="H1012" s="39">
        <f>IF(C1012="","",IFERROR(INDEX('Animais'!$M$6:$M$1005,MATCH(C1012,'Animais'!$A$6:$A$1005,0)),"Brinco não cadastrado"))</f>
        <v/>
      </c>
      <c r="I1012" s="34">
        <f>IF(A1012="","",YEAR(A1012))</f>
        <v/>
      </c>
      <c r="J1012" s="45">
        <f>IF(OR(N(D1012)=0,N(E1012)=0),"",IFERROR(E1012/D1012,""))</f>
        <v/>
      </c>
    </row>
    <row r="1013">
      <c r="A1013" s="31" t="n"/>
      <c r="B1013" s="37" t="n"/>
      <c r="C1013" s="36" t="n"/>
      <c r="D1013" s="38" t="n"/>
      <c r="E1013" s="44" t="n"/>
      <c r="F1013" s="32" t="n"/>
      <c r="G1013" s="32" t="n"/>
      <c r="H1013" s="39">
        <f>IF(C1013="","",IFERROR(INDEX('Animais'!$M$6:$M$1005,MATCH(C1013,'Animais'!$A$6:$A$1005,0)),"Brinco não cadastrado"))</f>
        <v/>
      </c>
      <c r="I1013" s="34">
        <f>IF(A1013="","",YEAR(A1013))</f>
        <v/>
      </c>
      <c r="J1013" s="45">
        <f>IF(OR(N(D1013)=0,N(E1013)=0),"",IFERROR(E1013/D1013,""))</f>
        <v/>
      </c>
    </row>
    <row r="1014">
      <c r="A1014" s="31" t="n"/>
      <c r="B1014" s="37" t="n"/>
      <c r="C1014" s="36" t="n"/>
      <c r="D1014" s="38" t="n"/>
      <c r="E1014" s="44" t="n"/>
      <c r="F1014" s="32" t="n"/>
      <c r="G1014" s="32" t="n"/>
      <c r="H1014" s="39">
        <f>IF(C1014="","",IFERROR(INDEX('Animais'!$M$6:$M$1005,MATCH(C1014,'Animais'!$A$6:$A$1005,0)),"Brinco não cadastrado"))</f>
        <v/>
      </c>
      <c r="I1014" s="34">
        <f>IF(A1014="","",YEAR(A1014))</f>
        <v/>
      </c>
      <c r="J1014" s="45">
        <f>IF(OR(N(D1014)=0,N(E1014)=0),"",IFERROR(E1014/D1014,""))</f>
        <v/>
      </c>
    </row>
    <row r="1015">
      <c r="A1015" s="31" t="n"/>
      <c r="B1015" s="37" t="n"/>
      <c r="C1015" s="36" t="n"/>
      <c r="D1015" s="38" t="n"/>
      <c r="E1015" s="44" t="n"/>
      <c r="F1015" s="32" t="n"/>
      <c r="G1015" s="32" t="n"/>
      <c r="H1015" s="39">
        <f>IF(C1015="","",IFERROR(INDEX('Animais'!$M$6:$M$1005,MATCH(C1015,'Animais'!$A$6:$A$1005,0)),"Brinco não cadastrado"))</f>
        <v/>
      </c>
      <c r="I1015" s="34">
        <f>IF(A1015="","",YEAR(A1015))</f>
        <v/>
      </c>
      <c r="J1015" s="45">
        <f>IF(OR(N(D1015)=0,N(E1015)=0),"",IFERROR(E1015/D1015,""))</f>
        <v/>
      </c>
    </row>
    <row r="1016">
      <c r="A1016" s="31" t="n"/>
      <c r="B1016" s="37" t="n"/>
      <c r="C1016" s="36" t="n"/>
      <c r="D1016" s="38" t="n"/>
      <c r="E1016" s="44" t="n"/>
      <c r="F1016" s="32" t="n"/>
      <c r="G1016" s="32" t="n"/>
      <c r="H1016" s="39">
        <f>IF(C1016="","",IFERROR(INDEX('Animais'!$M$6:$M$1005,MATCH(C1016,'Animais'!$A$6:$A$1005,0)),"Brinco não cadastrado"))</f>
        <v/>
      </c>
      <c r="I1016" s="34">
        <f>IF(A1016="","",YEAR(A1016))</f>
        <v/>
      </c>
      <c r="J1016" s="45">
        <f>IF(OR(N(D1016)=0,N(E1016)=0),"",IFERROR(E1016/D1016,""))</f>
        <v/>
      </c>
    </row>
    <row r="1017">
      <c r="A1017" s="31" t="n"/>
      <c r="B1017" s="37" t="n"/>
      <c r="C1017" s="36" t="n"/>
      <c r="D1017" s="38" t="n"/>
      <c r="E1017" s="44" t="n"/>
      <c r="F1017" s="32" t="n"/>
      <c r="G1017" s="32" t="n"/>
      <c r="H1017" s="39">
        <f>IF(C1017="","",IFERROR(INDEX('Animais'!$M$6:$M$1005,MATCH(C1017,'Animais'!$A$6:$A$1005,0)),"Brinco não cadastrado"))</f>
        <v/>
      </c>
      <c r="I1017" s="34">
        <f>IF(A1017="","",YEAR(A1017))</f>
        <v/>
      </c>
      <c r="J1017" s="45">
        <f>IF(OR(N(D1017)=0,N(E1017)=0),"",IFERROR(E1017/D1017,""))</f>
        <v/>
      </c>
    </row>
    <row r="1018">
      <c r="A1018" s="31" t="n"/>
      <c r="B1018" s="37" t="n"/>
      <c r="C1018" s="36" t="n"/>
      <c r="D1018" s="38" t="n"/>
      <c r="E1018" s="44" t="n"/>
      <c r="F1018" s="32" t="n"/>
      <c r="G1018" s="32" t="n"/>
      <c r="H1018" s="39">
        <f>IF(C1018="","",IFERROR(INDEX('Animais'!$M$6:$M$1005,MATCH(C1018,'Animais'!$A$6:$A$1005,0)),"Brinco não cadastrado"))</f>
        <v/>
      </c>
      <c r="I1018" s="34">
        <f>IF(A1018="","",YEAR(A1018))</f>
        <v/>
      </c>
      <c r="J1018" s="45">
        <f>IF(OR(N(D1018)=0,N(E1018)=0),"",IFERROR(E1018/D1018,""))</f>
        <v/>
      </c>
    </row>
    <row r="1019">
      <c r="A1019" s="31" t="n"/>
      <c r="B1019" s="37" t="n"/>
      <c r="C1019" s="36" t="n"/>
      <c r="D1019" s="38" t="n"/>
      <c r="E1019" s="44" t="n"/>
      <c r="F1019" s="32" t="n"/>
      <c r="G1019" s="32" t="n"/>
      <c r="H1019" s="39">
        <f>IF(C1019="","",IFERROR(INDEX('Animais'!$M$6:$M$1005,MATCH(C1019,'Animais'!$A$6:$A$1005,0)),"Brinco não cadastrado"))</f>
        <v/>
      </c>
      <c r="I1019" s="34">
        <f>IF(A1019="","",YEAR(A1019))</f>
        <v/>
      </c>
      <c r="J1019" s="45">
        <f>IF(OR(N(D1019)=0,N(E1019)=0),"",IFERROR(E1019/D1019,""))</f>
        <v/>
      </c>
    </row>
    <row r="1020">
      <c r="A1020" s="31" t="n"/>
      <c r="B1020" s="37" t="n"/>
      <c r="C1020" s="36" t="n"/>
      <c r="D1020" s="38" t="n"/>
      <c r="E1020" s="44" t="n"/>
      <c r="F1020" s="32" t="n"/>
      <c r="G1020" s="32" t="n"/>
      <c r="H1020" s="39">
        <f>IF(C1020="","",IFERROR(INDEX('Animais'!$M$6:$M$1005,MATCH(C1020,'Animais'!$A$6:$A$1005,0)),"Brinco não cadastrado"))</f>
        <v/>
      </c>
      <c r="I1020" s="34">
        <f>IF(A1020="","",YEAR(A1020))</f>
        <v/>
      </c>
      <c r="J1020" s="45">
        <f>IF(OR(N(D1020)=0,N(E1020)=0),"",IFERROR(E1020/D1020,""))</f>
        <v/>
      </c>
    </row>
    <row r="1021">
      <c r="A1021" s="31" t="n"/>
      <c r="B1021" s="37" t="n"/>
      <c r="C1021" s="36" t="n"/>
      <c r="D1021" s="38" t="n"/>
      <c r="E1021" s="44" t="n"/>
      <c r="F1021" s="32" t="n"/>
      <c r="G1021" s="32" t="n"/>
      <c r="H1021" s="39">
        <f>IF(C1021="","",IFERROR(INDEX('Animais'!$M$6:$M$1005,MATCH(C1021,'Animais'!$A$6:$A$1005,0)),"Brinco não cadastrado"))</f>
        <v/>
      </c>
      <c r="I1021" s="34">
        <f>IF(A1021="","",YEAR(A1021))</f>
        <v/>
      </c>
      <c r="J1021" s="45">
        <f>IF(OR(N(D1021)=0,N(E1021)=0),"",IFERROR(E1021/D1021,""))</f>
        <v/>
      </c>
    </row>
    <row r="1022">
      <c r="A1022" s="31" t="n"/>
      <c r="B1022" s="37" t="n"/>
      <c r="C1022" s="36" t="n"/>
      <c r="D1022" s="38" t="n"/>
      <c r="E1022" s="44" t="n"/>
      <c r="F1022" s="32" t="n"/>
      <c r="G1022" s="32" t="n"/>
      <c r="H1022" s="39">
        <f>IF(C1022="","",IFERROR(INDEX('Animais'!$M$6:$M$1005,MATCH(C1022,'Animais'!$A$6:$A$1005,0)),"Brinco não cadastrado"))</f>
        <v/>
      </c>
      <c r="I1022" s="34">
        <f>IF(A1022="","",YEAR(A1022))</f>
        <v/>
      </c>
      <c r="J1022" s="45">
        <f>IF(OR(N(D1022)=0,N(E1022)=0),"",IFERROR(E1022/D1022,""))</f>
        <v/>
      </c>
    </row>
    <row r="1023">
      <c r="A1023" s="31" t="n"/>
      <c r="B1023" s="37" t="n"/>
      <c r="C1023" s="36" t="n"/>
      <c r="D1023" s="38" t="n"/>
      <c r="E1023" s="44" t="n"/>
      <c r="F1023" s="32" t="n"/>
      <c r="G1023" s="32" t="n"/>
      <c r="H1023" s="39">
        <f>IF(C1023="","",IFERROR(INDEX('Animais'!$M$6:$M$1005,MATCH(C1023,'Animais'!$A$6:$A$1005,0)),"Brinco não cadastrado"))</f>
        <v/>
      </c>
      <c r="I1023" s="34">
        <f>IF(A1023="","",YEAR(A1023))</f>
        <v/>
      </c>
      <c r="J1023" s="45">
        <f>IF(OR(N(D1023)=0,N(E1023)=0),"",IFERROR(E1023/D1023,""))</f>
        <v/>
      </c>
    </row>
    <row r="1024">
      <c r="A1024" s="31" t="n"/>
      <c r="B1024" s="37" t="n"/>
      <c r="C1024" s="36" t="n"/>
      <c r="D1024" s="38" t="n"/>
      <c r="E1024" s="44" t="n"/>
      <c r="F1024" s="32" t="n"/>
      <c r="G1024" s="32" t="n"/>
      <c r="H1024" s="39">
        <f>IF(C1024="","",IFERROR(INDEX('Animais'!$M$6:$M$1005,MATCH(C1024,'Animais'!$A$6:$A$1005,0)),"Brinco não cadastrado"))</f>
        <v/>
      </c>
      <c r="I1024" s="34">
        <f>IF(A1024="","",YEAR(A1024))</f>
        <v/>
      </c>
      <c r="J1024" s="45">
        <f>IF(OR(N(D1024)=0,N(E1024)=0),"",IFERROR(E1024/D1024,""))</f>
        <v/>
      </c>
    </row>
    <row r="1025">
      <c r="A1025" s="31" t="n"/>
      <c r="B1025" s="37" t="n"/>
      <c r="C1025" s="36" t="n"/>
      <c r="D1025" s="38" t="n"/>
      <c r="E1025" s="44" t="n"/>
      <c r="F1025" s="32" t="n"/>
      <c r="G1025" s="32" t="n"/>
      <c r="H1025" s="39">
        <f>IF(C1025="","",IFERROR(INDEX('Animais'!$M$6:$M$1005,MATCH(C1025,'Animais'!$A$6:$A$1005,0)),"Brinco não cadastrado"))</f>
        <v/>
      </c>
      <c r="I1025" s="34">
        <f>IF(A1025="","",YEAR(A1025))</f>
        <v/>
      </c>
      <c r="J1025" s="45">
        <f>IF(OR(N(D1025)=0,N(E1025)=0),"",IFERROR(E1025/D1025,""))</f>
        <v/>
      </c>
    </row>
    <row r="1026">
      <c r="A1026" s="31" t="n"/>
      <c r="B1026" s="37" t="n"/>
      <c r="C1026" s="36" t="n"/>
      <c r="D1026" s="38" t="n"/>
      <c r="E1026" s="44" t="n"/>
      <c r="F1026" s="32" t="n"/>
      <c r="G1026" s="32" t="n"/>
      <c r="H1026" s="39">
        <f>IF(C1026="","",IFERROR(INDEX('Animais'!$M$6:$M$1005,MATCH(C1026,'Animais'!$A$6:$A$1005,0)),"Brinco não cadastrado"))</f>
        <v/>
      </c>
      <c r="I1026" s="34">
        <f>IF(A1026="","",YEAR(A1026))</f>
        <v/>
      </c>
      <c r="J1026" s="45">
        <f>IF(OR(N(D1026)=0,N(E1026)=0),"",IFERROR(E1026/D1026,""))</f>
        <v/>
      </c>
    </row>
    <row r="1027">
      <c r="A1027" s="31" t="n"/>
      <c r="B1027" s="37" t="n"/>
      <c r="C1027" s="36" t="n"/>
      <c r="D1027" s="38" t="n"/>
      <c r="E1027" s="44" t="n"/>
      <c r="F1027" s="32" t="n"/>
      <c r="G1027" s="32" t="n"/>
      <c r="H1027" s="39">
        <f>IF(C1027="","",IFERROR(INDEX('Animais'!$M$6:$M$1005,MATCH(C1027,'Animais'!$A$6:$A$1005,0)),"Brinco não cadastrado"))</f>
        <v/>
      </c>
      <c r="I1027" s="34">
        <f>IF(A1027="","",YEAR(A1027))</f>
        <v/>
      </c>
      <c r="J1027" s="45">
        <f>IF(OR(N(D1027)=0,N(E1027)=0),"",IFERROR(E1027/D1027,""))</f>
        <v/>
      </c>
    </row>
    <row r="1028">
      <c r="A1028" s="31" t="n"/>
      <c r="B1028" s="37" t="n"/>
      <c r="C1028" s="36" t="n"/>
      <c r="D1028" s="38" t="n"/>
      <c r="E1028" s="44" t="n"/>
      <c r="F1028" s="32" t="n"/>
      <c r="G1028" s="32" t="n"/>
      <c r="H1028" s="39">
        <f>IF(C1028="","",IFERROR(INDEX('Animais'!$M$6:$M$1005,MATCH(C1028,'Animais'!$A$6:$A$1005,0)),"Brinco não cadastrado"))</f>
        <v/>
      </c>
      <c r="I1028" s="34">
        <f>IF(A1028="","",YEAR(A1028))</f>
        <v/>
      </c>
      <c r="J1028" s="45">
        <f>IF(OR(N(D1028)=0,N(E1028)=0),"",IFERROR(E1028/D1028,""))</f>
        <v/>
      </c>
    </row>
    <row r="1029">
      <c r="A1029" s="31" t="n"/>
      <c r="B1029" s="37" t="n"/>
      <c r="C1029" s="36" t="n"/>
      <c r="D1029" s="38" t="n"/>
      <c r="E1029" s="44" t="n"/>
      <c r="F1029" s="32" t="n"/>
      <c r="G1029" s="32" t="n"/>
      <c r="H1029" s="39">
        <f>IF(C1029="","",IFERROR(INDEX('Animais'!$M$6:$M$1005,MATCH(C1029,'Animais'!$A$6:$A$1005,0)),"Brinco não cadastrado"))</f>
        <v/>
      </c>
      <c r="I1029" s="34">
        <f>IF(A1029="","",YEAR(A1029))</f>
        <v/>
      </c>
      <c r="J1029" s="45">
        <f>IF(OR(N(D1029)=0,N(E1029)=0),"",IFERROR(E1029/D1029,""))</f>
        <v/>
      </c>
    </row>
    <row r="1030">
      <c r="A1030" s="31" t="n"/>
      <c r="B1030" s="37" t="n"/>
      <c r="C1030" s="36" t="n"/>
      <c r="D1030" s="38" t="n"/>
      <c r="E1030" s="44" t="n"/>
      <c r="F1030" s="32" t="n"/>
      <c r="G1030" s="32" t="n"/>
      <c r="H1030" s="39">
        <f>IF(C1030="","",IFERROR(INDEX('Animais'!$M$6:$M$1005,MATCH(C1030,'Animais'!$A$6:$A$1005,0)),"Brinco não cadastrado"))</f>
        <v/>
      </c>
      <c r="I1030" s="34">
        <f>IF(A1030="","",YEAR(A1030))</f>
        <v/>
      </c>
      <c r="J1030" s="45">
        <f>IF(OR(N(D1030)=0,N(E1030)=0),"",IFERROR(E1030/D1030,""))</f>
        <v/>
      </c>
    </row>
    <row r="1031">
      <c r="A1031" s="31" t="n"/>
      <c r="B1031" s="37" t="n"/>
      <c r="C1031" s="36" t="n"/>
      <c r="D1031" s="38" t="n"/>
      <c r="E1031" s="44" t="n"/>
      <c r="F1031" s="32" t="n"/>
      <c r="G1031" s="32" t="n"/>
      <c r="H1031" s="39">
        <f>IF(C1031="","",IFERROR(INDEX('Animais'!$M$6:$M$1005,MATCH(C1031,'Animais'!$A$6:$A$1005,0)),"Brinco não cadastrado"))</f>
        <v/>
      </c>
      <c r="I1031" s="34">
        <f>IF(A1031="","",YEAR(A1031))</f>
        <v/>
      </c>
      <c r="J1031" s="45">
        <f>IF(OR(N(D1031)=0,N(E1031)=0),"",IFERROR(E1031/D1031,""))</f>
        <v/>
      </c>
    </row>
    <row r="1032">
      <c r="A1032" s="31" t="n"/>
      <c r="B1032" s="37" t="n"/>
      <c r="C1032" s="36" t="n"/>
      <c r="D1032" s="38" t="n"/>
      <c r="E1032" s="44" t="n"/>
      <c r="F1032" s="32" t="n"/>
      <c r="G1032" s="32" t="n"/>
      <c r="H1032" s="39">
        <f>IF(C1032="","",IFERROR(INDEX('Animais'!$M$6:$M$1005,MATCH(C1032,'Animais'!$A$6:$A$1005,0)),"Brinco não cadastrado"))</f>
        <v/>
      </c>
      <c r="I1032" s="34">
        <f>IF(A1032="","",YEAR(A1032))</f>
        <v/>
      </c>
      <c r="J1032" s="45">
        <f>IF(OR(N(D1032)=0,N(E1032)=0),"",IFERROR(E1032/D1032,""))</f>
        <v/>
      </c>
    </row>
    <row r="1033">
      <c r="A1033" s="31" t="n"/>
      <c r="B1033" s="37" t="n"/>
      <c r="C1033" s="36" t="n"/>
      <c r="D1033" s="38" t="n"/>
      <c r="E1033" s="44" t="n"/>
      <c r="F1033" s="32" t="n"/>
      <c r="G1033" s="32" t="n"/>
      <c r="H1033" s="39">
        <f>IF(C1033="","",IFERROR(INDEX('Animais'!$M$6:$M$1005,MATCH(C1033,'Animais'!$A$6:$A$1005,0)),"Brinco não cadastrado"))</f>
        <v/>
      </c>
      <c r="I1033" s="34">
        <f>IF(A1033="","",YEAR(A1033))</f>
        <v/>
      </c>
      <c r="J1033" s="45">
        <f>IF(OR(N(D1033)=0,N(E1033)=0),"",IFERROR(E1033/D1033,""))</f>
        <v/>
      </c>
    </row>
    <row r="1034">
      <c r="A1034" s="31" t="n"/>
      <c r="B1034" s="37" t="n"/>
      <c r="C1034" s="36" t="n"/>
      <c r="D1034" s="38" t="n"/>
      <c r="E1034" s="44" t="n"/>
      <c r="F1034" s="32" t="n"/>
      <c r="G1034" s="32" t="n"/>
      <c r="H1034" s="39">
        <f>IF(C1034="","",IFERROR(INDEX('Animais'!$M$6:$M$1005,MATCH(C1034,'Animais'!$A$6:$A$1005,0)),"Brinco não cadastrado"))</f>
        <v/>
      </c>
      <c r="I1034" s="34">
        <f>IF(A1034="","",YEAR(A1034))</f>
        <v/>
      </c>
      <c r="J1034" s="45">
        <f>IF(OR(N(D1034)=0,N(E1034)=0),"",IFERROR(E1034/D1034,""))</f>
        <v/>
      </c>
    </row>
    <row r="1035">
      <c r="A1035" s="31" t="n"/>
      <c r="B1035" s="37" t="n"/>
      <c r="C1035" s="36" t="n"/>
      <c r="D1035" s="38" t="n"/>
      <c r="E1035" s="44" t="n"/>
      <c r="F1035" s="32" t="n"/>
      <c r="G1035" s="32" t="n"/>
      <c r="H1035" s="39">
        <f>IF(C1035="","",IFERROR(INDEX('Animais'!$M$6:$M$1005,MATCH(C1035,'Animais'!$A$6:$A$1005,0)),"Brinco não cadastrado"))</f>
        <v/>
      </c>
      <c r="I1035" s="34">
        <f>IF(A1035="","",YEAR(A1035))</f>
        <v/>
      </c>
      <c r="J1035" s="45">
        <f>IF(OR(N(D1035)=0,N(E1035)=0),"",IFERROR(E1035/D1035,""))</f>
        <v/>
      </c>
    </row>
    <row r="1036">
      <c r="A1036" s="31" t="n"/>
      <c r="B1036" s="37" t="n"/>
      <c r="C1036" s="36" t="n"/>
      <c r="D1036" s="38" t="n"/>
      <c r="E1036" s="44" t="n"/>
      <c r="F1036" s="32" t="n"/>
      <c r="G1036" s="32" t="n"/>
      <c r="H1036" s="39">
        <f>IF(C1036="","",IFERROR(INDEX('Animais'!$M$6:$M$1005,MATCH(C1036,'Animais'!$A$6:$A$1005,0)),"Brinco não cadastrado"))</f>
        <v/>
      </c>
      <c r="I1036" s="34">
        <f>IF(A1036="","",YEAR(A1036))</f>
        <v/>
      </c>
      <c r="J1036" s="45">
        <f>IF(OR(N(D1036)=0,N(E1036)=0),"",IFERROR(E1036/D1036,""))</f>
        <v/>
      </c>
    </row>
    <row r="1037">
      <c r="A1037" s="31" t="n"/>
      <c r="B1037" s="37" t="n"/>
      <c r="C1037" s="36" t="n"/>
      <c r="D1037" s="38" t="n"/>
      <c r="E1037" s="44" t="n"/>
      <c r="F1037" s="32" t="n"/>
      <c r="G1037" s="32" t="n"/>
      <c r="H1037" s="39">
        <f>IF(C1037="","",IFERROR(INDEX('Animais'!$M$6:$M$1005,MATCH(C1037,'Animais'!$A$6:$A$1005,0)),"Brinco não cadastrado"))</f>
        <v/>
      </c>
      <c r="I1037" s="34">
        <f>IF(A1037="","",YEAR(A1037))</f>
        <v/>
      </c>
      <c r="J1037" s="45">
        <f>IF(OR(N(D1037)=0,N(E1037)=0),"",IFERROR(E1037/D1037,""))</f>
        <v/>
      </c>
    </row>
    <row r="1038">
      <c r="A1038" s="31" t="n"/>
      <c r="B1038" s="37" t="n"/>
      <c r="C1038" s="36" t="n"/>
      <c r="D1038" s="38" t="n"/>
      <c r="E1038" s="44" t="n"/>
      <c r="F1038" s="32" t="n"/>
      <c r="G1038" s="32" t="n"/>
      <c r="H1038" s="39">
        <f>IF(C1038="","",IFERROR(INDEX('Animais'!$M$6:$M$1005,MATCH(C1038,'Animais'!$A$6:$A$1005,0)),"Brinco não cadastrado"))</f>
        <v/>
      </c>
      <c r="I1038" s="34">
        <f>IF(A1038="","",YEAR(A1038))</f>
        <v/>
      </c>
      <c r="J1038" s="45">
        <f>IF(OR(N(D1038)=0,N(E1038)=0),"",IFERROR(E1038/D1038,""))</f>
        <v/>
      </c>
    </row>
    <row r="1039">
      <c r="A1039" s="31" t="n"/>
      <c r="B1039" s="37" t="n"/>
      <c r="C1039" s="36" t="n"/>
      <c r="D1039" s="38" t="n"/>
      <c r="E1039" s="44" t="n"/>
      <c r="F1039" s="32" t="n"/>
      <c r="G1039" s="32" t="n"/>
      <c r="H1039" s="39">
        <f>IF(C1039="","",IFERROR(INDEX('Animais'!$M$6:$M$1005,MATCH(C1039,'Animais'!$A$6:$A$1005,0)),"Brinco não cadastrado"))</f>
        <v/>
      </c>
      <c r="I1039" s="34">
        <f>IF(A1039="","",YEAR(A1039))</f>
        <v/>
      </c>
      <c r="J1039" s="45">
        <f>IF(OR(N(D1039)=0,N(E1039)=0),"",IFERROR(E1039/D1039,""))</f>
        <v/>
      </c>
    </row>
    <row r="1040">
      <c r="A1040" s="31" t="n"/>
      <c r="B1040" s="37" t="n"/>
      <c r="C1040" s="36" t="n"/>
      <c r="D1040" s="38" t="n"/>
      <c r="E1040" s="44" t="n"/>
      <c r="F1040" s="32" t="n"/>
      <c r="G1040" s="32" t="n"/>
      <c r="H1040" s="39">
        <f>IF(C1040="","",IFERROR(INDEX('Animais'!$M$6:$M$1005,MATCH(C1040,'Animais'!$A$6:$A$1005,0)),"Brinco não cadastrado"))</f>
        <v/>
      </c>
      <c r="I1040" s="34">
        <f>IF(A1040="","",YEAR(A1040))</f>
        <v/>
      </c>
      <c r="J1040" s="45">
        <f>IF(OR(N(D1040)=0,N(E1040)=0),"",IFERROR(E1040/D1040,""))</f>
        <v/>
      </c>
    </row>
    <row r="1041">
      <c r="A1041" s="31" t="n"/>
      <c r="B1041" s="37" t="n"/>
      <c r="C1041" s="36" t="n"/>
      <c r="D1041" s="38" t="n"/>
      <c r="E1041" s="44" t="n"/>
      <c r="F1041" s="32" t="n"/>
      <c r="G1041" s="32" t="n"/>
      <c r="H1041" s="39">
        <f>IF(C1041="","",IFERROR(INDEX('Animais'!$M$6:$M$1005,MATCH(C1041,'Animais'!$A$6:$A$1005,0)),"Brinco não cadastrado"))</f>
        <v/>
      </c>
      <c r="I1041" s="34">
        <f>IF(A1041="","",YEAR(A1041))</f>
        <v/>
      </c>
      <c r="J1041" s="45">
        <f>IF(OR(N(D1041)=0,N(E1041)=0),"",IFERROR(E1041/D1041,""))</f>
        <v/>
      </c>
    </row>
    <row r="1042">
      <c r="A1042" s="31" t="n"/>
      <c r="B1042" s="37" t="n"/>
      <c r="C1042" s="36" t="n"/>
      <c r="D1042" s="38" t="n"/>
      <c r="E1042" s="44" t="n"/>
      <c r="F1042" s="32" t="n"/>
      <c r="G1042" s="32" t="n"/>
      <c r="H1042" s="39">
        <f>IF(C1042="","",IFERROR(INDEX('Animais'!$M$6:$M$1005,MATCH(C1042,'Animais'!$A$6:$A$1005,0)),"Brinco não cadastrado"))</f>
        <v/>
      </c>
      <c r="I1042" s="34">
        <f>IF(A1042="","",YEAR(A1042))</f>
        <v/>
      </c>
      <c r="J1042" s="45">
        <f>IF(OR(N(D1042)=0,N(E1042)=0),"",IFERROR(E1042/D1042,""))</f>
        <v/>
      </c>
    </row>
    <row r="1043">
      <c r="A1043" s="31" t="n"/>
      <c r="B1043" s="37" t="n"/>
      <c r="C1043" s="36" t="n"/>
      <c r="D1043" s="38" t="n"/>
      <c r="E1043" s="44" t="n"/>
      <c r="F1043" s="32" t="n"/>
      <c r="G1043" s="32" t="n"/>
      <c r="H1043" s="39">
        <f>IF(C1043="","",IFERROR(INDEX('Animais'!$M$6:$M$1005,MATCH(C1043,'Animais'!$A$6:$A$1005,0)),"Brinco não cadastrado"))</f>
        <v/>
      </c>
      <c r="I1043" s="34">
        <f>IF(A1043="","",YEAR(A1043))</f>
        <v/>
      </c>
      <c r="J1043" s="45">
        <f>IF(OR(N(D1043)=0,N(E1043)=0),"",IFERROR(E1043/D1043,""))</f>
        <v/>
      </c>
    </row>
    <row r="1044">
      <c r="A1044" s="31" t="n"/>
      <c r="B1044" s="37" t="n"/>
      <c r="C1044" s="36" t="n"/>
      <c r="D1044" s="38" t="n"/>
      <c r="E1044" s="44" t="n"/>
      <c r="F1044" s="32" t="n"/>
      <c r="G1044" s="32" t="n"/>
      <c r="H1044" s="39">
        <f>IF(C1044="","",IFERROR(INDEX('Animais'!$M$6:$M$1005,MATCH(C1044,'Animais'!$A$6:$A$1005,0)),"Brinco não cadastrado"))</f>
        <v/>
      </c>
      <c r="I1044" s="34">
        <f>IF(A1044="","",YEAR(A1044))</f>
        <v/>
      </c>
      <c r="J1044" s="45">
        <f>IF(OR(N(D1044)=0,N(E1044)=0),"",IFERROR(E1044/D1044,""))</f>
        <v/>
      </c>
    </row>
    <row r="1045">
      <c r="A1045" s="31" t="n"/>
      <c r="B1045" s="37" t="n"/>
      <c r="C1045" s="36" t="n"/>
      <c r="D1045" s="38" t="n"/>
      <c r="E1045" s="44" t="n"/>
      <c r="F1045" s="32" t="n"/>
      <c r="G1045" s="32" t="n"/>
      <c r="H1045" s="39">
        <f>IF(C1045="","",IFERROR(INDEX('Animais'!$M$6:$M$1005,MATCH(C1045,'Animais'!$A$6:$A$1005,0)),"Brinco não cadastrado"))</f>
        <v/>
      </c>
      <c r="I1045" s="34">
        <f>IF(A1045="","",YEAR(A1045))</f>
        <v/>
      </c>
      <c r="J1045" s="45">
        <f>IF(OR(N(D1045)=0,N(E1045)=0),"",IFERROR(E1045/D1045,""))</f>
        <v/>
      </c>
    </row>
    <row r="1046">
      <c r="A1046" s="31" t="n"/>
      <c r="B1046" s="37" t="n"/>
      <c r="C1046" s="36" t="n"/>
      <c r="D1046" s="38" t="n"/>
      <c r="E1046" s="44" t="n"/>
      <c r="F1046" s="32" t="n"/>
      <c r="G1046" s="32" t="n"/>
      <c r="H1046" s="39">
        <f>IF(C1046="","",IFERROR(INDEX('Animais'!$M$6:$M$1005,MATCH(C1046,'Animais'!$A$6:$A$1005,0)),"Brinco não cadastrado"))</f>
        <v/>
      </c>
      <c r="I1046" s="34">
        <f>IF(A1046="","",YEAR(A1046))</f>
        <v/>
      </c>
      <c r="J1046" s="45">
        <f>IF(OR(N(D1046)=0,N(E1046)=0),"",IFERROR(E1046/D1046,""))</f>
        <v/>
      </c>
    </row>
    <row r="1047">
      <c r="A1047" s="31" t="n"/>
      <c r="B1047" s="37" t="n"/>
      <c r="C1047" s="36" t="n"/>
      <c r="D1047" s="38" t="n"/>
      <c r="E1047" s="44" t="n"/>
      <c r="F1047" s="32" t="n"/>
      <c r="G1047" s="32" t="n"/>
      <c r="H1047" s="39">
        <f>IF(C1047="","",IFERROR(INDEX('Animais'!$M$6:$M$1005,MATCH(C1047,'Animais'!$A$6:$A$1005,0)),"Brinco não cadastrado"))</f>
        <v/>
      </c>
      <c r="I1047" s="34">
        <f>IF(A1047="","",YEAR(A1047))</f>
        <v/>
      </c>
      <c r="J1047" s="45">
        <f>IF(OR(N(D1047)=0,N(E1047)=0),"",IFERROR(E1047/D1047,""))</f>
        <v/>
      </c>
    </row>
    <row r="1048">
      <c r="A1048" s="31" t="n"/>
      <c r="B1048" s="37" t="n"/>
      <c r="C1048" s="36" t="n"/>
      <c r="D1048" s="38" t="n"/>
      <c r="E1048" s="44" t="n"/>
      <c r="F1048" s="32" t="n"/>
      <c r="G1048" s="32" t="n"/>
      <c r="H1048" s="39">
        <f>IF(C1048="","",IFERROR(INDEX('Animais'!$M$6:$M$1005,MATCH(C1048,'Animais'!$A$6:$A$1005,0)),"Brinco não cadastrado"))</f>
        <v/>
      </c>
      <c r="I1048" s="34">
        <f>IF(A1048="","",YEAR(A1048))</f>
        <v/>
      </c>
      <c r="J1048" s="45">
        <f>IF(OR(N(D1048)=0,N(E1048)=0),"",IFERROR(E1048/D1048,""))</f>
        <v/>
      </c>
    </row>
    <row r="1049">
      <c r="A1049" s="31" t="n"/>
      <c r="B1049" s="37" t="n"/>
      <c r="C1049" s="36" t="n"/>
      <c r="D1049" s="38" t="n"/>
      <c r="E1049" s="44" t="n"/>
      <c r="F1049" s="32" t="n"/>
      <c r="G1049" s="32" t="n"/>
      <c r="H1049" s="39">
        <f>IF(C1049="","",IFERROR(INDEX('Animais'!$M$6:$M$1005,MATCH(C1049,'Animais'!$A$6:$A$1005,0)),"Brinco não cadastrado"))</f>
        <v/>
      </c>
      <c r="I1049" s="34">
        <f>IF(A1049="","",YEAR(A1049))</f>
        <v/>
      </c>
      <c r="J1049" s="45">
        <f>IF(OR(N(D1049)=0,N(E1049)=0),"",IFERROR(E1049/D1049,""))</f>
        <v/>
      </c>
    </row>
    <row r="1050">
      <c r="A1050" s="31" t="n"/>
      <c r="B1050" s="37" t="n"/>
      <c r="C1050" s="36" t="n"/>
      <c r="D1050" s="38" t="n"/>
      <c r="E1050" s="44" t="n"/>
      <c r="F1050" s="32" t="n"/>
      <c r="G1050" s="32" t="n"/>
      <c r="H1050" s="39">
        <f>IF(C1050="","",IFERROR(INDEX('Animais'!$M$6:$M$1005,MATCH(C1050,'Animais'!$A$6:$A$1005,0)),"Brinco não cadastrado"))</f>
        <v/>
      </c>
      <c r="I1050" s="34">
        <f>IF(A1050="","",YEAR(A1050))</f>
        <v/>
      </c>
      <c r="J1050" s="45">
        <f>IF(OR(N(D1050)=0,N(E1050)=0),"",IFERROR(E1050/D1050,""))</f>
        <v/>
      </c>
    </row>
    <row r="1051">
      <c r="A1051" s="31" t="n"/>
      <c r="B1051" s="37" t="n"/>
      <c r="C1051" s="36" t="n"/>
      <c r="D1051" s="38" t="n"/>
      <c r="E1051" s="44" t="n"/>
      <c r="F1051" s="32" t="n"/>
      <c r="G1051" s="32" t="n"/>
      <c r="H1051" s="39">
        <f>IF(C1051="","",IFERROR(INDEX('Animais'!$M$6:$M$1005,MATCH(C1051,'Animais'!$A$6:$A$1005,0)),"Brinco não cadastrado"))</f>
        <v/>
      </c>
      <c r="I1051" s="34">
        <f>IF(A1051="","",YEAR(A1051))</f>
        <v/>
      </c>
      <c r="J1051" s="45">
        <f>IF(OR(N(D1051)=0,N(E1051)=0),"",IFERROR(E1051/D1051,""))</f>
        <v/>
      </c>
    </row>
    <row r="1052">
      <c r="A1052" s="31" t="n"/>
      <c r="B1052" s="37" t="n"/>
      <c r="C1052" s="36" t="n"/>
      <c r="D1052" s="38" t="n"/>
      <c r="E1052" s="44" t="n"/>
      <c r="F1052" s="32" t="n"/>
      <c r="G1052" s="32" t="n"/>
      <c r="H1052" s="39">
        <f>IF(C1052="","",IFERROR(INDEX('Animais'!$M$6:$M$1005,MATCH(C1052,'Animais'!$A$6:$A$1005,0)),"Brinco não cadastrado"))</f>
        <v/>
      </c>
      <c r="I1052" s="34">
        <f>IF(A1052="","",YEAR(A1052))</f>
        <v/>
      </c>
      <c r="J1052" s="45">
        <f>IF(OR(N(D1052)=0,N(E1052)=0),"",IFERROR(E1052/D1052,""))</f>
        <v/>
      </c>
    </row>
    <row r="1053">
      <c r="A1053" s="31" t="n"/>
      <c r="B1053" s="37" t="n"/>
      <c r="C1053" s="36" t="n"/>
      <c r="D1053" s="38" t="n"/>
      <c r="E1053" s="44" t="n"/>
      <c r="F1053" s="32" t="n"/>
      <c r="G1053" s="32" t="n"/>
      <c r="H1053" s="39">
        <f>IF(C1053="","",IFERROR(INDEX('Animais'!$M$6:$M$1005,MATCH(C1053,'Animais'!$A$6:$A$1005,0)),"Brinco não cadastrado"))</f>
        <v/>
      </c>
      <c r="I1053" s="34">
        <f>IF(A1053="","",YEAR(A1053))</f>
        <v/>
      </c>
      <c r="J1053" s="45">
        <f>IF(OR(N(D1053)=0,N(E1053)=0),"",IFERROR(E1053/D1053,""))</f>
        <v/>
      </c>
    </row>
    <row r="1054">
      <c r="A1054" s="31" t="n"/>
      <c r="B1054" s="37" t="n"/>
      <c r="C1054" s="36" t="n"/>
      <c r="D1054" s="38" t="n"/>
      <c r="E1054" s="44" t="n"/>
      <c r="F1054" s="32" t="n"/>
      <c r="G1054" s="32" t="n"/>
      <c r="H1054" s="39">
        <f>IF(C1054="","",IFERROR(INDEX('Animais'!$M$6:$M$1005,MATCH(C1054,'Animais'!$A$6:$A$1005,0)),"Brinco não cadastrado"))</f>
        <v/>
      </c>
      <c r="I1054" s="34">
        <f>IF(A1054="","",YEAR(A1054))</f>
        <v/>
      </c>
      <c r="J1054" s="45">
        <f>IF(OR(N(D1054)=0,N(E1054)=0),"",IFERROR(E1054/D1054,""))</f>
        <v/>
      </c>
    </row>
    <row r="1055">
      <c r="A1055" s="31" t="n"/>
      <c r="B1055" s="37" t="n"/>
      <c r="C1055" s="36" t="n"/>
      <c r="D1055" s="38" t="n"/>
      <c r="E1055" s="44" t="n"/>
      <c r="F1055" s="32" t="n"/>
      <c r="G1055" s="32" t="n"/>
      <c r="H1055" s="39">
        <f>IF(C1055="","",IFERROR(INDEX('Animais'!$M$6:$M$1005,MATCH(C1055,'Animais'!$A$6:$A$1005,0)),"Brinco não cadastrado"))</f>
        <v/>
      </c>
      <c r="I1055" s="34">
        <f>IF(A1055="","",YEAR(A1055))</f>
        <v/>
      </c>
      <c r="J1055" s="45">
        <f>IF(OR(N(D1055)=0,N(E1055)=0),"",IFERROR(E1055/D1055,""))</f>
        <v/>
      </c>
    </row>
    <row r="1056">
      <c r="A1056" s="31" t="n"/>
      <c r="B1056" s="37" t="n"/>
      <c r="C1056" s="36" t="n"/>
      <c r="D1056" s="38" t="n"/>
      <c r="E1056" s="44" t="n"/>
      <c r="F1056" s="32" t="n"/>
      <c r="G1056" s="32" t="n"/>
      <c r="H1056" s="39">
        <f>IF(C1056="","",IFERROR(INDEX('Animais'!$M$6:$M$1005,MATCH(C1056,'Animais'!$A$6:$A$1005,0)),"Brinco não cadastrado"))</f>
        <v/>
      </c>
      <c r="I1056" s="34">
        <f>IF(A1056="","",YEAR(A1056))</f>
        <v/>
      </c>
      <c r="J1056" s="45">
        <f>IF(OR(N(D1056)=0,N(E1056)=0),"",IFERROR(E1056/D1056,""))</f>
        <v/>
      </c>
    </row>
    <row r="1057">
      <c r="A1057" s="31" t="n"/>
      <c r="B1057" s="37" t="n"/>
      <c r="C1057" s="36" t="n"/>
      <c r="D1057" s="38" t="n"/>
      <c r="E1057" s="44" t="n"/>
      <c r="F1057" s="32" t="n"/>
      <c r="G1057" s="32" t="n"/>
      <c r="H1057" s="39">
        <f>IF(C1057="","",IFERROR(INDEX('Animais'!$M$6:$M$1005,MATCH(C1057,'Animais'!$A$6:$A$1005,0)),"Brinco não cadastrado"))</f>
        <v/>
      </c>
      <c r="I1057" s="34">
        <f>IF(A1057="","",YEAR(A1057))</f>
        <v/>
      </c>
      <c r="J1057" s="45">
        <f>IF(OR(N(D1057)=0,N(E1057)=0),"",IFERROR(E1057/D1057,""))</f>
        <v/>
      </c>
    </row>
    <row r="1058">
      <c r="A1058" s="31" t="n"/>
      <c r="B1058" s="37" t="n"/>
      <c r="C1058" s="36" t="n"/>
      <c r="D1058" s="38" t="n"/>
      <c r="E1058" s="44" t="n"/>
      <c r="F1058" s="32" t="n"/>
      <c r="G1058" s="32" t="n"/>
      <c r="H1058" s="39">
        <f>IF(C1058="","",IFERROR(INDEX('Animais'!$M$6:$M$1005,MATCH(C1058,'Animais'!$A$6:$A$1005,0)),"Brinco não cadastrado"))</f>
        <v/>
      </c>
      <c r="I1058" s="34">
        <f>IF(A1058="","",YEAR(A1058))</f>
        <v/>
      </c>
      <c r="J1058" s="45">
        <f>IF(OR(N(D1058)=0,N(E1058)=0),"",IFERROR(E1058/D1058,""))</f>
        <v/>
      </c>
    </row>
    <row r="1059">
      <c r="A1059" s="31" t="n"/>
      <c r="B1059" s="37" t="n"/>
      <c r="C1059" s="36" t="n"/>
      <c r="D1059" s="38" t="n"/>
      <c r="E1059" s="44" t="n"/>
      <c r="F1059" s="32" t="n"/>
      <c r="G1059" s="32" t="n"/>
      <c r="H1059" s="39">
        <f>IF(C1059="","",IFERROR(INDEX('Animais'!$M$6:$M$1005,MATCH(C1059,'Animais'!$A$6:$A$1005,0)),"Brinco não cadastrado"))</f>
        <v/>
      </c>
      <c r="I1059" s="34">
        <f>IF(A1059="","",YEAR(A1059))</f>
        <v/>
      </c>
      <c r="J1059" s="45">
        <f>IF(OR(N(D1059)=0,N(E1059)=0),"",IFERROR(E1059/D1059,""))</f>
        <v/>
      </c>
    </row>
    <row r="1060">
      <c r="A1060" s="31" t="n"/>
      <c r="B1060" s="37" t="n"/>
      <c r="C1060" s="36" t="n"/>
      <c r="D1060" s="38" t="n"/>
      <c r="E1060" s="44" t="n"/>
      <c r="F1060" s="32" t="n"/>
      <c r="G1060" s="32" t="n"/>
      <c r="H1060" s="39">
        <f>IF(C1060="","",IFERROR(INDEX('Animais'!$M$6:$M$1005,MATCH(C1060,'Animais'!$A$6:$A$1005,0)),"Brinco não cadastrado"))</f>
        <v/>
      </c>
      <c r="I1060" s="34">
        <f>IF(A1060="","",YEAR(A1060))</f>
        <v/>
      </c>
      <c r="J1060" s="45">
        <f>IF(OR(N(D1060)=0,N(E1060)=0),"",IFERROR(E1060/D1060,""))</f>
        <v/>
      </c>
    </row>
    <row r="1061">
      <c r="A1061" s="31" t="n"/>
      <c r="B1061" s="37" t="n"/>
      <c r="C1061" s="36" t="n"/>
      <c r="D1061" s="38" t="n"/>
      <c r="E1061" s="44" t="n"/>
      <c r="F1061" s="32" t="n"/>
      <c r="G1061" s="32" t="n"/>
      <c r="H1061" s="39">
        <f>IF(C1061="","",IFERROR(INDEX('Animais'!$M$6:$M$1005,MATCH(C1061,'Animais'!$A$6:$A$1005,0)),"Brinco não cadastrado"))</f>
        <v/>
      </c>
      <c r="I1061" s="34">
        <f>IF(A1061="","",YEAR(A1061))</f>
        <v/>
      </c>
      <c r="J1061" s="45">
        <f>IF(OR(N(D1061)=0,N(E1061)=0),"",IFERROR(E1061/D1061,""))</f>
        <v/>
      </c>
    </row>
    <row r="1062">
      <c r="A1062" s="31" t="n"/>
      <c r="B1062" s="37" t="n"/>
      <c r="C1062" s="36" t="n"/>
      <c r="D1062" s="38" t="n"/>
      <c r="E1062" s="44" t="n"/>
      <c r="F1062" s="32" t="n"/>
      <c r="G1062" s="32" t="n"/>
      <c r="H1062" s="39">
        <f>IF(C1062="","",IFERROR(INDEX('Animais'!$M$6:$M$1005,MATCH(C1062,'Animais'!$A$6:$A$1005,0)),"Brinco não cadastrado"))</f>
        <v/>
      </c>
      <c r="I1062" s="34">
        <f>IF(A1062="","",YEAR(A1062))</f>
        <v/>
      </c>
      <c r="J1062" s="45">
        <f>IF(OR(N(D1062)=0,N(E1062)=0),"",IFERROR(E1062/D1062,""))</f>
        <v/>
      </c>
    </row>
    <row r="1063">
      <c r="A1063" s="31" t="n"/>
      <c r="B1063" s="37" t="n"/>
      <c r="C1063" s="36" t="n"/>
      <c r="D1063" s="38" t="n"/>
      <c r="E1063" s="44" t="n"/>
      <c r="F1063" s="32" t="n"/>
      <c r="G1063" s="32" t="n"/>
      <c r="H1063" s="39">
        <f>IF(C1063="","",IFERROR(INDEX('Animais'!$M$6:$M$1005,MATCH(C1063,'Animais'!$A$6:$A$1005,0)),"Brinco não cadastrado"))</f>
        <v/>
      </c>
      <c r="I1063" s="34">
        <f>IF(A1063="","",YEAR(A1063))</f>
        <v/>
      </c>
      <c r="J1063" s="45">
        <f>IF(OR(N(D1063)=0,N(E1063)=0),"",IFERROR(E1063/D1063,""))</f>
        <v/>
      </c>
    </row>
    <row r="1064">
      <c r="A1064" s="31" t="n"/>
      <c r="B1064" s="37" t="n"/>
      <c r="C1064" s="36" t="n"/>
      <c r="D1064" s="38" t="n"/>
      <c r="E1064" s="44" t="n"/>
      <c r="F1064" s="32" t="n"/>
      <c r="G1064" s="32" t="n"/>
      <c r="H1064" s="39">
        <f>IF(C1064="","",IFERROR(INDEX('Animais'!$M$6:$M$1005,MATCH(C1064,'Animais'!$A$6:$A$1005,0)),"Brinco não cadastrado"))</f>
        <v/>
      </c>
      <c r="I1064" s="34">
        <f>IF(A1064="","",YEAR(A1064))</f>
        <v/>
      </c>
      <c r="J1064" s="45">
        <f>IF(OR(N(D1064)=0,N(E1064)=0),"",IFERROR(E1064/D1064,""))</f>
        <v/>
      </c>
    </row>
    <row r="1065">
      <c r="A1065" s="31" t="n"/>
      <c r="B1065" s="37" t="n"/>
      <c r="C1065" s="36" t="n"/>
      <c r="D1065" s="38" t="n"/>
      <c r="E1065" s="44" t="n"/>
      <c r="F1065" s="32" t="n"/>
      <c r="G1065" s="32" t="n"/>
      <c r="H1065" s="39">
        <f>IF(C1065="","",IFERROR(INDEX('Animais'!$M$6:$M$1005,MATCH(C1065,'Animais'!$A$6:$A$1005,0)),"Brinco não cadastrado"))</f>
        <v/>
      </c>
      <c r="I1065" s="34">
        <f>IF(A1065="","",YEAR(A1065))</f>
        <v/>
      </c>
      <c r="J1065" s="45">
        <f>IF(OR(N(D1065)=0,N(E1065)=0),"",IFERROR(E1065/D1065,""))</f>
        <v/>
      </c>
    </row>
    <row r="1066">
      <c r="A1066" s="31" t="n"/>
      <c r="B1066" s="37" t="n"/>
      <c r="C1066" s="36" t="n"/>
      <c r="D1066" s="38" t="n"/>
      <c r="E1066" s="44" t="n"/>
      <c r="F1066" s="32" t="n"/>
      <c r="G1066" s="32" t="n"/>
      <c r="H1066" s="39">
        <f>IF(C1066="","",IFERROR(INDEX('Animais'!$M$6:$M$1005,MATCH(C1066,'Animais'!$A$6:$A$1005,0)),"Brinco não cadastrado"))</f>
        <v/>
      </c>
      <c r="I1066" s="34">
        <f>IF(A1066="","",YEAR(A1066))</f>
        <v/>
      </c>
      <c r="J1066" s="45">
        <f>IF(OR(N(D1066)=0,N(E1066)=0),"",IFERROR(E1066/D1066,""))</f>
        <v/>
      </c>
    </row>
    <row r="1067">
      <c r="A1067" s="31" t="n"/>
      <c r="B1067" s="37" t="n"/>
      <c r="C1067" s="36" t="n"/>
      <c r="D1067" s="38" t="n"/>
      <c r="E1067" s="44" t="n"/>
      <c r="F1067" s="32" t="n"/>
      <c r="G1067" s="32" t="n"/>
      <c r="H1067" s="39">
        <f>IF(C1067="","",IFERROR(INDEX('Animais'!$M$6:$M$1005,MATCH(C1067,'Animais'!$A$6:$A$1005,0)),"Brinco não cadastrado"))</f>
        <v/>
      </c>
      <c r="I1067" s="34">
        <f>IF(A1067="","",YEAR(A1067))</f>
        <v/>
      </c>
      <c r="J1067" s="45">
        <f>IF(OR(N(D1067)=0,N(E1067)=0),"",IFERROR(E1067/D1067,""))</f>
        <v/>
      </c>
    </row>
    <row r="1068">
      <c r="A1068" s="31" t="n"/>
      <c r="B1068" s="37" t="n"/>
      <c r="C1068" s="36" t="n"/>
      <c r="D1068" s="38" t="n"/>
      <c r="E1068" s="44" t="n"/>
      <c r="F1068" s="32" t="n"/>
      <c r="G1068" s="32" t="n"/>
      <c r="H1068" s="39">
        <f>IF(C1068="","",IFERROR(INDEX('Animais'!$M$6:$M$1005,MATCH(C1068,'Animais'!$A$6:$A$1005,0)),"Brinco não cadastrado"))</f>
        <v/>
      </c>
      <c r="I1068" s="34">
        <f>IF(A1068="","",YEAR(A1068))</f>
        <v/>
      </c>
      <c r="J1068" s="45">
        <f>IF(OR(N(D1068)=0,N(E1068)=0),"",IFERROR(E1068/D1068,""))</f>
        <v/>
      </c>
    </row>
    <row r="1069">
      <c r="A1069" s="31" t="n"/>
      <c r="B1069" s="37" t="n"/>
      <c r="C1069" s="36" t="n"/>
      <c r="D1069" s="38" t="n"/>
      <c r="E1069" s="44" t="n"/>
      <c r="F1069" s="32" t="n"/>
      <c r="G1069" s="32" t="n"/>
      <c r="H1069" s="39">
        <f>IF(C1069="","",IFERROR(INDEX('Animais'!$M$6:$M$1005,MATCH(C1069,'Animais'!$A$6:$A$1005,0)),"Brinco não cadastrado"))</f>
        <v/>
      </c>
      <c r="I1069" s="34">
        <f>IF(A1069="","",YEAR(A1069))</f>
        <v/>
      </c>
      <c r="J1069" s="45">
        <f>IF(OR(N(D1069)=0,N(E1069)=0),"",IFERROR(E1069/D1069,""))</f>
        <v/>
      </c>
    </row>
    <row r="1070">
      <c r="A1070" s="31" t="n"/>
      <c r="B1070" s="37" t="n"/>
      <c r="C1070" s="36" t="n"/>
      <c r="D1070" s="38" t="n"/>
      <c r="E1070" s="44" t="n"/>
      <c r="F1070" s="32" t="n"/>
      <c r="G1070" s="32" t="n"/>
      <c r="H1070" s="39">
        <f>IF(C1070="","",IFERROR(INDEX('Animais'!$M$6:$M$1005,MATCH(C1070,'Animais'!$A$6:$A$1005,0)),"Brinco não cadastrado"))</f>
        <v/>
      </c>
      <c r="I1070" s="34">
        <f>IF(A1070="","",YEAR(A1070))</f>
        <v/>
      </c>
      <c r="J1070" s="45">
        <f>IF(OR(N(D1070)=0,N(E1070)=0),"",IFERROR(E1070/D1070,""))</f>
        <v/>
      </c>
    </row>
    <row r="1071">
      <c r="A1071" s="31" t="n"/>
      <c r="B1071" s="37" t="n"/>
      <c r="C1071" s="36" t="n"/>
      <c r="D1071" s="38" t="n"/>
      <c r="E1071" s="44" t="n"/>
      <c r="F1071" s="32" t="n"/>
      <c r="G1071" s="32" t="n"/>
      <c r="H1071" s="39">
        <f>IF(C1071="","",IFERROR(INDEX('Animais'!$M$6:$M$1005,MATCH(C1071,'Animais'!$A$6:$A$1005,0)),"Brinco não cadastrado"))</f>
        <v/>
      </c>
      <c r="I1071" s="34">
        <f>IF(A1071="","",YEAR(A1071))</f>
        <v/>
      </c>
      <c r="J1071" s="45">
        <f>IF(OR(N(D1071)=0,N(E1071)=0),"",IFERROR(E1071/D1071,""))</f>
        <v/>
      </c>
    </row>
    <row r="1072">
      <c r="A1072" s="31" t="n"/>
      <c r="B1072" s="37" t="n"/>
      <c r="C1072" s="36" t="n"/>
      <c r="D1072" s="38" t="n"/>
      <c r="E1072" s="44" t="n"/>
      <c r="F1072" s="32" t="n"/>
      <c r="G1072" s="32" t="n"/>
      <c r="H1072" s="39">
        <f>IF(C1072="","",IFERROR(INDEX('Animais'!$M$6:$M$1005,MATCH(C1072,'Animais'!$A$6:$A$1005,0)),"Brinco não cadastrado"))</f>
        <v/>
      </c>
      <c r="I1072" s="34">
        <f>IF(A1072="","",YEAR(A1072))</f>
        <v/>
      </c>
      <c r="J1072" s="45">
        <f>IF(OR(N(D1072)=0,N(E1072)=0),"",IFERROR(E1072/D1072,""))</f>
        <v/>
      </c>
    </row>
    <row r="1073">
      <c r="A1073" s="31" t="n"/>
      <c r="B1073" s="37" t="n"/>
      <c r="C1073" s="36" t="n"/>
      <c r="D1073" s="38" t="n"/>
      <c r="E1073" s="44" t="n"/>
      <c r="F1073" s="32" t="n"/>
      <c r="G1073" s="32" t="n"/>
      <c r="H1073" s="39">
        <f>IF(C1073="","",IFERROR(INDEX('Animais'!$M$6:$M$1005,MATCH(C1073,'Animais'!$A$6:$A$1005,0)),"Brinco não cadastrado"))</f>
        <v/>
      </c>
      <c r="I1073" s="34">
        <f>IF(A1073="","",YEAR(A1073))</f>
        <v/>
      </c>
      <c r="J1073" s="45">
        <f>IF(OR(N(D1073)=0,N(E1073)=0),"",IFERROR(E1073/D1073,""))</f>
        <v/>
      </c>
    </row>
    <row r="1074">
      <c r="A1074" s="31" t="n"/>
      <c r="B1074" s="37" t="n"/>
      <c r="C1074" s="36" t="n"/>
      <c r="D1074" s="38" t="n"/>
      <c r="E1074" s="44" t="n"/>
      <c r="F1074" s="32" t="n"/>
      <c r="G1074" s="32" t="n"/>
      <c r="H1074" s="39">
        <f>IF(C1074="","",IFERROR(INDEX('Animais'!$M$6:$M$1005,MATCH(C1074,'Animais'!$A$6:$A$1005,0)),"Brinco não cadastrado"))</f>
        <v/>
      </c>
      <c r="I1074" s="34">
        <f>IF(A1074="","",YEAR(A1074))</f>
        <v/>
      </c>
      <c r="J1074" s="45">
        <f>IF(OR(N(D1074)=0,N(E1074)=0),"",IFERROR(E1074/D1074,""))</f>
        <v/>
      </c>
    </row>
    <row r="1075">
      <c r="A1075" s="31" t="n"/>
      <c r="B1075" s="37" t="n"/>
      <c r="C1075" s="36" t="n"/>
      <c r="D1075" s="38" t="n"/>
      <c r="E1075" s="44" t="n"/>
      <c r="F1075" s="32" t="n"/>
      <c r="G1075" s="32" t="n"/>
      <c r="H1075" s="39">
        <f>IF(C1075="","",IFERROR(INDEX('Animais'!$M$6:$M$1005,MATCH(C1075,'Animais'!$A$6:$A$1005,0)),"Brinco não cadastrado"))</f>
        <v/>
      </c>
      <c r="I1075" s="34">
        <f>IF(A1075="","",YEAR(A1075))</f>
        <v/>
      </c>
      <c r="J1075" s="45">
        <f>IF(OR(N(D1075)=0,N(E1075)=0),"",IFERROR(E1075/D1075,""))</f>
        <v/>
      </c>
    </row>
    <row r="1076">
      <c r="A1076" s="31" t="n"/>
      <c r="B1076" s="37" t="n"/>
      <c r="C1076" s="36" t="n"/>
      <c r="D1076" s="38" t="n"/>
      <c r="E1076" s="44" t="n"/>
      <c r="F1076" s="32" t="n"/>
      <c r="G1076" s="32" t="n"/>
      <c r="H1076" s="39">
        <f>IF(C1076="","",IFERROR(INDEX('Animais'!$M$6:$M$1005,MATCH(C1076,'Animais'!$A$6:$A$1005,0)),"Brinco não cadastrado"))</f>
        <v/>
      </c>
      <c r="I1076" s="34">
        <f>IF(A1076="","",YEAR(A1076))</f>
        <v/>
      </c>
      <c r="J1076" s="45">
        <f>IF(OR(N(D1076)=0,N(E1076)=0),"",IFERROR(E1076/D1076,""))</f>
        <v/>
      </c>
    </row>
    <row r="1077">
      <c r="A1077" s="31" t="n"/>
      <c r="B1077" s="37" t="n"/>
      <c r="C1077" s="36" t="n"/>
      <c r="D1077" s="38" t="n"/>
      <c r="E1077" s="44" t="n"/>
      <c r="F1077" s="32" t="n"/>
      <c r="G1077" s="32" t="n"/>
      <c r="H1077" s="39">
        <f>IF(C1077="","",IFERROR(INDEX('Animais'!$M$6:$M$1005,MATCH(C1077,'Animais'!$A$6:$A$1005,0)),"Brinco não cadastrado"))</f>
        <v/>
      </c>
      <c r="I1077" s="34">
        <f>IF(A1077="","",YEAR(A1077))</f>
        <v/>
      </c>
      <c r="J1077" s="45">
        <f>IF(OR(N(D1077)=0,N(E1077)=0),"",IFERROR(E1077/D1077,""))</f>
        <v/>
      </c>
    </row>
    <row r="1078">
      <c r="A1078" s="31" t="n"/>
      <c r="B1078" s="37" t="n"/>
      <c r="C1078" s="36" t="n"/>
      <c r="D1078" s="38" t="n"/>
      <c r="E1078" s="44" t="n"/>
      <c r="F1078" s="32" t="n"/>
      <c r="G1078" s="32" t="n"/>
      <c r="H1078" s="39">
        <f>IF(C1078="","",IFERROR(INDEX('Animais'!$M$6:$M$1005,MATCH(C1078,'Animais'!$A$6:$A$1005,0)),"Brinco não cadastrado"))</f>
        <v/>
      </c>
      <c r="I1078" s="34">
        <f>IF(A1078="","",YEAR(A1078))</f>
        <v/>
      </c>
      <c r="J1078" s="45">
        <f>IF(OR(N(D1078)=0,N(E1078)=0),"",IFERROR(E1078/D1078,""))</f>
        <v/>
      </c>
    </row>
    <row r="1079">
      <c r="A1079" s="31" t="n"/>
      <c r="B1079" s="37" t="n"/>
      <c r="C1079" s="36" t="n"/>
      <c r="D1079" s="38" t="n"/>
      <c r="E1079" s="44" t="n"/>
      <c r="F1079" s="32" t="n"/>
      <c r="G1079" s="32" t="n"/>
      <c r="H1079" s="39">
        <f>IF(C1079="","",IFERROR(INDEX('Animais'!$M$6:$M$1005,MATCH(C1079,'Animais'!$A$6:$A$1005,0)),"Brinco não cadastrado"))</f>
        <v/>
      </c>
      <c r="I1079" s="34">
        <f>IF(A1079="","",YEAR(A1079))</f>
        <v/>
      </c>
      <c r="J1079" s="45">
        <f>IF(OR(N(D1079)=0,N(E1079)=0),"",IFERROR(E1079/D1079,""))</f>
        <v/>
      </c>
    </row>
    <row r="1080">
      <c r="A1080" s="31" t="n"/>
      <c r="B1080" s="37" t="n"/>
      <c r="C1080" s="36" t="n"/>
      <c r="D1080" s="38" t="n"/>
      <c r="E1080" s="44" t="n"/>
      <c r="F1080" s="32" t="n"/>
      <c r="G1080" s="32" t="n"/>
      <c r="H1080" s="39">
        <f>IF(C1080="","",IFERROR(INDEX('Animais'!$M$6:$M$1005,MATCH(C1080,'Animais'!$A$6:$A$1005,0)),"Brinco não cadastrado"))</f>
        <v/>
      </c>
      <c r="I1080" s="34">
        <f>IF(A1080="","",YEAR(A1080))</f>
        <v/>
      </c>
      <c r="J1080" s="45">
        <f>IF(OR(N(D1080)=0,N(E1080)=0),"",IFERROR(E1080/D1080,""))</f>
        <v/>
      </c>
    </row>
    <row r="1081">
      <c r="A1081" s="31" t="n"/>
      <c r="B1081" s="37" t="n"/>
      <c r="C1081" s="36" t="n"/>
      <c r="D1081" s="38" t="n"/>
      <c r="E1081" s="44" t="n"/>
      <c r="F1081" s="32" t="n"/>
      <c r="G1081" s="32" t="n"/>
      <c r="H1081" s="39">
        <f>IF(C1081="","",IFERROR(INDEX('Animais'!$M$6:$M$1005,MATCH(C1081,'Animais'!$A$6:$A$1005,0)),"Brinco não cadastrado"))</f>
        <v/>
      </c>
      <c r="I1081" s="34">
        <f>IF(A1081="","",YEAR(A1081))</f>
        <v/>
      </c>
      <c r="J1081" s="45">
        <f>IF(OR(N(D1081)=0,N(E1081)=0),"",IFERROR(E1081/D1081,""))</f>
        <v/>
      </c>
    </row>
    <row r="1082">
      <c r="A1082" s="31" t="n"/>
      <c r="B1082" s="37" t="n"/>
      <c r="C1082" s="36" t="n"/>
      <c r="D1082" s="38" t="n"/>
      <c r="E1082" s="44" t="n"/>
      <c r="F1082" s="32" t="n"/>
      <c r="G1082" s="32" t="n"/>
      <c r="H1082" s="39">
        <f>IF(C1082="","",IFERROR(INDEX('Animais'!$M$6:$M$1005,MATCH(C1082,'Animais'!$A$6:$A$1005,0)),"Brinco não cadastrado"))</f>
        <v/>
      </c>
      <c r="I1082" s="34">
        <f>IF(A1082="","",YEAR(A1082))</f>
        <v/>
      </c>
      <c r="J1082" s="45">
        <f>IF(OR(N(D1082)=0,N(E1082)=0),"",IFERROR(E1082/D1082,""))</f>
        <v/>
      </c>
    </row>
    <row r="1083">
      <c r="A1083" s="31" t="n"/>
      <c r="B1083" s="37" t="n"/>
      <c r="C1083" s="36" t="n"/>
      <c r="D1083" s="38" t="n"/>
      <c r="E1083" s="44" t="n"/>
      <c r="F1083" s="32" t="n"/>
      <c r="G1083" s="32" t="n"/>
      <c r="H1083" s="39">
        <f>IF(C1083="","",IFERROR(INDEX('Animais'!$M$6:$M$1005,MATCH(C1083,'Animais'!$A$6:$A$1005,0)),"Brinco não cadastrado"))</f>
        <v/>
      </c>
      <c r="I1083" s="34">
        <f>IF(A1083="","",YEAR(A1083))</f>
        <v/>
      </c>
      <c r="J1083" s="45">
        <f>IF(OR(N(D1083)=0,N(E1083)=0),"",IFERROR(E1083/D1083,""))</f>
        <v/>
      </c>
    </row>
    <row r="1084">
      <c r="A1084" s="31" t="n"/>
      <c r="B1084" s="37" t="n"/>
      <c r="C1084" s="36" t="n"/>
      <c r="D1084" s="38" t="n"/>
      <c r="E1084" s="44" t="n"/>
      <c r="F1084" s="32" t="n"/>
      <c r="G1084" s="32" t="n"/>
      <c r="H1084" s="39">
        <f>IF(C1084="","",IFERROR(INDEX('Animais'!$M$6:$M$1005,MATCH(C1084,'Animais'!$A$6:$A$1005,0)),"Brinco não cadastrado"))</f>
        <v/>
      </c>
      <c r="I1084" s="34">
        <f>IF(A1084="","",YEAR(A1084))</f>
        <v/>
      </c>
      <c r="J1084" s="45">
        <f>IF(OR(N(D1084)=0,N(E1084)=0),"",IFERROR(E1084/D1084,""))</f>
        <v/>
      </c>
    </row>
    <row r="1085">
      <c r="A1085" s="31" t="n"/>
      <c r="B1085" s="37" t="n"/>
      <c r="C1085" s="36" t="n"/>
      <c r="D1085" s="38" t="n"/>
      <c r="E1085" s="44" t="n"/>
      <c r="F1085" s="32" t="n"/>
      <c r="G1085" s="32" t="n"/>
      <c r="H1085" s="39">
        <f>IF(C1085="","",IFERROR(INDEX('Animais'!$M$6:$M$1005,MATCH(C1085,'Animais'!$A$6:$A$1005,0)),"Brinco não cadastrado"))</f>
        <v/>
      </c>
      <c r="I1085" s="34">
        <f>IF(A1085="","",YEAR(A1085))</f>
        <v/>
      </c>
      <c r="J1085" s="45">
        <f>IF(OR(N(D1085)=0,N(E1085)=0),"",IFERROR(E1085/D1085,""))</f>
        <v/>
      </c>
    </row>
    <row r="1086">
      <c r="A1086" s="31" t="n"/>
      <c r="B1086" s="37" t="n"/>
      <c r="C1086" s="36" t="n"/>
      <c r="D1086" s="38" t="n"/>
      <c r="E1086" s="44" t="n"/>
      <c r="F1086" s="32" t="n"/>
      <c r="G1086" s="32" t="n"/>
      <c r="H1086" s="39">
        <f>IF(C1086="","",IFERROR(INDEX('Animais'!$M$6:$M$1005,MATCH(C1086,'Animais'!$A$6:$A$1005,0)),"Brinco não cadastrado"))</f>
        <v/>
      </c>
      <c r="I1086" s="34">
        <f>IF(A1086="","",YEAR(A1086))</f>
        <v/>
      </c>
      <c r="J1086" s="45">
        <f>IF(OR(N(D1086)=0,N(E1086)=0),"",IFERROR(E1086/D1086,""))</f>
        <v/>
      </c>
    </row>
    <row r="1087">
      <c r="A1087" s="31" t="n"/>
      <c r="B1087" s="37" t="n"/>
      <c r="C1087" s="36" t="n"/>
      <c r="D1087" s="38" t="n"/>
      <c r="E1087" s="44" t="n"/>
      <c r="F1087" s="32" t="n"/>
      <c r="G1087" s="32" t="n"/>
      <c r="H1087" s="39">
        <f>IF(C1087="","",IFERROR(INDEX('Animais'!$M$6:$M$1005,MATCH(C1087,'Animais'!$A$6:$A$1005,0)),"Brinco não cadastrado"))</f>
        <v/>
      </c>
      <c r="I1087" s="34">
        <f>IF(A1087="","",YEAR(A1087))</f>
        <v/>
      </c>
      <c r="J1087" s="45">
        <f>IF(OR(N(D1087)=0,N(E1087)=0),"",IFERROR(E1087/D1087,""))</f>
        <v/>
      </c>
    </row>
    <row r="1088">
      <c r="A1088" s="31" t="n"/>
      <c r="B1088" s="37" t="n"/>
      <c r="C1088" s="36" t="n"/>
      <c r="D1088" s="38" t="n"/>
      <c r="E1088" s="44" t="n"/>
      <c r="F1088" s="32" t="n"/>
      <c r="G1088" s="32" t="n"/>
      <c r="H1088" s="39">
        <f>IF(C1088="","",IFERROR(INDEX('Animais'!$M$6:$M$1005,MATCH(C1088,'Animais'!$A$6:$A$1005,0)),"Brinco não cadastrado"))</f>
        <v/>
      </c>
      <c r="I1088" s="34">
        <f>IF(A1088="","",YEAR(A1088))</f>
        <v/>
      </c>
      <c r="J1088" s="45">
        <f>IF(OR(N(D1088)=0,N(E1088)=0),"",IFERROR(E1088/D1088,""))</f>
        <v/>
      </c>
    </row>
    <row r="1089">
      <c r="A1089" s="31" t="n"/>
      <c r="B1089" s="37" t="n"/>
      <c r="C1089" s="36" t="n"/>
      <c r="D1089" s="38" t="n"/>
      <c r="E1089" s="44" t="n"/>
      <c r="F1089" s="32" t="n"/>
      <c r="G1089" s="32" t="n"/>
      <c r="H1089" s="39">
        <f>IF(C1089="","",IFERROR(INDEX('Animais'!$M$6:$M$1005,MATCH(C1089,'Animais'!$A$6:$A$1005,0)),"Brinco não cadastrado"))</f>
        <v/>
      </c>
      <c r="I1089" s="34">
        <f>IF(A1089="","",YEAR(A1089))</f>
        <v/>
      </c>
      <c r="J1089" s="45">
        <f>IF(OR(N(D1089)=0,N(E1089)=0),"",IFERROR(E1089/D1089,""))</f>
        <v/>
      </c>
    </row>
    <row r="1090">
      <c r="A1090" s="31" t="n"/>
      <c r="B1090" s="37" t="n"/>
      <c r="C1090" s="36" t="n"/>
      <c r="D1090" s="38" t="n"/>
      <c r="E1090" s="44" t="n"/>
      <c r="F1090" s="32" t="n"/>
      <c r="G1090" s="32" t="n"/>
      <c r="H1090" s="39">
        <f>IF(C1090="","",IFERROR(INDEX('Animais'!$M$6:$M$1005,MATCH(C1090,'Animais'!$A$6:$A$1005,0)),"Brinco não cadastrado"))</f>
        <v/>
      </c>
      <c r="I1090" s="34">
        <f>IF(A1090="","",YEAR(A1090))</f>
        <v/>
      </c>
      <c r="J1090" s="45">
        <f>IF(OR(N(D1090)=0,N(E1090)=0),"",IFERROR(E1090/D1090,""))</f>
        <v/>
      </c>
    </row>
    <row r="1091">
      <c r="A1091" s="31" t="n"/>
      <c r="B1091" s="37" t="n"/>
      <c r="C1091" s="36" t="n"/>
      <c r="D1091" s="38" t="n"/>
      <c r="E1091" s="44" t="n"/>
      <c r="F1091" s="32" t="n"/>
      <c r="G1091" s="32" t="n"/>
      <c r="H1091" s="39">
        <f>IF(C1091="","",IFERROR(INDEX('Animais'!$M$6:$M$1005,MATCH(C1091,'Animais'!$A$6:$A$1005,0)),"Brinco não cadastrado"))</f>
        <v/>
      </c>
      <c r="I1091" s="34">
        <f>IF(A1091="","",YEAR(A1091))</f>
        <v/>
      </c>
      <c r="J1091" s="45">
        <f>IF(OR(N(D1091)=0,N(E1091)=0),"",IFERROR(E1091/D1091,""))</f>
        <v/>
      </c>
    </row>
    <row r="1092">
      <c r="A1092" s="31" t="n"/>
      <c r="B1092" s="37" t="n"/>
      <c r="C1092" s="36" t="n"/>
      <c r="D1092" s="38" t="n"/>
      <c r="E1092" s="44" t="n"/>
      <c r="F1092" s="32" t="n"/>
      <c r="G1092" s="32" t="n"/>
      <c r="H1092" s="39">
        <f>IF(C1092="","",IFERROR(INDEX('Animais'!$M$6:$M$1005,MATCH(C1092,'Animais'!$A$6:$A$1005,0)),"Brinco não cadastrado"))</f>
        <v/>
      </c>
      <c r="I1092" s="34">
        <f>IF(A1092="","",YEAR(A1092))</f>
        <v/>
      </c>
      <c r="J1092" s="45">
        <f>IF(OR(N(D1092)=0,N(E1092)=0),"",IFERROR(E1092/D1092,""))</f>
        <v/>
      </c>
    </row>
    <row r="1093">
      <c r="A1093" s="31" t="n"/>
      <c r="B1093" s="37" t="n"/>
      <c r="C1093" s="36" t="n"/>
      <c r="D1093" s="38" t="n"/>
      <c r="E1093" s="44" t="n"/>
      <c r="F1093" s="32" t="n"/>
      <c r="G1093" s="32" t="n"/>
      <c r="H1093" s="39">
        <f>IF(C1093="","",IFERROR(INDEX('Animais'!$M$6:$M$1005,MATCH(C1093,'Animais'!$A$6:$A$1005,0)),"Brinco não cadastrado"))</f>
        <v/>
      </c>
      <c r="I1093" s="34">
        <f>IF(A1093="","",YEAR(A1093))</f>
        <v/>
      </c>
      <c r="J1093" s="45">
        <f>IF(OR(N(D1093)=0,N(E1093)=0),"",IFERROR(E1093/D1093,""))</f>
        <v/>
      </c>
    </row>
    <row r="1094">
      <c r="A1094" s="31" t="n"/>
      <c r="B1094" s="37" t="n"/>
      <c r="C1094" s="36" t="n"/>
      <c r="D1094" s="38" t="n"/>
      <c r="E1094" s="44" t="n"/>
      <c r="F1094" s="32" t="n"/>
      <c r="G1094" s="32" t="n"/>
      <c r="H1094" s="39">
        <f>IF(C1094="","",IFERROR(INDEX('Animais'!$M$6:$M$1005,MATCH(C1094,'Animais'!$A$6:$A$1005,0)),"Brinco não cadastrado"))</f>
        <v/>
      </c>
      <c r="I1094" s="34">
        <f>IF(A1094="","",YEAR(A1094))</f>
        <v/>
      </c>
      <c r="J1094" s="45">
        <f>IF(OR(N(D1094)=0,N(E1094)=0),"",IFERROR(E1094/D1094,""))</f>
        <v/>
      </c>
    </row>
    <row r="1095">
      <c r="A1095" s="31" t="n"/>
      <c r="B1095" s="37" t="n"/>
      <c r="C1095" s="36" t="n"/>
      <c r="D1095" s="38" t="n"/>
      <c r="E1095" s="44" t="n"/>
      <c r="F1095" s="32" t="n"/>
      <c r="G1095" s="32" t="n"/>
      <c r="H1095" s="39">
        <f>IF(C1095="","",IFERROR(INDEX('Animais'!$M$6:$M$1005,MATCH(C1095,'Animais'!$A$6:$A$1005,0)),"Brinco não cadastrado"))</f>
        <v/>
      </c>
      <c r="I1095" s="34">
        <f>IF(A1095="","",YEAR(A1095))</f>
        <v/>
      </c>
      <c r="J1095" s="45">
        <f>IF(OR(N(D1095)=0,N(E1095)=0),"",IFERROR(E1095/D1095,""))</f>
        <v/>
      </c>
    </row>
    <row r="1096">
      <c r="A1096" s="31" t="n"/>
      <c r="B1096" s="37" t="n"/>
      <c r="C1096" s="36" t="n"/>
      <c r="D1096" s="38" t="n"/>
      <c r="E1096" s="44" t="n"/>
      <c r="F1096" s="32" t="n"/>
      <c r="G1096" s="32" t="n"/>
      <c r="H1096" s="39">
        <f>IF(C1096="","",IFERROR(INDEX('Animais'!$M$6:$M$1005,MATCH(C1096,'Animais'!$A$6:$A$1005,0)),"Brinco não cadastrado"))</f>
        <v/>
      </c>
      <c r="I1096" s="34">
        <f>IF(A1096="","",YEAR(A1096))</f>
        <v/>
      </c>
      <c r="J1096" s="45">
        <f>IF(OR(N(D1096)=0,N(E1096)=0),"",IFERROR(E1096/D1096,""))</f>
        <v/>
      </c>
    </row>
    <row r="1097">
      <c r="A1097" s="31" t="n"/>
      <c r="B1097" s="37" t="n"/>
      <c r="C1097" s="36" t="n"/>
      <c r="D1097" s="38" t="n"/>
      <c r="E1097" s="44" t="n"/>
      <c r="F1097" s="32" t="n"/>
      <c r="G1097" s="32" t="n"/>
      <c r="H1097" s="39">
        <f>IF(C1097="","",IFERROR(INDEX('Animais'!$M$6:$M$1005,MATCH(C1097,'Animais'!$A$6:$A$1005,0)),"Brinco não cadastrado"))</f>
        <v/>
      </c>
      <c r="I1097" s="34">
        <f>IF(A1097="","",YEAR(A1097))</f>
        <v/>
      </c>
      <c r="J1097" s="45">
        <f>IF(OR(N(D1097)=0,N(E1097)=0),"",IFERROR(E1097/D1097,""))</f>
        <v/>
      </c>
    </row>
    <row r="1098">
      <c r="A1098" s="31" t="n"/>
      <c r="B1098" s="37" t="n"/>
      <c r="C1098" s="36" t="n"/>
      <c r="D1098" s="38" t="n"/>
      <c r="E1098" s="44" t="n"/>
      <c r="F1098" s="32" t="n"/>
      <c r="G1098" s="32" t="n"/>
      <c r="H1098" s="39">
        <f>IF(C1098="","",IFERROR(INDEX('Animais'!$M$6:$M$1005,MATCH(C1098,'Animais'!$A$6:$A$1005,0)),"Brinco não cadastrado"))</f>
        <v/>
      </c>
      <c r="I1098" s="34">
        <f>IF(A1098="","",YEAR(A1098))</f>
        <v/>
      </c>
      <c r="J1098" s="45">
        <f>IF(OR(N(D1098)=0,N(E1098)=0),"",IFERROR(E1098/D1098,""))</f>
        <v/>
      </c>
    </row>
    <row r="1099">
      <c r="A1099" s="31" t="n"/>
      <c r="B1099" s="37" t="n"/>
      <c r="C1099" s="36" t="n"/>
      <c r="D1099" s="38" t="n"/>
      <c r="E1099" s="44" t="n"/>
      <c r="F1099" s="32" t="n"/>
      <c r="G1099" s="32" t="n"/>
      <c r="H1099" s="39">
        <f>IF(C1099="","",IFERROR(INDEX('Animais'!$M$6:$M$1005,MATCH(C1099,'Animais'!$A$6:$A$1005,0)),"Brinco não cadastrado"))</f>
        <v/>
      </c>
      <c r="I1099" s="34">
        <f>IF(A1099="","",YEAR(A1099))</f>
        <v/>
      </c>
      <c r="J1099" s="45">
        <f>IF(OR(N(D1099)=0,N(E1099)=0),"",IFERROR(E1099/D1099,""))</f>
        <v/>
      </c>
    </row>
    <row r="1100">
      <c r="A1100" s="31" t="n"/>
      <c r="B1100" s="37" t="n"/>
      <c r="C1100" s="36" t="n"/>
      <c r="D1100" s="38" t="n"/>
      <c r="E1100" s="44" t="n"/>
      <c r="F1100" s="32" t="n"/>
      <c r="G1100" s="32" t="n"/>
      <c r="H1100" s="39">
        <f>IF(C1100="","",IFERROR(INDEX('Animais'!$M$6:$M$1005,MATCH(C1100,'Animais'!$A$6:$A$1005,0)),"Brinco não cadastrado"))</f>
        <v/>
      </c>
      <c r="I1100" s="34">
        <f>IF(A1100="","",YEAR(A1100))</f>
        <v/>
      </c>
      <c r="J1100" s="45">
        <f>IF(OR(N(D1100)=0,N(E1100)=0),"",IFERROR(E1100/D1100,""))</f>
        <v/>
      </c>
    </row>
    <row r="1101">
      <c r="A1101" s="31" t="n"/>
      <c r="B1101" s="37" t="n"/>
      <c r="C1101" s="36" t="n"/>
      <c r="D1101" s="38" t="n"/>
      <c r="E1101" s="44" t="n"/>
      <c r="F1101" s="32" t="n"/>
      <c r="G1101" s="32" t="n"/>
      <c r="H1101" s="39">
        <f>IF(C1101="","",IFERROR(INDEX('Animais'!$M$6:$M$1005,MATCH(C1101,'Animais'!$A$6:$A$1005,0)),"Brinco não cadastrado"))</f>
        <v/>
      </c>
      <c r="I1101" s="34">
        <f>IF(A1101="","",YEAR(A1101))</f>
        <v/>
      </c>
      <c r="J1101" s="45">
        <f>IF(OR(N(D1101)=0,N(E1101)=0),"",IFERROR(E1101/D1101,""))</f>
        <v/>
      </c>
    </row>
    <row r="1102">
      <c r="A1102" s="31" t="n"/>
      <c r="B1102" s="37" t="n"/>
      <c r="C1102" s="36" t="n"/>
      <c r="D1102" s="38" t="n"/>
      <c r="E1102" s="44" t="n"/>
      <c r="F1102" s="32" t="n"/>
      <c r="G1102" s="32" t="n"/>
      <c r="H1102" s="39">
        <f>IF(C1102="","",IFERROR(INDEX('Animais'!$M$6:$M$1005,MATCH(C1102,'Animais'!$A$6:$A$1005,0)),"Brinco não cadastrado"))</f>
        <v/>
      </c>
      <c r="I1102" s="34">
        <f>IF(A1102="","",YEAR(A1102))</f>
        <v/>
      </c>
      <c r="J1102" s="45">
        <f>IF(OR(N(D1102)=0,N(E1102)=0),"",IFERROR(E1102/D1102,""))</f>
        <v/>
      </c>
    </row>
    <row r="1103">
      <c r="A1103" s="31" t="n"/>
      <c r="B1103" s="37" t="n"/>
      <c r="C1103" s="36" t="n"/>
      <c r="D1103" s="38" t="n"/>
      <c r="E1103" s="44" t="n"/>
      <c r="F1103" s="32" t="n"/>
      <c r="G1103" s="32" t="n"/>
      <c r="H1103" s="39">
        <f>IF(C1103="","",IFERROR(INDEX('Animais'!$M$6:$M$1005,MATCH(C1103,'Animais'!$A$6:$A$1005,0)),"Brinco não cadastrado"))</f>
        <v/>
      </c>
      <c r="I1103" s="34">
        <f>IF(A1103="","",YEAR(A1103))</f>
        <v/>
      </c>
      <c r="J1103" s="45">
        <f>IF(OR(N(D1103)=0,N(E1103)=0),"",IFERROR(E1103/D1103,""))</f>
        <v/>
      </c>
    </row>
    <row r="1104">
      <c r="A1104" s="31" t="n"/>
      <c r="B1104" s="37" t="n"/>
      <c r="C1104" s="36" t="n"/>
      <c r="D1104" s="38" t="n"/>
      <c r="E1104" s="44" t="n"/>
      <c r="F1104" s="32" t="n"/>
      <c r="G1104" s="32" t="n"/>
      <c r="H1104" s="39">
        <f>IF(C1104="","",IFERROR(INDEX('Animais'!$M$6:$M$1005,MATCH(C1104,'Animais'!$A$6:$A$1005,0)),"Brinco não cadastrado"))</f>
        <v/>
      </c>
      <c r="I1104" s="34">
        <f>IF(A1104="","",YEAR(A1104))</f>
        <v/>
      </c>
      <c r="J1104" s="45">
        <f>IF(OR(N(D1104)=0,N(E1104)=0),"",IFERROR(E1104/D1104,""))</f>
        <v/>
      </c>
    </row>
    <row r="1105">
      <c r="A1105" s="31" t="n"/>
      <c r="B1105" s="37" t="n"/>
      <c r="C1105" s="36" t="n"/>
      <c r="D1105" s="38" t="n"/>
      <c r="E1105" s="44" t="n"/>
      <c r="F1105" s="32" t="n"/>
      <c r="G1105" s="32" t="n"/>
      <c r="H1105" s="39">
        <f>IF(C1105="","",IFERROR(INDEX('Animais'!$M$6:$M$1005,MATCH(C1105,'Animais'!$A$6:$A$1005,0)),"Brinco não cadastrado"))</f>
        <v/>
      </c>
      <c r="I1105" s="34">
        <f>IF(A1105="","",YEAR(A1105))</f>
        <v/>
      </c>
      <c r="J1105" s="45">
        <f>IF(OR(N(D1105)=0,N(E1105)=0),"",IFERROR(E1105/D1105,""))</f>
        <v/>
      </c>
    </row>
    <row r="1106">
      <c r="A1106" s="31" t="n"/>
      <c r="B1106" s="37" t="n"/>
      <c r="C1106" s="36" t="n"/>
      <c r="D1106" s="38" t="n"/>
      <c r="E1106" s="44" t="n"/>
      <c r="F1106" s="32" t="n"/>
      <c r="G1106" s="32" t="n"/>
      <c r="H1106" s="39">
        <f>IF(C1106="","",IFERROR(INDEX('Animais'!$M$6:$M$1005,MATCH(C1106,'Animais'!$A$6:$A$1005,0)),"Brinco não cadastrado"))</f>
        <v/>
      </c>
      <c r="I1106" s="34">
        <f>IF(A1106="","",YEAR(A1106))</f>
        <v/>
      </c>
      <c r="J1106" s="45">
        <f>IF(OR(N(D1106)=0,N(E1106)=0),"",IFERROR(E1106/D1106,""))</f>
        <v/>
      </c>
    </row>
    <row r="1107">
      <c r="A1107" s="31" t="n"/>
      <c r="B1107" s="37" t="n"/>
      <c r="C1107" s="36" t="n"/>
      <c r="D1107" s="38" t="n"/>
      <c r="E1107" s="44" t="n"/>
      <c r="F1107" s="32" t="n"/>
      <c r="G1107" s="32" t="n"/>
      <c r="H1107" s="39">
        <f>IF(C1107="","",IFERROR(INDEX('Animais'!$M$6:$M$1005,MATCH(C1107,'Animais'!$A$6:$A$1005,0)),"Brinco não cadastrado"))</f>
        <v/>
      </c>
      <c r="I1107" s="34">
        <f>IF(A1107="","",YEAR(A1107))</f>
        <v/>
      </c>
      <c r="J1107" s="45">
        <f>IF(OR(N(D1107)=0,N(E1107)=0),"",IFERROR(E1107/D1107,""))</f>
        <v/>
      </c>
    </row>
    <row r="1108">
      <c r="A1108" s="31" t="n"/>
      <c r="B1108" s="37" t="n"/>
      <c r="C1108" s="36" t="n"/>
      <c r="D1108" s="38" t="n"/>
      <c r="E1108" s="44" t="n"/>
      <c r="F1108" s="32" t="n"/>
      <c r="G1108" s="32" t="n"/>
      <c r="H1108" s="39">
        <f>IF(C1108="","",IFERROR(INDEX('Animais'!$M$6:$M$1005,MATCH(C1108,'Animais'!$A$6:$A$1005,0)),"Brinco não cadastrado"))</f>
        <v/>
      </c>
      <c r="I1108" s="34">
        <f>IF(A1108="","",YEAR(A1108))</f>
        <v/>
      </c>
      <c r="J1108" s="45">
        <f>IF(OR(N(D1108)=0,N(E1108)=0),"",IFERROR(E1108/D1108,""))</f>
        <v/>
      </c>
    </row>
    <row r="1109">
      <c r="A1109" s="31" t="n"/>
      <c r="B1109" s="37" t="n"/>
      <c r="C1109" s="36" t="n"/>
      <c r="D1109" s="38" t="n"/>
      <c r="E1109" s="44" t="n"/>
      <c r="F1109" s="32" t="n"/>
      <c r="G1109" s="32" t="n"/>
      <c r="H1109" s="39">
        <f>IF(C1109="","",IFERROR(INDEX('Animais'!$M$6:$M$1005,MATCH(C1109,'Animais'!$A$6:$A$1005,0)),"Brinco não cadastrado"))</f>
        <v/>
      </c>
      <c r="I1109" s="34">
        <f>IF(A1109="","",YEAR(A1109))</f>
        <v/>
      </c>
      <c r="J1109" s="45">
        <f>IF(OR(N(D1109)=0,N(E1109)=0),"",IFERROR(E1109/D1109,""))</f>
        <v/>
      </c>
    </row>
    <row r="1110">
      <c r="A1110" s="31" t="n"/>
      <c r="B1110" s="37" t="n"/>
      <c r="C1110" s="36" t="n"/>
      <c r="D1110" s="38" t="n"/>
      <c r="E1110" s="44" t="n"/>
      <c r="F1110" s="32" t="n"/>
      <c r="G1110" s="32" t="n"/>
      <c r="H1110" s="39">
        <f>IF(C1110="","",IFERROR(INDEX('Animais'!$M$6:$M$1005,MATCH(C1110,'Animais'!$A$6:$A$1005,0)),"Brinco não cadastrado"))</f>
        <v/>
      </c>
      <c r="I1110" s="34">
        <f>IF(A1110="","",YEAR(A1110))</f>
        <v/>
      </c>
      <c r="J1110" s="45">
        <f>IF(OR(N(D1110)=0,N(E1110)=0),"",IFERROR(E1110/D1110,""))</f>
        <v/>
      </c>
    </row>
    <row r="1111">
      <c r="A1111" s="31" t="n"/>
      <c r="B1111" s="37" t="n"/>
      <c r="C1111" s="36" t="n"/>
      <c r="D1111" s="38" t="n"/>
      <c r="E1111" s="44" t="n"/>
      <c r="F1111" s="32" t="n"/>
      <c r="G1111" s="32" t="n"/>
      <c r="H1111" s="39">
        <f>IF(C1111="","",IFERROR(INDEX('Animais'!$M$6:$M$1005,MATCH(C1111,'Animais'!$A$6:$A$1005,0)),"Brinco não cadastrado"))</f>
        <v/>
      </c>
      <c r="I1111" s="34">
        <f>IF(A1111="","",YEAR(A1111))</f>
        <v/>
      </c>
      <c r="J1111" s="45">
        <f>IF(OR(N(D1111)=0,N(E1111)=0),"",IFERROR(E1111/D1111,""))</f>
        <v/>
      </c>
    </row>
    <row r="1112">
      <c r="A1112" s="31" t="n"/>
      <c r="B1112" s="37" t="n"/>
      <c r="C1112" s="36" t="n"/>
      <c r="D1112" s="38" t="n"/>
      <c r="E1112" s="44" t="n"/>
      <c r="F1112" s="32" t="n"/>
      <c r="G1112" s="32" t="n"/>
      <c r="H1112" s="39">
        <f>IF(C1112="","",IFERROR(INDEX('Animais'!$M$6:$M$1005,MATCH(C1112,'Animais'!$A$6:$A$1005,0)),"Brinco não cadastrado"))</f>
        <v/>
      </c>
      <c r="I1112" s="34">
        <f>IF(A1112="","",YEAR(A1112))</f>
        <v/>
      </c>
      <c r="J1112" s="45">
        <f>IF(OR(N(D1112)=0,N(E1112)=0),"",IFERROR(E1112/D1112,""))</f>
        <v/>
      </c>
    </row>
    <row r="1113">
      <c r="A1113" s="31" t="n"/>
      <c r="B1113" s="37" t="n"/>
      <c r="C1113" s="36" t="n"/>
      <c r="D1113" s="38" t="n"/>
      <c r="E1113" s="44" t="n"/>
      <c r="F1113" s="32" t="n"/>
      <c r="G1113" s="32" t="n"/>
      <c r="H1113" s="39">
        <f>IF(C1113="","",IFERROR(INDEX('Animais'!$M$6:$M$1005,MATCH(C1113,'Animais'!$A$6:$A$1005,0)),"Brinco não cadastrado"))</f>
        <v/>
      </c>
      <c r="I1113" s="34">
        <f>IF(A1113="","",YEAR(A1113))</f>
        <v/>
      </c>
      <c r="J1113" s="45">
        <f>IF(OR(N(D1113)=0,N(E1113)=0),"",IFERROR(E1113/D1113,""))</f>
        <v/>
      </c>
    </row>
    <row r="1114">
      <c r="A1114" s="31" t="n"/>
      <c r="B1114" s="37" t="n"/>
      <c r="C1114" s="36" t="n"/>
      <c r="D1114" s="38" t="n"/>
      <c r="E1114" s="44" t="n"/>
      <c r="F1114" s="32" t="n"/>
      <c r="G1114" s="32" t="n"/>
      <c r="H1114" s="39">
        <f>IF(C1114="","",IFERROR(INDEX('Animais'!$M$6:$M$1005,MATCH(C1114,'Animais'!$A$6:$A$1005,0)),"Brinco não cadastrado"))</f>
        <v/>
      </c>
      <c r="I1114" s="34">
        <f>IF(A1114="","",YEAR(A1114))</f>
        <v/>
      </c>
      <c r="J1114" s="45">
        <f>IF(OR(N(D1114)=0,N(E1114)=0),"",IFERROR(E1114/D1114,""))</f>
        <v/>
      </c>
    </row>
    <row r="1115">
      <c r="A1115" s="31" t="n"/>
      <c r="B1115" s="37" t="n"/>
      <c r="C1115" s="36" t="n"/>
      <c r="D1115" s="38" t="n"/>
      <c r="E1115" s="44" t="n"/>
      <c r="F1115" s="32" t="n"/>
      <c r="G1115" s="32" t="n"/>
      <c r="H1115" s="39">
        <f>IF(C1115="","",IFERROR(INDEX('Animais'!$M$6:$M$1005,MATCH(C1115,'Animais'!$A$6:$A$1005,0)),"Brinco não cadastrado"))</f>
        <v/>
      </c>
      <c r="I1115" s="34">
        <f>IF(A1115="","",YEAR(A1115))</f>
        <v/>
      </c>
      <c r="J1115" s="45">
        <f>IF(OR(N(D1115)=0,N(E1115)=0),"",IFERROR(E1115/D1115,""))</f>
        <v/>
      </c>
    </row>
    <row r="1116">
      <c r="A1116" s="31" t="n"/>
      <c r="B1116" s="37" t="n"/>
      <c r="C1116" s="36" t="n"/>
      <c r="D1116" s="38" t="n"/>
      <c r="E1116" s="44" t="n"/>
      <c r="F1116" s="32" t="n"/>
      <c r="G1116" s="32" t="n"/>
      <c r="H1116" s="39">
        <f>IF(C1116="","",IFERROR(INDEX('Animais'!$M$6:$M$1005,MATCH(C1116,'Animais'!$A$6:$A$1005,0)),"Brinco não cadastrado"))</f>
        <v/>
      </c>
      <c r="I1116" s="34">
        <f>IF(A1116="","",YEAR(A1116))</f>
        <v/>
      </c>
      <c r="J1116" s="45">
        <f>IF(OR(N(D1116)=0,N(E1116)=0),"",IFERROR(E1116/D1116,""))</f>
        <v/>
      </c>
    </row>
    <row r="1117">
      <c r="A1117" s="31" t="n"/>
      <c r="B1117" s="37" t="n"/>
      <c r="C1117" s="36" t="n"/>
      <c r="D1117" s="38" t="n"/>
      <c r="E1117" s="44" t="n"/>
      <c r="F1117" s="32" t="n"/>
      <c r="G1117" s="32" t="n"/>
      <c r="H1117" s="39">
        <f>IF(C1117="","",IFERROR(INDEX('Animais'!$M$6:$M$1005,MATCH(C1117,'Animais'!$A$6:$A$1005,0)),"Brinco não cadastrado"))</f>
        <v/>
      </c>
      <c r="I1117" s="34">
        <f>IF(A1117="","",YEAR(A1117))</f>
        <v/>
      </c>
      <c r="J1117" s="45">
        <f>IF(OR(N(D1117)=0,N(E1117)=0),"",IFERROR(E1117/D1117,""))</f>
        <v/>
      </c>
    </row>
    <row r="1118">
      <c r="A1118" s="31" t="n"/>
      <c r="B1118" s="37" t="n"/>
      <c r="C1118" s="36" t="n"/>
      <c r="D1118" s="38" t="n"/>
      <c r="E1118" s="44" t="n"/>
      <c r="F1118" s="32" t="n"/>
      <c r="G1118" s="32" t="n"/>
      <c r="H1118" s="39">
        <f>IF(C1118="","",IFERROR(INDEX('Animais'!$M$6:$M$1005,MATCH(C1118,'Animais'!$A$6:$A$1005,0)),"Brinco não cadastrado"))</f>
        <v/>
      </c>
      <c r="I1118" s="34">
        <f>IF(A1118="","",YEAR(A1118))</f>
        <v/>
      </c>
      <c r="J1118" s="45">
        <f>IF(OR(N(D1118)=0,N(E1118)=0),"",IFERROR(E1118/D1118,""))</f>
        <v/>
      </c>
    </row>
    <row r="1119">
      <c r="A1119" s="31" t="n"/>
      <c r="B1119" s="37" t="n"/>
      <c r="C1119" s="36" t="n"/>
      <c r="D1119" s="38" t="n"/>
      <c r="E1119" s="44" t="n"/>
      <c r="F1119" s="32" t="n"/>
      <c r="G1119" s="32" t="n"/>
      <c r="H1119" s="39">
        <f>IF(C1119="","",IFERROR(INDEX('Animais'!$M$6:$M$1005,MATCH(C1119,'Animais'!$A$6:$A$1005,0)),"Brinco não cadastrado"))</f>
        <v/>
      </c>
      <c r="I1119" s="34">
        <f>IF(A1119="","",YEAR(A1119))</f>
        <v/>
      </c>
      <c r="J1119" s="45">
        <f>IF(OR(N(D1119)=0,N(E1119)=0),"",IFERROR(E1119/D1119,""))</f>
        <v/>
      </c>
    </row>
    <row r="1120">
      <c r="A1120" s="31" t="n"/>
      <c r="B1120" s="37" t="n"/>
      <c r="C1120" s="36" t="n"/>
      <c r="D1120" s="38" t="n"/>
      <c r="E1120" s="44" t="n"/>
      <c r="F1120" s="32" t="n"/>
      <c r="G1120" s="32" t="n"/>
      <c r="H1120" s="39">
        <f>IF(C1120="","",IFERROR(INDEX('Animais'!$M$6:$M$1005,MATCH(C1120,'Animais'!$A$6:$A$1005,0)),"Brinco não cadastrado"))</f>
        <v/>
      </c>
      <c r="I1120" s="34">
        <f>IF(A1120="","",YEAR(A1120))</f>
        <v/>
      </c>
      <c r="J1120" s="45">
        <f>IF(OR(N(D1120)=0,N(E1120)=0),"",IFERROR(E1120/D1120,""))</f>
        <v/>
      </c>
    </row>
    <row r="1121">
      <c r="A1121" s="31" t="n"/>
      <c r="B1121" s="37" t="n"/>
      <c r="C1121" s="36" t="n"/>
      <c r="D1121" s="38" t="n"/>
      <c r="E1121" s="44" t="n"/>
      <c r="F1121" s="32" t="n"/>
      <c r="G1121" s="32" t="n"/>
      <c r="H1121" s="39">
        <f>IF(C1121="","",IFERROR(INDEX('Animais'!$M$6:$M$1005,MATCH(C1121,'Animais'!$A$6:$A$1005,0)),"Brinco não cadastrado"))</f>
        <v/>
      </c>
      <c r="I1121" s="34">
        <f>IF(A1121="","",YEAR(A1121))</f>
        <v/>
      </c>
      <c r="J1121" s="45">
        <f>IF(OR(N(D1121)=0,N(E1121)=0),"",IFERROR(E1121/D1121,""))</f>
        <v/>
      </c>
    </row>
    <row r="1122">
      <c r="A1122" s="31" t="n"/>
      <c r="B1122" s="37" t="n"/>
      <c r="C1122" s="36" t="n"/>
      <c r="D1122" s="38" t="n"/>
      <c r="E1122" s="44" t="n"/>
      <c r="F1122" s="32" t="n"/>
      <c r="G1122" s="32" t="n"/>
      <c r="H1122" s="39">
        <f>IF(C1122="","",IFERROR(INDEX('Animais'!$M$6:$M$1005,MATCH(C1122,'Animais'!$A$6:$A$1005,0)),"Brinco não cadastrado"))</f>
        <v/>
      </c>
      <c r="I1122" s="34">
        <f>IF(A1122="","",YEAR(A1122))</f>
        <v/>
      </c>
      <c r="J1122" s="45">
        <f>IF(OR(N(D1122)=0,N(E1122)=0),"",IFERROR(E1122/D1122,""))</f>
        <v/>
      </c>
    </row>
    <row r="1123">
      <c r="A1123" s="31" t="n"/>
      <c r="B1123" s="37" t="n"/>
      <c r="C1123" s="36" t="n"/>
      <c r="D1123" s="38" t="n"/>
      <c r="E1123" s="44" t="n"/>
      <c r="F1123" s="32" t="n"/>
      <c r="G1123" s="32" t="n"/>
      <c r="H1123" s="39">
        <f>IF(C1123="","",IFERROR(INDEX('Animais'!$M$6:$M$1005,MATCH(C1123,'Animais'!$A$6:$A$1005,0)),"Brinco não cadastrado"))</f>
        <v/>
      </c>
      <c r="I1123" s="34">
        <f>IF(A1123="","",YEAR(A1123))</f>
        <v/>
      </c>
      <c r="J1123" s="45">
        <f>IF(OR(N(D1123)=0,N(E1123)=0),"",IFERROR(E1123/D1123,""))</f>
        <v/>
      </c>
    </row>
    <row r="1124">
      <c r="A1124" s="31" t="n"/>
      <c r="B1124" s="37" t="n"/>
      <c r="C1124" s="36" t="n"/>
      <c r="D1124" s="38" t="n"/>
      <c r="E1124" s="44" t="n"/>
      <c r="F1124" s="32" t="n"/>
      <c r="G1124" s="32" t="n"/>
      <c r="H1124" s="39">
        <f>IF(C1124="","",IFERROR(INDEX('Animais'!$M$6:$M$1005,MATCH(C1124,'Animais'!$A$6:$A$1005,0)),"Brinco não cadastrado"))</f>
        <v/>
      </c>
      <c r="I1124" s="34">
        <f>IF(A1124="","",YEAR(A1124))</f>
        <v/>
      </c>
      <c r="J1124" s="45">
        <f>IF(OR(N(D1124)=0,N(E1124)=0),"",IFERROR(E1124/D1124,""))</f>
        <v/>
      </c>
    </row>
    <row r="1125">
      <c r="A1125" s="31" t="n"/>
      <c r="B1125" s="37" t="n"/>
      <c r="C1125" s="36" t="n"/>
      <c r="D1125" s="38" t="n"/>
      <c r="E1125" s="44" t="n"/>
      <c r="F1125" s="32" t="n"/>
      <c r="G1125" s="32" t="n"/>
      <c r="H1125" s="39">
        <f>IF(C1125="","",IFERROR(INDEX('Animais'!$M$6:$M$1005,MATCH(C1125,'Animais'!$A$6:$A$1005,0)),"Brinco não cadastrado"))</f>
        <v/>
      </c>
      <c r="I1125" s="34">
        <f>IF(A1125="","",YEAR(A1125))</f>
        <v/>
      </c>
      <c r="J1125" s="45">
        <f>IF(OR(N(D1125)=0,N(E1125)=0),"",IFERROR(E1125/D1125,""))</f>
        <v/>
      </c>
    </row>
    <row r="1126">
      <c r="A1126" s="31" t="n"/>
      <c r="B1126" s="37" t="n"/>
      <c r="C1126" s="36" t="n"/>
      <c r="D1126" s="38" t="n"/>
      <c r="E1126" s="44" t="n"/>
      <c r="F1126" s="32" t="n"/>
      <c r="G1126" s="32" t="n"/>
      <c r="H1126" s="39">
        <f>IF(C1126="","",IFERROR(INDEX('Animais'!$M$6:$M$1005,MATCH(C1126,'Animais'!$A$6:$A$1005,0)),"Brinco não cadastrado"))</f>
        <v/>
      </c>
      <c r="I1126" s="34">
        <f>IF(A1126="","",YEAR(A1126))</f>
        <v/>
      </c>
      <c r="J1126" s="45">
        <f>IF(OR(N(D1126)=0,N(E1126)=0),"",IFERROR(E1126/D1126,""))</f>
        <v/>
      </c>
    </row>
    <row r="1127">
      <c r="A1127" s="31" t="n"/>
      <c r="B1127" s="37" t="n"/>
      <c r="C1127" s="36" t="n"/>
      <c r="D1127" s="38" t="n"/>
      <c r="E1127" s="44" t="n"/>
      <c r="F1127" s="32" t="n"/>
      <c r="G1127" s="32" t="n"/>
      <c r="H1127" s="39">
        <f>IF(C1127="","",IFERROR(INDEX('Animais'!$M$6:$M$1005,MATCH(C1127,'Animais'!$A$6:$A$1005,0)),"Brinco não cadastrado"))</f>
        <v/>
      </c>
      <c r="I1127" s="34">
        <f>IF(A1127="","",YEAR(A1127))</f>
        <v/>
      </c>
      <c r="J1127" s="45">
        <f>IF(OR(N(D1127)=0,N(E1127)=0),"",IFERROR(E1127/D1127,""))</f>
        <v/>
      </c>
    </row>
    <row r="1128">
      <c r="A1128" s="31" t="n"/>
      <c r="B1128" s="37" t="n"/>
      <c r="C1128" s="36" t="n"/>
      <c r="D1128" s="38" t="n"/>
      <c r="E1128" s="44" t="n"/>
      <c r="F1128" s="32" t="n"/>
      <c r="G1128" s="32" t="n"/>
      <c r="H1128" s="39">
        <f>IF(C1128="","",IFERROR(INDEX('Animais'!$M$6:$M$1005,MATCH(C1128,'Animais'!$A$6:$A$1005,0)),"Brinco não cadastrado"))</f>
        <v/>
      </c>
      <c r="I1128" s="34">
        <f>IF(A1128="","",YEAR(A1128))</f>
        <v/>
      </c>
      <c r="J1128" s="45">
        <f>IF(OR(N(D1128)=0,N(E1128)=0),"",IFERROR(E1128/D1128,""))</f>
        <v/>
      </c>
    </row>
    <row r="1129">
      <c r="A1129" s="31" t="n"/>
      <c r="B1129" s="37" t="n"/>
      <c r="C1129" s="36" t="n"/>
      <c r="D1129" s="38" t="n"/>
      <c r="E1129" s="44" t="n"/>
      <c r="F1129" s="32" t="n"/>
      <c r="G1129" s="32" t="n"/>
      <c r="H1129" s="39">
        <f>IF(C1129="","",IFERROR(INDEX('Animais'!$M$6:$M$1005,MATCH(C1129,'Animais'!$A$6:$A$1005,0)),"Brinco não cadastrado"))</f>
        <v/>
      </c>
      <c r="I1129" s="34">
        <f>IF(A1129="","",YEAR(A1129))</f>
        <v/>
      </c>
      <c r="J1129" s="45">
        <f>IF(OR(N(D1129)=0,N(E1129)=0),"",IFERROR(E1129/D1129,""))</f>
        <v/>
      </c>
    </row>
    <row r="1130">
      <c r="A1130" s="31" t="n"/>
      <c r="B1130" s="37" t="n"/>
      <c r="C1130" s="36" t="n"/>
      <c r="D1130" s="38" t="n"/>
      <c r="E1130" s="44" t="n"/>
      <c r="F1130" s="32" t="n"/>
      <c r="G1130" s="32" t="n"/>
      <c r="H1130" s="39">
        <f>IF(C1130="","",IFERROR(INDEX('Animais'!$M$6:$M$1005,MATCH(C1130,'Animais'!$A$6:$A$1005,0)),"Brinco não cadastrado"))</f>
        <v/>
      </c>
      <c r="I1130" s="34">
        <f>IF(A1130="","",YEAR(A1130))</f>
        <v/>
      </c>
      <c r="J1130" s="45">
        <f>IF(OR(N(D1130)=0,N(E1130)=0),"",IFERROR(E1130/D1130,""))</f>
        <v/>
      </c>
    </row>
    <row r="1131">
      <c r="A1131" s="31" t="n"/>
      <c r="B1131" s="37" t="n"/>
      <c r="C1131" s="36" t="n"/>
      <c r="D1131" s="38" t="n"/>
      <c r="E1131" s="44" t="n"/>
      <c r="F1131" s="32" t="n"/>
      <c r="G1131" s="32" t="n"/>
      <c r="H1131" s="39">
        <f>IF(C1131="","",IFERROR(INDEX('Animais'!$M$6:$M$1005,MATCH(C1131,'Animais'!$A$6:$A$1005,0)),"Brinco não cadastrado"))</f>
        <v/>
      </c>
      <c r="I1131" s="34">
        <f>IF(A1131="","",YEAR(A1131))</f>
        <v/>
      </c>
      <c r="J1131" s="45">
        <f>IF(OR(N(D1131)=0,N(E1131)=0),"",IFERROR(E1131/D1131,""))</f>
        <v/>
      </c>
    </row>
    <row r="1132">
      <c r="A1132" s="31" t="n"/>
      <c r="B1132" s="37" t="n"/>
      <c r="C1132" s="36" t="n"/>
      <c r="D1132" s="38" t="n"/>
      <c r="E1132" s="44" t="n"/>
      <c r="F1132" s="32" t="n"/>
      <c r="G1132" s="32" t="n"/>
      <c r="H1132" s="39">
        <f>IF(C1132="","",IFERROR(INDEX('Animais'!$M$6:$M$1005,MATCH(C1132,'Animais'!$A$6:$A$1005,0)),"Brinco não cadastrado"))</f>
        <v/>
      </c>
      <c r="I1132" s="34">
        <f>IF(A1132="","",YEAR(A1132))</f>
        <v/>
      </c>
      <c r="J1132" s="45">
        <f>IF(OR(N(D1132)=0,N(E1132)=0),"",IFERROR(E1132/D1132,""))</f>
        <v/>
      </c>
    </row>
    <row r="1133">
      <c r="A1133" s="31" t="n"/>
      <c r="B1133" s="37" t="n"/>
      <c r="C1133" s="36" t="n"/>
      <c r="D1133" s="38" t="n"/>
      <c r="E1133" s="44" t="n"/>
      <c r="F1133" s="32" t="n"/>
      <c r="G1133" s="32" t="n"/>
      <c r="H1133" s="39">
        <f>IF(C1133="","",IFERROR(INDEX('Animais'!$M$6:$M$1005,MATCH(C1133,'Animais'!$A$6:$A$1005,0)),"Brinco não cadastrado"))</f>
        <v/>
      </c>
      <c r="I1133" s="34">
        <f>IF(A1133="","",YEAR(A1133))</f>
        <v/>
      </c>
      <c r="J1133" s="45">
        <f>IF(OR(N(D1133)=0,N(E1133)=0),"",IFERROR(E1133/D1133,""))</f>
        <v/>
      </c>
    </row>
    <row r="1134">
      <c r="A1134" s="31" t="n"/>
      <c r="B1134" s="37" t="n"/>
      <c r="C1134" s="36" t="n"/>
      <c r="D1134" s="38" t="n"/>
      <c r="E1134" s="44" t="n"/>
      <c r="F1134" s="32" t="n"/>
      <c r="G1134" s="32" t="n"/>
      <c r="H1134" s="39">
        <f>IF(C1134="","",IFERROR(INDEX('Animais'!$M$6:$M$1005,MATCH(C1134,'Animais'!$A$6:$A$1005,0)),"Brinco não cadastrado"))</f>
        <v/>
      </c>
      <c r="I1134" s="34">
        <f>IF(A1134="","",YEAR(A1134))</f>
        <v/>
      </c>
      <c r="J1134" s="45">
        <f>IF(OR(N(D1134)=0,N(E1134)=0),"",IFERROR(E1134/D1134,""))</f>
        <v/>
      </c>
    </row>
    <row r="1135">
      <c r="A1135" s="31" t="n"/>
      <c r="B1135" s="37" t="n"/>
      <c r="C1135" s="36" t="n"/>
      <c r="D1135" s="38" t="n"/>
      <c r="E1135" s="44" t="n"/>
      <c r="F1135" s="32" t="n"/>
      <c r="G1135" s="32" t="n"/>
      <c r="H1135" s="39">
        <f>IF(C1135="","",IFERROR(INDEX('Animais'!$M$6:$M$1005,MATCH(C1135,'Animais'!$A$6:$A$1005,0)),"Brinco não cadastrado"))</f>
        <v/>
      </c>
      <c r="I1135" s="34">
        <f>IF(A1135="","",YEAR(A1135))</f>
        <v/>
      </c>
      <c r="J1135" s="45">
        <f>IF(OR(N(D1135)=0,N(E1135)=0),"",IFERROR(E1135/D1135,""))</f>
        <v/>
      </c>
    </row>
    <row r="1136">
      <c r="A1136" s="31" t="n"/>
      <c r="B1136" s="37" t="n"/>
      <c r="C1136" s="36" t="n"/>
      <c r="D1136" s="38" t="n"/>
      <c r="E1136" s="44" t="n"/>
      <c r="F1136" s="32" t="n"/>
      <c r="G1136" s="32" t="n"/>
      <c r="H1136" s="39">
        <f>IF(C1136="","",IFERROR(INDEX('Animais'!$M$6:$M$1005,MATCH(C1136,'Animais'!$A$6:$A$1005,0)),"Brinco não cadastrado"))</f>
        <v/>
      </c>
      <c r="I1136" s="34">
        <f>IF(A1136="","",YEAR(A1136))</f>
        <v/>
      </c>
      <c r="J1136" s="45">
        <f>IF(OR(N(D1136)=0,N(E1136)=0),"",IFERROR(E1136/D1136,""))</f>
        <v/>
      </c>
    </row>
    <row r="1137">
      <c r="A1137" s="31" t="n"/>
      <c r="B1137" s="37" t="n"/>
      <c r="C1137" s="36" t="n"/>
      <c r="D1137" s="38" t="n"/>
      <c r="E1137" s="44" t="n"/>
      <c r="F1137" s="32" t="n"/>
      <c r="G1137" s="32" t="n"/>
      <c r="H1137" s="39">
        <f>IF(C1137="","",IFERROR(INDEX('Animais'!$M$6:$M$1005,MATCH(C1137,'Animais'!$A$6:$A$1005,0)),"Brinco não cadastrado"))</f>
        <v/>
      </c>
      <c r="I1137" s="34">
        <f>IF(A1137="","",YEAR(A1137))</f>
        <v/>
      </c>
      <c r="J1137" s="45">
        <f>IF(OR(N(D1137)=0,N(E1137)=0),"",IFERROR(E1137/D1137,""))</f>
        <v/>
      </c>
    </row>
    <row r="1138">
      <c r="A1138" s="31" t="n"/>
      <c r="B1138" s="37" t="n"/>
      <c r="C1138" s="36" t="n"/>
      <c r="D1138" s="38" t="n"/>
      <c r="E1138" s="44" t="n"/>
      <c r="F1138" s="32" t="n"/>
      <c r="G1138" s="32" t="n"/>
      <c r="H1138" s="39">
        <f>IF(C1138="","",IFERROR(INDEX('Animais'!$M$6:$M$1005,MATCH(C1138,'Animais'!$A$6:$A$1005,0)),"Brinco não cadastrado"))</f>
        <v/>
      </c>
      <c r="I1138" s="34">
        <f>IF(A1138="","",YEAR(A1138))</f>
        <v/>
      </c>
      <c r="J1138" s="45">
        <f>IF(OR(N(D1138)=0,N(E1138)=0),"",IFERROR(E1138/D1138,""))</f>
        <v/>
      </c>
    </row>
    <row r="1139">
      <c r="A1139" s="31" t="n"/>
      <c r="B1139" s="37" t="n"/>
      <c r="C1139" s="36" t="n"/>
      <c r="D1139" s="38" t="n"/>
      <c r="E1139" s="44" t="n"/>
      <c r="F1139" s="32" t="n"/>
      <c r="G1139" s="32" t="n"/>
      <c r="H1139" s="39">
        <f>IF(C1139="","",IFERROR(INDEX('Animais'!$M$6:$M$1005,MATCH(C1139,'Animais'!$A$6:$A$1005,0)),"Brinco não cadastrado"))</f>
        <v/>
      </c>
      <c r="I1139" s="34">
        <f>IF(A1139="","",YEAR(A1139))</f>
        <v/>
      </c>
      <c r="J1139" s="45">
        <f>IF(OR(N(D1139)=0,N(E1139)=0),"",IFERROR(E1139/D1139,""))</f>
        <v/>
      </c>
    </row>
    <row r="1140">
      <c r="A1140" s="31" t="n"/>
      <c r="B1140" s="37" t="n"/>
      <c r="C1140" s="36" t="n"/>
      <c r="D1140" s="38" t="n"/>
      <c r="E1140" s="44" t="n"/>
      <c r="F1140" s="32" t="n"/>
      <c r="G1140" s="32" t="n"/>
      <c r="H1140" s="39">
        <f>IF(C1140="","",IFERROR(INDEX('Animais'!$M$6:$M$1005,MATCH(C1140,'Animais'!$A$6:$A$1005,0)),"Brinco não cadastrado"))</f>
        <v/>
      </c>
      <c r="I1140" s="34">
        <f>IF(A1140="","",YEAR(A1140))</f>
        <v/>
      </c>
      <c r="J1140" s="45">
        <f>IF(OR(N(D1140)=0,N(E1140)=0),"",IFERROR(E1140/D1140,""))</f>
        <v/>
      </c>
    </row>
    <row r="1141">
      <c r="A1141" s="31" t="n"/>
      <c r="B1141" s="37" t="n"/>
      <c r="C1141" s="36" t="n"/>
      <c r="D1141" s="38" t="n"/>
      <c r="E1141" s="44" t="n"/>
      <c r="F1141" s="32" t="n"/>
      <c r="G1141" s="32" t="n"/>
      <c r="H1141" s="39">
        <f>IF(C1141="","",IFERROR(INDEX('Animais'!$M$6:$M$1005,MATCH(C1141,'Animais'!$A$6:$A$1005,0)),"Brinco não cadastrado"))</f>
        <v/>
      </c>
      <c r="I1141" s="34">
        <f>IF(A1141="","",YEAR(A1141))</f>
        <v/>
      </c>
      <c r="J1141" s="45">
        <f>IF(OR(N(D1141)=0,N(E1141)=0),"",IFERROR(E1141/D1141,""))</f>
        <v/>
      </c>
    </row>
    <row r="1142">
      <c r="A1142" s="31" t="n"/>
      <c r="B1142" s="37" t="n"/>
      <c r="C1142" s="36" t="n"/>
      <c r="D1142" s="38" t="n"/>
      <c r="E1142" s="44" t="n"/>
      <c r="F1142" s="32" t="n"/>
      <c r="G1142" s="32" t="n"/>
      <c r="H1142" s="39">
        <f>IF(C1142="","",IFERROR(INDEX('Animais'!$M$6:$M$1005,MATCH(C1142,'Animais'!$A$6:$A$1005,0)),"Brinco não cadastrado"))</f>
        <v/>
      </c>
      <c r="I1142" s="34">
        <f>IF(A1142="","",YEAR(A1142))</f>
        <v/>
      </c>
      <c r="J1142" s="45">
        <f>IF(OR(N(D1142)=0,N(E1142)=0),"",IFERROR(E1142/D1142,""))</f>
        <v/>
      </c>
    </row>
    <row r="1143">
      <c r="A1143" s="31" t="n"/>
      <c r="B1143" s="37" t="n"/>
      <c r="C1143" s="36" t="n"/>
      <c r="D1143" s="38" t="n"/>
      <c r="E1143" s="44" t="n"/>
      <c r="F1143" s="32" t="n"/>
      <c r="G1143" s="32" t="n"/>
      <c r="H1143" s="39">
        <f>IF(C1143="","",IFERROR(INDEX('Animais'!$M$6:$M$1005,MATCH(C1143,'Animais'!$A$6:$A$1005,0)),"Brinco não cadastrado"))</f>
        <v/>
      </c>
      <c r="I1143" s="34">
        <f>IF(A1143="","",YEAR(A1143))</f>
        <v/>
      </c>
      <c r="J1143" s="45">
        <f>IF(OR(N(D1143)=0,N(E1143)=0),"",IFERROR(E1143/D1143,""))</f>
        <v/>
      </c>
    </row>
    <row r="1144">
      <c r="A1144" s="31" t="n"/>
      <c r="B1144" s="37" t="n"/>
      <c r="C1144" s="36" t="n"/>
      <c r="D1144" s="38" t="n"/>
      <c r="E1144" s="44" t="n"/>
      <c r="F1144" s="32" t="n"/>
      <c r="G1144" s="32" t="n"/>
      <c r="H1144" s="39">
        <f>IF(C1144="","",IFERROR(INDEX('Animais'!$M$6:$M$1005,MATCH(C1144,'Animais'!$A$6:$A$1005,0)),"Brinco não cadastrado"))</f>
        <v/>
      </c>
      <c r="I1144" s="34">
        <f>IF(A1144="","",YEAR(A1144))</f>
        <v/>
      </c>
      <c r="J1144" s="45">
        <f>IF(OR(N(D1144)=0,N(E1144)=0),"",IFERROR(E1144/D1144,""))</f>
        <v/>
      </c>
    </row>
    <row r="1145">
      <c r="A1145" s="31" t="n"/>
      <c r="B1145" s="37" t="n"/>
      <c r="C1145" s="36" t="n"/>
      <c r="D1145" s="38" t="n"/>
      <c r="E1145" s="44" t="n"/>
      <c r="F1145" s="32" t="n"/>
      <c r="G1145" s="32" t="n"/>
      <c r="H1145" s="39">
        <f>IF(C1145="","",IFERROR(INDEX('Animais'!$M$6:$M$1005,MATCH(C1145,'Animais'!$A$6:$A$1005,0)),"Brinco não cadastrado"))</f>
        <v/>
      </c>
      <c r="I1145" s="34">
        <f>IF(A1145="","",YEAR(A1145))</f>
        <v/>
      </c>
      <c r="J1145" s="45">
        <f>IF(OR(N(D1145)=0,N(E1145)=0),"",IFERROR(E1145/D1145,""))</f>
        <v/>
      </c>
    </row>
    <row r="1146">
      <c r="A1146" s="31" t="n"/>
      <c r="B1146" s="37" t="n"/>
      <c r="C1146" s="36" t="n"/>
      <c r="D1146" s="38" t="n"/>
      <c r="E1146" s="44" t="n"/>
      <c r="F1146" s="32" t="n"/>
      <c r="G1146" s="32" t="n"/>
      <c r="H1146" s="39">
        <f>IF(C1146="","",IFERROR(INDEX('Animais'!$M$6:$M$1005,MATCH(C1146,'Animais'!$A$6:$A$1005,0)),"Brinco não cadastrado"))</f>
        <v/>
      </c>
      <c r="I1146" s="34">
        <f>IF(A1146="","",YEAR(A1146))</f>
        <v/>
      </c>
      <c r="J1146" s="45">
        <f>IF(OR(N(D1146)=0,N(E1146)=0),"",IFERROR(E1146/D1146,""))</f>
        <v/>
      </c>
    </row>
    <row r="1147">
      <c r="A1147" s="31" t="n"/>
      <c r="B1147" s="37" t="n"/>
      <c r="C1147" s="36" t="n"/>
      <c r="D1147" s="38" t="n"/>
      <c r="E1147" s="44" t="n"/>
      <c r="F1147" s="32" t="n"/>
      <c r="G1147" s="32" t="n"/>
      <c r="H1147" s="39">
        <f>IF(C1147="","",IFERROR(INDEX('Animais'!$M$6:$M$1005,MATCH(C1147,'Animais'!$A$6:$A$1005,0)),"Brinco não cadastrado"))</f>
        <v/>
      </c>
      <c r="I1147" s="34">
        <f>IF(A1147="","",YEAR(A1147))</f>
        <v/>
      </c>
      <c r="J1147" s="45">
        <f>IF(OR(N(D1147)=0,N(E1147)=0),"",IFERROR(E1147/D1147,""))</f>
        <v/>
      </c>
    </row>
    <row r="1148">
      <c r="A1148" s="31" t="n"/>
      <c r="B1148" s="37" t="n"/>
      <c r="C1148" s="36" t="n"/>
      <c r="D1148" s="38" t="n"/>
      <c r="E1148" s="44" t="n"/>
      <c r="F1148" s="32" t="n"/>
      <c r="G1148" s="32" t="n"/>
      <c r="H1148" s="39">
        <f>IF(C1148="","",IFERROR(INDEX('Animais'!$M$6:$M$1005,MATCH(C1148,'Animais'!$A$6:$A$1005,0)),"Brinco não cadastrado"))</f>
        <v/>
      </c>
      <c r="I1148" s="34">
        <f>IF(A1148="","",YEAR(A1148))</f>
        <v/>
      </c>
      <c r="J1148" s="45">
        <f>IF(OR(N(D1148)=0,N(E1148)=0),"",IFERROR(E1148/D1148,""))</f>
        <v/>
      </c>
    </row>
    <row r="1149">
      <c r="A1149" s="31" t="n"/>
      <c r="B1149" s="37" t="n"/>
      <c r="C1149" s="36" t="n"/>
      <c r="D1149" s="38" t="n"/>
      <c r="E1149" s="44" t="n"/>
      <c r="F1149" s="32" t="n"/>
      <c r="G1149" s="32" t="n"/>
      <c r="H1149" s="39">
        <f>IF(C1149="","",IFERROR(INDEX('Animais'!$M$6:$M$1005,MATCH(C1149,'Animais'!$A$6:$A$1005,0)),"Brinco não cadastrado"))</f>
        <v/>
      </c>
      <c r="I1149" s="34">
        <f>IF(A1149="","",YEAR(A1149))</f>
        <v/>
      </c>
      <c r="J1149" s="45">
        <f>IF(OR(N(D1149)=0,N(E1149)=0),"",IFERROR(E1149/D1149,""))</f>
        <v/>
      </c>
    </row>
    <row r="1150">
      <c r="A1150" s="31" t="n"/>
      <c r="B1150" s="37" t="n"/>
      <c r="C1150" s="36" t="n"/>
      <c r="D1150" s="38" t="n"/>
      <c r="E1150" s="44" t="n"/>
      <c r="F1150" s="32" t="n"/>
      <c r="G1150" s="32" t="n"/>
      <c r="H1150" s="39">
        <f>IF(C1150="","",IFERROR(INDEX('Animais'!$M$6:$M$1005,MATCH(C1150,'Animais'!$A$6:$A$1005,0)),"Brinco não cadastrado"))</f>
        <v/>
      </c>
      <c r="I1150" s="34">
        <f>IF(A1150="","",YEAR(A1150))</f>
        <v/>
      </c>
      <c r="J1150" s="45">
        <f>IF(OR(N(D1150)=0,N(E1150)=0),"",IFERROR(E1150/D1150,""))</f>
        <v/>
      </c>
    </row>
    <row r="1151">
      <c r="A1151" s="31" t="n"/>
      <c r="B1151" s="37" t="n"/>
      <c r="C1151" s="36" t="n"/>
      <c r="D1151" s="38" t="n"/>
      <c r="E1151" s="44" t="n"/>
      <c r="F1151" s="32" t="n"/>
      <c r="G1151" s="32" t="n"/>
      <c r="H1151" s="39">
        <f>IF(C1151="","",IFERROR(INDEX('Animais'!$M$6:$M$1005,MATCH(C1151,'Animais'!$A$6:$A$1005,0)),"Brinco não cadastrado"))</f>
        <v/>
      </c>
      <c r="I1151" s="34">
        <f>IF(A1151="","",YEAR(A1151))</f>
        <v/>
      </c>
      <c r="J1151" s="45">
        <f>IF(OR(N(D1151)=0,N(E1151)=0),"",IFERROR(E1151/D1151,""))</f>
        <v/>
      </c>
    </row>
    <row r="1152">
      <c r="A1152" s="31" t="n"/>
      <c r="B1152" s="37" t="n"/>
      <c r="C1152" s="36" t="n"/>
      <c r="D1152" s="38" t="n"/>
      <c r="E1152" s="44" t="n"/>
      <c r="F1152" s="32" t="n"/>
      <c r="G1152" s="32" t="n"/>
      <c r="H1152" s="39">
        <f>IF(C1152="","",IFERROR(INDEX('Animais'!$M$6:$M$1005,MATCH(C1152,'Animais'!$A$6:$A$1005,0)),"Brinco não cadastrado"))</f>
        <v/>
      </c>
      <c r="I1152" s="34">
        <f>IF(A1152="","",YEAR(A1152))</f>
        <v/>
      </c>
      <c r="J1152" s="45">
        <f>IF(OR(N(D1152)=0,N(E1152)=0),"",IFERROR(E1152/D1152,""))</f>
        <v/>
      </c>
    </row>
    <row r="1153">
      <c r="A1153" s="31" t="n"/>
      <c r="B1153" s="37" t="n"/>
      <c r="C1153" s="36" t="n"/>
      <c r="D1153" s="38" t="n"/>
      <c r="E1153" s="44" t="n"/>
      <c r="F1153" s="32" t="n"/>
      <c r="G1153" s="32" t="n"/>
      <c r="H1153" s="39">
        <f>IF(C1153="","",IFERROR(INDEX('Animais'!$M$6:$M$1005,MATCH(C1153,'Animais'!$A$6:$A$1005,0)),"Brinco não cadastrado"))</f>
        <v/>
      </c>
      <c r="I1153" s="34">
        <f>IF(A1153="","",YEAR(A1153))</f>
        <v/>
      </c>
      <c r="J1153" s="45">
        <f>IF(OR(N(D1153)=0,N(E1153)=0),"",IFERROR(E1153/D1153,""))</f>
        <v/>
      </c>
    </row>
    <row r="1154">
      <c r="A1154" s="31" t="n"/>
      <c r="B1154" s="37" t="n"/>
      <c r="C1154" s="36" t="n"/>
      <c r="D1154" s="38" t="n"/>
      <c r="E1154" s="44" t="n"/>
      <c r="F1154" s="32" t="n"/>
      <c r="G1154" s="32" t="n"/>
      <c r="H1154" s="39">
        <f>IF(C1154="","",IFERROR(INDEX('Animais'!$M$6:$M$1005,MATCH(C1154,'Animais'!$A$6:$A$1005,0)),"Brinco não cadastrado"))</f>
        <v/>
      </c>
      <c r="I1154" s="34">
        <f>IF(A1154="","",YEAR(A1154))</f>
        <v/>
      </c>
      <c r="J1154" s="45">
        <f>IF(OR(N(D1154)=0,N(E1154)=0),"",IFERROR(E1154/D1154,""))</f>
        <v/>
      </c>
    </row>
    <row r="1155">
      <c r="A1155" s="31" t="n"/>
      <c r="B1155" s="37" t="n"/>
      <c r="C1155" s="36" t="n"/>
      <c r="D1155" s="38" t="n"/>
      <c r="E1155" s="44" t="n"/>
      <c r="F1155" s="32" t="n"/>
      <c r="G1155" s="32" t="n"/>
      <c r="H1155" s="39">
        <f>IF(C1155="","",IFERROR(INDEX('Animais'!$M$6:$M$1005,MATCH(C1155,'Animais'!$A$6:$A$1005,0)),"Brinco não cadastrado"))</f>
        <v/>
      </c>
      <c r="I1155" s="34">
        <f>IF(A1155="","",YEAR(A1155))</f>
        <v/>
      </c>
      <c r="J1155" s="45">
        <f>IF(OR(N(D1155)=0,N(E1155)=0),"",IFERROR(E1155/D1155,""))</f>
        <v/>
      </c>
    </row>
    <row r="1156">
      <c r="A1156" s="31" t="n"/>
      <c r="B1156" s="37" t="n"/>
      <c r="C1156" s="36" t="n"/>
      <c r="D1156" s="38" t="n"/>
      <c r="E1156" s="44" t="n"/>
      <c r="F1156" s="32" t="n"/>
      <c r="G1156" s="32" t="n"/>
      <c r="H1156" s="39">
        <f>IF(C1156="","",IFERROR(INDEX('Animais'!$M$6:$M$1005,MATCH(C1156,'Animais'!$A$6:$A$1005,0)),"Brinco não cadastrado"))</f>
        <v/>
      </c>
      <c r="I1156" s="34">
        <f>IF(A1156="","",YEAR(A1156))</f>
        <v/>
      </c>
      <c r="J1156" s="45">
        <f>IF(OR(N(D1156)=0,N(E1156)=0),"",IFERROR(E1156/D1156,""))</f>
        <v/>
      </c>
    </row>
    <row r="1157">
      <c r="A1157" s="31" t="n"/>
      <c r="B1157" s="37" t="n"/>
      <c r="C1157" s="36" t="n"/>
      <c r="D1157" s="38" t="n"/>
      <c r="E1157" s="44" t="n"/>
      <c r="F1157" s="32" t="n"/>
      <c r="G1157" s="32" t="n"/>
      <c r="H1157" s="39">
        <f>IF(C1157="","",IFERROR(INDEX('Animais'!$M$6:$M$1005,MATCH(C1157,'Animais'!$A$6:$A$1005,0)),"Brinco não cadastrado"))</f>
        <v/>
      </c>
      <c r="I1157" s="34">
        <f>IF(A1157="","",YEAR(A1157))</f>
        <v/>
      </c>
      <c r="J1157" s="45">
        <f>IF(OR(N(D1157)=0,N(E1157)=0),"",IFERROR(E1157/D1157,""))</f>
        <v/>
      </c>
    </row>
    <row r="1158">
      <c r="A1158" s="31" t="n"/>
      <c r="B1158" s="37" t="n"/>
      <c r="C1158" s="36" t="n"/>
      <c r="D1158" s="38" t="n"/>
      <c r="E1158" s="44" t="n"/>
      <c r="F1158" s="32" t="n"/>
      <c r="G1158" s="32" t="n"/>
      <c r="H1158" s="39">
        <f>IF(C1158="","",IFERROR(INDEX('Animais'!$M$6:$M$1005,MATCH(C1158,'Animais'!$A$6:$A$1005,0)),"Brinco não cadastrado"))</f>
        <v/>
      </c>
      <c r="I1158" s="34">
        <f>IF(A1158="","",YEAR(A1158))</f>
        <v/>
      </c>
      <c r="J1158" s="45">
        <f>IF(OR(N(D1158)=0,N(E1158)=0),"",IFERROR(E1158/D1158,""))</f>
        <v/>
      </c>
    </row>
    <row r="1159">
      <c r="A1159" s="31" t="n"/>
      <c r="B1159" s="37" t="n"/>
      <c r="C1159" s="36" t="n"/>
      <c r="D1159" s="38" t="n"/>
      <c r="E1159" s="44" t="n"/>
      <c r="F1159" s="32" t="n"/>
      <c r="G1159" s="32" t="n"/>
      <c r="H1159" s="39">
        <f>IF(C1159="","",IFERROR(INDEX('Animais'!$M$6:$M$1005,MATCH(C1159,'Animais'!$A$6:$A$1005,0)),"Brinco não cadastrado"))</f>
        <v/>
      </c>
      <c r="I1159" s="34">
        <f>IF(A1159="","",YEAR(A1159))</f>
        <v/>
      </c>
      <c r="J1159" s="45">
        <f>IF(OR(N(D1159)=0,N(E1159)=0),"",IFERROR(E1159/D1159,""))</f>
        <v/>
      </c>
    </row>
    <row r="1160">
      <c r="A1160" s="31" t="n"/>
      <c r="B1160" s="37" t="n"/>
      <c r="C1160" s="36" t="n"/>
      <c r="D1160" s="38" t="n"/>
      <c r="E1160" s="44" t="n"/>
      <c r="F1160" s="32" t="n"/>
      <c r="G1160" s="32" t="n"/>
      <c r="H1160" s="39">
        <f>IF(C1160="","",IFERROR(INDEX('Animais'!$M$6:$M$1005,MATCH(C1160,'Animais'!$A$6:$A$1005,0)),"Brinco não cadastrado"))</f>
        <v/>
      </c>
      <c r="I1160" s="34">
        <f>IF(A1160="","",YEAR(A1160))</f>
        <v/>
      </c>
      <c r="J1160" s="45">
        <f>IF(OR(N(D1160)=0,N(E1160)=0),"",IFERROR(E1160/D1160,""))</f>
        <v/>
      </c>
    </row>
    <row r="1161">
      <c r="A1161" s="31" t="n"/>
      <c r="B1161" s="37" t="n"/>
      <c r="C1161" s="36" t="n"/>
      <c r="D1161" s="38" t="n"/>
      <c r="E1161" s="44" t="n"/>
      <c r="F1161" s="32" t="n"/>
      <c r="G1161" s="32" t="n"/>
      <c r="H1161" s="39">
        <f>IF(C1161="","",IFERROR(INDEX('Animais'!$M$6:$M$1005,MATCH(C1161,'Animais'!$A$6:$A$1005,0)),"Brinco não cadastrado"))</f>
        <v/>
      </c>
      <c r="I1161" s="34">
        <f>IF(A1161="","",YEAR(A1161))</f>
        <v/>
      </c>
      <c r="J1161" s="45">
        <f>IF(OR(N(D1161)=0,N(E1161)=0),"",IFERROR(E1161/D1161,""))</f>
        <v/>
      </c>
    </row>
    <row r="1162">
      <c r="A1162" s="31" t="n"/>
      <c r="B1162" s="37" t="n"/>
      <c r="C1162" s="36" t="n"/>
      <c r="D1162" s="38" t="n"/>
      <c r="E1162" s="44" t="n"/>
      <c r="F1162" s="32" t="n"/>
      <c r="G1162" s="32" t="n"/>
      <c r="H1162" s="39">
        <f>IF(C1162="","",IFERROR(INDEX('Animais'!$M$6:$M$1005,MATCH(C1162,'Animais'!$A$6:$A$1005,0)),"Brinco não cadastrado"))</f>
        <v/>
      </c>
      <c r="I1162" s="34">
        <f>IF(A1162="","",YEAR(A1162))</f>
        <v/>
      </c>
      <c r="J1162" s="45">
        <f>IF(OR(N(D1162)=0,N(E1162)=0),"",IFERROR(E1162/D1162,""))</f>
        <v/>
      </c>
    </row>
    <row r="1163">
      <c r="A1163" s="31" t="n"/>
      <c r="B1163" s="37" t="n"/>
      <c r="C1163" s="36" t="n"/>
      <c r="D1163" s="38" t="n"/>
      <c r="E1163" s="44" t="n"/>
      <c r="F1163" s="32" t="n"/>
      <c r="G1163" s="32" t="n"/>
      <c r="H1163" s="39">
        <f>IF(C1163="","",IFERROR(INDEX('Animais'!$M$6:$M$1005,MATCH(C1163,'Animais'!$A$6:$A$1005,0)),"Brinco não cadastrado"))</f>
        <v/>
      </c>
      <c r="I1163" s="34">
        <f>IF(A1163="","",YEAR(A1163))</f>
        <v/>
      </c>
      <c r="J1163" s="45">
        <f>IF(OR(N(D1163)=0,N(E1163)=0),"",IFERROR(E1163/D1163,""))</f>
        <v/>
      </c>
    </row>
    <row r="1164">
      <c r="A1164" s="31" t="n"/>
      <c r="B1164" s="37" t="n"/>
      <c r="C1164" s="36" t="n"/>
      <c r="D1164" s="38" t="n"/>
      <c r="E1164" s="44" t="n"/>
      <c r="F1164" s="32" t="n"/>
      <c r="G1164" s="32" t="n"/>
      <c r="H1164" s="39">
        <f>IF(C1164="","",IFERROR(INDEX('Animais'!$M$6:$M$1005,MATCH(C1164,'Animais'!$A$6:$A$1005,0)),"Brinco não cadastrado"))</f>
        <v/>
      </c>
      <c r="I1164" s="34">
        <f>IF(A1164="","",YEAR(A1164))</f>
        <v/>
      </c>
      <c r="J1164" s="45">
        <f>IF(OR(N(D1164)=0,N(E1164)=0),"",IFERROR(E1164/D1164,""))</f>
        <v/>
      </c>
    </row>
    <row r="1165">
      <c r="A1165" s="31" t="n"/>
      <c r="B1165" s="37" t="n"/>
      <c r="C1165" s="36" t="n"/>
      <c r="D1165" s="38" t="n"/>
      <c r="E1165" s="44" t="n"/>
      <c r="F1165" s="32" t="n"/>
      <c r="G1165" s="32" t="n"/>
      <c r="H1165" s="39">
        <f>IF(C1165="","",IFERROR(INDEX('Animais'!$M$6:$M$1005,MATCH(C1165,'Animais'!$A$6:$A$1005,0)),"Brinco não cadastrado"))</f>
        <v/>
      </c>
      <c r="I1165" s="34">
        <f>IF(A1165="","",YEAR(A1165))</f>
        <v/>
      </c>
      <c r="J1165" s="45">
        <f>IF(OR(N(D1165)=0,N(E1165)=0),"",IFERROR(E1165/D1165,""))</f>
        <v/>
      </c>
    </row>
    <row r="1166">
      <c r="A1166" s="31" t="n"/>
      <c r="B1166" s="37" t="n"/>
      <c r="C1166" s="36" t="n"/>
      <c r="D1166" s="38" t="n"/>
      <c r="E1166" s="44" t="n"/>
      <c r="F1166" s="32" t="n"/>
      <c r="G1166" s="32" t="n"/>
      <c r="H1166" s="39">
        <f>IF(C1166="","",IFERROR(INDEX('Animais'!$M$6:$M$1005,MATCH(C1166,'Animais'!$A$6:$A$1005,0)),"Brinco não cadastrado"))</f>
        <v/>
      </c>
      <c r="I1166" s="34">
        <f>IF(A1166="","",YEAR(A1166))</f>
        <v/>
      </c>
      <c r="J1166" s="45">
        <f>IF(OR(N(D1166)=0,N(E1166)=0),"",IFERROR(E1166/D1166,""))</f>
        <v/>
      </c>
    </row>
    <row r="1167">
      <c r="A1167" s="31" t="n"/>
      <c r="B1167" s="37" t="n"/>
      <c r="C1167" s="36" t="n"/>
      <c r="D1167" s="38" t="n"/>
      <c r="E1167" s="44" t="n"/>
      <c r="F1167" s="32" t="n"/>
      <c r="G1167" s="32" t="n"/>
      <c r="H1167" s="39">
        <f>IF(C1167="","",IFERROR(INDEX('Animais'!$M$6:$M$1005,MATCH(C1167,'Animais'!$A$6:$A$1005,0)),"Brinco não cadastrado"))</f>
        <v/>
      </c>
      <c r="I1167" s="34">
        <f>IF(A1167="","",YEAR(A1167))</f>
        <v/>
      </c>
      <c r="J1167" s="45">
        <f>IF(OR(N(D1167)=0,N(E1167)=0),"",IFERROR(E1167/D1167,""))</f>
        <v/>
      </c>
    </row>
    <row r="1168">
      <c r="A1168" s="31" t="n"/>
      <c r="B1168" s="37" t="n"/>
      <c r="C1168" s="36" t="n"/>
      <c r="D1168" s="38" t="n"/>
      <c r="E1168" s="44" t="n"/>
      <c r="F1168" s="32" t="n"/>
      <c r="G1168" s="32" t="n"/>
      <c r="H1168" s="39">
        <f>IF(C1168="","",IFERROR(INDEX('Animais'!$M$6:$M$1005,MATCH(C1168,'Animais'!$A$6:$A$1005,0)),"Brinco não cadastrado"))</f>
        <v/>
      </c>
      <c r="I1168" s="34">
        <f>IF(A1168="","",YEAR(A1168))</f>
        <v/>
      </c>
      <c r="J1168" s="45">
        <f>IF(OR(N(D1168)=0,N(E1168)=0),"",IFERROR(E1168/D1168,""))</f>
        <v/>
      </c>
    </row>
    <row r="1169">
      <c r="A1169" s="31" t="n"/>
      <c r="B1169" s="37" t="n"/>
      <c r="C1169" s="36" t="n"/>
      <c r="D1169" s="38" t="n"/>
      <c r="E1169" s="44" t="n"/>
      <c r="F1169" s="32" t="n"/>
      <c r="G1169" s="32" t="n"/>
      <c r="H1169" s="39">
        <f>IF(C1169="","",IFERROR(INDEX('Animais'!$M$6:$M$1005,MATCH(C1169,'Animais'!$A$6:$A$1005,0)),"Brinco não cadastrado"))</f>
        <v/>
      </c>
      <c r="I1169" s="34">
        <f>IF(A1169="","",YEAR(A1169))</f>
        <v/>
      </c>
      <c r="J1169" s="45">
        <f>IF(OR(N(D1169)=0,N(E1169)=0),"",IFERROR(E1169/D1169,""))</f>
        <v/>
      </c>
    </row>
    <row r="1170">
      <c r="A1170" s="31" t="n"/>
      <c r="B1170" s="37" t="n"/>
      <c r="C1170" s="36" t="n"/>
      <c r="D1170" s="38" t="n"/>
      <c r="E1170" s="44" t="n"/>
      <c r="F1170" s="32" t="n"/>
      <c r="G1170" s="32" t="n"/>
      <c r="H1170" s="39">
        <f>IF(C1170="","",IFERROR(INDEX('Animais'!$M$6:$M$1005,MATCH(C1170,'Animais'!$A$6:$A$1005,0)),"Brinco não cadastrado"))</f>
        <v/>
      </c>
      <c r="I1170" s="34">
        <f>IF(A1170="","",YEAR(A1170))</f>
        <v/>
      </c>
      <c r="J1170" s="45">
        <f>IF(OR(N(D1170)=0,N(E1170)=0),"",IFERROR(E1170/D1170,""))</f>
        <v/>
      </c>
    </row>
    <row r="1171">
      <c r="A1171" s="31" t="n"/>
      <c r="B1171" s="37" t="n"/>
      <c r="C1171" s="36" t="n"/>
      <c r="D1171" s="38" t="n"/>
      <c r="E1171" s="44" t="n"/>
      <c r="F1171" s="32" t="n"/>
      <c r="G1171" s="32" t="n"/>
      <c r="H1171" s="39">
        <f>IF(C1171="","",IFERROR(INDEX('Animais'!$M$6:$M$1005,MATCH(C1171,'Animais'!$A$6:$A$1005,0)),"Brinco não cadastrado"))</f>
        <v/>
      </c>
      <c r="I1171" s="34">
        <f>IF(A1171="","",YEAR(A1171))</f>
        <v/>
      </c>
      <c r="J1171" s="45">
        <f>IF(OR(N(D1171)=0,N(E1171)=0),"",IFERROR(E1171/D1171,""))</f>
        <v/>
      </c>
    </row>
    <row r="1172">
      <c r="A1172" s="31" t="n"/>
      <c r="B1172" s="37" t="n"/>
      <c r="C1172" s="36" t="n"/>
      <c r="D1172" s="38" t="n"/>
      <c r="E1172" s="44" t="n"/>
      <c r="F1172" s="32" t="n"/>
      <c r="G1172" s="32" t="n"/>
      <c r="H1172" s="39">
        <f>IF(C1172="","",IFERROR(INDEX('Animais'!$M$6:$M$1005,MATCH(C1172,'Animais'!$A$6:$A$1005,0)),"Brinco não cadastrado"))</f>
        <v/>
      </c>
      <c r="I1172" s="34">
        <f>IF(A1172="","",YEAR(A1172))</f>
        <v/>
      </c>
      <c r="J1172" s="45">
        <f>IF(OR(N(D1172)=0,N(E1172)=0),"",IFERROR(E1172/D1172,""))</f>
        <v/>
      </c>
    </row>
    <row r="1173">
      <c r="A1173" s="31" t="n"/>
      <c r="B1173" s="37" t="n"/>
      <c r="C1173" s="36" t="n"/>
      <c r="D1173" s="38" t="n"/>
      <c r="E1173" s="44" t="n"/>
      <c r="F1173" s="32" t="n"/>
      <c r="G1173" s="32" t="n"/>
      <c r="H1173" s="39">
        <f>IF(C1173="","",IFERROR(INDEX('Animais'!$M$6:$M$1005,MATCH(C1173,'Animais'!$A$6:$A$1005,0)),"Brinco não cadastrado"))</f>
        <v/>
      </c>
      <c r="I1173" s="34">
        <f>IF(A1173="","",YEAR(A1173))</f>
        <v/>
      </c>
      <c r="J1173" s="45">
        <f>IF(OR(N(D1173)=0,N(E1173)=0),"",IFERROR(E1173/D1173,""))</f>
        <v/>
      </c>
    </row>
    <row r="1174">
      <c r="A1174" s="31" t="n"/>
      <c r="B1174" s="37" t="n"/>
      <c r="C1174" s="36" t="n"/>
      <c r="D1174" s="38" t="n"/>
      <c r="E1174" s="44" t="n"/>
      <c r="F1174" s="32" t="n"/>
      <c r="G1174" s="32" t="n"/>
      <c r="H1174" s="39">
        <f>IF(C1174="","",IFERROR(INDEX('Animais'!$M$6:$M$1005,MATCH(C1174,'Animais'!$A$6:$A$1005,0)),"Brinco não cadastrado"))</f>
        <v/>
      </c>
      <c r="I1174" s="34">
        <f>IF(A1174="","",YEAR(A1174))</f>
        <v/>
      </c>
      <c r="J1174" s="45">
        <f>IF(OR(N(D1174)=0,N(E1174)=0),"",IFERROR(E1174/D1174,""))</f>
        <v/>
      </c>
    </row>
    <row r="1175">
      <c r="A1175" s="31" t="n"/>
      <c r="B1175" s="37" t="n"/>
      <c r="C1175" s="36" t="n"/>
      <c r="D1175" s="38" t="n"/>
      <c r="E1175" s="44" t="n"/>
      <c r="F1175" s="32" t="n"/>
      <c r="G1175" s="32" t="n"/>
      <c r="H1175" s="39">
        <f>IF(C1175="","",IFERROR(INDEX('Animais'!$M$6:$M$1005,MATCH(C1175,'Animais'!$A$6:$A$1005,0)),"Brinco não cadastrado"))</f>
        <v/>
      </c>
      <c r="I1175" s="34">
        <f>IF(A1175="","",YEAR(A1175))</f>
        <v/>
      </c>
      <c r="J1175" s="45">
        <f>IF(OR(N(D1175)=0,N(E1175)=0),"",IFERROR(E1175/D1175,""))</f>
        <v/>
      </c>
    </row>
    <row r="1176">
      <c r="A1176" s="31" t="n"/>
      <c r="B1176" s="37" t="n"/>
      <c r="C1176" s="36" t="n"/>
      <c r="D1176" s="38" t="n"/>
      <c r="E1176" s="44" t="n"/>
      <c r="F1176" s="32" t="n"/>
      <c r="G1176" s="32" t="n"/>
      <c r="H1176" s="39">
        <f>IF(C1176="","",IFERROR(INDEX('Animais'!$M$6:$M$1005,MATCH(C1176,'Animais'!$A$6:$A$1005,0)),"Brinco não cadastrado"))</f>
        <v/>
      </c>
      <c r="I1176" s="34">
        <f>IF(A1176="","",YEAR(A1176))</f>
        <v/>
      </c>
      <c r="J1176" s="45">
        <f>IF(OR(N(D1176)=0,N(E1176)=0),"",IFERROR(E1176/D1176,""))</f>
        <v/>
      </c>
    </row>
    <row r="1177">
      <c r="A1177" s="31" t="n"/>
      <c r="B1177" s="37" t="n"/>
      <c r="C1177" s="36" t="n"/>
      <c r="D1177" s="38" t="n"/>
      <c r="E1177" s="44" t="n"/>
      <c r="F1177" s="32" t="n"/>
      <c r="G1177" s="32" t="n"/>
      <c r="H1177" s="39">
        <f>IF(C1177="","",IFERROR(INDEX('Animais'!$M$6:$M$1005,MATCH(C1177,'Animais'!$A$6:$A$1005,0)),"Brinco não cadastrado"))</f>
        <v/>
      </c>
      <c r="I1177" s="34">
        <f>IF(A1177="","",YEAR(A1177))</f>
        <v/>
      </c>
      <c r="J1177" s="45">
        <f>IF(OR(N(D1177)=0,N(E1177)=0),"",IFERROR(E1177/D1177,""))</f>
        <v/>
      </c>
    </row>
    <row r="1178">
      <c r="A1178" s="31" t="n"/>
      <c r="B1178" s="37" t="n"/>
      <c r="C1178" s="36" t="n"/>
      <c r="D1178" s="38" t="n"/>
      <c r="E1178" s="44" t="n"/>
      <c r="F1178" s="32" t="n"/>
      <c r="G1178" s="32" t="n"/>
      <c r="H1178" s="39">
        <f>IF(C1178="","",IFERROR(INDEX('Animais'!$M$6:$M$1005,MATCH(C1178,'Animais'!$A$6:$A$1005,0)),"Brinco não cadastrado"))</f>
        <v/>
      </c>
      <c r="I1178" s="34">
        <f>IF(A1178="","",YEAR(A1178))</f>
        <v/>
      </c>
      <c r="J1178" s="45">
        <f>IF(OR(N(D1178)=0,N(E1178)=0),"",IFERROR(E1178/D1178,""))</f>
        <v/>
      </c>
    </row>
    <row r="1179">
      <c r="A1179" s="31" t="n"/>
      <c r="B1179" s="37" t="n"/>
      <c r="C1179" s="36" t="n"/>
      <c r="D1179" s="38" t="n"/>
      <c r="E1179" s="44" t="n"/>
      <c r="F1179" s="32" t="n"/>
      <c r="G1179" s="32" t="n"/>
      <c r="H1179" s="39">
        <f>IF(C1179="","",IFERROR(INDEX('Animais'!$M$6:$M$1005,MATCH(C1179,'Animais'!$A$6:$A$1005,0)),"Brinco não cadastrado"))</f>
        <v/>
      </c>
      <c r="I1179" s="34">
        <f>IF(A1179="","",YEAR(A1179))</f>
        <v/>
      </c>
      <c r="J1179" s="45">
        <f>IF(OR(N(D1179)=0,N(E1179)=0),"",IFERROR(E1179/D1179,""))</f>
        <v/>
      </c>
    </row>
    <row r="1180">
      <c r="A1180" s="31" t="n"/>
      <c r="B1180" s="37" t="n"/>
      <c r="C1180" s="36" t="n"/>
      <c r="D1180" s="38" t="n"/>
      <c r="E1180" s="44" t="n"/>
      <c r="F1180" s="32" t="n"/>
      <c r="G1180" s="32" t="n"/>
      <c r="H1180" s="39">
        <f>IF(C1180="","",IFERROR(INDEX('Animais'!$M$6:$M$1005,MATCH(C1180,'Animais'!$A$6:$A$1005,0)),"Brinco não cadastrado"))</f>
        <v/>
      </c>
      <c r="I1180" s="34">
        <f>IF(A1180="","",YEAR(A1180))</f>
        <v/>
      </c>
      <c r="J1180" s="45">
        <f>IF(OR(N(D1180)=0,N(E1180)=0),"",IFERROR(E1180/D1180,""))</f>
        <v/>
      </c>
    </row>
    <row r="1181">
      <c r="A1181" s="31" t="n"/>
      <c r="B1181" s="37" t="n"/>
      <c r="C1181" s="36" t="n"/>
      <c r="D1181" s="38" t="n"/>
      <c r="E1181" s="44" t="n"/>
      <c r="F1181" s="32" t="n"/>
      <c r="G1181" s="32" t="n"/>
      <c r="H1181" s="39">
        <f>IF(C1181="","",IFERROR(INDEX('Animais'!$M$6:$M$1005,MATCH(C1181,'Animais'!$A$6:$A$1005,0)),"Brinco não cadastrado"))</f>
        <v/>
      </c>
      <c r="I1181" s="34">
        <f>IF(A1181="","",YEAR(A1181))</f>
        <v/>
      </c>
      <c r="J1181" s="45">
        <f>IF(OR(N(D1181)=0,N(E1181)=0),"",IFERROR(E1181/D1181,""))</f>
        <v/>
      </c>
    </row>
    <row r="1182">
      <c r="A1182" s="31" t="n"/>
      <c r="B1182" s="37" t="n"/>
      <c r="C1182" s="36" t="n"/>
      <c r="D1182" s="38" t="n"/>
      <c r="E1182" s="44" t="n"/>
      <c r="F1182" s="32" t="n"/>
      <c r="G1182" s="32" t="n"/>
      <c r="H1182" s="39">
        <f>IF(C1182="","",IFERROR(INDEX('Animais'!$M$6:$M$1005,MATCH(C1182,'Animais'!$A$6:$A$1005,0)),"Brinco não cadastrado"))</f>
        <v/>
      </c>
      <c r="I1182" s="34">
        <f>IF(A1182="","",YEAR(A1182))</f>
        <v/>
      </c>
      <c r="J1182" s="45">
        <f>IF(OR(N(D1182)=0,N(E1182)=0),"",IFERROR(E1182/D1182,""))</f>
        <v/>
      </c>
    </row>
    <row r="1183">
      <c r="A1183" s="31" t="n"/>
      <c r="B1183" s="37" t="n"/>
      <c r="C1183" s="36" t="n"/>
      <c r="D1183" s="38" t="n"/>
      <c r="E1183" s="44" t="n"/>
      <c r="F1183" s="32" t="n"/>
      <c r="G1183" s="32" t="n"/>
      <c r="H1183" s="39">
        <f>IF(C1183="","",IFERROR(INDEX('Animais'!$M$6:$M$1005,MATCH(C1183,'Animais'!$A$6:$A$1005,0)),"Brinco não cadastrado"))</f>
        <v/>
      </c>
      <c r="I1183" s="34">
        <f>IF(A1183="","",YEAR(A1183))</f>
        <v/>
      </c>
      <c r="J1183" s="45">
        <f>IF(OR(N(D1183)=0,N(E1183)=0),"",IFERROR(E1183/D1183,""))</f>
        <v/>
      </c>
    </row>
    <row r="1184">
      <c r="A1184" s="31" t="n"/>
      <c r="B1184" s="37" t="n"/>
      <c r="C1184" s="36" t="n"/>
      <c r="D1184" s="38" t="n"/>
      <c r="E1184" s="44" t="n"/>
      <c r="F1184" s="32" t="n"/>
      <c r="G1184" s="32" t="n"/>
      <c r="H1184" s="39">
        <f>IF(C1184="","",IFERROR(INDEX('Animais'!$M$6:$M$1005,MATCH(C1184,'Animais'!$A$6:$A$1005,0)),"Brinco não cadastrado"))</f>
        <v/>
      </c>
      <c r="I1184" s="34">
        <f>IF(A1184="","",YEAR(A1184))</f>
        <v/>
      </c>
      <c r="J1184" s="45">
        <f>IF(OR(N(D1184)=0,N(E1184)=0),"",IFERROR(E1184/D1184,""))</f>
        <v/>
      </c>
    </row>
    <row r="1185">
      <c r="A1185" s="31" t="n"/>
      <c r="B1185" s="37" t="n"/>
      <c r="C1185" s="36" t="n"/>
      <c r="D1185" s="38" t="n"/>
      <c r="E1185" s="44" t="n"/>
      <c r="F1185" s="32" t="n"/>
      <c r="G1185" s="32" t="n"/>
      <c r="H1185" s="39">
        <f>IF(C1185="","",IFERROR(INDEX('Animais'!$M$6:$M$1005,MATCH(C1185,'Animais'!$A$6:$A$1005,0)),"Brinco não cadastrado"))</f>
        <v/>
      </c>
      <c r="I1185" s="34">
        <f>IF(A1185="","",YEAR(A1185))</f>
        <v/>
      </c>
      <c r="J1185" s="45">
        <f>IF(OR(N(D1185)=0,N(E1185)=0),"",IFERROR(E1185/D1185,""))</f>
        <v/>
      </c>
    </row>
    <row r="1186">
      <c r="A1186" s="31" t="n"/>
      <c r="B1186" s="37" t="n"/>
      <c r="C1186" s="36" t="n"/>
      <c r="D1186" s="38" t="n"/>
      <c r="E1186" s="44" t="n"/>
      <c r="F1186" s="32" t="n"/>
      <c r="G1186" s="32" t="n"/>
      <c r="H1186" s="39">
        <f>IF(C1186="","",IFERROR(INDEX('Animais'!$M$6:$M$1005,MATCH(C1186,'Animais'!$A$6:$A$1005,0)),"Brinco não cadastrado"))</f>
        <v/>
      </c>
      <c r="I1186" s="34">
        <f>IF(A1186="","",YEAR(A1186))</f>
        <v/>
      </c>
      <c r="J1186" s="45">
        <f>IF(OR(N(D1186)=0,N(E1186)=0),"",IFERROR(E1186/D1186,""))</f>
        <v/>
      </c>
    </row>
    <row r="1187">
      <c r="A1187" s="31" t="n"/>
      <c r="B1187" s="37" t="n"/>
      <c r="C1187" s="36" t="n"/>
      <c r="D1187" s="38" t="n"/>
      <c r="E1187" s="44" t="n"/>
      <c r="F1187" s="32" t="n"/>
      <c r="G1187" s="32" t="n"/>
      <c r="H1187" s="39">
        <f>IF(C1187="","",IFERROR(INDEX('Animais'!$M$6:$M$1005,MATCH(C1187,'Animais'!$A$6:$A$1005,0)),"Brinco não cadastrado"))</f>
        <v/>
      </c>
      <c r="I1187" s="34">
        <f>IF(A1187="","",YEAR(A1187))</f>
        <v/>
      </c>
      <c r="J1187" s="45">
        <f>IF(OR(N(D1187)=0,N(E1187)=0),"",IFERROR(E1187/D1187,""))</f>
        <v/>
      </c>
    </row>
    <row r="1188">
      <c r="A1188" s="31" t="n"/>
      <c r="B1188" s="37" t="n"/>
      <c r="C1188" s="36" t="n"/>
      <c r="D1188" s="38" t="n"/>
      <c r="E1188" s="44" t="n"/>
      <c r="F1188" s="32" t="n"/>
      <c r="G1188" s="32" t="n"/>
      <c r="H1188" s="39">
        <f>IF(C1188="","",IFERROR(INDEX('Animais'!$M$6:$M$1005,MATCH(C1188,'Animais'!$A$6:$A$1005,0)),"Brinco não cadastrado"))</f>
        <v/>
      </c>
      <c r="I1188" s="34">
        <f>IF(A1188="","",YEAR(A1188))</f>
        <v/>
      </c>
      <c r="J1188" s="45">
        <f>IF(OR(N(D1188)=0,N(E1188)=0),"",IFERROR(E1188/D1188,""))</f>
        <v/>
      </c>
    </row>
    <row r="1189">
      <c r="A1189" s="31" t="n"/>
      <c r="B1189" s="37" t="n"/>
      <c r="C1189" s="36" t="n"/>
      <c r="D1189" s="38" t="n"/>
      <c r="E1189" s="44" t="n"/>
      <c r="F1189" s="32" t="n"/>
      <c r="G1189" s="32" t="n"/>
      <c r="H1189" s="39">
        <f>IF(C1189="","",IFERROR(INDEX('Animais'!$M$6:$M$1005,MATCH(C1189,'Animais'!$A$6:$A$1005,0)),"Brinco não cadastrado"))</f>
        <v/>
      </c>
      <c r="I1189" s="34">
        <f>IF(A1189="","",YEAR(A1189))</f>
        <v/>
      </c>
      <c r="J1189" s="45">
        <f>IF(OR(N(D1189)=0,N(E1189)=0),"",IFERROR(E1189/D1189,""))</f>
        <v/>
      </c>
    </row>
    <row r="1190">
      <c r="A1190" s="31" t="n"/>
      <c r="B1190" s="37" t="n"/>
      <c r="C1190" s="36" t="n"/>
      <c r="D1190" s="38" t="n"/>
      <c r="E1190" s="44" t="n"/>
      <c r="F1190" s="32" t="n"/>
      <c r="G1190" s="32" t="n"/>
      <c r="H1190" s="39">
        <f>IF(C1190="","",IFERROR(INDEX('Animais'!$M$6:$M$1005,MATCH(C1190,'Animais'!$A$6:$A$1005,0)),"Brinco não cadastrado"))</f>
        <v/>
      </c>
      <c r="I1190" s="34">
        <f>IF(A1190="","",YEAR(A1190))</f>
        <v/>
      </c>
      <c r="J1190" s="45">
        <f>IF(OR(N(D1190)=0,N(E1190)=0),"",IFERROR(E1190/D1190,""))</f>
        <v/>
      </c>
    </row>
    <row r="1191">
      <c r="A1191" s="31" t="n"/>
      <c r="B1191" s="37" t="n"/>
      <c r="C1191" s="36" t="n"/>
      <c r="D1191" s="38" t="n"/>
      <c r="E1191" s="44" t="n"/>
      <c r="F1191" s="32" t="n"/>
      <c r="G1191" s="32" t="n"/>
      <c r="H1191" s="39">
        <f>IF(C1191="","",IFERROR(INDEX('Animais'!$M$6:$M$1005,MATCH(C1191,'Animais'!$A$6:$A$1005,0)),"Brinco não cadastrado"))</f>
        <v/>
      </c>
      <c r="I1191" s="34">
        <f>IF(A1191="","",YEAR(A1191))</f>
        <v/>
      </c>
      <c r="J1191" s="45">
        <f>IF(OR(N(D1191)=0,N(E1191)=0),"",IFERROR(E1191/D1191,""))</f>
        <v/>
      </c>
    </row>
    <row r="1192">
      <c r="A1192" s="31" t="n"/>
      <c r="B1192" s="37" t="n"/>
      <c r="C1192" s="36" t="n"/>
      <c r="D1192" s="38" t="n"/>
      <c r="E1192" s="44" t="n"/>
      <c r="F1192" s="32" t="n"/>
      <c r="G1192" s="32" t="n"/>
      <c r="H1192" s="39">
        <f>IF(C1192="","",IFERROR(INDEX('Animais'!$M$6:$M$1005,MATCH(C1192,'Animais'!$A$6:$A$1005,0)),"Brinco não cadastrado"))</f>
        <v/>
      </c>
      <c r="I1192" s="34">
        <f>IF(A1192="","",YEAR(A1192))</f>
        <v/>
      </c>
      <c r="J1192" s="45">
        <f>IF(OR(N(D1192)=0,N(E1192)=0),"",IFERROR(E1192/D1192,""))</f>
        <v/>
      </c>
    </row>
    <row r="1193">
      <c r="A1193" s="31" t="n"/>
      <c r="B1193" s="37" t="n"/>
      <c r="C1193" s="36" t="n"/>
      <c r="D1193" s="38" t="n"/>
      <c r="E1193" s="44" t="n"/>
      <c r="F1193" s="32" t="n"/>
      <c r="G1193" s="32" t="n"/>
      <c r="H1193" s="39">
        <f>IF(C1193="","",IFERROR(INDEX('Animais'!$M$6:$M$1005,MATCH(C1193,'Animais'!$A$6:$A$1005,0)),"Brinco não cadastrado"))</f>
        <v/>
      </c>
      <c r="I1193" s="34">
        <f>IF(A1193="","",YEAR(A1193))</f>
        <v/>
      </c>
      <c r="J1193" s="45">
        <f>IF(OR(N(D1193)=0,N(E1193)=0),"",IFERROR(E1193/D1193,""))</f>
        <v/>
      </c>
    </row>
    <row r="1194">
      <c r="A1194" s="31" t="n"/>
      <c r="B1194" s="37" t="n"/>
      <c r="C1194" s="36" t="n"/>
      <c r="D1194" s="38" t="n"/>
      <c r="E1194" s="44" t="n"/>
      <c r="F1194" s="32" t="n"/>
      <c r="G1194" s="32" t="n"/>
      <c r="H1194" s="39">
        <f>IF(C1194="","",IFERROR(INDEX('Animais'!$M$6:$M$1005,MATCH(C1194,'Animais'!$A$6:$A$1005,0)),"Brinco não cadastrado"))</f>
        <v/>
      </c>
      <c r="I1194" s="34">
        <f>IF(A1194="","",YEAR(A1194))</f>
        <v/>
      </c>
      <c r="J1194" s="45">
        <f>IF(OR(N(D1194)=0,N(E1194)=0),"",IFERROR(E1194/D1194,""))</f>
        <v/>
      </c>
    </row>
    <row r="1195">
      <c r="A1195" s="31" t="n"/>
      <c r="B1195" s="37" t="n"/>
      <c r="C1195" s="36" t="n"/>
      <c r="D1195" s="38" t="n"/>
      <c r="E1195" s="44" t="n"/>
      <c r="F1195" s="32" t="n"/>
      <c r="G1195" s="32" t="n"/>
      <c r="H1195" s="39">
        <f>IF(C1195="","",IFERROR(INDEX('Animais'!$M$6:$M$1005,MATCH(C1195,'Animais'!$A$6:$A$1005,0)),"Brinco não cadastrado"))</f>
        <v/>
      </c>
      <c r="I1195" s="34">
        <f>IF(A1195="","",YEAR(A1195))</f>
        <v/>
      </c>
      <c r="J1195" s="45">
        <f>IF(OR(N(D1195)=0,N(E1195)=0),"",IFERROR(E1195/D1195,""))</f>
        <v/>
      </c>
    </row>
    <row r="1196">
      <c r="A1196" s="31" t="n"/>
      <c r="B1196" s="37" t="n"/>
      <c r="C1196" s="36" t="n"/>
      <c r="D1196" s="38" t="n"/>
      <c r="E1196" s="44" t="n"/>
      <c r="F1196" s="32" t="n"/>
      <c r="G1196" s="32" t="n"/>
      <c r="H1196" s="39">
        <f>IF(C1196="","",IFERROR(INDEX('Animais'!$M$6:$M$1005,MATCH(C1196,'Animais'!$A$6:$A$1005,0)),"Brinco não cadastrado"))</f>
        <v/>
      </c>
      <c r="I1196" s="34">
        <f>IF(A1196="","",YEAR(A1196))</f>
        <v/>
      </c>
      <c r="J1196" s="45">
        <f>IF(OR(N(D1196)=0,N(E1196)=0),"",IFERROR(E1196/D1196,""))</f>
        <v/>
      </c>
    </row>
    <row r="1197">
      <c r="A1197" s="31" t="n"/>
      <c r="B1197" s="37" t="n"/>
      <c r="C1197" s="36" t="n"/>
      <c r="D1197" s="38" t="n"/>
      <c r="E1197" s="44" t="n"/>
      <c r="F1197" s="32" t="n"/>
      <c r="G1197" s="32" t="n"/>
      <c r="H1197" s="39">
        <f>IF(C1197="","",IFERROR(INDEX('Animais'!$M$6:$M$1005,MATCH(C1197,'Animais'!$A$6:$A$1005,0)),"Brinco não cadastrado"))</f>
        <v/>
      </c>
      <c r="I1197" s="34">
        <f>IF(A1197="","",YEAR(A1197))</f>
        <v/>
      </c>
      <c r="J1197" s="45">
        <f>IF(OR(N(D1197)=0,N(E1197)=0),"",IFERROR(E1197/D1197,""))</f>
        <v/>
      </c>
    </row>
    <row r="1198">
      <c r="A1198" s="31" t="n"/>
      <c r="B1198" s="37" t="n"/>
      <c r="C1198" s="36" t="n"/>
      <c r="D1198" s="38" t="n"/>
      <c r="E1198" s="44" t="n"/>
      <c r="F1198" s="32" t="n"/>
      <c r="G1198" s="32" t="n"/>
      <c r="H1198" s="39">
        <f>IF(C1198="","",IFERROR(INDEX('Animais'!$M$6:$M$1005,MATCH(C1198,'Animais'!$A$6:$A$1005,0)),"Brinco não cadastrado"))</f>
        <v/>
      </c>
      <c r="I1198" s="34">
        <f>IF(A1198="","",YEAR(A1198))</f>
        <v/>
      </c>
      <c r="J1198" s="45">
        <f>IF(OR(N(D1198)=0,N(E1198)=0),"",IFERROR(E1198/D1198,""))</f>
        <v/>
      </c>
    </row>
    <row r="1199">
      <c r="A1199" s="31" t="n"/>
      <c r="B1199" s="37" t="n"/>
      <c r="C1199" s="36" t="n"/>
      <c r="D1199" s="38" t="n"/>
      <c r="E1199" s="44" t="n"/>
      <c r="F1199" s="32" t="n"/>
      <c r="G1199" s="32" t="n"/>
      <c r="H1199" s="39">
        <f>IF(C1199="","",IFERROR(INDEX('Animais'!$M$6:$M$1005,MATCH(C1199,'Animais'!$A$6:$A$1005,0)),"Brinco não cadastrado"))</f>
        <v/>
      </c>
      <c r="I1199" s="34">
        <f>IF(A1199="","",YEAR(A1199))</f>
        <v/>
      </c>
      <c r="J1199" s="45">
        <f>IF(OR(N(D1199)=0,N(E1199)=0),"",IFERROR(E1199/D1199,""))</f>
        <v/>
      </c>
    </row>
    <row r="1200">
      <c r="A1200" s="31" t="n"/>
      <c r="B1200" s="37" t="n"/>
      <c r="C1200" s="36" t="n"/>
      <c r="D1200" s="38" t="n"/>
      <c r="E1200" s="44" t="n"/>
      <c r="F1200" s="32" t="n"/>
      <c r="G1200" s="32" t="n"/>
      <c r="H1200" s="39">
        <f>IF(C1200="","",IFERROR(INDEX('Animais'!$M$6:$M$1005,MATCH(C1200,'Animais'!$A$6:$A$1005,0)),"Brinco não cadastrado"))</f>
        <v/>
      </c>
      <c r="I1200" s="34">
        <f>IF(A1200="","",YEAR(A1200))</f>
        <v/>
      </c>
      <c r="J1200" s="45">
        <f>IF(OR(N(D1200)=0,N(E1200)=0),"",IFERROR(E1200/D1200,""))</f>
        <v/>
      </c>
    </row>
    <row r="1201">
      <c r="A1201" s="31" t="n"/>
      <c r="B1201" s="37" t="n"/>
      <c r="C1201" s="36" t="n"/>
      <c r="D1201" s="38" t="n"/>
      <c r="E1201" s="44" t="n"/>
      <c r="F1201" s="32" t="n"/>
      <c r="G1201" s="32" t="n"/>
      <c r="H1201" s="39">
        <f>IF(C1201="","",IFERROR(INDEX('Animais'!$M$6:$M$1005,MATCH(C1201,'Animais'!$A$6:$A$1005,0)),"Brinco não cadastrado"))</f>
        <v/>
      </c>
      <c r="I1201" s="34">
        <f>IF(A1201="","",YEAR(A1201))</f>
        <v/>
      </c>
      <c r="J1201" s="45">
        <f>IF(OR(N(D1201)=0,N(E1201)=0),"",IFERROR(E1201/D1201,""))</f>
        <v/>
      </c>
    </row>
    <row r="1202">
      <c r="A1202" s="31" t="n"/>
      <c r="B1202" s="37" t="n"/>
      <c r="C1202" s="36" t="n"/>
      <c r="D1202" s="38" t="n"/>
      <c r="E1202" s="44" t="n"/>
      <c r="F1202" s="32" t="n"/>
      <c r="G1202" s="32" t="n"/>
      <c r="H1202" s="39">
        <f>IF(C1202="","",IFERROR(INDEX('Animais'!$M$6:$M$1005,MATCH(C1202,'Animais'!$A$6:$A$1005,0)),"Brinco não cadastrado"))</f>
        <v/>
      </c>
      <c r="I1202" s="34">
        <f>IF(A1202="","",YEAR(A1202))</f>
        <v/>
      </c>
      <c r="J1202" s="45">
        <f>IF(OR(N(D1202)=0,N(E1202)=0),"",IFERROR(E1202/D1202,""))</f>
        <v/>
      </c>
    </row>
    <row r="1203">
      <c r="A1203" s="31" t="n"/>
      <c r="B1203" s="37" t="n"/>
      <c r="C1203" s="36" t="n"/>
      <c r="D1203" s="38" t="n"/>
      <c r="E1203" s="44" t="n"/>
      <c r="F1203" s="32" t="n"/>
      <c r="G1203" s="32" t="n"/>
      <c r="H1203" s="39">
        <f>IF(C1203="","",IFERROR(INDEX('Animais'!$M$6:$M$1005,MATCH(C1203,'Animais'!$A$6:$A$1005,0)),"Brinco não cadastrado"))</f>
        <v/>
      </c>
      <c r="I1203" s="34">
        <f>IF(A1203="","",YEAR(A1203))</f>
        <v/>
      </c>
      <c r="J1203" s="45">
        <f>IF(OR(N(D1203)=0,N(E1203)=0),"",IFERROR(E1203/D1203,""))</f>
        <v/>
      </c>
    </row>
    <row r="1204">
      <c r="A1204" s="31" t="n"/>
      <c r="B1204" s="37" t="n"/>
      <c r="C1204" s="36" t="n"/>
      <c r="D1204" s="38" t="n"/>
      <c r="E1204" s="44" t="n"/>
      <c r="F1204" s="32" t="n"/>
      <c r="G1204" s="32" t="n"/>
      <c r="H1204" s="39">
        <f>IF(C1204="","",IFERROR(INDEX('Animais'!$M$6:$M$1005,MATCH(C1204,'Animais'!$A$6:$A$1005,0)),"Brinco não cadastrado"))</f>
        <v/>
      </c>
      <c r="I1204" s="34">
        <f>IF(A1204="","",YEAR(A1204))</f>
        <v/>
      </c>
      <c r="J1204" s="45">
        <f>IF(OR(N(D1204)=0,N(E1204)=0),"",IFERROR(E1204/D1204,""))</f>
        <v/>
      </c>
    </row>
    <row r="1205">
      <c r="A1205" s="31" t="n"/>
      <c r="B1205" s="37" t="n"/>
      <c r="C1205" s="36" t="n"/>
      <c r="D1205" s="38" t="n"/>
      <c r="E1205" s="44" t="n"/>
      <c r="F1205" s="32" t="n"/>
      <c r="G1205" s="32" t="n"/>
      <c r="H1205" s="39">
        <f>IF(C1205="","",IFERROR(INDEX('Animais'!$M$6:$M$1005,MATCH(C1205,'Animais'!$A$6:$A$1005,0)),"Brinco não cadastrado"))</f>
        <v/>
      </c>
      <c r="I1205" s="34">
        <f>IF(A1205="","",YEAR(A1205))</f>
        <v/>
      </c>
      <c r="J1205" s="45">
        <f>IF(OR(N(D1205)=0,N(E1205)=0),"",IFERROR(E1205/D1205,""))</f>
        <v/>
      </c>
    </row>
    <row r="1206">
      <c r="A1206" s="31" t="n"/>
      <c r="B1206" s="37" t="n"/>
      <c r="C1206" s="36" t="n"/>
      <c r="D1206" s="38" t="n"/>
      <c r="E1206" s="44" t="n"/>
      <c r="F1206" s="32" t="n"/>
      <c r="G1206" s="32" t="n"/>
      <c r="H1206" s="39">
        <f>IF(C1206="","",IFERROR(INDEX('Animais'!$M$6:$M$1005,MATCH(C1206,'Animais'!$A$6:$A$1005,0)),"Brinco não cadastrado"))</f>
        <v/>
      </c>
      <c r="I1206" s="34">
        <f>IF(A1206="","",YEAR(A1206))</f>
        <v/>
      </c>
      <c r="J1206" s="45">
        <f>IF(OR(N(D1206)=0,N(E1206)=0),"",IFERROR(E1206/D1206,""))</f>
        <v/>
      </c>
    </row>
    <row r="1207">
      <c r="A1207" s="31" t="n"/>
      <c r="B1207" s="37" t="n"/>
      <c r="C1207" s="36" t="n"/>
      <c r="D1207" s="38" t="n"/>
      <c r="E1207" s="44" t="n"/>
      <c r="F1207" s="32" t="n"/>
      <c r="G1207" s="32" t="n"/>
      <c r="H1207" s="39">
        <f>IF(C1207="","",IFERROR(INDEX('Animais'!$M$6:$M$1005,MATCH(C1207,'Animais'!$A$6:$A$1005,0)),"Brinco não cadastrado"))</f>
        <v/>
      </c>
      <c r="I1207" s="34">
        <f>IF(A1207="","",YEAR(A1207))</f>
        <v/>
      </c>
      <c r="J1207" s="45">
        <f>IF(OR(N(D1207)=0,N(E1207)=0),"",IFERROR(E1207/D1207,""))</f>
        <v/>
      </c>
    </row>
    <row r="1208">
      <c r="A1208" s="31" t="n"/>
      <c r="B1208" s="37" t="n"/>
      <c r="C1208" s="36" t="n"/>
      <c r="D1208" s="38" t="n"/>
      <c r="E1208" s="44" t="n"/>
      <c r="F1208" s="32" t="n"/>
      <c r="G1208" s="32" t="n"/>
      <c r="H1208" s="39">
        <f>IF(C1208="","",IFERROR(INDEX('Animais'!$M$6:$M$1005,MATCH(C1208,'Animais'!$A$6:$A$1005,0)),"Brinco não cadastrado"))</f>
        <v/>
      </c>
      <c r="I1208" s="34">
        <f>IF(A1208="","",YEAR(A1208))</f>
        <v/>
      </c>
      <c r="J1208" s="45">
        <f>IF(OR(N(D1208)=0,N(E1208)=0),"",IFERROR(E1208/D1208,""))</f>
        <v/>
      </c>
    </row>
    <row r="1209">
      <c r="A1209" s="31" t="n"/>
      <c r="B1209" s="37" t="n"/>
      <c r="C1209" s="36" t="n"/>
      <c r="D1209" s="38" t="n"/>
      <c r="E1209" s="44" t="n"/>
      <c r="F1209" s="32" t="n"/>
      <c r="G1209" s="32" t="n"/>
      <c r="H1209" s="39">
        <f>IF(C1209="","",IFERROR(INDEX('Animais'!$M$6:$M$1005,MATCH(C1209,'Animais'!$A$6:$A$1005,0)),"Brinco não cadastrado"))</f>
        <v/>
      </c>
      <c r="I1209" s="34">
        <f>IF(A1209="","",YEAR(A1209))</f>
        <v/>
      </c>
      <c r="J1209" s="45">
        <f>IF(OR(N(D1209)=0,N(E1209)=0),"",IFERROR(E1209/D1209,""))</f>
        <v/>
      </c>
    </row>
    <row r="1210">
      <c r="A1210" s="31" t="n"/>
      <c r="B1210" s="37" t="n"/>
      <c r="C1210" s="36" t="n"/>
      <c r="D1210" s="38" t="n"/>
      <c r="E1210" s="44" t="n"/>
      <c r="F1210" s="32" t="n"/>
      <c r="G1210" s="32" t="n"/>
      <c r="H1210" s="39">
        <f>IF(C1210="","",IFERROR(INDEX('Animais'!$M$6:$M$1005,MATCH(C1210,'Animais'!$A$6:$A$1005,0)),"Brinco não cadastrado"))</f>
        <v/>
      </c>
      <c r="I1210" s="34">
        <f>IF(A1210="","",YEAR(A1210))</f>
        <v/>
      </c>
      <c r="J1210" s="45">
        <f>IF(OR(N(D1210)=0,N(E1210)=0),"",IFERROR(E1210/D1210,""))</f>
        <v/>
      </c>
    </row>
    <row r="1211">
      <c r="A1211" s="31" t="n"/>
      <c r="B1211" s="37" t="n"/>
      <c r="C1211" s="36" t="n"/>
      <c r="D1211" s="38" t="n"/>
      <c r="E1211" s="44" t="n"/>
      <c r="F1211" s="32" t="n"/>
      <c r="G1211" s="32" t="n"/>
      <c r="H1211" s="39">
        <f>IF(C1211="","",IFERROR(INDEX('Animais'!$M$6:$M$1005,MATCH(C1211,'Animais'!$A$6:$A$1005,0)),"Brinco não cadastrado"))</f>
        <v/>
      </c>
      <c r="I1211" s="34">
        <f>IF(A1211="","",YEAR(A1211))</f>
        <v/>
      </c>
      <c r="J1211" s="45">
        <f>IF(OR(N(D1211)=0,N(E1211)=0),"",IFERROR(E1211/D1211,""))</f>
        <v/>
      </c>
    </row>
    <row r="1212">
      <c r="A1212" s="31" t="n"/>
      <c r="B1212" s="37" t="n"/>
      <c r="C1212" s="36" t="n"/>
      <c r="D1212" s="38" t="n"/>
      <c r="E1212" s="44" t="n"/>
      <c r="F1212" s="32" t="n"/>
      <c r="G1212" s="32" t="n"/>
      <c r="H1212" s="39">
        <f>IF(C1212="","",IFERROR(INDEX('Animais'!$M$6:$M$1005,MATCH(C1212,'Animais'!$A$6:$A$1005,0)),"Brinco não cadastrado"))</f>
        <v/>
      </c>
      <c r="I1212" s="34">
        <f>IF(A1212="","",YEAR(A1212))</f>
        <v/>
      </c>
      <c r="J1212" s="45">
        <f>IF(OR(N(D1212)=0,N(E1212)=0),"",IFERROR(E1212/D1212,""))</f>
        <v/>
      </c>
    </row>
    <row r="1213">
      <c r="A1213" s="31" t="n"/>
      <c r="B1213" s="37" t="n"/>
      <c r="C1213" s="36" t="n"/>
      <c r="D1213" s="38" t="n"/>
      <c r="E1213" s="44" t="n"/>
      <c r="F1213" s="32" t="n"/>
      <c r="G1213" s="32" t="n"/>
      <c r="H1213" s="39">
        <f>IF(C1213="","",IFERROR(INDEX('Animais'!$M$6:$M$1005,MATCH(C1213,'Animais'!$A$6:$A$1005,0)),"Brinco não cadastrado"))</f>
        <v/>
      </c>
      <c r="I1213" s="34">
        <f>IF(A1213="","",YEAR(A1213))</f>
        <v/>
      </c>
      <c r="J1213" s="45">
        <f>IF(OR(N(D1213)=0,N(E1213)=0),"",IFERROR(E1213/D1213,""))</f>
        <v/>
      </c>
    </row>
    <row r="1214">
      <c r="A1214" s="31" t="n"/>
      <c r="B1214" s="37" t="n"/>
      <c r="C1214" s="36" t="n"/>
      <c r="D1214" s="38" t="n"/>
      <c r="E1214" s="44" t="n"/>
      <c r="F1214" s="32" t="n"/>
      <c r="G1214" s="32" t="n"/>
      <c r="H1214" s="39">
        <f>IF(C1214="","",IFERROR(INDEX('Animais'!$M$6:$M$1005,MATCH(C1214,'Animais'!$A$6:$A$1005,0)),"Brinco não cadastrado"))</f>
        <v/>
      </c>
      <c r="I1214" s="34">
        <f>IF(A1214="","",YEAR(A1214))</f>
        <v/>
      </c>
      <c r="J1214" s="45">
        <f>IF(OR(N(D1214)=0,N(E1214)=0),"",IFERROR(E1214/D1214,""))</f>
        <v/>
      </c>
    </row>
    <row r="1215">
      <c r="A1215" s="31" t="n"/>
      <c r="B1215" s="37" t="n"/>
      <c r="C1215" s="36" t="n"/>
      <c r="D1215" s="38" t="n"/>
      <c r="E1215" s="44" t="n"/>
      <c r="F1215" s="32" t="n"/>
      <c r="G1215" s="32" t="n"/>
      <c r="H1215" s="39">
        <f>IF(C1215="","",IFERROR(INDEX('Animais'!$M$6:$M$1005,MATCH(C1215,'Animais'!$A$6:$A$1005,0)),"Brinco não cadastrado"))</f>
        <v/>
      </c>
      <c r="I1215" s="34">
        <f>IF(A1215="","",YEAR(A1215))</f>
        <v/>
      </c>
      <c r="J1215" s="45">
        <f>IF(OR(N(D1215)=0,N(E1215)=0),"",IFERROR(E1215/D1215,""))</f>
        <v/>
      </c>
    </row>
    <row r="1216">
      <c r="A1216" s="31" t="n"/>
      <c r="B1216" s="37" t="n"/>
      <c r="C1216" s="36" t="n"/>
      <c r="D1216" s="38" t="n"/>
      <c r="E1216" s="44" t="n"/>
      <c r="F1216" s="32" t="n"/>
      <c r="G1216" s="32" t="n"/>
      <c r="H1216" s="39">
        <f>IF(C1216="","",IFERROR(INDEX('Animais'!$M$6:$M$1005,MATCH(C1216,'Animais'!$A$6:$A$1005,0)),"Brinco não cadastrado"))</f>
        <v/>
      </c>
      <c r="I1216" s="34">
        <f>IF(A1216="","",YEAR(A1216))</f>
        <v/>
      </c>
      <c r="J1216" s="45">
        <f>IF(OR(N(D1216)=0,N(E1216)=0),"",IFERROR(E1216/D1216,""))</f>
        <v/>
      </c>
    </row>
    <row r="1217">
      <c r="A1217" s="31" t="n"/>
      <c r="B1217" s="37" t="n"/>
      <c r="C1217" s="36" t="n"/>
      <c r="D1217" s="38" t="n"/>
      <c r="E1217" s="44" t="n"/>
      <c r="F1217" s="32" t="n"/>
      <c r="G1217" s="32" t="n"/>
      <c r="H1217" s="39">
        <f>IF(C1217="","",IFERROR(INDEX('Animais'!$M$6:$M$1005,MATCH(C1217,'Animais'!$A$6:$A$1005,0)),"Brinco não cadastrado"))</f>
        <v/>
      </c>
      <c r="I1217" s="34">
        <f>IF(A1217="","",YEAR(A1217))</f>
        <v/>
      </c>
      <c r="J1217" s="45">
        <f>IF(OR(N(D1217)=0,N(E1217)=0),"",IFERROR(E1217/D1217,""))</f>
        <v/>
      </c>
    </row>
    <row r="1218">
      <c r="A1218" s="31" t="n"/>
      <c r="B1218" s="37" t="n"/>
      <c r="C1218" s="36" t="n"/>
      <c r="D1218" s="38" t="n"/>
      <c r="E1218" s="44" t="n"/>
      <c r="F1218" s="32" t="n"/>
      <c r="G1218" s="32" t="n"/>
      <c r="H1218" s="39">
        <f>IF(C1218="","",IFERROR(INDEX('Animais'!$M$6:$M$1005,MATCH(C1218,'Animais'!$A$6:$A$1005,0)),"Brinco não cadastrado"))</f>
        <v/>
      </c>
      <c r="I1218" s="34">
        <f>IF(A1218="","",YEAR(A1218))</f>
        <v/>
      </c>
      <c r="J1218" s="45">
        <f>IF(OR(N(D1218)=0,N(E1218)=0),"",IFERROR(E1218/D1218,""))</f>
        <v/>
      </c>
    </row>
    <row r="1219">
      <c r="A1219" s="31" t="n"/>
      <c r="B1219" s="37" t="n"/>
      <c r="C1219" s="36" t="n"/>
      <c r="D1219" s="38" t="n"/>
      <c r="E1219" s="44" t="n"/>
      <c r="F1219" s="32" t="n"/>
      <c r="G1219" s="32" t="n"/>
      <c r="H1219" s="39">
        <f>IF(C1219="","",IFERROR(INDEX('Animais'!$M$6:$M$1005,MATCH(C1219,'Animais'!$A$6:$A$1005,0)),"Brinco não cadastrado"))</f>
        <v/>
      </c>
      <c r="I1219" s="34">
        <f>IF(A1219="","",YEAR(A1219))</f>
        <v/>
      </c>
      <c r="J1219" s="45">
        <f>IF(OR(N(D1219)=0,N(E1219)=0),"",IFERROR(E1219/D1219,""))</f>
        <v/>
      </c>
    </row>
    <row r="1220">
      <c r="A1220" s="31" t="n"/>
      <c r="B1220" s="37" t="n"/>
      <c r="C1220" s="36" t="n"/>
      <c r="D1220" s="38" t="n"/>
      <c r="E1220" s="44" t="n"/>
      <c r="F1220" s="32" t="n"/>
      <c r="G1220" s="32" t="n"/>
      <c r="H1220" s="39">
        <f>IF(C1220="","",IFERROR(INDEX('Animais'!$M$6:$M$1005,MATCH(C1220,'Animais'!$A$6:$A$1005,0)),"Brinco não cadastrado"))</f>
        <v/>
      </c>
      <c r="I1220" s="34">
        <f>IF(A1220="","",YEAR(A1220))</f>
        <v/>
      </c>
      <c r="J1220" s="45">
        <f>IF(OR(N(D1220)=0,N(E1220)=0),"",IFERROR(E1220/D1220,""))</f>
        <v/>
      </c>
    </row>
    <row r="1221">
      <c r="A1221" s="31" t="n"/>
      <c r="B1221" s="37" t="n"/>
      <c r="C1221" s="36" t="n"/>
      <c r="D1221" s="38" t="n"/>
      <c r="E1221" s="44" t="n"/>
      <c r="F1221" s="32" t="n"/>
      <c r="G1221" s="32" t="n"/>
      <c r="H1221" s="39">
        <f>IF(C1221="","",IFERROR(INDEX('Animais'!$M$6:$M$1005,MATCH(C1221,'Animais'!$A$6:$A$1005,0)),"Brinco não cadastrado"))</f>
        <v/>
      </c>
      <c r="I1221" s="34">
        <f>IF(A1221="","",YEAR(A1221))</f>
        <v/>
      </c>
      <c r="J1221" s="45">
        <f>IF(OR(N(D1221)=0,N(E1221)=0),"",IFERROR(E1221/D1221,""))</f>
        <v/>
      </c>
    </row>
    <row r="1222">
      <c r="A1222" s="31" t="n"/>
      <c r="B1222" s="37" t="n"/>
      <c r="C1222" s="36" t="n"/>
      <c r="D1222" s="38" t="n"/>
      <c r="E1222" s="44" t="n"/>
      <c r="F1222" s="32" t="n"/>
      <c r="G1222" s="32" t="n"/>
      <c r="H1222" s="39">
        <f>IF(C1222="","",IFERROR(INDEX('Animais'!$M$6:$M$1005,MATCH(C1222,'Animais'!$A$6:$A$1005,0)),"Brinco não cadastrado"))</f>
        <v/>
      </c>
      <c r="I1222" s="34">
        <f>IF(A1222="","",YEAR(A1222))</f>
        <v/>
      </c>
      <c r="J1222" s="45">
        <f>IF(OR(N(D1222)=0,N(E1222)=0),"",IFERROR(E1222/D1222,""))</f>
        <v/>
      </c>
    </row>
    <row r="1223">
      <c r="A1223" s="31" t="n"/>
      <c r="B1223" s="37" t="n"/>
      <c r="C1223" s="36" t="n"/>
      <c r="D1223" s="38" t="n"/>
      <c r="E1223" s="44" t="n"/>
      <c r="F1223" s="32" t="n"/>
      <c r="G1223" s="32" t="n"/>
      <c r="H1223" s="39">
        <f>IF(C1223="","",IFERROR(INDEX('Animais'!$M$6:$M$1005,MATCH(C1223,'Animais'!$A$6:$A$1005,0)),"Brinco não cadastrado"))</f>
        <v/>
      </c>
      <c r="I1223" s="34">
        <f>IF(A1223="","",YEAR(A1223))</f>
        <v/>
      </c>
      <c r="J1223" s="45">
        <f>IF(OR(N(D1223)=0,N(E1223)=0),"",IFERROR(E1223/D1223,""))</f>
        <v/>
      </c>
    </row>
    <row r="1224">
      <c r="A1224" s="31" t="n"/>
      <c r="B1224" s="37" t="n"/>
      <c r="C1224" s="36" t="n"/>
      <c r="D1224" s="38" t="n"/>
      <c r="E1224" s="44" t="n"/>
      <c r="F1224" s="32" t="n"/>
      <c r="G1224" s="32" t="n"/>
      <c r="H1224" s="39">
        <f>IF(C1224="","",IFERROR(INDEX('Animais'!$M$6:$M$1005,MATCH(C1224,'Animais'!$A$6:$A$1005,0)),"Brinco não cadastrado"))</f>
        <v/>
      </c>
      <c r="I1224" s="34">
        <f>IF(A1224="","",YEAR(A1224))</f>
        <v/>
      </c>
      <c r="J1224" s="45">
        <f>IF(OR(N(D1224)=0,N(E1224)=0),"",IFERROR(E1224/D1224,""))</f>
        <v/>
      </c>
    </row>
    <row r="1225">
      <c r="A1225" s="31" t="n"/>
      <c r="B1225" s="37" t="n"/>
      <c r="C1225" s="36" t="n"/>
      <c r="D1225" s="38" t="n"/>
      <c r="E1225" s="44" t="n"/>
      <c r="F1225" s="32" t="n"/>
      <c r="G1225" s="32" t="n"/>
      <c r="H1225" s="39">
        <f>IF(C1225="","",IFERROR(INDEX('Animais'!$M$6:$M$1005,MATCH(C1225,'Animais'!$A$6:$A$1005,0)),"Brinco não cadastrado"))</f>
        <v/>
      </c>
      <c r="I1225" s="34">
        <f>IF(A1225="","",YEAR(A1225))</f>
        <v/>
      </c>
      <c r="J1225" s="45">
        <f>IF(OR(N(D1225)=0,N(E1225)=0),"",IFERROR(E1225/D1225,""))</f>
        <v/>
      </c>
    </row>
    <row r="1226">
      <c r="A1226" s="31" t="n"/>
      <c r="B1226" s="37" t="n"/>
      <c r="C1226" s="36" t="n"/>
      <c r="D1226" s="38" t="n"/>
      <c r="E1226" s="44" t="n"/>
      <c r="F1226" s="32" t="n"/>
      <c r="G1226" s="32" t="n"/>
      <c r="H1226" s="39">
        <f>IF(C1226="","",IFERROR(INDEX('Animais'!$M$6:$M$1005,MATCH(C1226,'Animais'!$A$6:$A$1005,0)),"Brinco não cadastrado"))</f>
        <v/>
      </c>
      <c r="I1226" s="34">
        <f>IF(A1226="","",YEAR(A1226))</f>
        <v/>
      </c>
      <c r="J1226" s="45">
        <f>IF(OR(N(D1226)=0,N(E1226)=0),"",IFERROR(E1226/D1226,""))</f>
        <v/>
      </c>
    </row>
    <row r="1227">
      <c r="A1227" s="31" t="n"/>
      <c r="B1227" s="37" t="n"/>
      <c r="C1227" s="36" t="n"/>
      <c r="D1227" s="38" t="n"/>
      <c r="E1227" s="44" t="n"/>
      <c r="F1227" s="32" t="n"/>
      <c r="G1227" s="32" t="n"/>
      <c r="H1227" s="39">
        <f>IF(C1227="","",IFERROR(INDEX('Animais'!$M$6:$M$1005,MATCH(C1227,'Animais'!$A$6:$A$1005,0)),"Brinco não cadastrado"))</f>
        <v/>
      </c>
      <c r="I1227" s="34">
        <f>IF(A1227="","",YEAR(A1227))</f>
        <v/>
      </c>
      <c r="J1227" s="45">
        <f>IF(OR(N(D1227)=0,N(E1227)=0),"",IFERROR(E1227/D1227,""))</f>
        <v/>
      </c>
    </row>
    <row r="1228">
      <c r="A1228" s="31" t="n"/>
      <c r="B1228" s="37" t="n"/>
      <c r="C1228" s="36" t="n"/>
      <c r="D1228" s="38" t="n"/>
      <c r="E1228" s="44" t="n"/>
      <c r="F1228" s="32" t="n"/>
      <c r="G1228" s="32" t="n"/>
      <c r="H1228" s="39">
        <f>IF(C1228="","",IFERROR(INDEX('Animais'!$M$6:$M$1005,MATCH(C1228,'Animais'!$A$6:$A$1005,0)),"Brinco não cadastrado"))</f>
        <v/>
      </c>
      <c r="I1228" s="34">
        <f>IF(A1228="","",YEAR(A1228))</f>
        <v/>
      </c>
      <c r="J1228" s="45">
        <f>IF(OR(N(D1228)=0,N(E1228)=0),"",IFERROR(E1228/D1228,""))</f>
        <v/>
      </c>
    </row>
    <row r="1229">
      <c r="A1229" s="31" t="n"/>
      <c r="B1229" s="37" t="n"/>
      <c r="C1229" s="36" t="n"/>
      <c r="D1229" s="38" t="n"/>
      <c r="E1229" s="44" t="n"/>
      <c r="F1229" s="32" t="n"/>
      <c r="G1229" s="32" t="n"/>
      <c r="H1229" s="39">
        <f>IF(C1229="","",IFERROR(INDEX('Animais'!$M$6:$M$1005,MATCH(C1229,'Animais'!$A$6:$A$1005,0)),"Brinco não cadastrado"))</f>
        <v/>
      </c>
      <c r="I1229" s="34">
        <f>IF(A1229="","",YEAR(A1229))</f>
        <v/>
      </c>
      <c r="J1229" s="45">
        <f>IF(OR(N(D1229)=0,N(E1229)=0),"",IFERROR(E1229/D1229,""))</f>
        <v/>
      </c>
    </row>
    <row r="1230">
      <c r="A1230" s="31" t="n"/>
      <c r="B1230" s="37" t="n"/>
      <c r="C1230" s="36" t="n"/>
      <c r="D1230" s="38" t="n"/>
      <c r="E1230" s="44" t="n"/>
      <c r="F1230" s="32" t="n"/>
      <c r="G1230" s="32" t="n"/>
      <c r="H1230" s="39">
        <f>IF(C1230="","",IFERROR(INDEX('Animais'!$M$6:$M$1005,MATCH(C1230,'Animais'!$A$6:$A$1005,0)),"Brinco não cadastrado"))</f>
        <v/>
      </c>
      <c r="I1230" s="34">
        <f>IF(A1230="","",YEAR(A1230))</f>
        <v/>
      </c>
      <c r="J1230" s="45">
        <f>IF(OR(N(D1230)=0,N(E1230)=0),"",IFERROR(E1230/D1230,""))</f>
        <v/>
      </c>
    </row>
    <row r="1231">
      <c r="A1231" s="31" t="n"/>
      <c r="B1231" s="37" t="n"/>
      <c r="C1231" s="36" t="n"/>
      <c r="D1231" s="38" t="n"/>
      <c r="E1231" s="44" t="n"/>
      <c r="F1231" s="32" t="n"/>
      <c r="G1231" s="32" t="n"/>
      <c r="H1231" s="39">
        <f>IF(C1231="","",IFERROR(INDEX('Animais'!$M$6:$M$1005,MATCH(C1231,'Animais'!$A$6:$A$1005,0)),"Brinco não cadastrado"))</f>
        <v/>
      </c>
      <c r="I1231" s="34">
        <f>IF(A1231="","",YEAR(A1231))</f>
        <v/>
      </c>
      <c r="J1231" s="45">
        <f>IF(OR(N(D1231)=0,N(E1231)=0),"",IFERROR(E1231/D1231,""))</f>
        <v/>
      </c>
    </row>
    <row r="1232">
      <c r="A1232" s="31" t="n"/>
      <c r="B1232" s="37" t="n"/>
      <c r="C1232" s="36" t="n"/>
      <c r="D1232" s="38" t="n"/>
      <c r="E1232" s="44" t="n"/>
      <c r="F1232" s="32" t="n"/>
      <c r="G1232" s="32" t="n"/>
      <c r="H1232" s="39">
        <f>IF(C1232="","",IFERROR(INDEX('Animais'!$M$6:$M$1005,MATCH(C1232,'Animais'!$A$6:$A$1005,0)),"Brinco não cadastrado"))</f>
        <v/>
      </c>
      <c r="I1232" s="34">
        <f>IF(A1232="","",YEAR(A1232))</f>
        <v/>
      </c>
      <c r="J1232" s="45">
        <f>IF(OR(N(D1232)=0,N(E1232)=0),"",IFERROR(E1232/D1232,""))</f>
        <v/>
      </c>
    </row>
    <row r="1233">
      <c r="A1233" s="31" t="n"/>
      <c r="B1233" s="37" t="n"/>
      <c r="C1233" s="36" t="n"/>
      <c r="D1233" s="38" t="n"/>
      <c r="E1233" s="44" t="n"/>
      <c r="F1233" s="32" t="n"/>
      <c r="G1233" s="32" t="n"/>
      <c r="H1233" s="39">
        <f>IF(C1233="","",IFERROR(INDEX('Animais'!$M$6:$M$1005,MATCH(C1233,'Animais'!$A$6:$A$1005,0)),"Brinco não cadastrado"))</f>
        <v/>
      </c>
      <c r="I1233" s="34">
        <f>IF(A1233="","",YEAR(A1233))</f>
        <v/>
      </c>
      <c r="J1233" s="45">
        <f>IF(OR(N(D1233)=0,N(E1233)=0),"",IFERROR(E1233/D1233,""))</f>
        <v/>
      </c>
    </row>
    <row r="1234">
      <c r="A1234" s="31" t="n"/>
      <c r="B1234" s="37" t="n"/>
      <c r="C1234" s="36" t="n"/>
      <c r="D1234" s="38" t="n"/>
      <c r="E1234" s="44" t="n"/>
      <c r="F1234" s="32" t="n"/>
      <c r="G1234" s="32" t="n"/>
      <c r="H1234" s="39">
        <f>IF(C1234="","",IFERROR(INDEX('Animais'!$M$6:$M$1005,MATCH(C1234,'Animais'!$A$6:$A$1005,0)),"Brinco não cadastrado"))</f>
        <v/>
      </c>
      <c r="I1234" s="34">
        <f>IF(A1234="","",YEAR(A1234))</f>
        <v/>
      </c>
      <c r="J1234" s="45">
        <f>IF(OR(N(D1234)=0,N(E1234)=0),"",IFERROR(E1234/D1234,""))</f>
        <v/>
      </c>
    </row>
    <row r="1235">
      <c r="A1235" s="31" t="n"/>
      <c r="B1235" s="37" t="n"/>
      <c r="C1235" s="36" t="n"/>
      <c r="D1235" s="38" t="n"/>
      <c r="E1235" s="44" t="n"/>
      <c r="F1235" s="32" t="n"/>
      <c r="G1235" s="32" t="n"/>
      <c r="H1235" s="39">
        <f>IF(C1235="","",IFERROR(INDEX('Animais'!$M$6:$M$1005,MATCH(C1235,'Animais'!$A$6:$A$1005,0)),"Brinco não cadastrado"))</f>
        <v/>
      </c>
      <c r="I1235" s="34">
        <f>IF(A1235="","",YEAR(A1235))</f>
        <v/>
      </c>
      <c r="J1235" s="45">
        <f>IF(OR(N(D1235)=0,N(E1235)=0),"",IFERROR(E1235/D1235,""))</f>
        <v/>
      </c>
    </row>
    <row r="1236">
      <c r="A1236" s="31" t="n"/>
      <c r="B1236" s="37" t="n"/>
      <c r="C1236" s="36" t="n"/>
      <c r="D1236" s="38" t="n"/>
      <c r="E1236" s="44" t="n"/>
      <c r="F1236" s="32" t="n"/>
      <c r="G1236" s="32" t="n"/>
      <c r="H1236" s="39">
        <f>IF(C1236="","",IFERROR(INDEX('Animais'!$M$6:$M$1005,MATCH(C1236,'Animais'!$A$6:$A$1005,0)),"Brinco não cadastrado"))</f>
        <v/>
      </c>
      <c r="I1236" s="34">
        <f>IF(A1236="","",YEAR(A1236))</f>
        <v/>
      </c>
      <c r="J1236" s="45">
        <f>IF(OR(N(D1236)=0,N(E1236)=0),"",IFERROR(E1236/D1236,""))</f>
        <v/>
      </c>
    </row>
    <row r="1237">
      <c r="A1237" s="31" t="n"/>
      <c r="B1237" s="37" t="n"/>
      <c r="C1237" s="36" t="n"/>
      <c r="D1237" s="38" t="n"/>
      <c r="E1237" s="44" t="n"/>
      <c r="F1237" s="32" t="n"/>
      <c r="G1237" s="32" t="n"/>
      <c r="H1237" s="39">
        <f>IF(C1237="","",IFERROR(INDEX('Animais'!$M$6:$M$1005,MATCH(C1237,'Animais'!$A$6:$A$1005,0)),"Brinco não cadastrado"))</f>
        <v/>
      </c>
      <c r="I1237" s="34">
        <f>IF(A1237="","",YEAR(A1237))</f>
        <v/>
      </c>
      <c r="J1237" s="45">
        <f>IF(OR(N(D1237)=0,N(E1237)=0),"",IFERROR(E1237/D1237,""))</f>
        <v/>
      </c>
    </row>
    <row r="1238">
      <c r="A1238" s="31" t="n"/>
      <c r="B1238" s="37" t="n"/>
      <c r="C1238" s="36" t="n"/>
      <c r="D1238" s="38" t="n"/>
      <c r="E1238" s="44" t="n"/>
      <c r="F1238" s="32" t="n"/>
      <c r="G1238" s="32" t="n"/>
      <c r="H1238" s="39">
        <f>IF(C1238="","",IFERROR(INDEX('Animais'!$M$6:$M$1005,MATCH(C1238,'Animais'!$A$6:$A$1005,0)),"Brinco não cadastrado"))</f>
        <v/>
      </c>
      <c r="I1238" s="34">
        <f>IF(A1238="","",YEAR(A1238))</f>
        <v/>
      </c>
      <c r="J1238" s="45">
        <f>IF(OR(N(D1238)=0,N(E1238)=0),"",IFERROR(E1238/D1238,""))</f>
        <v/>
      </c>
    </row>
    <row r="1239">
      <c r="A1239" s="31" t="n"/>
      <c r="B1239" s="37" t="n"/>
      <c r="C1239" s="36" t="n"/>
      <c r="D1239" s="38" t="n"/>
      <c r="E1239" s="44" t="n"/>
      <c r="F1239" s="32" t="n"/>
      <c r="G1239" s="32" t="n"/>
      <c r="H1239" s="39">
        <f>IF(C1239="","",IFERROR(INDEX('Animais'!$M$6:$M$1005,MATCH(C1239,'Animais'!$A$6:$A$1005,0)),"Brinco não cadastrado"))</f>
        <v/>
      </c>
      <c r="I1239" s="34">
        <f>IF(A1239="","",YEAR(A1239))</f>
        <v/>
      </c>
      <c r="J1239" s="45">
        <f>IF(OR(N(D1239)=0,N(E1239)=0),"",IFERROR(E1239/D1239,""))</f>
        <v/>
      </c>
    </row>
    <row r="1240">
      <c r="A1240" s="31" t="n"/>
      <c r="B1240" s="37" t="n"/>
      <c r="C1240" s="36" t="n"/>
      <c r="D1240" s="38" t="n"/>
      <c r="E1240" s="44" t="n"/>
      <c r="F1240" s="32" t="n"/>
      <c r="G1240" s="32" t="n"/>
      <c r="H1240" s="39">
        <f>IF(C1240="","",IFERROR(INDEX('Animais'!$M$6:$M$1005,MATCH(C1240,'Animais'!$A$6:$A$1005,0)),"Brinco não cadastrado"))</f>
        <v/>
      </c>
      <c r="I1240" s="34">
        <f>IF(A1240="","",YEAR(A1240))</f>
        <v/>
      </c>
      <c r="J1240" s="45">
        <f>IF(OR(N(D1240)=0,N(E1240)=0),"",IFERROR(E1240/D1240,""))</f>
        <v/>
      </c>
    </row>
    <row r="1241">
      <c r="A1241" s="31" t="n"/>
      <c r="B1241" s="37" t="n"/>
      <c r="C1241" s="36" t="n"/>
      <c r="D1241" s="38" t="n"/>
      <c r="E1241" s="44" t="n"/>
      <c r="F1241" s="32" t="n"/>
      <c r="G1241" s="32" t="n"/>
      <c r="H1241" s="39">
        <f>IF(C1241="","",IFERROR(INDEX('Animais'!$M$6:$M$1005,MATCH(C1241,'Animais'!$A$6:$A$1005,0)),"Brinco não cadastrado"))</f>
        <v/>
      </c>
      <c r="I1241" s="34">
        <f>IF(A1241="","",YEAR(A1241))</f>
        <v/>
      </c>
      <c r="J1241" s="45">
        <f>IF(OR(N(D1241)=0,N(E1241)=0),"",IFERROR(E1241/D1241,""))</f>
        <v/>
      </c>
    </row>
    <row r="1242">
      <c r="A1242" s="31" t="n"/>
      <c r="B1242" s="37" t="n"/>
      <c r="C1242" s="36" t="n"/>
      <c r="D1242" s="38" t="n"/>
      <c r="E1242" s="44" t="n"/>
      <c r="F1242" s="32" t="n"/>
      <c r="G1242" s="32" t="n"/>
      <c r="H1242" s="39">
        <f>IF(C1242="","",IFERROR(INDEX('Animais'!$M$6:$M$1005,MATCH(C1242,'Animais'!$A$6:$A$1005,0)),"Brinco não cadastrado"))</f>
        <v/>
      </c>
      <c r="I1242" s="34">
        <f>IF(A1242="","",YEAR(A1242))</f>
        <v/>
      </c>
      <c r="J1242" s="45">
        <f>IF(OR(N(D1242)=0,N(E1242)=0),"",IFERROR(E1242/D1242,""))</f>
        <v/>
      </c>
    </row>
    <row r="1243">
      <c r="A1243" s="31" t="n"/>
      <c r="B1243" s="37" t="n"/>
      <c r="C1243" s="36" t="n"/>
      <c r="D1243" s="38" t="n"/>
      <c r="E1243" s="44" t="n"/>
      <c r="F1243" s="32" t="n"/>
      <c r="G1243" s="32" t="n"/>
      <c r="H1243" s="39">
        <f>IF(C1243="","",IFERROR(INDEX('Animais'!$M$6:$M$1005,MATCH(C1243,'Animais'!$A$6:$A$1005,0)),"Brinco não cadastrado"))</f>
        <v/>
      </c>
      <c r="I1243" s="34">
        <f>IF(A1243="","",YEAR(A1243))</f>
        <v/>
      </c>
      <c r="J1243" s="45">
        <f>IF(OR(N(D1243)=0,N(E1243)=0),"",IFERROR(E1243/D1243,""))</f>
        <v/>
      </c>
    </row>
    <row r="1244">
      <c r="A1244" s="31" t="n"/>
      <c r="B1244" s="37" t="n"/>
      <c r="C1244" s="36" t="n"/>
      <c r="D1244" s="38" t="n"/>
      <c r="E1244" s="44" t="n"/>
      <c r="F1244" s="32" t="n"/>
      <c r="G1244" s="32" t="n"/>
      <c r="H1244" s="39">
        <f>IF(C1244="","",IFERROR(INDEX('Animais'!$M$6:$M$1005,MATCH(C1244,'Animais'!$A$6:$A$1005,0)),"Brinco não cadastrado"))</f>
        <v/>
      </c>
      <c r="I1244" s="34">
        <f>IF(A1244="","",YEAR(A1244))</f>
        <v/>
      </c>
      <c r="J1244" s="45">
        <f>IF(OR(N(D1244)=0,N(E1244)=0),"",IFERROR(E1244/D1244,""))</f>
        <v/>
      </c>
    </row>
    <row r="1245">
      <c r="A1245" s="31" t="n"/>
      <c r="B1245" s="37" t="n"/>
      <c r="C1245" s="36" t="n"/>
      <c r="D1245" s="38" t="n"/>
      <c r="E1245" s="44" t="n"/>
      <c r="F1245" s="32" t="n"/>
      <c r="G1245" s="32" t="n"/>
      <c r="H1245" s="39">
        <f>IF(C1245="","",IFERROR(INDEX('Animais'!$M$6:$M$1005,MATCH(C1245,'Animais'!$A$6:$A$1005,0)),"Brinco não cadastrado"))</f>
        <v/>
      </c>
      <c r="I1245" s="34">
        <f>IF(A1245="","",YEAR(A1245))</f>
        <v/>
      </c>
      <c r="J1245" s="45">
        <f>IF(OR(N(D1245)=0,N(E1245)=0),"",IFERROR(E1245/D1245,""))</f>
        <v/>
      </c>
    </row>
    <row r="1246">
      <c r="A1246" s="31" t="n"/>
      <c r="B1246" s="37" t="n"/>
      <c r="C1246" s="36" t="n"/>
      <c r="D1246" s="38" t="n"/>
      <c r="E1246" s="44" t="n"/>
      <c r="F1246" s="32" t="n"/>
      <c r="G1246" s="32" t="n"/>
      <c r="H1246" s="39">
        <f>IF(C1246="","",IFERROR(INDEX('Animais'!$M$6:$M$1005,MATCH(C1246,'Animais'!$A$6:$A$1005,0)),"Brinco não cadastrado"))</f>
        <v/>
      </c>
      <c r="I1246" s="34">
        <f>IF(A1246="","",YEAR(A1246))</f>
        <v/>
      </c>
      <c r="J1246" s="45">
        <f>IF(OR(N(D1246)=0,N(E1246)=0),"",IFERROR(E1246/D1246,""))</f>
        <v/>
      </c>
    </row>
    <row r="1247">
      <c r="A1247" s="31" t="n"/>
      <c r="B1247" s="37" t="n"/>
      <c r="C1247" s="36" t="n"/>
      <c r="D1247" s="38" t="n"/>
      <c r="E1247" s="44" t="n"/>
      <c r="F1247" s="32" t="n"/>
      <c r="G1247" s="32" t="n"/>
      <c r="H1247" s="39">
        <f>IF(C1247="","",IFERROR(INDEX('Animais'!$M$6:$M$1005,MATCH(C1247,'Animais'!$A$6:$A$1005,0)),"Brinco não cadastrado"))</f>
        <v/>
      </c>
      <c r="I1247" s="34">
        <f>IF(A1247="","",YEAR(A1247))</f>
        <v/>
      </c>
      <c r="J1247" s="45">
        <f>IF(OR(N(D1247)=0,N(E1247)=0),"",IFERROR(E1247/D1247,""))</f>
        <v/>
      </c>
    </row>
    <row r="1248">
      <c r="A1248" s="31" t="n"/>
      <c r="B1248" s="37" t="n"/>
      <c r="C1248" s="36" t="n"/>
      <c r="D1248" s="38" t="n"/>
      <c r="E1248" s="44" t="n"/>
      <c r="F1248" s="32" t="n"/>
      <c r="G1248" s="32" t="n"/>
      <c r="H1248" s="39">
        <f>IF(C1248="","",IFERROR(INDEX('Animais'!$M$6:$M$1005,MATCH(C1248,'Animais'!$A$6:$A$1005,0)),"Brinco não cadastrado"))</f>
        <v/>
      </c>
      <c r="I1248" s="34">
        <f>IF(A1248="","",YEAR(A1248))</f>
        <v/>
      </c>
      <c r="J1248" s="45">
        <f>IF(OR(N(D1248)=0,N(E1248)=0),"",IFERROR(E1248/D1248,""))</f>
        <v/>
      </c>
    </row>
    <row r="1249">
      <c r="A1249" s="31" t="n"/>
      <c r="B1249" s="37" t="n"/>
      <c r="C1249" s="36" t="n"/>
      <c r="D1249" s="38" t="n"/>
      <c r="E1249" s="44" t="n"/>
      <c r="F1249" s="32" t="n"/>
      <c r="G1249" s="32" t="n"/>
      <c r="H1249" s="39">
        <f>IF(C1249="","",IFERROR(INDEX('Animais'!$M$6:$M$1005,MATCH(C1249,'Animais'!$A$6:$A$1005,0)),"Brinco não cadastrado"))</f>
        <v/>
      </c>
      <c r="I1249" s="34">
        <f>IF(A1249="","",YEAR(A1249))</f>
        <v/>
      </c>
      <c r="J1249" s="45">
        <f>IF(OR(N(D1249)=0,N(E1249)=0),"",IFERROR(E1249/D1249,""))</f>
        <v/>
      </c>
    </row>
    <row r="1250">
      <c r="A1250" s="31" t="n"/>
      <c r="B1250" s="37" t="n"/>
      <c r="C1250" s="36" t="n"/>
      <c r="D1250" s="38" t="n"/>
      <c r="E1250" s="44" t="n"/>
      <c r="F1250" s="32" t="n"/>
      <c r="G1250" s="32" t="n"/>
      <c r="H1250" s="39">
        <f>IF(C1250="","",IFERROR(INDEX('Animais'!$M$6:$M$1005,MATCH(C1250,'Animais'!$A$6:$A$1005,0)),"Brinco não cadastrado"))</f>
        <v/>
      </c>
      <c r="I1250" s="34">
        <f>IF(A1250="","",YEAR(A1250))</f>
        <v/>
      </c>
      <c r="J1250" s="45">
        <f>IF(OR(N(D1250)=0,N(E1250)=0),"",IFERROR(E1250/D1250,""))</f>
        <v/>
      </c>
    </row>
    <row r="1251">
      <c r="A1251" s="31" t="n"/>
      <c r="B1251" s="37" t="n"/>
      <c r="C1251" s="36" t="n"/>
      <c r="D1251" s="38" t="n"/>
      <c r="E1251" s="44" t="n"/>
      <c r="F1251" s="32" t="n"/>
      <c r="G1251" s="32" t="n"/>
      <c r="H1251" s="39">
        <f>IF(C1251="","",IFERROR(INDEX('Animais'!$M$6:$M$1005,MATCH(C1251,'Animais'!$A$6:$A$1005,0)),"Brinco não cadastrado"))</f>
        <v/>
      </c>
      <c r="I1251" s="34">
        <f>IF(A1251="","",YEAR(A1251))</f>
        <v/>
      </c>
      <c r="J1251" s="45">
        <f>IF(OR(N(D1251)=0,N(E1251)=0),"",IFERROR(E1251/D1251,""))</f>
        <v/>
      </c>
    </row>
    <row r="1252">
      <c r="A1252" s="31" t="n"/>
      <c r="B1252" s="37" t="n"/>
      <c r="C1252" s="36" t="n"/>
      <c r="D1252" s="38" t="n"/>
      <c r="E1252" s="44" t="n"/>
      <c r="F1252" s="32" t="n"/>
      <c r="G1252" s="32" t="n"/>
      <c r="H1252" s="39">
        <f>IF(C1252="","",IFERROR(INDEX('Animais'!$M$6:$M$1005,MATCH(C1252,'Animais'!$A$6:$A$1005,0)),"Brinco não cadastrado"))</f>
        <v/>
      </c>
      <c r="I1252" s="34">
        <f>IF(A1252="","",YEAR(A1252))</f>
        <v/>
      </c>
      <c r="J1252" s="45">
        <f>IF(OR(N(D1252)=0,N(E1252)=0),"",IFERROR(E1252/D1252,""))</f>
        <v/>
      </c>
    </row>
    <row r="1253">
      <c r="A1253" s="31" t="n"/>
      <c r="B1253" s="37" t="n"/>
      <c r="C1253" s="36" t="n"/>
      <c r="D1253" s="38" t="n"/>
      <c r="E1253" s="44" t="n"/>
      <c r="F1253" s="32" t="n"/>
      <c r="G1253" s="32" t="n"/>
      <c r="H1253" s="39">
        <f>IF(C1253="","",IFERROR(INDEX('Animais'!$M$6:$M$1005,MATCH(C1253,'Animais'!$A$6:$A$1005,0)),"Brinco não cadastrado"))</f>
        <v/>
      </c>
      <c r="I1253" s="34">
        <f>IF(A1253="","",YEAR(A1253))</f>
        <v/>
      </c>
      <c r="J1253" s="45">
        <f>IF(OR(N(D1253)=0,N(E1253)=0),"",IFERROR(E1253/D1253,""))</f>
        <v/>
      </c>
    </row>
    <row r="1254">
      <c r="A1254" s="31" t="n"/>
      <c r="B1254" s="37" t="n"/>
      <c r="C1254" s="36" t="n"/>
      <c r="D1254" s="38" t="n"/>
      <c r="E1254" s="44" t="n"/>
      <c r="F1254" s="32" t="n"/>
      <c r="G1254" s="32" t="n"/>
      <c r="H1254" s="39">
        <f>IF(C1254="","",IFERROR(INDEX('Animais'!$M$6:$M$1005,MATCH(C1254,'Animais'!$A$6:$A$1005,0)),"Brinco não cadastrado"))</f>
        <v/>
      </c>
      <c r="I1254" s="34">
        <f>IF(A1254="","",YEAR(A1254))</f>
        <v/>
      </c>
      <c r="J1254" s="45">
        <f>IF(OR(N(D1254)=0,N(E1254)=0),"",IFERROR(E1254/D1254,""))</f>
        <v/>
      </c>
    </row>
    <row r="1255">
      <c r="A1255" s="31" t="n"/>
      <c r="B1255" s="37" t="n"/>
      <c r="C1255" s="36" t="n"/>
      <c r="D1255" s="38" t="n"/>
      <c r="E1255" s="44" t="n"/>
      <c r="F1255" s="32" t="n"/>
      <c r="G1255" s="32" t="n"/>
      <c r="H1255" s="39">
        <f>IF(C1255="","",IFERROR(INDEX('Animais'!$M$6:$M$1005,MATCH(C1255,'Animais'!$A$6:$A$1005,0)),"Brinco não cadastrado"))</f>
        <v/>
      </c>
      <c r="I1255" s="34">
        <f>IF(A1255="","",YEAR(A1255))</f>
        <v/>
      </c>
      <c r="J1255" s="45">
        <f>IF(OR(N(D1255)=0,N(E1255)=0),"",IFERROR(E1255/D1255,""))</f>
        <v/>
      </c>
    </row>
    <row r="1256">
      <c r="A1256" s="31" t="n"/>
      <c r="B1256" s="37" t="n"/>
      <c r="C1256" s="36" t="n"/>
      <c r="D1256" s="38" t="n"/>
      <c r="E1256" s="44" t="n"/>
      <c r="F1256" s="32" t="n"/>
      <c r="G1256" s="32" t="n"/>
      <c r="H1256" s="39">
        <f>IF(C1256="","",IFERROR(INDEX('Animais'!$M$6:$M$1005,MATCH(C1256,'Animais'!$A$6:$A$1005,0)),"Brinco não cadastrado"))</f>
        <v/>
      </c>
      <c r="I1256" s="34">
        <f>IF(A1256="","",YEAR(A1256))</f>
        <v/>
      </c>
      <c r="J1256" s="45">
        <f>IF(OR(N(D1256)=0,N(E1256)=0),"",IFERROR(E1256/D1256,""))</f>
        <v/>
      </c>
    </row>
    <row r="1257">
      <c r="A1257" s="31" t="n"/>
      <c r="B1257" s="37" t="n"/>
      <c r="C1257" s="36" t="n"/>
      <c r="D1257" s="38" t="n"/>
      <c r="E1257" s="44" t="n"/>
      <c r="F1257" s="32" t="n"/>
      <c r="G1257" s="32" t="n"/>
      <c r="H1257" s="39">
        <f>IF(C1257="","",IFERROR(INDEX('Animais'!$M$6:$M$1005,MATCH(C1257,'Animais'!$A$6:$A$1005,0)),"Brinco não cadastrado"))</f>
        <v/>
      </c>
      <c r="I1257" s="34">
        <f>IF(A1257="","",YEAR(A1257))</f>
        <v/>
      </c>
      <c r="J1257" s="45">
        <f>IF(OR(N(D1257)=0,N(E1257)=0),"",IFERROR(E1257/D1257,""))</f>
        <v/>
      </c>
    </row>
    <row r="1258">
      <c r="A1258" s="31" t="n"/>
      <c r="B1258" s="37" t="n"/>
      <c r="C1258" s="36" t="n"/>
      <c r="D1258" s="38" t="n"/>
      <c r="E1258" s="44" t="n"/>
      <c r="F1258" s="32" t="n"/>
      <c r="G1258" s="32" t="n"/>
      <c r="H1258" s="39">
        <f>IF(C1258="","",IFERROR(INDEX('Animais'!$M$6:$M$1005,MATCH(C1258,'Animais'!$A$6:$A$1005,0)),"Brinco não cadastrado"))</f>
        <v/>
      </c>
      <c r="I1258" s="34">
        <f>IF(A1258="","",YEAR(A1258))</f>
        <v/>
      </c>
      <c r="J1258" s="45">
        <f>IF(OR(N(D1258)=0,N(E1258)=0),"",IFERROR(E1258/D1258,""))</f>
        <v/>
      </c>
    </row>
    <row r="1259">
      <c r="A1259" s="31" t="n"/>
      <c r="B1259" s="37" t="n"/>
      <c r="C1259" s="36" t="n"/>
      <c r="D1259" s="38" t="n"/>
      <c r="E1259" s="44" t="n"/>
      <c r="F1259" s="32" t="n"/>
      <c r="G1259" s="32" t="n"/>
      <c r="H1259" s="39">
        <f>IF(C1259="","",IFERROR(INDEX('Animais'!$M$6:$M$1005,MATCH(C1259,'Animais'!$A$6:$A$1005,0)),"Brinco não cadastrado"))</f>
        <v/>
      </c>
      <c r="I1259" s="34">
        <f>IF(A1259="","",YEAR(A1259))</f>
        <v/>
      </c>
      <c r="J1259" s="45">
        <f>IF(OR(N(D1259)=0,N(E1259)=0),"",IFERROR(E1259/D1259,""))</f>
        <v/>
      </c>
    </row>
    <row r="1260">
      <c r="A1260" s="31" t="n"/>
      <c r="B1260" s="37" t="n"/>
      <c r="C1260" s="36" t="n"/>
      <c r="D1260" s="38" t="n"/>
      <c r="E1260" s="44" t="n"/>
      <c r="F1260" s="32" t="n"/>
      <c r="G1260" s="32" t="n"/>
      <c r="H1260" s="39">
        <f>IF(C1260="","",IFERROR(INDEX('Animais'!$M$6:$M$1005,MATCH(C1260,'Animais'!$A$6:$A$1005,0)),"Brinco não cadastrado"))</f>
        <v/>
      </c>
      <c r="I1260" s="34">
        <f>IF(A1260="","",YEAR(A1260))</f>
        <v/>
      </c>
      <c r="J1260" s="45">
        <f>IF(OR(N(D1260)=0,N(E1260)=0),"",IFERROR(E1260/D1260,""))</f>
        <v/>
      </c>
    </row>
    <row r="1261">
      <c r="A1261" s="31" t="n"/>
      <c r="B1261" s="37" t="n"/>
      <c r="C1261" s="36" t="n"/>
      <c r="D1261" s="38" t="n"/>
      <c r="E1261" s="44" t="n"/>
      <c r="F1261" s="32" t="n"/>
      <c r="G1261" s="32" t="n"/>
      <c r="H1261" s="39">
        <f>IF(C1261="","",IFERROR(INDEX('Animais'!$M$6:$M$1005,MATCH(C1261,'Animais'!$A$6:$A$1005,0)),"Brinco não cadastrado"))</f>
        <v/>
      </c>
      <c r="I1261" s="34">
        <f>IF(A1261="","",YEAR(A1261))</f>
        <v/>
      </c>
      <c r="J1261" s="45">
        <f>IF(OR(N(D1261)=0,N(E1261)=0),"",IFERROR(E1261/D1261,""))</f>
        <v/>
      </c>
    </row>
    <row r="1262">
      <c r="A1262" s="31" t="n"/>
      <c r="B1262" s="37" t="n"/>
      <c r="C1262" s="36" t="n"/>
      <c r="D1262" s="38" t="n"/>
      <c r="E1262" s="44" t="n"/>
      <c r="F1262" s="32" t="n"/>
      <c r="G1262" s="32" t="n"/>
      <c r="H1262" s="39">
        <f>IF(C1262="","",IFERROR(INDEX('Animais'!$M$6:$M$1005,MATCH(C1262,'Animais'!$A$6:$A$1005,0)),"Brinco não cadastrado"))</f>
        <v/>
      </c>
      <c r="I1262" s="34">
        <f>IF(A1262="","",YEAR(A1262))</f>
        <v/>
      </c>
      <c r="J1262" s="45">
        <f>IF(OR(N(D1262)=0,N(E1262)=0),"",IFERROR(E1262/D1262,""))</f>
        <v/>
      </c>
    </row>
    <row r="1263">
      <c r="A1263" s="31" t="n"/>
      <c r="B1263" s="37" t="n"/>
      <c r="C1263" s="36" t="n"/>
      <c r="D1263" s="38" t="n"/>
      <c r="E1263" s="44" t="n"/>
      <c r="F1263" s="32" t="n"/>
      <c r="G1263" s="32" t="n"/>
      <c r="H1263" s="39">
        <f>IF(C1263="","",IFERROR(INDEX('Animais'!$M$6:$M$1005,MATCH(C1263,'Animais'!$A$6:$A$1005,0)),"Brinco não cadastrado"))</f>
        <v/>
      </c>
      <c r="I1263" s="34">
        <f>IF(A1263="","",YEAR(A1263))</f>
        <v/>
      </c>
      <c r="J1263" s="45">
        <f>IF(OR(N(D1263)=0,N(E1263)=0),"",IFERROR(E1263/D1263,""))</f>
        <v/>
      </c>
    </row>
    <row r="1264">
      <c r="A1264" s="31" t="n"/>
      <c r="B1264" s="37" t="n"/>
      <c r="C1264" s="36" t="n"/>
      <c r="D1264" s="38" t="n"/>
      <c r="E1264" s="44" t="n"/>
      <c r="F1264" s="32" t="n"/>
      <c r="G1264" s="32" t="n"/>
      <c r="H1264" s="39">
        <f>IF(C1264="","",IFERROR(INDEX('Animais'!$M$6:$M$1005,MATCH(C1264,'Animais'!$A$6:$A$1005,0)),"Brinco não cadastrado"))</f>
        <v/>
      </c>
      <c r="I1264" s="34">
        <f>IF(A1264="","",YEAR(A1264))</f>
        <v/>
      </c>
      <c r="J1264" s="45">
        <f>IF(OR(N(D1264)=0,N(E1264)=0),"",IFERROR(E1264/D1264,""))</f>
        <v/>
      </c>
    </row>
    <row r="1265">
      <c r="A1265" s="31" t="n"/>
      <c r="B1265" s="37" t="n"/>
      <c r="C1265" s="36" t="n"/>
      <c r="D1265" s="38" t="n"/>
      <c r="E1265" s="44" t="n"/>
      <c r="F1265" s="32" t="n"/>
      <c r="G1265" s="32" t="n"/>
      <c r="H1265" s="39">
        <f>IF(C1265="","",IFERROR(INDEX('Animais'!$M$6:$M$1005,MATCH(C1265,'Animais'!$A$6:$A$1005,0)),"Brinco não cadastrado"))</f>
        <v/>
      </c>
      <c r="I1265" s="34">
        <f>IF(A1265="","",YEAR(A1265))</f>
        <v/>
      </c>
      <c r="J1265" s="45">
        <f>IF(OR(N(D1265)=0,N(E1265)=0),"",IFERROR(E1265/D1265,""))</f>
        <v/>
      </c>
    </row>
    <row r="1266">
      <c r="A1266" s="31" t="n"/>
      <c r="B1266" s="37" t="n"/>
      <c r="C1266" s="36" t="n"/>
      <c r="D1266" s="38" t="n"/>
      <c r="E1266" s="44" t="n"/>
      <c r="F1266" s="32" t="n"/>
      <c r="G1266" s="32" t="n"/>
      <c r="H1266" s="39">
        <f>IF(C1266="","",IFERROR(INDEX('Animais'!$M$6:$M$1005,MATCH(C1266,'Animais'!$A$6:$A$1005,0)),"Brinco não cadastrado"))</f>
        <v/>
      </c>
      <c r="I1266" s="34">
        <f>IF(A1266="","",YEAR(A1266))</f>
        <v/>
      </c>
      <c r="J1266" s="45">
        <f>IF(OR(N(D1266)=0,N(E1266)=0),"",IFERROR(E1266/D1266,""))</f>
        <v/>
      </c>
    </row>
    <row r="1267">
      <c r="A1267" s="31" t="n"/>
      <c r="B1267" s="37" t="n"/>
      <c r="C1267" s="36" t="n"/>
      <c r="D1267" s="38" t="n"/>
      <c r="E1267" s="44" t="n"/>
      <c r="F1267" s="32" t="n"/>
      <c r="G1267" s="32" t="n"/>
      <c r="H1267" s="39">
        <f>IF(C1267="","",IFERROR(INDEX('Animais'!$M$6:$M$1005,MATCH(C1267,'Animais'!$A$6:$A$1005,0)),"Brinco não cadastrado"))</f>
        <v/>
      </c>
      <c r="I1267" s="34">
        <f>IF(A1267="","",YEAR(A1267))</f>
        <v/>
      </c>
      <c r="J1267" s="45">
        <f>IF(OR(N(D1267)=0,N(E1267)=0),"",IFERROR(E1267/D1267,""))</f>
        <v/>
      </c>
    </row>
    <row r="1268">
      <c r="A1268" s="31" t="n"/>
      <c r="B1268" s="37" t="n"/>
      <c r="C1268" s="36" t="n"/>
      <c r="D1268" s="38" t="n"/>
      <c r="E1268" s="44" t="n"/>
      <c r="F1268" s="32" t="n"/>
      <c r="G1268" s="32" t="n"/>
      <c r="H1268" s="39">
        <f>IF(C1268="","",IFERROR(INDEX('Animais'!$M$6:$M$1005,MATCH(C1268,'Animais'!$A$6:$A$1005,0)),"Brinco não cadastrado"))</f>
        <v/>
      </c>
      <c r="I1268" s="34">
        <f>IF(A1268="","",YEAR(A1268))</f>
        <v/>
      </c>
      <c r="J1268" s="45">
        <f>IF(OR(N(D1268)=0,N(E1268)=0),"",IFERROR(E1268/D1268,""))</f>
        <v/>
      </c>
    </row>
    <row r="1269">
      <c r="A1269" s="31" t="n"/>
      <c r="B1269" s="37" t="n"/>
      <c r="C1269" s="36" t="n"/>
      <c r="D1269" s="38" t="n"/>
      <c r="E1269" s="44" t="n"/>
      <c r="F1269" s="32" t="n"/>
      <c r="G1269" s="32" t="n"/>
      <c r="H1269" s="39">
        <f>IF(C1269="","",IFERROR(INDEX('Animais'!$M$6:$M$1005,MATCH(C1269,'Animais'!$A$6:$A$1005,0)),"Brinco não cadastrado"))</f>
        <v/>
      </c>
      <c r="I1269" s="34">
        <f>IF(A1269="","",YEAR(A1269))</f>
        <v/>
      </c>
      <c r="J1269" s="45">
        <f>IF(OR(N(D1269)=0,N(E1269)=0),"",IFERROR(E1269/D1269,""))</f>
        <v/>
      </c>
    </row>
    <row r="1270">
      <c r="A1270" s="31" t="n"/>
      <c r="B1270" s="37" t="n"/>
      <c r="C1270" s="36" t="n"/>
      <c r="D1270" s="38" t="n"/>
      <c r="E1270" s="44" t="n"/>
      <c r="F1270" s="32" t="n"/>
      <c r="G1270" s="32" t="n"/>
      <c r="H1270" s="39">
        <f>IF(C1270="","",IFERROR(INDEX('Animais'!$M$6:$M$1005,MATCH(C1270,'Animais'!$A$6:$A$1005,0)),"Brinco não cadastrado"))</f>
        <v/>
      </c>
      <c r="I1270" s="34">
        <f>IF(A1270="","",YEAR(A1270))</f>
        <v/>
      </c>
      <c r="J1270" s="45">
        <f>IF(OR(N(D1270)=0,N(E1270)=0),"",IFERROR(E1270/D1270,""))</f>
        <v/>
      </c>
    </row>
    <row r="1271">
      <c r="A1271" s="31" t="n"/>
      <c r="B1271" s="37" t="n"/>
      <c r="C1271" s="36" t="n"/>
      <c r="D1271" s="38" t="n"/>
      <c r="E1271" s="44" t="n"/>
      <c r="F1271" s="32" t="n"/>
      <c r="G1271" s="32" t="n"/>
      <c r="H1271" s="39">
        <f>IF(C1271="","",IFERROR(INDEX('Animais'!$M$6:$M$1005,MATCH(C1271,'Animais'!$A$6:$A$1005,0)),"Brinco não cadastrado"))</f>
        <v/>
      </c>
      <c r="I1271" s="34">
        <f>IF(A1271="","",YEAR(A1271))</f>
        <v/>
      </c>
      <c r="J1271" s="45">
        <f>IF(OR(N(D1271)=0,N(E1271)=0),"",IFERROR(E1271/D1271,""))</f>
        <v/>
      </c>
    </row>
    <row r="1272">
      <c r="A1272" s="31" t="n"/>
      <c r="B1272" s="37" t="n"/>
      <c r="C1272" s="36" t="n"/>
      <c r="D1272" s="38" t="n"/>
      <c r="E1272" s="44" t="n"/>
      <c r="F1272" s="32" t="n"/>
      <c r="G1272" s="32" t="n"/>
      <c r="H1272" s="39">
        <f>IF(C1272="","",IFERROR(INDEX('Animais'!$M$6:$M$1005,MATCH(C1272,'Animais'!$A$6:$A$1005,0)),"Brinco não cadastrado"))</f>
        <v/>
      </c>
      <c r="I1272" s="34">
        <f>IF(A1272="","",YEAR(A1272))</f>
        <v/>
      </c>
      <c r="J1272" s="45">
        <f>IF(OR(N(D1272)=0,N(E1272)=0),"",IFERROR(E1272/D1272,""))</f>
        <v/>
      </c>
    </row>
    <row r="1273">
      <c r="A1273" s="31" t="n"/>
      <c r="B1273" s="37" t="n"/>
      <c r="C1273" s="36" t="n"/>
      <c r="D1273" s="38" t="n"/>
      <c r="E1273" s="44" t="n"/>
      <c r="F1273" s="32" t="n"/>
      <c r="G1273" s="32" t="n"/>
      <c r="H1273" s="39">
        <f>IF(C1273="","",IFERROR(INDEX('Animais'!$M$6:$M$1005,MATCH(C1273,'Animais'!$A$6:$A$1005,0)),"Brinco não cadastrado"))</f>
        <v/>
      </c>
      <c r="I1273" s="34">
        <f>IF(A1273="","",YEAR(A1273))</f>
        <v/>
      </c>
      <c r="J1273" s="45">
        <f>IF(OR(N(D1273)=0,N(E1273)=0),"",IFERROR(E1273/D1273,""))</f>
        <v/>
      </c>
    </row>
    <row r="1274">
      <c r="A1274" s="31" t="n"/>
      <c r="B1274" s="37" t="n"/>
      <c r="C1274" s="36" t="n"/>
      <c r="D1274" s="38" t="n"/>
      <c r="E1274" s="44" t="n"/>
      <c r="F1274" s="32" t="n"/>
      <c r="G1274" s="32" t="n"/>
      <c r="H1274" s="39">
        <f>IF(C1274="","",IFERROR(INDEX('Animais'!$M$6:$M$1005,MATCH(C1274,'Animais'!$A$6:$A$1005,0)),"Brinco não cadastrado"))</f>
        <v/>
      </c>
      <c r="I1274" s="34">
        <f>IF(A1274="","",YEAR(A1274))</f>
        <v/>
      </c>
      <c r="J1274" s="45">
        <f>IF(OR(N(D1274)=0,N(E1274)=0),"",IFERROR(E1274/D1274,""))</f>
        <v/>
      </c>
    </row>
    <row r="1275">
      <c r="A1275" s="31" t="n"/>
      <c r="B1275" s="37" t="n"/>
      <c r="C1275" s="36" t="n"/>
      <c r="D1275" s="38" t="n"/>
      <c r="E1275" s="44" t="n"/>
      <c r="F1275" s="32" t="n"/>
      <c r="G1275" s="32" t="n"/>
      <c r="H1275" s="39">
        <f>IF(C1275="","",IFERROR(INDEX('Animais'!$M$6:$M$1005,MATCH(C1275,'Animais'!$A$6:$A$1005,0)),"Brinco não cadastrado"))</f>
        <v/>
      </c>
      <c r="I1275" s="34">
        <f>IF(A1275="","",YEAR(A1275))</f>
        <v/>
      </c>
      <c r="J1275" s="45">
        <f>IF(OR(N(D1275)=0,N(E1275)=0),"",IFERROR(E1275/D1275,""))</f>
        <v/>
      </c>
    </row>
    <row r="1276">
      <c r="A1276" s="31" t="n"/>
      <c r="B1276" s="37" t="n"/>
      <c r="C1276" s="36" t="n"/>
      <c r="D1276" s="38" t="n"/>
      <c r="E1276" s="44" t="n"/>
      <c r="F1276" s="32" t="n"/>
      <c r="G1276" s="32" t="n"/>
      <c r="H1276" s="39">
        <f>IF(C1276="","",IFERROR(INDEX('Animais'!$M$6:$M$1005,MATCH(C1276,'Animais'!$A$6:$A$1005,0)),"Brinco não cadastrado"))</f>
        <v/>
      </c>
      <c r="I1276" s="34">
        <f>IF(A1276="","",YEAR(A1276))</f>
        <v/>
      </c>
      <c r="J1276" s="45">
        <f>IF(OR(N(D1276)=0,N(E1276)=0),"",IFERROR(E1276/D1276,""))</f>
        <v/>
      </c>
    </row>
    <row r="1277">
      <c r="A1277" s="31" t="n"/>
      <c r="B1277" s="37" t="n"/>
      <c r="C1277" s="36" t="n"/>
      <c r="D1277" s="38" t="n"/>
      <c r="E1277" s="44" t="n"/>
      <c r="F1277" s="32" t="n"/>
      <c r="G1277" s="32" t="n"/>
      <c r="H1277" s="39">
        <f>IF(C1277="","",IFERROR(INDEX('Animais'!$M$6:$M$1005,MATCH(C1277,'Animais'!$A$6:$A$1005,0)),"Brinco não cadastrado"))</f>
        <v/>
      </c>
      <c r="I1277" s="34">
        <f>IF(A1277="","",YEAR(A1277))</f>
        <v/>
      </c>
      <c r="J1277" s="45">
        <f>IF(OR(N(D1277)=0,N(E1277)=0),"",IFERROR(E1277/D1277,""))</f>
        <v/>
      </c>
    </row>
    <row r="1278">
      <c r="A1278" s="31" t="n"/>
      <c r="B1278" s="37" t="n"/>
      <c r="C1278" s="36" t="n"/>
      <c r="D1278" s="38" t="n"/>
      <c r="E1278" s="44" t="n"/>
      <c r="F1278" s="32" t="n"/>
      <c r="G1278" s="32" t="n"/>
      <c r="H1278" s="39">
        <f>IF(C1278="","",IFERROR(INDEX('Animais'!$M$6:$M$1005,MATCH(C1278,'Animais'!$A$6:$A$1005,0)),"Brinco não cadastrado"))</f>
        <v/>
      </c>
      <c r="I1278" s="34">
        <f>IF(A1278="","",YEAR(A1278))</f>
        <v/>
      </c>
      <c r="J1278" s="45">
        <f>IF(OR(N(D1278)=0,N(E1278)=0),"",IFERROR(E1278/D1278,""))</f>
        <v/>
      </c>
    </row>
    <row r="1279">
      <c r="A1279" s="31" t="n"/>
      <c r="B1279" s="37" t="n"/>
      <c r="C1279" s="36" t="n"/>
      <c r="D1279" s="38" t="n"/>
      <c r="E1279" s="44" t="n"/>
      <c r="F1279" s="32" t="n"/>
      <c r="G1279" s="32" t="n"/>
      <c r="H1279" s="39">
        <f>IF(C1279="","",IFERROR(INDEX('Animais'!$M$6:$M$1005,MATCH(C1279,'Animais'!$A$6:$A$1005,0)),"Brinco não cadastrado"))</f>
        <v/>
      </c>
      <c r="I1279" s="34">
        <f>IF(A1279="","",YEAR(A1279))</f>
        <v/>
      </c>
      <c r="J1279" s="45">
        <f>IF(OR(N(D1279)=0,N(E1279)=0),"",IFERROR(E1279/D1279,""))</f>
        <v/>
      </c>
    </row>
    <row r="1280">
      <c r="A1280" s="31" t="n"/>
      <c r="B1280" s="37" t="n"/>
      <c r="C1280" s="36" t="n"/>
      <c r="D1280" s="38" t="n"/>
      <c r="E1280" s="44" t="n"/>
      <c r="F1280" s="32" t="n"/>
      <c r="G1280" s="32" t="n"/>
      <c r="H1280" s="39">
        <f>IF(C1280="","",IFERROR(INDEX('Animais'!$M$6:$M$1005,MATCH(C1280,'Animais'!$A$6:$A$1005,0)),"Brinco não cadastrado"))</f>
        <v/>
      </c>
      <c r="I1280" s="34">
        <f>IF(A1280="","",YEAR(A1280))</f>
        <v/>
      </c>
      <c r="J1280" s="45">
        <f>IF(OR(N(D1280)=0,N(E1280)=0),"",IFERROR(E1280/D1280,""))</f>
        <v/>
      </c>
    </row>
    <row r="1281">
      <c r="A1281" s="31" t="n"/>
      <c r="B1281" s="37" t="n"/>
      <c r="C1281" s="36" t="n"/>
      <c r="D1281" s="38" t="n"/>
      <c r="E1281" s="44" t="n"/>
      <c r="F1281" s="32" t="n"/>
      <c r="G1281" s="32" t="n"/>
      <c r="H1281" s="39">
        <f>IF(C1281="","",IFERROR(INDEX('Animais'!$M$6:$M$1005,MATCH(C1281,'Animais'!$A$6:$A$1005,0)),"Brinco não cadastrado"))</f>
        <v/>
      </c>
      <c r="I1281" s="34">
        <f>IF(A1281="","",YEAR(A1281))</f>
        <v/>
      </c>
      <c r="J1281" s="45">
        <f>IF(OR(N(D1281)=0,N(E1281)=0),"",IFERROR(E1281/D1281,""))</f>
        <v/>
      </c>
    </row>
    <row r="1282">
      <c r="A1282" s="31" t="n"/>
      <c r="B1282" s="37" t="n"/>
      <c r="C1282" s="36" t="n"/>
      <c r="D1282" s="38" t="n"/>
      <c r="E1282" s="44" t="n"/>
      <c r="F1282" s="32" t="n"/>
      <c r="G1282" s="32" t="n"/>
      <c r="H1282" s="39">
        <f>IF(C1282="","",IFERROR(INDEX('Animais'!$M$6:$M$1005,MATCH(C1282,'Animais'!$A$6:$A$1005,0)),"Brinco não cadastrado"))</f>
        <v/>
      </c>
      <c r="I1282" s="34">
        <f>IF(A1282="","",YEAR(A1282))</f>
        <v/>
      </c>
      <c r="J1282" s="45">
        <f>IF(OR(N(D1282)=0,N(E1282)=0),"",IFERROR(E1282/D1282,""))</f>
        <v/>
      </c>
    </row>
    <row r="1283">
      <c r="A1283" s="31" t="n"/>
      <c r="B1283" s="37" t="n"/>
      <c r="C1283" s="36" t="n"/>
      <c r="D1283" s="38" t="n"/>
      <c r="E1283" s="44" t="n"/>
      <c r="F1283" s="32" t="n"/>
      <c r="G1283" s="32" t="n"/>
      <c r="H1283" s="39">
        <f>IF(C1283="","",IFERROR(INDEX('Animais'!$M$6:$M$1005,MATCH(C1283,'Animais'!$A$6:$A$1005,0)),"Brinco não cadastrado"))</f>
        <v/>
      </c>
      <c r="I1283" s="34">
        <f>IF(A1283="","",YEAR(A1283))</f>
        <v/>
      </c>
      <c r="J1283" s="45">
        <f>IF(OR(N(D1283)=0,N(E1283)=0),"",IFERROR(E1283/D1283,""))</f>
        <v/>
      </c>
    </row>
    <row r="1284">
      <c r="A1284" s="31" t="n"/>
      <c r="B1284" s="37" t="n"/>
      <c r="C1284" s="36" t="n"/>
      <c r="D1284" s="38" t="n"/>
      <c r="E1284" s="44" t="n"/>
      <c r="F1284" s="32" t="n"/>
      <c r="G1284" s="32" t="n"/>
      <c r="H1284" s="39">
        <f>IF(C1284="","",IFERROR(INDEX('Animais'!$M$6:$M$1005,MATCH(C1284,'Animais'!$A$6:$A$1005,0)),"Brinco não cadastrado"))</f>
        <v/>
      </c>
      <c r="I1284" s="34">
        <f>IF(A1284="","",YEAR(A1284))</f>
        <v/>
      </c>
      <c r="J1284" s="45">
        <f>IF(OR(N(D1284)=0,N(E1284)=0),"",IFERROR(E1284/D1284,""))</f>
        <v/>
      </c>
    </row>
    <row r="1285">
      <c r="A1285" s="31" t="n"/>
      <c r="B1285" s="37" t="n"/>
      <c r="C1285" s="36" t="n"/>
      <c r="D1285" s="38" t="n"/>
      <c r="E1285" s="44" t="n"/>
      <c r="F1285" s="32" t="n"/>
      <c r="G1285" s="32" t="n"/>
      <c r="H1285" s="39">
        <f>IF(C1285="","",IFERROR(INDEX('Animais'!$M$6:$M$1005,MATCH(C1285,'Animais'!$A$6:$A$1005,0)),"Brinco não cadastrado"))</f>
        <v/>
      </c>
      <c r="I1285" s="34">
        <f>IF(A1285="","",YEAR(A1285))</f>
        <v/>
      </c>
      <c r="J1285" s="45">
        <f>IF(OR(N(D1285)=0,N(E1285)=0),"",IFERROR(E1285/D1285,""))</f>
        <v/>
      </c>
    </row>
    <row r="1286">
      <c r="A1286" s="31" t="n"/>
      <c r="B1286" s="37" t="n"/>
      <c r="C1286" s="36" t="n"/>
      <c r="D1286" s="38" t="n"/>
      <c r="E1286" s="44" t="n"/>
      <c r="F1286" s="32" t="n"/>
      <c r="G1286" s="32" t="n"/>
      <c r="H1286" s="39">
        <f>IF(C1286="","",IFERROR(INDEX('Animais'!$M$6:$M$1005,MATCH(C1286,'Animais'!$A$6:$A$1005,0)),"Brinco não cadastrado"))</f>
        <v/>
      </c>
      <c r="I1286" s="34">
        <f>IF(A1286="","",YEAR(A1286))</f>
        <v/>
      </c>
      <c r="J1286" s="45">
        <f>IF(OR(N(D1286)=0,N(E1286)=0),"",IFERROR(E1286/D1286,""))</f>
        <v/>
      </c>
    </row>
    <row r="1287">
      <c r="A1287" s="31" t="n"/>
      <c r="B1287" s="37" t="n"/>
      <c r="C1287" s="36" t="n"/>
      <c r="D1287" s="38" t="n"/>
      <c r="E1287" s="44" t="n"/>
      <c r="F1287" s="32" t="n"/>
      <c r="G1287" s="32" t="n"/>
      <c r="H1287" s="39">
        <f>IF(C1287="","",IFERROR(INDEX('Animais'!$M$6:$M$1005,MATCH(C1287,'Animais'!$A$6:$A$1005,0)),"Brinco não cadastrado"))</f>
        <v/>
      </c>
      <c r="I1287" s="34">
        <f>IF(A1287="","",YEAR(A1287))</f>
        <v/>
      </c>
      <c r="J1287" s="45">
        <f>IF(OR(N(D1287)=0,N(E1287)=0),"",IFERROR(E1287/D1287,""))</f>
        <v/>
      </c>
    </row>
    <row r="1288">
      <c r="A1288" s="31" t="n"/>
      <c r="B1288" s="37" t="n"/>
      <c r="C1288" s="36" t="n"/>
      <c r="D1288" s="38" t="n"/>
      <c r="E1288" s="44" t="n"/>
      <c r="F1288" s="32" t="n"/>
      <c r="G1288" s="32" t="n"/>
      <c r="H1288" s="39">
        <f>IF(C1288="","",IFERROR(INDEX('Animais'!$M$6:$M$1005,MATCH(C1288,'Animais'!$A$6:$A$1005,0)),"Brinco não cadastrado"))</f>
        <v/>
      </c>
      <c r="I1288" s="34">
        <f>IF(A1288="","",YEAR(A1288))</f>
        <v/>
      </c>
      <c r="J1288" s="45">
        <f>IF(OR(N(D1288)=0,N(E1288)=0),"",IFERROR(E1288/D1288,""))</f>
        <v/>
      </c>
    </row>
    <row r="1289">
      <c r="A1289" s="31" t="n"/>
      <c r="B1289" s="37" t="n"/>
      <c r="C1289" s="36" t="n"/>
      <c r="D1289" s="38" t="n"/>
      <c r="E1289" s="44" t="n"/>
      <c r="F1289" s="32" t="n"/>
      <c r="G1289" s="32" t="n"/>
      <c r="H1289" s="39">
        <f>IF(C1289="","",IFERROR(INDEX('Animais'!$M$6:$M$1005,MATCH(C1289,'Animais'!$A$6:$A$1005,0)),"Brinco não cadastrado"))</f>
        <v/>
      </c>
      <c r="I1289" s="34">
        <f>IF(A1289="","",YEAR(A1289))</f>
        <v/>
      </c>
      <c r="J1289" s="45">
        <f>IF(OR(N(D1289)=0,N(E1289)=0),"",IFERROR(E1289/D1289,""))</f>
        <v/>
      </c>
    </row>
    <row r="1290">
      <c r="A1290" s="31" t="n"/>
      <c r="B1290" s="37" t="n"/>
      <c r="C1290" s="36" t="n"/>
      <c r="D1290" s="38" t="n"/>
      <c r="E1290" s="44" t="n"/>
      <c r="F1290" s="32" t="n"/>
      <c r="G1290" s="32" t="n"/>
      <c r="H1290" s="39">
        <f>IF(C1290="","",IFERROR(INDEX('Animais'!$M$6:$M$1005,MATCH(C1290,'Animais'!$A$6:$A$1005,0)),"Brinco não cadastrado"))</f>
        <v/>
      </c>
      <c r="I1290" s="34">
        <f>IF(A1290="","",YEAR(A1290))</f>
        <v/>
      </c>
      <c r="J1290" s="45">
        <f>IF(OR(N(D1290)=0,N(E1290)=0),"",IFERROR(E1290/D1290,""))</f>
        <v/>
      </c>
    </row>
    <row r="1291">
      <c r="A1291" s="31" t="n"/>
      <c r="B1291" s="37" t="n"/>
      <c r="C1291" s="36" t="n"/>
      <c r="D1291" s="38" t="n"/>
      <c r="E1291" s="44" t="n"/>
      <c r="F1291" s="32" t="n"/>
      <c r="G1291" s="32" t="n"/>
      <c r="H1291" s="39">
        <f>IF(C1291="","",IFERROR(INDEX('Animais'!$M$6:$M$1005,MATCH(C1291,'Animais'!$A$6:$A$1005,0)),"Brinco não cadastrado"))</f>
        <v/>
      </c>
      <c r="I1291" s="34">
        <f>IF(A1291="","",YEAR(A1291))</f>
        <v/>
      </c>
      <c r="J1291" s="45">
        <f>IF(OR(N(D1291)=0,N(E1291)=0),"",IFERROR(E1291/D1291,""))</f>
        <v/>
      </c>
    </row>
    <row r="1292">
      <c r="A1292" s="31" t="n"/>
      <c r="B1292" s="37" t="n"/>
      <c r="C1292" s="36" t="n"/>
      <c r="D1292" s="38" t="n"/>
      <c r="E1292" s="44" t="n"/>
      <c r="F1292" s="32" t="n"/>
      <c r="G1292" s="32" t="n"/>
      <c r="H1292" s="39">
        <f>IF(C1292="","",IFERROR(INDEX('Animais'!$M$6:$M$1005,MATCH(C1292,'Animais'!$A$6:$A$1005,0)),"Brinco não cadastrado"))</f>
        <v/>
      </c>
      <c r="I1292" s="34">
        <f>IF(A1292="","",YEAR(A1292))</f>
        <v/>
      </c>
      <c r="J1292" s="45">
        <f>IF(OR(N(D1292)=0,N(E1292)=0),"",IFERROR(E1292/D1292,""))</f>
        <v/>
      </c>
    </row>
    <row r="1293">
      <c r="A1293" s="31" t="n"/>
      <c r="B1293" s="37" t="n"/>
      <c r="C1293" s="36" t="n"/>
      <c r="D1293" s="38" t="n"/>
      <c r="E1293" s="44" t="n"/>
      <c r="F1293" s="32" t="n"/>
      <c r="G1293" s="32" t="n"/>
      <c r="H1293" s="39">
        <f>IF(C1293="","",IFERROR(INDEX('Animais'!$M$6:$M$1005,MATCH(C1293,'Animais'!$A$6:$A$1005,0)),"Brinco não cadastrado"))</f>
        <v/>
      </c>
      <c r="I1293" s="34">
        <f>IF(A1293="","",YEAR(A1293))</f>
        <v/>
      </c>
      <c r="J1293" s="45">
        <f>IF(OR(N(D1293)=0,N(E1293)=0),"",IFERROR(E1293/D1293,""))</f>
        <v/>
      </c>
    </row>
    <row r="1294">
      <c r="A1294" s="31" t="n"/>
      <c r="B1294" s="37" t="n"/>
      <c r="C1294" s="36" t="n"/>
      <c r="D1294" s="38" t="n"/>
      <c r="E1294" s="44" t="n"/>
      <c r="F1294" s="32" t="n"/>
      <c r="G1294" s="32" t="n"/>
      <c r="H1294" s="39">
        <f>IF(C1294="","",IFERROR(INDEX('Animais'!$M$6:$M$1005,MATCH(C1294,'Animais'!$A$6:$A$1005,0)),"Brinco não cadastrado"))</f>
        <v/>
      </c>
      <c r="I1294" s="34">
        <f>IF(A1294="","",YEAR(A1294))</f>
        <v/>
      </c>
      <c r="J1294" s="45">
        <f>IF(OR(N(D1294)=0,N(E1294)=0),"",IFERROR(E1294/D1294,""))</f>
        <v/>
      </c>
    </row>
    <row r="1295">
      <c r="A1295" s="31" t="n"/>
      <c r="B1295" s="37" t="n"/>
      <c r="C1295" s="36" t="n"/>
      <c r="D1295" s="38" t="n"/>
      <c r="E1295" s="44" t="n"/>
      <c r="F1295" s="32" t="n"/>
      <c r="G1295" s="32" t="n"/>
      <c r="H1295" s="39">
        <f>IF(C1295="","",IFERROR(INDEX('Animais'!$M$6:$M$1005,MATCH(C1295,'Animais'!$A$6:$A$1005,0)),"Brinco não cadastrado"))</f>
        <v/>
      </c>
      <c r="I1295" s="34">
        <f>IF(A1295="","",YEAR(A1295))</f>
        <v/>
      </c>
      <c r="J1295" s="45">
        <f>IF(OR(N(D1295)=0,N(E1295)=0),"",IFERROR(E1295/D1295,""))</f>
        <v/>
      </c>
    </row>
    <row r="1296">
      <c r="A1296" s="31" t="n"/>
      <c r="B1296" s="37" t="n"/>
      <c r="C1296" s="36" t="n"/>
      <c r="D1296" s="38" t="n"/>
      <c r="E1296" s="44" t="n"/>
      <c r="F1296" s="32" t="n"/>
      <c r="G1296" s="32" t="n"/>
      <c r="H1296" s="39">
        <f>IF(C1296="","",IFERROR(INDEX('Animais'!$M$6:$M$1005,MATCH(C1296,'Animais'!$A$6:$A$1005,0)),"Brinco não cadastrado"))</f>
        <v/>
      </c>
      <c r="I1296" s="34">
        <f>IF(A1296="","",YEAR(A1296))</f>
        <v/>
      </c>
      <c r="J1296" s="45">
        <f>IF(OR(N(D1296)=0,N(E1296)=0),"",IFERROR(E1296/D1296,""))</f>
        <v/>
      </c>
    </row>
    <row r="1297">
      <c r="A1297" s="31" t="n"/>
      <c r="B1297" s="37" t="n"/>
      <c r="C1297" s="36" t="n"/>
      <c r="D1297" s="38" t="n"/>
      <c r="E1297" s="44" t="n"/>
      <c r="F1297" s="32" t="n"/>
      <c r="G1297" s="32" t="n"/>
      <c r="H1297" s="39">
        <f>IF(C1297="","",IFERROR(INDEX('Animais'!$M$6:$M$1005,MATCH(C1297,'Animais'!$A$6:$A$1005,0)),"Brinco não cadastrado"))</f>
        <v/>
      </c>
      <c r="I1297" s="34">
        <f>IF(A1297="","",YEAR(A1297))</f>
        <v/>
      </c>
      <c r="J1297" s="45">
        <f>IF(OR(N(D1297)=0,N(E1297)=0),"",IFERROR(E1297/D1297,""))</f>
        <v/>
      </c>
    </row>
    <row r="1298">
      <c r="A1298" s="31" t="n"/>
      <c r="B1298" s="37" t="n"/>
      <c r="C1298" s="36" t="n"/>
      <c r="D1298" s="38" t="n"/>
      <c r="E1298" s="44" t="n"/>
      <c r="F1298" s="32" t="n"/>
      <c r="G1298" s="32" t="n"/>
      <c r="H1298" s="39">
        <f>IF(C1298="","",IFERROR(INDEX('Animais'!$M$6:$M$1005,MATCH(C1298,'Animais'!$A$6:$A$1005,0)),"Brinco não cadastrado"))</f>
        <v/>
      </c>
      <c r="I1298" s="34">
        <f>IF(A1298="","",YEAR(A1298))</f>
        <v/>
      </c>
      <c r="J1298" s="45">
        <f>IF(OR(N(D1298)=0,N(E1298)=0),"",IFERROR(E1298/D1298,""))</f>
        <v/>
      </c>
    </row>
    <row r="1299">
      <c r="A1299" s="31" t="n"/>
      <c r="B1299" s="37" t="n"/>
      <c r="C1299" s="36" t="n"/>
      <c r="D1299" s="38" t="n"/>
      <c r="E1299" s="44" t="n"/>
      <c r="F1299" s="32" t="n"/>
      <c r="G1299" s="32" t="n"/>
      <c r="H1299" s="39">
        <f>IF(C1299="","",IFERROR(INDEX('Animais'!$M$6:$M$1005,MATCH(C1299,'Animais'!$A$6:$A$1005,0)),"Brinco não cadastrado"))</f>
        <v/>
      </c>
      <c r="I1299" s="34">
        <f>IF(A1299="","",YEAR(A1299))</f>
        <v/>
      </c>
      <c r="J1299" s="45">
        <f>IF(OR(N(D1299)=0,N(E1299)=0),"",IFERROR(E1299/D1299,""))</f>
        <v/>
      </c>
    </row>
    <row r="1300">
      <c r="A1300" s="31" t="n"/>
      <c r="B1300" s="37" t="n"/>
      <c r="C1300" s="36" t="n"/>
      <c r="D1300" s="38" t="n"/>
      <c r="E1300" s="44" t="n"/>
      <c r="F1300" s="32" t="n"/>
      <c r="G1300" s="32" t="n"/>
      <c r="H1300" s="39">
        <f>IF(C1300="","",IFERROR(INDEX('Animais'!$M$6:$M$1005,MATCH(C1300,'Animais'!$A$6:$A$1005,0)),"Brinco não cadastrado"))</f>
        <v/>
      </c>
      <c r="I1300" s="34">
        <f>IF(A1300="","",YEAR(A1300))</f>
        <v/>
      </c>
      <c r="J1300" s="45">
        <f>IF(OR(N(D1300)=0,N(E1300)=0),"",IFERROR(E1300/D1300,""))</f>
        <v/>
      </c>
    </row>
    <row r="1301">
      <c r="A1301" s="31" t="n"/>
      <c r="B1301" s="37" t="n"/>
      <c r="C1301" s="36" t="n"/>
      <c r="D1301" s="38" t="n"/>
      <c r="E1301" s="44" t="n"/>
      <c r="F1301" s="32" t="n"/>
      <c r="G1301" s="32" t="n"/>
      <c r="H1301" s="39">
        <f>IF(C1301="","",IFERROR(INDEX('Animais'!$M$6:$M$1005,MATCH(C1301,'Animais'!$A$6:$A$1005,0)),"Brinco não cadastrado"))</f>
        <v/>
      </c>
      <c r="I1301" s="34">
        <f>IF(A1301="","",YEAR(A1301))</f>
        <v/>
      </c>
      <c r="J1301" s="45">
        <f>IF(OR(N(D1301)=0,N(E1301)=0),"",IFERROR(E1301/D1301,""))</f>
        <v/>
      </c>
    </row>
    <row r="1302">
      <c r="A1302" s="31" t="n"/>
      <c r="B1302" s="37" t="n"/>
      <c r="C1302" s="36" t="n"/>
      <c r="D1302" s="38" t="n"/>
      <c r="E1302" s="44" t="n"/>
      <c r="F1302" s="32" t="n"/>
      <c r="G1302" s="32" t="n"/>
      <c r="H1302" s="39">
        <f>IF(C1302="","",IFERROR(INDEX('Animais'!$M$6:$M$1005,MATCH(C1302,'Animais'!$A$6:$A$1005,0)),"Brinco não cadastrado"))</f>
        <v/>
      </c>
      <c r="I1302" s="34">
        <f>IF(A1302="","",YEAR(A1302))</f>
        <v/>
      </c>
      <c r="J1302" s="45">
        <f>IF(OR(N(D1302)=0,N(E1302)=0),"",IFERROR(E1302/D1302,""))</f>
        <v/>
      </c>
    </row>
    <row r="1303">
      <c r="A1303" s="31" t="n"/>
      <c r="B1303" s="37" t="n"/>
      <c r="C1303" s="36" t="n"/>
      <c r="D1303" s="38" t="n"/>
      <c r="E1303" s="44" t="n"/>
      <c r="F1303" s="32" t="n"/>
      <c r="G1303" s="32" t="n"/>
      <c r="H1303" s="39">
        <f>IF(C1303="","",IFERROR(INDEX('Animais'!$M$6:$M$1005,MATCH(C1303,'Animais'!$A$6:$A$1005,0)),"Brinco não cadastrado"))</f>
        <v/>
      </c>
      <c r="I1303" s="34">
        <f>IF(A1303="","",YEAR(A1303))</f>
        <v/>
      </c>
      <c r="J1303" s="45">
        <f>IF(OR(N(D1303)=0,N(E1303)=0),"",IFERROR(E1303/D1303,""))</f>
        <v/>
      </c>
    </row>
    <row r="1304">
      <c r="A1304" s="31" t="n"/>
      <c r="B1304" s="37" t="n"/>
      <c r="C1304" s="36" t="n"/>
      <c r="D1304" s="38" t="n"/>
      <c r="E1304" s="44" t="n"/>
      <c r="F1304" s="32" t="n"/>
      <c r="G1304" s="32" t="n"/>
      <c r="H1304" s="39">
        <f>IF(C1304="","",IFERROR(INDEX('Animais'!$M$6:$M$1005,MATCH(C1304,'Animais'!$A$6:$A$1005,0)),"Brinco não cadastrado"))</f>
        <v/>
      </c>
      <c r="I1304" s="34">
        <f>IF(A1304="","",YEAR(A1304))</f>
        <v/>
      </c>
      <c r="J1304" s="45">
        <f>IF(OR(N(D1304)=0,N(E1304)=0),"",IFERROR(E1304/D1304,""))</f>
        <v/>
      </c>
    </row>
    <row r="1305">
      <c r="A1305" s="31" t="n"/>
      <c r="B1305" s="37" t="n"/>
      <c r="C1305" s="36" t="n"/>
      <c r="D1305" s="38" t="n"/>
      <c r="E1305" s="44" t="n"/>
      <c r="F1305" s="32" t="n"/>
      <c r="G1305" s="32" t="n"/>
      <c r="H1305" s="39">
        <f>IF(C1305="","",IFERROR(INDEX('Animais'!$M$6:$M$1005,MATCH(C1305,'Animais'!$A$6:$A$1005,0)),"Brinco não cadastrado"))</f>
        <v/>
      </c>
      <c r="I1305" s="34">
        <f>IF(A1305="","",YEAR(A1305))</f>
        <v/>
      </c>
      <c r="J1305" s="45">
        <f>IF(OR(N(D1305)=0,N(E1305)=0),"",IFERROR(E1305/D1305,""))</f>
        <v/>
      </c>
    </row>
    <row r="1306">
      <c r="A1306" s="31" t="n"/>
      <c r="B1306" s="37" t="n"/>
      <c r="C1306" s="36" t="n"/>
      <c r="D1306" s="38" t="n"/>
      <c r="E1306" s="44" t="n"/>
      <c r="F1306" s="32" t="n"/>
      <c r="G1306" s="32" t="n"/>
      <c r="H1306" s="39">
        <f>IF(C1306="","",IFERROR(INDEX('Animais'!$M$6:$M$1005,MATCH(C1306,'Animais'!$A$6:$A$1005,0)),"Brinco não cadastrado"))</f>
        <v/>
      </c>
      <c r="I1306" s="34">
        <f>IF(A1306="","",YEAR(A1306))</f>
        <v/>
      </c>
      <c r="J1306" s="45">
        <f>IF(OR(N(D1306)=0,N(E1306)=0),"",IFERROR(E1306/D1306,""))</f>
        <v/>
      </c>
    </row>
    <row r="1307">
      <c r="A1307" s="31" t="n"/>
      <c r="B1307" s="37" t="n"/>
      <c r="C1307" s="36" t="n"/>
      <c r="D1307" s="38" t="n"/>
      <c r="E1307" s="44" t="n"/>
      <c r="F1307" s="32" t="n"/>
      <c r="G1307" s="32" t="n"/>
      <c r="H1307" s="39">
        <f>IF(C1307="","",IFERROR(INDEX('Animais'!$M$6:$M$1005,MATCH(C1307,'Animais'!$A$6:$A$1005,0)),"Brinco não cadastrado"))</f>
        <v/>
      </c>
      <c r="I1307" s="34">
        <f>IF(A1307="","",YEAR(A1307))</f>
        <v/>
      </c>
      <c r="J1307" s="45">
        <f>IF(OR(N(D1307)=0,N(E1307)=0),"",IFERROR(E1307/D1307,""))</f>
        <v/>
      </c>
    </row>
    <row r="1308">
      <c r="A1308" s="31" t="n"/>
      <c r="B1308" s="37" t="n"/>
      <c r="C1308" s="36" t="n"/>
      <c r="D1308" s="38" t="n"/>
      <c r="E1308" s="44" t="n"/>
      <c r="F1308" s="32" t="n"/>
      <c r="G1308" s="32" t="n"/>
      <c r="H1308" s="39">
        <f>IF(C1308="","",IFERROR(INDEX('Animais'!$M$6:$M$1005,MATCH(C1308,'Animais'!$A$6:$A$1005,0)),"Brinco não cadastrado"))</f>
        <v/>
      </c>
      <c r="I1308" s="34">
        <f>IF(A1308="","",YEAR(A1308))</f>
        <v/>
      </c>
      <c r="J1308" s="45">
        <f>IF(OR(N(D1308)=0,N(E1308)=0),"",IFERROR(E1308/D1308,""))</f>
        <v/>
      </c>
    </row>
    <row r="1309">
      <c r="A1309" s="31" t="n"/>
      <c r="B1309" s="37" t="n"/>
      <c r="C1309" s="36" t="n"/>
      <c r="D1309" s="38" t="n"/>
      <c r="E1309" s="44" t="n"/>
      <c r="F1309" s="32" t="n"/>
      <c r="G1309" s="32" t="n"/>
      <c r="H1309" s="39">
        <f>IF(C1309="","",IFERROR(INDEX('Animais'!$M$6:$M$1005,MATCH(C1309,'Animais'!$A$6:$A$1005,0)),"Brinco não cadastrado"))</f>
        <v/>
      </c>
      <c r="I1309" s="34">
        <f>IF(A1309="","",YEAR(A1309))</f>
        <v/>
      </c>
      <c r="J1309" s="45">
        <f>IF(OR(N(D1309)=0,N(E1309)=0),"",IFERROR(E1309/D1309,""))</f>
        <v/>
      </c>
    </row>
    <row r="1310">
      <c r="A1310" s="31" t="n"/>
      <c r="B1310" s="37" t="n"/>
      <c r="C1310" s="36" t="n"/>
      <c r="D1310" s="38" t="n"/>
      <c r="E1310" s="44" t="n"/>
      <c r="F1310" s="32" t="n"/>
      <c r="G1310" s="32" t="n"/>
      <c r="H1310" s="39">
        <f>IF(C1310="","",IFERROR(INDEX('Animais'!$M$6:$M$1005,MATCH(C1310,'Animais'!$A$6:$A$1005,0)),"Brinco não cadastrado"))</f>
        <v/>
      </c>
      <c r="I1310" s="34">
        <f>IF(A1310="","",YEAR(A1310))</f>
        <v/>
      </c>
      <c r="J1310" s="45">
        <f>IF(OR(N(D1310)=0,N(E1310)=0),"",IFERROR(E1310/D1310,""))</f>
        <v/>
      </c>
    </row>
    <row r="1311">
      <c r="A1311" s="31" t="n"/>
      <c r="B1311" s="37" t="n"/>
      <c r="C1311" s="36" t="n"/>
      <c r="D1311" s="38" t="n"/>
      <c r="E1311" s="44" t="n"/>
      <c r="F1311" s="32" t="n"/>
      <c r="G1311" s="32" t="n"/>
      <c r="H1311" s="39">
        <f>IF(C1311="","",IFERROR(INDEX('Animais'!$M$6:$M$1005,MATCH(C1311,'Animais'!$A$6:$A$1005,0)),"Brinco não cadastrado"))</f>
        <v/>
      </c>
      <c r="I1311" s="34">
        <f>IF(A1311="","",YEAR(A1311))</f>
        <v/>
      </c>
      <c r="J1311" s="45">
        <f>IF(OR(N(D1311)=0,N(E1311)=0),"",IFERROR(E1311/D1311,""))</f>
        <v/>
      </c>
    </row>
    <row r="1312">
      <c r="A1312" s="31" t="n"/>
      <c r="B1312" s="37" t="n"/>
      <c r="C1312" s="36" t="n"/>
      <c r="D1312" s="38" t="n"/>
      <c r="E1312" s="44" t="n"/>
      <c r="F1312" s="32" t="n"/>
      <c r="G1312" s="32" t="n"/>
      <c r="H1312" s="39">
        <f>IF(C1312="","",IFERROR(INDEX('Animais'!$M$6:$M$1005,MATCH(C1312,'Animais'!$A$6:$A$1005,0)),"Brinco não cadastrado"))</f>
        <v/>
      </c>
      <c r="I1312" s="34">
        <f>IF(A1312="","",YEAR(A1312))</f>
        <v/>
      </c>
      <c r="J1312" s="45">
        <f>IF(OR(N(D1312)=0,N(E1312)=0),"",IFERROR(E1312/D1312,""))</f>
        <v/>
      </c>
    </row>
    <row r="1313">
      <c r="A1313" s="31" t="n"/>
      <c r="B1313" s="37" t="n"/>
      <c r="C1313" s="36" t="n"/>
      <c r="D1313" s="38" t="n"/>
      <c r="E1313" s="44" t="n"/>
      <c r="F1313" s="32" t="n"/>
      <c r="G1313" s="32" t="n"/>
      <c r="H1313" s="39">
        <f>IF(C1313="","",IFERROR(INDEX('Animais'!$M$6:$M$1005,MATCH(C1313,'Animais'!$A$6:$A$1005,0)),"Brinco não cadastrado"))</f>
        <v/>
      </c>
      <c r="I1313" s="34">
        <f>IF(A1313="","",YEAR(A1313))</f>
        <v/>
      </c>
      <c r="J1313" s="45">
        <f>IF(OR(N(D1313)=0,N(E1313)=0),"",IFERROR(E1313/D1313,""))</f>
        <v/>
      </c>
    </row>
    <row r="1314">
      <c r="A1314" s="31" t="n"/>
      <c r="B1314" s="37" t="n"/>
      <c r="C1314" s="36" t="n"/>
      <c r="D1314" s="38" t="n"/>
      <c r="E1314" s="44" t="n"/>
      <c r="F1314" s="32" t="n"/>
      <c r="G1314" s="32" t="n"/>
      <c r="H1314" s="39">
        <f>IF(C1314="","",IFERROR(INDEX('Animais'!$M$6:$M$1005,MATCH(C1314,'Animais'!$A$6:$A$1005,0)),"Brinco não cadastrado"))</f>
        <v/>
      </c>
      <c r="I1314" s="34">
        <f>IF(A1314="","",YEAR(A1314))</f>
        <v/>
      </c>
      <c r="J1314" s="45">
        <f>IF(OR(N(D1314)=0,N(E1314)=0),"",IFERROR(E1314/D1314,""))</f>
        <v/>
      </c>
    </row>
    <row r="1315">
      <c r="A1315" s="31" t="n"/>
      <c r="B1315" s="37" t="n"/>
      <c r="C1315" s="36" t="n"/>
      <c r="D1315" s="38" t="n"/>
      <c r="E1315" s="44" t="n"/>
      <c r="F1315" s="32" t="n"/>
      <c r="G1315" s="32" t="n"/>
      <c r="H1315" s="39">
        <f>IF(C1315="","",IFERROR(INDEX('Animais'!$M$6:$M$1005,MATCH(C1315,'Animais'!$A$6:$A$1005,0)),"Brinco não cadastrado"))</f>
        <v/>
      </c>
      <c r="I1315" s="34">
        <f>IF(A1315="","",YEAR(A1315))</f>
        <v/>
      </c>
      <c r="J1315" s="45">
        <f>IF(OR(N(D1315)=0,N(E1315)=0),"",IFERROR(E1315/D1315,""))</f>
        <v/>
      </c>
    </row>
    <row r="1316">
      <c r="A1316" s="31" t="n"/>
      <c r="B1316" s="37" t="n"/>
      <c r="C1316" s="36" t="n"/>
      <c r="D1316" s="38" t="n"/>
      <c r="E1316" s="44" t="n"/>
      <c r="F1316" s="32" t="n"/>
      <c r="G1316" s="32" t="n"/>
      <c r="H1316" s="39">
        <f>IF(C1316="","",IFERROR(INDEX('Animais'!$M$6:$M$1005,MATCH(C1316,'Animais'!$A$6:$A$1005,0)),"Brinco não cadastrado"))</f>
        <v/>
      </c>
      <c r="I1316" s="34">
        <f>IF(A1316="","",YEAR(A1316))</f>
        <v/>
      </c>
      <c r="J1316" s="45">
        <f>IF(OR(N(D1316)=0,N(E1316)=0),"",IFERROR(E1316/D1316,""))</f>
        <v/>
      </c>
    </row>
    <row r="1317">
      <c r="A1317" s="31" t="n"/>
      <c r="B1317" s="37" t="n"/>
      <c r="C1317" s="36" t="n"/>
      <c r="D1317" s="38" t="n"/>
      <c r="E1317" s="44" t="n"/>
      <c r="F1317" s="32" t="n"/>
      <c r="G1317" s="32" t="n"/>
      <c r="H1317" s="39">
        <f>IF(C1317="","",IFERROR(INDEX('Animais'!$M$6:$M$1005,MATCH(C1317,'Animais'!$A$6:$A$1005,0)),"Brinco não cadastrado"))</f>
        <v/>
      </c>
      <c r="I1317" s="34">
        <f>IF(A1317="","",YEAR(A1317))</f>
        <v/>
      </c>
      <c r="J1317" s="45">
        <f>IF(OR(N(D1317)=0,N(E1317)=0),"",IFERROR(E1317/D1317,""))</f>
        <v/>
      </c>
    </row>
    <row r="1318">
      <c r="A1318" s="31" t="n"/>
      <c r="B1318" s="37" t="n"/>
      <c r="C1318" s="36" t="n"/>
      <c r="D1318" s="38" t="n"/>
      <c r="E1318" s="44" t="n"/>
      <c r="F1318" s="32" t="n"/>
      <c r="G1318" s="32" t="n"/>
      <c r="H1318" s="39">
        <f>IF(C1318="","",IFERROR(INDEX('Animais'!$M$6:$M$1005,MATCH(C1318,'Animais'!$A$6:$A$1005,0)),"Brinco não cadastrado"))</f>
        <v/>
      </c>
      <c r="I1318" s="34">
        <f>IF(A1318="","",YEAR(A1318))</f>
        <v/>
      </c>
      <c r="J1318" s="45">
        <f>IF(OR(N(D1318)=0,N(E1318)=0),"",IFERROR(E1318/D1318,""))</f>
        <v/>
      </c>
    </row>
    <row r="1319">
      <c r="A1319" s="31" t="n"/>
      <c r="B1319" s="37" t="n"/>
      <c r="C1319" s="36" t="n"/>
      <c r="D1319" s="38" t="n"/>
      <c r="E1319" s="44" t="n"/>
      <c r="F1319" s="32" t="n"/>
      <c r="G1319" s="32" t="n"/>
      <c r="H1319" s="39">
        <f>IF(C1319="","",IFERROR(INDEX('Animais'!$M$6:$M$1005,MATCH(C1319,'Animais'!$A$6:$A$1005,0)),"Brinco não cadastrado"))</f>
        <v/>
      </c>
      <c r="I1319" s="34">
        <f>IF(A1319="","",YEAR(A1319))</f>
        <v/>
      </c>
      <c r="J1319" s="45">
        <f>IF(OR(N(D1319)=0,N(E1319)=0),"",IFERROR(E1319/D1319,""))</f>
        <v/>
      </c>
    </row>
    <row r="1320">
      <c r="A1320" s="31" t="n"/>
      <c r="B1320" s="37" t="n"/>
      <c r="C1320" s="36" t="n"/>
      <c r="D1320" s="38" t="n"/>
      <c r="E1320" s="44" t="n"/>
      <c r="F1320" s="32" t="n"/>
      <c r="G1320" s="32" t="n"/>
      <c r="H1320" s="39">
        <f>IF(C1320="","",IFERROR(INDEX('Animais'!$M$6:$M$1005,MATCH(C1320,'Animais'!$A$6:$A$1005,0)),"Brinco não cadastrado"))</f>
        <v/>
      </c>
      <c r="I1320" s="34">
        <f>IF(A1320="","",YEAR(A1320))</f>
        <v/>
      </c>
      <c r="J1320" s="45">
        <f>IF(OR(N(D1320)=0,N(E1320)=0),"",IFERROR(E1320/D1320,""))</f>
        <v/>
      </c>
    </row>
    <row r="1321">
      <c r="A1321" s="31" t="n"/>
      <c r="B1321" s="37" t="n"/>
      <c r="C1321" s="36" t="n"/>
      <c r="D1321" s="38" t="n"/>
      <c r="E1321" s="44" t="n"/>
      <c r="F1321" s="32" t="n"/>
      <c r="G1321" s="32" t="n"/>
      <c r="H1321" s="39">
        <f>IF(C1321="","",IFERROR(INDEX('Animais'!$M$6:$M$1005,MATCH(C1321,'Animais'!$A$6:$A$1005,0)),"Brinco não cadastrado"))</f>
        <v/>
      </c>
      <c r="I1321" s="34">
        <f>IF(A1321="","",YEAR(A1321))</f>
        <v/>
      </c>
      <c r="J1321" s="45">
        <f>IF(OR(N(D1321)=0,N(E1321)=0),"",IFERROR(E1321/D1321,""))</f>
        <v/>
      </c>
    </row>
    <row r="1322">
      <c r="A1322" s="31" t="n"/>
      <c r="B1322" s="37" t="n"/>
      <c r="C1322" s="36" t="n"/>
      <c r="D1322" s="38" t="n"/>
      <c r="E1322" s="44" t="n"/>
      <c r="F1322" s="32" t="n"/>
      <c r="G1322" s="32" t="n"/>
      <c r="H1322" s="39">
        <f>IF(C1322="","",IFERROR(INDEX('Animais'!$M$6:$M$1005,MATCH(C1322,'Animais'!$A$6:$A$1005,0)),"Brinco não cadastrado"))</f>
        <v/>
      </c>
      <c r="I1322" s="34">
        <f>IF(A1322="","",YEAR(A1322))</f>
        <v/>
      </c>
      <c r="J1322" s="45">
        <f>IF(OR(N(D1322)=0,N(E1322)=0),"",IFERROR(E1322/D1322,""))</f>
        <v/>
      </c>
    </row>
    <row r="1323">
      <c r="A1323" s="31" t="n"/>
      <c r="B1323" s="37" t="n"/>
      <c r="C1323" s="36" t="n"/>
      <c r="D1323" s="38" t="n"/>
      <c r="E1323" s="44" t="n"/>
      <c r="F1323" s="32" t="n"/>
      <c r="G1323" s="32" t="n"/>
      <c r="H1323" s="39">
        <f>IF(C1323="","",IFERROR(INDEX('Animais'!$M$6:$M$1005,MATCH(C1323,'Animais'!$A$6:$A$1005,0)),"Brinco não cadastrado"))</f>
        <v/>
      </c>
      <c r="I1323" s="34">
        <f>IF(A1323="","",YEAR(A1323))</f>
        <v/>
      </c>
      <c r="J1323" s="45">
        <f>IF(OR(N(D1323)=0,N(E1323)=0),"",IFERROR(E1323/D1323,""))</f>
        <v/>
      </c>
    </row>
    <row r="1324">
      <c r="A1324" s="31" t="n"/>
      <c r="B1324" s="37" t="n"/>
      <c r="C1324" s="36" t="n"/>
      <c r="D1324" s="38" t="n"/>
      <c r="E1324" s="44" t="n"/>
      <c r="F1324" s="32" t="n"/>
      <c r="G1324" s="32" t="n"/>
      <c r="H1324" s="39">
        <f>IF(C1324="","",IFERROR(INDEX('Animais'!$M$6:$M$1005,MATCH(C1324,'Animais'!$A$6:$A$1005,0)),"Brinco não cadastrado"))</f>
        <v/>
      </c>
      <c r="I1324" s="34">
        <f>IF(A1324="","",YEAR(A1324))</f>
        <v/>
      </c>
      <c r="J1324" s="45">
        <f>IF(OR(N(D1324)=0,N(E1324)=0),"",IFERROR(E1324/D1324,""))</f>
        <v/>
      </c>
    </row>
    <row r="1325">
      <c r="A1325" s="31" t="n"/>
      <c r="B1325" s="37" t="n"/>
      <c r="C1325" s="36" t="n"/>
      <c r="D1325" s="38" t="n"/>
      <c r="E1325" s="44" t="n"/>
      <c r="F1325" s="32" t="n"/>
      <c r="G1325" s="32" t="n"/>
      <c r="H1325" s="39">
        <f>IF(C1325="","",IFERROR(INDEX('Animais'!$M$6:$M$1005,MATCH(C1325,'Animais'!$A$6:$A$1005,0)),"Brinco não cadastrado"))</f>
        <v/>
      </c>
      <c r="I1325" s="34">
        <f>IF(A1325="","",YEAR(A1325))</f>
        <v/>
      </c>
      <c r="J1325" s="45">
        <f>IF(OR(N(D1325)=0,N(E1325)=0),"",IFERROR(E1325/D1325,""))</f>
        <v/>
      </c>
    </row>
    <row r="1326">
      <c r="A1326" s="31" t="n"/>
      <c r="B1326" s="37" t="n"/>
      <c r="C1326" s="36" t="n"/>
      <c r="D1326" s="38" t="n"/>
      <c r="E1326" s="44" t="n"/>
      <c r="F1326" s="32" t="n"/>
      <c r="G1326" s="32" t="n"/>
      <c r="H1326" s="39">
        <f>IF(C1326="","",IFERROR(INDEX('Animais'!$M$6:$M$1005,MATCH(C1326,'Animais'!$A$6:$A$1005,0)),"Brinco não cadastrado"))</f>
        <v/>
      </c>
      <c r="I1326" s="34">
        <f>IF(A1326="","",YEAR(A1326))</f>
        <v/>
      </c>
      <c r="J1326" s="45">
        <f>IF(OR(N(D1326)=0,N(E1326)=0),"",IFERROR(E1326/D1326,""))</f>
        <v/>
      </c>
    </row>
    <row r="1327">
      <c r="A1327" s="31" t="n"/>
      <c r="B1327" s="37" t="n"/>
      <c r="C1327" s="36" t="n"/>
      <c r="D1327" s="38" t="n"/>
      <c r="E1327" s="44" t="n"/>
      <c r="F1327" s="32" t="n"/>
      <c r="G1327" s="32" t="n"/>
      <c r="H1327" s="39">
        <f>IF(C1327="","",IFERROR(INDEX('Animais'!$M$6:$M$1005,MATCH(C1327,'Animais'!$A$6:$A$1005,0)),"Brinco não cadastrado"))</f>
        <v/>
      </c>
      <c r="I1327" s="34">
        <f>IF(A1327="","",YEAR(A1327))</f>
        <v/>
      </c>
      <c r="J1327" s="45">
        <f>IF(OR(N(D1327)=0,N(E1327)=0),"",IFERROR(E1327/D1327,""))</f>
        <v/>
      </c>
    </row>
    <row r="1328">
      <c r="A1328" s="31" t="n"/>
      <c r="B1328" s="37" t="n"/>
      <c r="C1328" s="36" t="n"/>
      <c r="D1328" s="38" t="n"/>
      <c r="E1328" s="44" t="n"/>
      <c r="F1328" s="32" t="n"/>
      <c r="G1328" s="32" t="n"/>
      <c r="H1328" s="39">
        <f>IF(C1328="","",IFERROR(INDEX('Animais'!$M$6:$M$1005,MATCH(C1328,'Animais'!$A$6:$A$1005,0)),"Brinco não cadastrado"))</f>
        <v/>
      </c>
      <c r="I1328" s="34">
        <f>IF(A1328="","",YEAR(A1328))</f>
        <v/>
      </c>
      <c r="J1328" s="45">
        <f>IF(OR(N(D1328)=0,N(E1328)=0),"",IFERROR(E1328/D1328,""))</f>
        <v/>
      </c>
    </row>
    <row r="1329">
      <c r="A1329" s="31" t="n"/>
      <c r="B1329" s="37" t="n"/>
      <c r="C1329" s="36" t="n"/>
      <c r="D1329" s="38" t="n"/>
      <c r="E1329" s="44" t="n"/>
      <c r="F1329" s="32" t="n"/>
      <c r="G1329" s="32" t="n"/>
      <c r="H1329" s="39">
        <f>IF(C1329="","",IFERROR(INDEX('Animais'!$M$6:$M$1005,MATCH(C1329,'Animais'!$A$6:$A$1005,0)),"Brinco não cadastrado"))</f>
        <v/>
      </c>
      <c r="I1329" s="34">
        <f>IF(A1329="","",YEAR(A1329))</f>
        <v/>
      </c>
      <c r="J1329" s="45">
        <f>IF(OR(N(D1329)=0,N(E1329)=0),"",IFERROR(E1329/D1329,""))</f>
        <v/>
      </c>
    </row>
    <row r="1330">
      <c r="A1330" s="31" t="n"/>
      <c r="B1330" s="37" t="n"/>
      <c r="C1330" s="36" t="n"/>
      <c r="D1330" s="38" t="n"/>
      <c r="E1330" s="44" t="n"/>
      <c r="F1330" s="32" t="n"/>
      <c r="G1330" s="32" t="n"/>
      <c r="H1330" s="39">
        <f>IF(C1330="","",IFERROR(INDEX('Animais'!$M$6:$M$1005,MATCH(C1330,'Animais'!$A$6:$A$1005,0)),"Brinco não cadastrado"))</f>
        <v/>
      </c>
      <c r="I1330" s="34">
        <f>IF(A1330="","",YEAR(A1330))</f>
        <v/>
      </c>
      <c r="J1330" s="45">
        <f>IF(OR(N(D1330)=0,N(E1330)=0),"",IFERROR(E1330/D1330,""))</f>
        <v/>
      </c>
    </row>
    <row r="1331">
      <c r="A1331" s="31" t="n"/>
      <c r="B1331" s="37" t="n"/>
      <c r="C1331" s="36" t="n"/>
      <c r="D1331" s="38" t="n"/>
      <c r="E1331" s="44" t="n"/>
      <c r="F1331" s="32" t="n"/>
      <c r="G1331" s="32" t="n"/>
      <c r="H1331" s="39">
        <f>IF(C1331="","",IFERROR(INDEX('Animais'!$M$6:$M$1005,MATCH(C1331,'Animais'!$A$6:$A$1005,0)),"Brinco não cadastrado"))</f>
        <v/>
      </c>
      <c r="I1331" s="34">
        <f>IF(A1331="","",YEAR(A1331))</f>
        <v/>
      </c>
      <c r="J1331" s="45">
        <f>IF(OR(N(D1331)=0,N(E1331)=0),"",IFERROR(E1331/D1331,""))</f>
        <v/>
      </c>
    </row>
    <row r="1332">
      <c r="A1332" s="31" t="n"/>
      <c r="B1332" s="37" t="n"/>
      <c r="C1332" s="36" t="n"/>
      <c r="D1332" s="38" t="n"/>
      <c r="E1332" s="44" t="n"/>
      <c r="F1332" s="32" t="n"/>
      <c r="G1332" s="32" t="n"/>
      <c r="H1332" s="39">
        <f>IF(C1332="","",IFERROR(INDEX('Animais'!$M$6:$M$1005,MATCH(C1332,'Animais'!$A$6:$A$1005,0)),"Brinco não cadastrado"))</f>
        <v/>
      </c>
      <c r="I1332" s="34">
        <f>IF(A1332="","",YEAR(A1332))</f>
        <v/>
      </c>
      <c r="J1332" s="45">
        <f>IF(OR(N(D1332)=0,N(E1332)=0),"",IFERROR(E1332/D1332,""))</f>
        <v/>
      </c>
    </row>
    <row r="1333">
      <c r="A1333" s="31" t="n"/>
      <c r="B1333" s="37" t="n"/>
      <c r="C1333" s="36" t="n"/>
      <c r="D1333" s="38" t="n"/>
      <c r="E1333" s="44" t="n"/>
      <c r="F1333" s="32" t="n"/>
      <c r="G1333" s="32" t="n"/>
      <c r="H1333" s="39">
        <f>IF(C1333="","",IFERROR(INDEX('Animais'!$M$6:$M$1005,MATCH(C1333,'Animais'!$A$6:$A$1005,0)),"Brinco não cadastrado"))</f>
        <v/>
      </c>
      <c r="I1333" s="34">
        <f>IF(A1333="","",YEAR(A1333))</f>
        <v/>
      </c>
      <c r="J1333" s="45">
        <f>IF(OR(N(D1333)=0,N(E1333)=0),"",IFERROR(E1333/D1333,""))</f>
        <v/>
      </c>
    </row>
    <row r="1334">
      <c r="A1334" s="31" t="n"/>
      <c r="B1334" s="37" t="n"/>
      <c r="C1334" s="36" t="n"/>
      <c r="D1334" s="38" t="n"/>
      <c r="E1334" s="44" t="n"/>
      <c r="F1334" s="32" t="n"/>
      <c r="G1334" s="32" t="n"/>
      <c r="H1334" s="39">
        <f>IF(C1334="","",IFERROR(INDEX('Animais'!$M$6:$M$1005,MATCH(C1334,'Animais'!$A$6:$A$1005,0)),"Brinco não cadastrado"))</f>
        <v/>
      </c>
      <c r="I1334" s="34">
        <f>IF(A1334="","",YEAR(A1334))</f>
        <v/>
      </c>
      <c r="J1334" s="45">
        <f>IF(OR(N(D1334)=0,N(E1334)=0),"",IFERROR(E1334/D1334,""))</f>
        <v/>
      </c>
    </row>
    <row r="1335">
      <c r="A1335" s="31" t="n"/>
      <c r="B1335" s="37" t="n"/>
      <c r="C1335" s="36" t="n"/>
      <c r="D1335" s="38" t="n"/>
      <c r="E1335" s="44" t="n"/>
      <c r="F1335" s="32" t="n"/>
      <c r="G1335" s="32" t="n"/>
      <c r="H1335" s="39">
        <f>IF(C1335="","",IFERROR(INDEX('Animais'!$M$6:$M$1005,MATCH(C1335,'Animais'!$A$6:$A$1005,0)),"Brinco não cadastrado"))</f>
        <v/>
      </c>
      <c r="I1335" s="34">
        <f>IF(A1335="","",YEAR(A1335))</f>
        <v/>
      </c>
      <c r="J1335" s="45">
        <f>IF(OR(N(D1335)=0,N(E1335)=0),"",IFERROR(E1335/D1335,""))</f>
        <v/>
      </c>
    </row>
    <row r="1336">
      <c r="A1336" s="31" t="n"/>
      <c r="B1336" s="37" t="n"/>
      <c r="C1336" s="36" t="n"/>
      <c r="D1336" s="38" t="n"/>
      <c r="E1336" s="44" t="n"/>
      <c r="F1336" s="32" t="n"/>
      <c r="G1336" s="32" t="n"/>
      <c r="H1336" s="39">
        <f>IF(C1336="","",IFERROR(INDEX('Animais'!$M$6:$M$1005,MATCH(C1336,'Animais'!$A$6:$A$1005,0)),"Brinco não cadastrado"))</f>
        <v/>
      </c>
      <c r="I1336" s="34">
        <f>IF(A1336="","",YEAR(A1336))</f>
        <v/>
      </c>
      <c r="J1336" s="45">
        <f>IF(OR(N(D1336)=0,N(E1336)=0),"",IFERROR(E1336/D1336,""))</f>
        <v/>
      </c>
    </row>
    <row r="1337">
      <c r="A1337" s="31" t="n"/>
      <c r="B1337" s="37" t="n"/>
      <c r="C1337" s="36" t="n"/>
      <c r="D1337" s="38" t="n"/>
      <c r="E1337" s="44" t="n"/>
      <c r="F1337" s="32" t="n"/>
      <c r="G1337" s="32" t="n"/>
      <c r="H1337" s="39">
        <f>IF(C1337="","",IFERROR(INDEX('Animais'!$M$6:$M$1005,MATCH(C1337,'Animais'!$A$6:$A$1005,0)),"Brinco não cadastrado"))</f>
        <v/>
      </c>
      <c r="I1337" s="34">
        <f>IF(A1337="","",YEAR(A1337))</f>
        <v/>
      </c>
      <c r="J1337" s="45">
        <f>IF(OR(N(D1337)=0,N(E1337)=0),"",IFERROR(E1337/D1337,""))</f>
        <v/>
      </c>
    </row>
    <row r="1338">
      <c r="A1338" s="31" t="n"/>
      <c r="B1338" s="37" t="n"/>
      <c r="C1338" s="36" t="n"/>
      <c r="D1338" s="38" t="n"/>
      <c r="E1338" s="44" t="n"/>
      <c r="F1338" s="32" t="n"/>
      <c r="G1338" s="32" t="n"/>
      <c r="H1338" s="39">
        <f>IF(C1338="","",IFERROR(INDEX('Animais'!$M$6:$M$1005,MATCH(C1338,'Animais'!$A$6:$A$1005,0)),"Brinco não cadastrado"))</f>
        <v/>
      </c>
      <c r="I1338" s="34">
        <f>IF(A1338="","",YEAR(A1338))</f>
        <v/>
      </c>
      <c r="J1338" s="45">
        <f>IF(OR(N(D1338)=0,N(E1338)=0),"",IFERROR(E1338/D1338,""))</f>
        <v/>
      </c>
    </row>
    <row r="1339">
      <c r="A1339" s="31" t="n"/>
      <c r="B1339" s="37" t="n"/>
      <c r="C1339" s="36" t="n"/>
      <c r="D1339" s="38" t="n"/>
      <c r="E1339" s="44" t="n"/>
      <c r="F1339" s="32" t="n"/>
      <c r="G1339" s="32" t="n"/>
      <c r="H1339" s="39">
        <f>IF(C1339="","",IFERROR(INDEX('Animais'!$M$6:$M$1005,MATCH(C1339,'Animais'!$A$6:$A$1005,0)),"Brinco não cadastrado"))</f>
        <v/>
      </c>
      <c r="I1339" s="34">
        <f>IF(A1339="","",YEAR(A1339))</f>
        <v/>
      </c>
      <c r="J1339" s="45">
        <f>IF(OR(N(D1339)=0,N(E1339)=0),"",IFERROR(E1339/D1339,""))</f>
        <v/>
      </c>
    </row>
    <row r="1340">
      <c r="A1340" s="31" t="n"/>
      <c r="B1340" s="37" t="n"/>
      <c r="C1340" s="36" t="n"/>
      <c r="D1340" s="38" t="n"/>
      <c r="E1340" s="44" t="n"/>
      <c r="F1340" s="32" t="n"/>
      <c r="G1340" s="32" t="n"/>
      <c r="H1340" s="39">
        <f>IF(C1340="","",IFERROR(INDEX('Animais'!$M$6:$M$1005,MATCH(C1340,'Animais'!$A$6:$A$1005,0)),"Brinco não cadastrado"))</f>
        <v/>
      </c>
      <c r="I1340" s="34">
        <f>IF(A1340="","",YEAR(A1340))</f>
        <v/>
      </c>
      <c r="J1340" s="45">
        <f>IF(OR(N(D1340)=0,N(E1340)=0),"",IFERROR(E1340/D1340,""))</f>
        <v/>
      </c>
    </row>
    <row r="1341">
      <c r="A1341" s="31" t="n"/>
      <c r="B1341" s="37" t="n"/>
      <c r="C1341" s="36" t="n"/>
      <c r="D1341" s="38" t="n"/>
      <c r="E1341" s="44" t="n"/>
      <c r="F1341" s="32" t="n"/>
      <c r="G1341" s="32" t="n"/>
      <c r="H1341" s="39">
        <f>IF(C1341="","",IFERROR(INDEX('Animais'!$M$6:$M$1005,MATCH(C1341,'Animais'!$A$6:$A$1005,0)),"Brinco não cadastrado"))</f>
        <v/>
      </c>
      <c r="I1341" s="34">
        <f>IF(A1341="","",YEAR(A1341))</f>
        <v/>
      </c>
      <c r="J1341" s="45">
        <f>IF(OR(N(D1341)=0,N(E1341)=0),"",IFERROR(E1341/D1341,""))</f>
        <v/>
      </c>
    </row>
    <row r="1342">
      <c r="A1342" s="31" t="n"/>
      <c r="B1342" s="37" t="n"/>
      <c r="C1342" s="36" t="n"/>
      <c r="D1342" s="38" t="n"/>
      <c r="E1342" s="44" t="n"/>
      <c r="F1342" s="32" t="n"/>
      <c r="G1342" s="32" t="n"/>
      <c r="H1342" s="39">
        <f>IF(C1342="","",IFERROR(INDEX('Animais'!$M$6:$M$1005,MATCH(C1342,'Animais'!$A$6:$A$1005,0)),"Brinco não cadastrado"))</f>
        <v/>
      </c>
      <c r="I1342" s="34">
        <f>IF(A1342="","",YEAR(A1342))</f>
        <v/>
      </c>
      <c r="J1342" s="45">
        <f>IF(OR(N(D1342)=0,N(E1342)=0),"",IFERROR(E1342/D1342,""))</f>
        <v/>
      </c>
    </row>
    <row r="1343">
      <c r="A1343" s="31" t="n"/>
      <c r="B1343" s="37" t="n"/>
      <c r="C1343" s="36" t="n"/>
      <c r="D1343" s="38" t="n"/>
      <c r="E1343" s="44" t="n"/>
      <c r="F1343" s="32" t="n"/>
      <c r="G1343" s="32" t="n"/>
      <c r="H1343" s="39">
        <f>IF(C1343="","",IFERROR(INDEX('Animais'!$M$6:$M$1005,MATCH(C1343,'Animais'!$A$6:$A$1005,0)),"Brinco não cadastrado"))</f>
        <v/>
      </c>
      <c r="I1343" s="34">
        <f>IF(A1343="","",YEAR(A1343))</f>
        <v/>
      </c>
      <c r="J1343" s="45">
        <f>IF(OR(N(D1343)=0,N(E1343)=0),"",IFERROR(E1343/D1343,""))</f>
        <v/>
      </c>
    </row>
    <row r="1344">
      <c r="A1344" s="31" t="n"/>
      <c r="B1344" s="37" t="n"/>
      <c r="C1344" s="36" t="n"/>
      <c r="D1344" s="38" t="n"/>
      <c r="E1344" s="44" t="n"/>
      <c r="F1344" s="32" t="n"/>
      <c r="G1344" s="32" t="n"/>
      <c r="H1344" s="39">
        <f>IF(C1344="","",IFERROR(INDEX('Animais'!$M$6:$M$1005,MATCH(C1344,'Animais'!$A$6:$A$1005,0)),"Brinco não cadastrado"))</f>
        <v/>
      </c>
      <c r="I1344" s="34">
        <f>IF(A1344="","",YEAR(A1344))</f>
        <v/>
      </c>
      <c r="J1344" s="45">
        <f>IF(OR(N(D1344)=0,N(E1344)=0),"",IFERROR(E1344/D1344,""))</f>
        <v/>
      </c>
    </row>
    <row r="1345">
      <c r="A1345" s="31" t="n"/>
      <c r="B1345" s="37" t="n"/>
      <c r="C1345" s="36" t="n"/>
      <c r="D1345" s="38" t="n"/>
      <c r="E1345" s="44" t="n"/>
      <c r="F1345" s="32" t="n"/>
      <c r="G1345" s="32" t="n"/>
      <c r="H1345" s="39">
        <f>IF(C1345="","",IFERROR(INDEX('Animais'!$M$6:$M$1005,MATCH(C1345,'Animais'!$A$6:$A$1005,0)),"Brinco não cadastrado"))</f>
        <v/>
      </c>
      <c r="I1345" s="34">
        <f>IF(A1345="","",YEAR(A1345))</f>
        <v/>
      </c>
      <c r="J1345" s="45">
        <f>IF(OR(N(D1345)=0,N(E1345)=0),"",IFERROR(E1345/D1345,""))</f>
        <v/>
      </c>
    </row>
    <row r="1346">
      <c r="A1346" s="31" t="n"/>
      <c r="B1346" s="37" t="n"/>
      <c r="C1346" s="36" t="n"/>
      <c r="D1346" s="38" t="n"/>
      <c r="E1346" s="44" t="n"/>
      <c r="F1346" s="32" t="n"/>
      <c r="G1346" s="32" t="n"/>
      <c r="H1346" s="39">
        <f>IF(C1346="","",IFERROR(INDEX('Animais'!$M$6:$M$1005,MATCH(C1346,'Animais'!$A$6:$A$1005,0)),"Brinco não cadastrado"))</f>
        <v/>
      </c>
      <c r="I1346" s="34">
        <f>IF(A1346="","",YEAR(A1346))</f>
        <v/>
      </c>
      <c r="J1346" s="45">
        <f>IF(OR(N(D1346)=0,N(E1346)=0),"",IFERROR(E1346/D1346,""))</f>
        <v/>
      </c>
    </row>
    <row r="1347">
      <c r="A1347" s="31" t="n"/>
      <c r="B1347" s="37" t="n"/>
      <c r="C1347" s="36" t="n"/>
      <c r="D1347" s="38" t="n"/>
      <c r="E1347" s="44" t="n"/>
      <c r="F1347" s="32" t="n"/>
      <c r="G1347" s="32" t="n"/>
      <c r="H1347" s="39">
        <f>IF(C1347="","",IFERROR(INDEX('Animais'!$M$6:$M$1005,MATCH(C1347,'Animais'!$A$6:$A$1005,0)),"Brinco não cadastrado"))</f>
        <v/>
      </c>
      <c r="I1347" s="34">
        <f>IF(A1347="","",YEAR(A1347))</f>
        <v/>
      </c>
      <c r="J1347" s="45">
        <f>IF(OR(N(D1347)=0,N(E1347)=0),"",IFERROR(E1347/D1347,""))</f>
        <v/>
      </c>
    </row>
    <row r="1348">
      <c r="A1348" s="31" t="n"/>
      <c r="B1348" s="37" t="n"/>
      <c r="C1348" s="36" t="n"/>
      <c r="D1348" s="38" t="n"/>
      <c r="E1348" s="44" t="n"/>
      <c r="F1348" s="32" t="n"/>
      <c r="G1348" s="32" t="n"/>
      <c r="H1348" s="39">
        <f>IF(C1348="","",IFERROR(INDEX('Animais'!$M$6:$M$1005,MATCH(C1348,'Animais'!$A$6:$A$1005,0)),"Brinco não cadastrado"))</f>
        <v/>
      </c>
      <c r="I1348" s="34">
        <f>IF(A1348="","",YEAR(A1348))</f>
        <v/>
      </c>
      <c r="J1348" s="45">
        <f>IF(OR(N(D1348)=0,N(E1348)=0),"",IFERROR(E1348/D1348,""))</f>
        <v/>
      </c>
    </row>
    <row r="1349">
      <c r="A1349" s="31" t="n"/>
      <c r="B1349" s="37" t="n"/>
      <c r="C1349" s="36" t="n"/>
      <c r="D1349" s="38" t="n"/>
      <c r="E1349" s="44" t="n"/>
      <c r="F1349" s="32" t="n"/>
      <c r="G1349" s="32" t="n"/>
      <c r="H1349" s="39">
        <f>IF(C1349="","",IFERROR(INDEX('Animais'!$M$6:$M$1005,MATCH(C1349,'Animais'!$A$6:$A$1005,0)),"Brinco não cadastrado"))</f>
        <v/>
      </c>
      <c r="I1349" s="34">
        <f>IF(A1349="","",YEAR(A1349))</f>
        <v/>
      </c>
      <c r="J1349" s="45">
        <f>IF(OR(N(D1349)=0,N(E1349)=0),"",IFERROR(E1349/D1349,""))</f>
        <v/>
      </c>
    </row>
    <row r="1350">
      <c r="A1350" s="31" t="n"/>
      <c r="B1350" s="37" t="n"/>
      <c r="C1350" s="36" t="n"/>
      <c r="D1350" s="38" t="n"/>
      <c r="E1350" s="44" t="n"/>
      <c r="F1350" s="32" t="n"/>
      <c r="G1350" s="32" t="n"/>
      <c r="H1350" s="39">
        <f>IF(C1350="","",IFERROR(INDEX('Animais'!$M$6:$M$1005,MATCH(C1350,'Animais'!$A$6:$A$1005,0)),"Brinco não cadastrado"))</f>
        <v/>
      </c>
      <c r="I1350" s="34">
        <f>IF(A1350="","",YEAR(A1350))</f>
        <v/>
      </c>
      <c r="J1350" s="45">
        <f>IF(OR(N(D1350)=0,N(E1350)=0),"",IFERROR(E1350/D1350,""))</f>
        <v/>
      </c>
    </row>
    <row r="1351">
      <c r="A1351" s="31" t="n"/>
      <c r="B1351" s="37" t="n"/>
      <c r="C1351" s="36" t="n"/>
      <c r="D1351" s="38" t="n"/>
      <c r="E1351" s="44" t="n"/>
      <c r="F1351" s="32" t="n"/>
      <c r="G1351" s="32" t="n"/>
      <c r="H1351" s="39">
        <f>IF(C1351="","",IFERROR(INDEX('Animais'!$M$6:$M$1005,MATCH(C1351,'Animais'!$A$6:$A$1005,0)),"Brinco não cadastrado"))</f>
        <v/>
      </c>
      <c r="I1351" s="34">
        <f>IF(A1351="","",YEAR(A1351))</f>
        <v/>
      </c>
      <c r="J1351" s="45">
        <f>IF(OR(N(D1351)=0,N(E1351)=0),"",IFERROR(E1351/D1351,""))</f>
        <v/>
      </c>
    </row>
    <row r="1352">
      <c r="A1352" s="31" t="n"/>
      <c r="B1352" s="37" t="n"/>
      <c r="C1352" s="36" t="n"/>
      <c r="D1352" s="38" t="n"/>
      <c r="E1352" s="44" t="n"/>
      <c r="F1352" s="32" t="n"/>
      <c r="G1352" s="32" t="n"/>
      <c r="H1352" s="39">
        <f>IF(C1352="","",IFERROR(INDEX('Animais'!$M$6:$M$1005,MATCH(C1352,'Animais'!$A$6:$A$1005,0)),"Brinco não cadastrado"))</f>
        <v/>
      </c>
      <c r="I1352" s="34">
        <f>IF(A1352="","",YEAR(A1352))</f>
        <v/>
      </c>
      <c r="J1352" s="45">
        <f>IF(OR(N(D1352)=0,N(E1352)=0),"",IFERROR(E1352/D1352,""))</f>
        <v/>
      </c>
    </row>
    <row r="1353">
      <c r="A1353" s="31" t="n"/>
      <c r="B1353" s="37" t="n"/>
      <c r="C1353" s="36" t="n"/>
      <c r="D1353" s="38" t="n"/>
      <c r="E1353" s="44" t="n"/>
      <c r="F1353" s="32" t="n"/>
      <c r="G1353" s="32" t="n"/>
      <c r="H1353" s="39">
        <f>IF(C1353="","",IFERROR(INDEX('Animais'!$M$6:$M$1005,MATCH(C1353,'Animais'!$A$6:$A$1005,0)),"Brinco não cadastrado"))</f>
        <v/>
      </c>
      <c r="I1353" s="34">
        <f>IF(A1353="","",YEAR(A1353))</f>
        <v/>
      </c>
      <c r="J1353" s="45">
        <f>IF(OR(N(D1353)=0,N(E1353)=0),"",IFERROR(E1353/D1353,""))</f>
        <v/>
      </c>
    </row>
    <row r="1354">
      <c r="A1354" s="31" t="n"/>
      <c r="B1354" s="37" t="n"/>
      <c r="C1354" s="36" t="n"/>
      <c r="D1354" s="38" t="n"/>
      <c r="E1354" s="44" t="n"/>
      <c r="F1354" s="32" t="n"/>
      <c r="G1354" s="32" t="n"/>
      <c r="H1354" s="39">
        <f>IF(C1354="","",IFERROR(INDEX('Animais'!$M$6:$M$1005,MATCH(C1354,'Animais'!$A$6:$A$1005,0)),"Brinco não cadastrado"))</f>
        <v/>
      </c>
      <c r="I1354" s="34">
        <f>IF(A1354="","",YEAR(A1354))</f>
        <v/>
      </c>
      <c r="J1354" s="45">
        <f>IF(OR(N(D1354)=0,N(E1354)=0),"",IFERROR(E1354/D1354,""))</f>
        <v/>
      </c>
    </row>
    <row r="1355">
      <c r="A1355" s="31" t="n"/>
      <c r="B1355" s="37" t="n"/>
      <c r="C1355" s="36" t="n"/>
      <c r="D1355" s="38" t="n"/>
      <c r="E1355" s="44" t="n"/>
      <c r="F1355" s="32" t="n"/>
      <c r="G1355" s="32" t="n"/>
      <c r="H1355" s="39">
        <f>IF(C1355="","",IFERROR(INDEX('Animais'!$M$6:$M$1005,MATCH(C1355,'Animais'!$A$6:$A$1005,0)),"Brinco não cadastrado"))</f>
        <v/>
      </c>
      <c r="I1355" s="34">
        <f>IF(A1355="","",YEAR(A1355))</f>
        <v/>
      </c>
      <c r="J1355" s="45">
        <f>IF(OR(N(D1355)=0,N(E1355)=0),"",IFERROR(E1355/D1355,""))</f>
        <v/>
      </c>
    </row>
    <row r="1356">
      <c r="A1356" s="31" t="n"/>
      <c r="B1356" s="37" t="n"/>
      <c r="C1356" s="36" t="n"/>
      <c r="D1356" s="38" t="n"/>
      <c r="E1356" s="44" t="n"/>
      <c r="F1356" s="32" t="n"/>
      <c r="G1356" s="32" t="n"/>
      <c r="H1356" s="39">
        <f>IF(C1356="","",IFERROR(INDEX('Animais'!$M$6:$M$1005,MATCH(C1356,'Animais'!$A$6:$A$1005,0)),"Brinco não cadastrado"))</f>
        <v/>
      </c>
      <c r="I1356" s="34">
        <f>IF(A1356="","",YEAR(A1356))</f>
        <v/>
      </c>
      <c r="J1356" s="45">
        <f>IF(OR(N(D1356)=0,N(E1356)=0),"",IFERROR(E1356/D1356,""))</f>
        <v/>
      </c>
    </row>
    <row r="1357">
      <c r="A1357" s="31" t="n"/>
      <c r="B1357" s="37" t="n"/>
      <c r="C1357" s="36" t="n"/>
      <c r="D1357" s="38" t="n"/>
      <c r="E1357" s="44" t="n"/>
      <c r="F1357" s="32" t="n"/>
      <c r="G1357" s="32" t="n"/>
      <c r="H1357" s="39">
        <f>IF(C1357="","",IFERROR(INDEX('Animais'!$M$6:$M$1005,MATCH(C1357,'Animais'!$A$6:$A$1005,0)),"Brinco não cadastrado"))</f>
        <v/>
      </c>
      <c r="I1357" s="34">
        <f>IF(A1357="","",YEAR(A1357))</f>
        <v/>
      </c>
      <c r="J1357" s="45">
        <f>IF(OR(N(D1357)=0,N(E1357)=0),"",IFERROR(E1357/D1357,""))</f>
        <v/>
      </c>
    </row>
    <row r="1358">
      <c r="A1358" s="31" t="n"/>
      <c r="B1358" s="37" t="n"/>
      <c r="C1358" s="36" t="n"/>
      <c r="D1358" s="38" t="n"/>
      <c r="E1358" s="44" t="n"/>
      <c r="F1358" s="32" t="n"/>
      <c r="G1358" s="32" t="n"/>
      <c r="H1358" s="39">
        <f>IF(C1358="","",IFERROR(INDEX('Animais'!$M$6:$M$1005,MATCH(C1358,'Animais'!$A$6:$A$1005,0)),"Brinco não cadastrado"))</f>
        <v/>
      </c>
      <c r="I1358" s="34">
        <f>IF(A1358="","",YEAR(A1358))</f>
        <v/>
      </c>
      <c r="J1358" s="45">
        <f>IF(OR(N(D1358)=0,N(E1358)=0),"",IFERROR(E1358/D1358,""))</f>
        <v/>
      </c>
    </row>
    <row r="1359">
      <c r="A1359" s="31" t="n"/>
      <c r="B1359" s="37" t="n"/>
      <c r="C1359" s="36" t="n"/>
      <c r="D1359" s="38" t="n"/>
      <c r="E1359" s="44" t="n"/>
      <c r="F1359" s="32" t="n"/>
      <c r="G1359" s="32" t="n"/>
      <c r="H1359" s="39">
        <f>IF(C1359="","",IFERROR(INDEX('Animais'!$M$6:$M$1005,MATCH(C1359,'Animais'!$A$6:$A$1005,0)),"Brinco não cadastrado"))</f>
        <v/>
      </c>
      <c r="I1359" s="34">
        <f>IF(A1359="","",YEAR(A1359))</f>
        <v/>
      </c>
      <c r="J1359" s="45">
        <f>IF(OR(N(D1359)=0,N(E1359)=0),"",IFERROR(E1359/D1359,""))</f>
        <v/>
      </c>
    </row>
    <row r="1360">
      <c r="A1360" s="31" t="n"/>
      <c r="B1360" s="37" t="n"/>
      <c r="C1360" s="36" t="n"/>
      <c r="D1360" s="38" t="n"/>
      <c r="E1360" s="44" t="n"/>
      <c r="F1360" s="32" t="n"/>
      <c r="G1360" s="32" t="n"/>
      <c r="H1360" s="39">
        <f>IF(C1360="","",IFERROR(INDEX('Animais'!$M$6:$M$1005,MATCH(C1360,'Animais'!$A$6:$A$1005,0)),"Brinco não cadastrado"))</f>
        <v/>
      </c>
      <c r="I1360" s="34">
        <f>IF(A1360="","",YEAR(A1360))</f>
        <v/>
      </c>
      <c r="J1360" s="45">
        <f>IF(OR(N(D1360)=0,N(E1360)=0),"",IFERROR(E1360/D1360,""))</f>
        <v/>
      </c>
    </row>
    <row r="1361">
      <c r="A1361" s="31" t="n"/>
      <c r="B1361" s="37" t="n"/>
      <c r="C1361" s="36" t="n"/>
      <c r="D1361" s="38" t="n"/>
      <c r="E1361" s="44" t="n"/>
      <c r="F1361" s="32" t="n"/>
      <c r="G1361" s="32" t="n"/>
      <c r="H1361" s="39">
        <f>IF(C1361="","",IFERROR(INDEX('Animais'!$M$6:$M$1005,MATCH(C1361,'Animais'!$A$6:$A$1005,0)),"Brinco não cadastrado"))</f>
        <v/>
      </c>
      <c r="I1361" s="34">
        <f>IF(A1361="","",YEAR(A1361))</f>
        <v/>
      </c>
      <c r="J1361" s="45">
        <f>IF(OR(N(D1361)=0,N(E1361)=0),"",IFERROR(E1361/D1361,""))</f>
        <v/>
      </c>
    </row>
    <row r="1362">
      <c r="A1362" s="31" t="n"/>
      <c r="B1362" s="37" t="n"/>
      <c r="C1362" s="36" t="n"/>
      <c r="D1362" s="38" t="n"/>
      <c r="E1362" s="44" t="n"/>
      <c r="F1362" s="32" t="n"/>
      <c r="G1362" s="32" t="n"/>
      <c r="H1362" s="39">
        <f>IF(C1362="","",IFERROR(INDEX('Animais'!$M$6:$M$1005,MATCH(C1362,'Animais'!$A$6:$A$1005,0)),"Brinco não cadastrado"))</f>
        <v/>
      </c>
      <c r="I1362" s="34">
        <f>IF(A1362="","",YEAR(A1362))</f>
        <v/>
      </c>
      <c r="J1362" s="45">
        <f>IF(OR(N(D1362)=0,N(E1362)=0),"",IFERROR(E1362/D1362,""))</f>
        <v/>
      </c>
    </row>
    <row r="1363">
      <c r="A1363" s="31" t="n"/>
      <c r="B1363" s="37" t="n"/>
      <c r="C1363" s="36" t="n"/>
      <c r="D1363" s="38" t="n"/>
      <c r="E1363" s="44" t="n"/>
      <c r="F1363" s="32" t="n"/>
      <c r="G1363" s="32" t="n"/>
      <c r="H1363" s="39">
        <f>IF(C1363="","",IFERROR(INDEX('Animais'!$M$6:$M$1005,MATCH(C1363,'Animais'!$A$6:$A$1005,0)),"Brinco não cadastrado"))</f>
        <v/>
      </c>
      <c r="I1363" s="34">
        <f>IF(A1363="","",YEAR(A1363))</f>
        <v/>
      </c>
      <c r="J1363" s="45">
        <f>IF(OR(N(D1363)=0,N(E1363)=0),"",IFERROR(E1363/D1363,""))</f>
        <v/>
      </c>
    </row>
    <row r="1364">
      <c r="A1364" s="31" t="n"/>
      <c r="B1364" s="37" t="n"/>
      <c r="C1364" s="36" t="n"/>
      <c r="D1364" s="38" t="n"/>
      <c r="E1364" s="44" t="n"/>
      <c r="F1364" s="32" t="n"/>
      <c r="G1364" s="32" t="n"/>
      <c r="H1364" s="39">
        <f>IF(C1364="","",IFERROR(INDEX('Animais'!$M$6:$M$1005,MATCH(C1364,'Animais'!$A$6:$A$1005,0)),"Brinco não cadastrado"))</f>
        <v/>
      </c>
      <c r="I1364" s="34">
        <f>IF(A1364="","",YEAR(A1364))</f>
        <v/>
      </c>
      <c r="J1364" s="45">
        <f>IF(OR(N(D1364)=0,N(E1364)=0),"",IFERROR(E1364/D1364,""))</f>
        <v/>
      </c>
    </row>
    <row r="1365">
      <c r="A1365" s="31" t="n"/>
      <c r="B1365" s="37" t="n"/>
      <c r="C1365" s="36" t="n"/>
      <c r="D1365" s="38" t="n"/>
      <c r="E1365" s="44" t="n"/>
      <c r="F1365" s="32" t="n"/>
      <c r="G1365" s="32" t="n"/>
      <c r="H1365" s="39">
        <f>IF(C1365="","",IFERROR(INDEX('Animais'!$M$6:$M$1005,MATCH(C1365,'Animais'!$A$6:$A$1005,0)),"Brinco não cadastrado"))</f>
        <v/>
      </c>
      <c r="I1365" s="34">
        <f>IF(A1365="","",YEAR(A1365))</f>
        <v/>
      </c>
      <c r="J1365" s="45">
        <f>IF(OR(N(D1365)=0,N(E1365)=0),"",IFERROR(E1365/D1365,""))</f>
        <v/>
      </c>
    </row>
    <row r="1366">
      <c r="A1366" s="31" t="n"/>
      <c r="B1366" s="37" t="n"/>
      <c r="C1366" s="36" t="n"/>
      <c r="D1366" s="38" t="n"/>
      <c r="E1366" s="44" t="n"/>
      <c r="F1366" s="32" t="n"/>
      <c r="G1366" s="32" t="n"/>
      <c r="H1366" s="39">
        <f>IF(C1366="","",IFERROR(INDEX('Animais'!$M$6:$M$1005,MATCH(C1366,'Animais'!$A$6:$A$1005,0)),"Brinco não cadastrado"))</f>
        <v/>
      </c>
      <c r="I1366" s="34">
        <f>IF(A1366="","",YEAR(A1366))</f>
        <v/>
      </c>
      <c r="J1366" s="45">
        <f>IF(OR(N(D1366)=0,N(E1366)=0),"",IFERROR(E1366/D1366,""))</f>
        <v/>
      </c>
    </row>
    <row r="1367">
      <c r="A1367" s="31" t="n"/>
      <c r="B1367" s="37" t="n"/>
      <c r="C1367" s="36" t="n"/>
      <c r="D1367" s="38" t="n"/>
      <c r="E1367" s="44" t="n"/>
      <c r="F1367" s="32" t="n"/>
      <c r="G1367" s="32" t="n"/>
      <c r="H1367" s="39">
        <f>IF(C1367="","",IFERROR(INDEX('Animais'!$M$6:$M$1005,MATCH(C1367,'Animais'!$A$6:$A$1005,0)),"Brinco não cadastrado"))</f>
        <v/>
      </c>
      <c r="I1367" s="34">
        <f>IF(A1367="","",YEAR(A1367))</f>
        <v/>
      </c>
      <c r="J1367" s="45">
        <f>IF(OR(N(D1367)=0,N(E1367)=0),"",IFERROR(E1367/D1367,""))</f>
        <v/>
      </c>
    </row>
    <row r="1368">
      <c r="A1368" s="31" t="n"/>
      <c r="B1368" s="37" t="n"/>
      <c r="C1368" s="36" t="n"/>
      <c r="D1368" s="38" t="n"/>
      <c r="E1368" s="44" t="n"/>
      <c r="F1368" s="32" t="n"/>
      <c r="G1368" s="32" t="n"/>
      <c r="H1368" s="39">
        <f>IF(C1368="","",IFERROR(INDEX('Animais'!$M$6:$M$1005,MATCH(C1368,'Animais'!$A$6:$A$1005,0)),"Brinco não cadastrado"))</f>
        <v/>
      </c>
      <c r="I1368" s="34">
        <f>IF(A1368="","",YEAR(A1368))</f>
        <v/>
      </c>
      <c r="J1368" s="45">
        <f>IF(OR(N(D1368)=0,N(E1368)=0),"",IFERROR(E1368/D1368,""))</f>
        <v/>
      </c>
    </row>
    <row r="1369">
      <c r="A1369" s="31" t="n"/>
      <c r="B1369" s="37" t="n"/>
      <c r="C1369" s="36" t="n"/>
      <c r="D1369" s="38" t="n"/>
      <c r="E1369" s="44" t="n"/>
      <c r="F1369" s="32" t="n"/>
      <c r="G1369" s="32" t="n"/>
      <c r="H1369" s="39">
        <f>IF(C1369="","",IFERROR(INDEX('Animais'!$M$6:$M$1005,MATCH(C1369,'Animais'!$A$6:$A$1005,0)),"Brinco não cadastrado"))</f>
        <v/>
      </c>
      <c r="I1369" s="34">
        <f>IF(A1369="","",YEAR(A1369))</f>
        <v/>
      </c>
      <c r="J1369" s="45">
        <f>IF(OR(N(D1369)=0,N(E1369)=0),"",IFERROR(E1369/D1369,""))</f>
        <v/>
      </c>
    </row>
    <row r="1370">
      <c r="A1370" s="31" t="n"/>
      <c r="B1370" s="37" t="n"/>
      <c r="C1370" s="36" t="n"/>
      <c r="D1370" s="38" t="n"/>
      <c r="E1370" s="44" t="n"/>
      <c r="F1370" s="32" t="n"/>
      <c r="G1370" s="32" t="n"/>
      <c r="H1370" s="39">
        <f>IF(C1370="","",IFERROR(INDEX('Animais'!$M$6:$M$1005,MATCH(C1370,'Animais'!$A$6:$A$1005,0)),"Brinco não cadastrado"))</f>
        <v/>
      </c>
      <c r="I1370" s="34">
        <f>IF(A1370="","",YEAR(A1370))</f>
        <v/>
      </c>
      <c r="J1370" s="45">
        <f>IF(OR(N(D1370)=0,N(E1370)=0),"",IFERROR(E1370/D1370,""))</f>
        <v/>
      </c>
    </row>
    <row r="1371">
      <c r="A1371" s="31" t="n"/>
      <c r="B1371" s="37" t="n"/>
      <c r="C1371" s="36" t="n"/>
      <c r="D1371" s="38" t="n"/>
      <c r="E1371" s="44" t="n"/>
      <c r="F1371" s="32" t="n"/>
      <c r="G1371" s="32" t="n"/>
      <c r="H1371" s="39">
        <f>IF(C1371="","",IFERROR(INDEX('Animais'!$M$6:$M$1005,MATCH(C1371,'Animais'!$A$6:$A$1005,0)),"Brinco não cadastrado"))</f>
        <v/>
      </c>
      <c r="I1371" s="34">
        <f>IF(A1371="","",YEAR(A1371))</f>
        <v/>
      </c>
      <c r="J1371" s="45">
        <f>IF(OR(N(D1371)=0,N(E1371)=0),"",IFERROR(E1371/D1371,""))</f>
        <v/>
      </c>
    </row>
    <row r="1372">
      <c r="A1372" s="31" t="n"/>
      <c r="B1372" s="37" t="n"/>
      <c r="C1372" s="36" t="n"/>
      <c r="D1372" s="38" t="n"/>
      <c r="E1372" s="44" t="n"/>
      <c r="F1372" s="32" t="n"/>
      <c r="G1372" s="32" t="n"/>
      <c r="H1372" s="39">
        <f>IF(C1372="","",IFERROR(INDEX('Animais'!$M$6:$M$1005,MATCH(C1372,'Animais'!$A$6:$A$1005,0)),"Brinco não cadastrado"))</f>
        <v/>
      </c>
      <c r="I1372" s="34">
        <f>IF(A1372="","",YEAR(A1372))</f>
        <v/>
      </c>
      <c r="J1372" s="45">
        <f>IF(OR(N(D1372)=0,N(E1372)=0),"",IFERROR(E1372/D1372,""))</f>
        <v/>
      </c>
    </row>
    <row r="1373">
      <c r="A1373" s="31" t="n"/>
      <c r="B1373" s="37" t="n"/>
      <c r="C1373" s="36" t="n"/>
      <c r="D1373" s="38" t="n"/>
      <c r="E1373" s="44" t="n"/>
      <c r="F1373" s="32" t="n"/>
      <c r="G1373" s="32" t="n"/>
      <c r="H1373" s="39">
        <f>IF(C1373="","",IFERROR(INDEX('Animais'!$M$6:$M$1005,MATCH(C1373,'Animais'!$A$6:$A$1005,0)),"Brinco não cadastrado"))</f>
        <v/>
      </c>
      <c r="I1373" s="34">
        <f>IF(A1373="","",YEAR(A1373))</f>
        <v/>
      </c>
      <c r="J1373" s="45">
        <f>IF(OR(N(D1373)=0,N(E1373)=0),"",IFERROR(E1373/D1373,""))</f>
        <v/>
      </c>
    </row>
    <row r="1374">
      <c r="A1374" s="31" t="n"/>
      <c r="B1374" s="37" t="n"/>
      <c r="C1374" s="36" t="n"/>
      <c r="D1374" s="38" t="n"/>
      <c r="E1374" s="44" t="n"/>
      <c r="F1374" s="32" t="n"/>
      <c r="G1374" s="32" t="n"/>
      <c r="H1374" s="39">
        <f>IF(C1374="","",IFERROR(INDEX('Animais'!$M$6:$M$1005,MATCH(C1374,'Animais'!$A$6:$A$1005,0)),"Brinco não cadastrado"))</f>
        <v/>
      </c>
      <c r="I1374" s="34">
        <f>IF(A1374="","",YEAR(A1374))</f>
        <v/>
      </c>
      <c r="J1374" s="45">
        <f>IF(OR(N(D1374)=0,N(E1374)=0),"",IFERROR(E1374/D1374,""))</f>
        <v/>
      </c>
    </row>
    <row r="1375">
      <c r="A1375" s="31" t="n"/>
      <c r="B1375" s="37" t="n"/>
      <c r="C1375" s="36" t="n"/>
      <c r="D1375" s="38" t="n"/>
      <c r="E1375" s="44" t="n"/>
      <c r="F1375" s="32" t="n"/>
      <c r="G1375" s="32" t="n"/>
      <c r="H1375" s="39">
        <f>IF(C1375="","",IFERROR(INDEX('Animais'!$M$6:$M$1005,MATCH(C1375,'Animais'!$A$6:$A$1005,0)),"Brinco não cadastrado"))</f>
        <v/>
      </c>
      <c r="I1375" s="34">
        <f>IF(A1375="","",YEAR(A1375))</f>
        <v/>
      </c>
      <c r="J1375" s="45">
        <f>IF(OR(N(D1375)=0,N(E1375)=0),"",IFERROR(E1375/D1375,""))</f>
        <v/>
      </c>
    </row>
    <row r="1376">
      <c r="A1376" s="31" t="n"/>
      <c r="B1376" s="37" t="n"/>
      <c r="C1376" s="36" t="n"/>
      <c r="D1376" s="38" t="n"/>
      <c r="E1376" s="44" t="n"/>
      <c r="F1376" s="32" t="n"/>
      <c r="G1376" s="32" t="n"/>
      <c r="H1376" s="39">
        <f>IF(C1376="","",IFERROR(INDEX('Animais'!$M$6:$M$1005,MATCH(C1376,'Animais'!$A$6:$A$1005,0)),"Brinco não cadastrado"))</f>
        <v/>
      </c>
      <c r="I1376" s="34">
        <f>IF(A1376="","",YEAR(A1376))</f>
        <v/>
      </c>
      <c r="J1376" s="45">
        <f>IF(OR(N(D1376)=0,N(E1376)=0),"",IFERROR(E1376/D1376,""))</f>
        <v/>
      </c>
    </row>
    <row r="1377">
      <c r="A1377" s="31" t="n"/>
      <c r="B1377" s="37" t="n"/>
      <c r="C1377" s="36" t="n"/>
      <c r="D1377" s="38" t="n"/>
      <c r="E1377" s="44" t="n"/>
      <c r="F1377" s="32" t="n"/>
      <c r="G1377" s="32" t="n"/>
      <c r="H1377" s="39">
        <f>IF(C1377="","",IFERROR(INDEX('Animais'!$M$6:$M$1005,MATCH(C1377,'Animais'!$A$6:$A$1005,0)),"Brinco não cadastrado"))</f>
        <v/>
      </c>
      <c r="I1377" s="34">
        <f>IF(A1377="","",YEAR(A1377))</f>
        <v/>
      </c>
      <c r="J1377" s="45">
        <f>IF(OR(N(D1377)=0,N(E1377)=0),"",IFERROR(E1377/D1377,""))</f>
        <v/>
      </c>
    </row>
    <row r="1378">
      <c r="A1378" s="31" t="n"/>
      <c r="B1378" s="37" t="n"/>
      <c r="C1378" s="36" t="n"/>
      <c r="D1378" s="38" t="n"/>
      <c r="E1378" s="44" t="n"/>
      <c r="F1378" s="32" t="n"/>
      <c r="G1378" s="32" t="n"/>
      <c r="H1378" s="39">
        <f>IF(C1378="","",IFERROR(INDEX('Animais'!$M$6:$M$1005,MATCH(C1378,'Animais'!$A$6:$A$1005,0)),"Brinco não cadastrado"))</f>
        <v/>
      </c>
      <c r="I1378" s="34">
        <f>IF(A1378="","",YEAR(A1378))</f>
        <v/>
      </c>
      <c r="J1378" s="45">
        <f>IF(OR(N(D1378)=0,N(E1378)=0),"",IFERROR(E1378/D1378,""))</f>
        <v/>
      </c>
    </row>
    <row r="1379">
      <c r="A1379" s="31" t="n"/>
      <c r="B1379" s="37" t="n"/>
      <c r="C1379" s="36" t="n"/>
      <c r="D1379" s="38" t="n"/>
      <c r="E1379" s="44" t="n"/>
      <c r="F1379" s="32" t="n"/>
      <c r="G1379" s="32" t="n"/>
      <c r="H1379" s="39">
        <f>IF(C1379="","",IFERROR(INDEX('Animais'!$M$6:$M$1005,MATCH(C1379,'Animais'!$A$6:$A$1005,0)),"Brinco não cadastrado"))</f>
        <v/>
      </c>
      <c r="I1379" s="34">
        <f>IF(A1379="","",YEAR(A1379))</f>
        <v/>
      </c>
      <c r="J1379" s="45">
        <f>IF(OR(N(D1379)=0,N(E1379)=0),"",IFERROR(E1379/D1379,""))</f>
        <v/>
      </c>
    </row>
    <row r="1380">
      <c r="A1380" s="31" t="n"/>
      <c r="B1380" s="37" t="n"/>
      <c r="C1380" s="36" t="n"/>
      <c r="D1380" s="38" t="n"/>
      <c r="E1380" s="44" t="n"/>
      <c r="F1380" s="32" t="n"/>
      <c r="G1380" s="32" t="n"/>
      <c r="H1380" s="39">
        <f>IF(C1380="","",IFERROR(INDEX('Animais'!$M$6:$M$1005,MATCH(C1380,'Animais'!$A$6:$A$1005,0)),"Brinco não cadastrado"))</f>
        <v/>
      </c>
      <c r="I1380" s="34">
        <f>IF(A1380="","",YEAR(A1380))</f>
        <v/>
      </c>
      <c r="J1380" s="45">
        <f>IF(OR(N(D1380)=0,N(E1380)=0),"",IFERROR(E1380/D1380,""))</f>
        <v/>
      </c>
    </row>
    <row r="1381">
      <c r="A1381" s="31" t="n"/>
      <c r="B1381" s="37" t="n"/>
      <c r="C1381" s="36" t="n"/>
      <c r="D1381" s="38" t="n"/>
      <c r="E1381" s="44" t="n"/>
      <c r="F1381" s="32" t="n"/>
      <c r="G1381" s="32" t="n"/>
      <c r="H1381" s="39">
        <f>IF(C1381="","",IFERROR(INDEX('Animais'!$M$6:$M$1005,MATCH(C1381,'Animais'!$A$6:$A$1005,0)),"Brinco não cadastrado"))</f>
        <v/>
      </c>
      <c r="I1381" s="34">
        <f>IF(A1381="","",YEAR(A1381))</f>
        <v/>
      </c>
      <c r="J1381" s="45">
        <f>IF(OR(N(D1381)=0,N(E1381)=0),"",IFERROR(E1381/D1381,""))</f>
        <v/>
      </c>
    </row>
    <row r="1382">
      <c r="A1382" s="31" t="n"/>
      <c r="B1382" s="37" t="n"/>
      <c r="C1382" s="36" t="n"/>
      <c r="D1382" s="38" t="n"/>
      <c r="E1382" s="44" t="n"/>
      <c r="F1382" s="32" t="n"/>
      <c r="G1382" s="32" t="n"/>
      <c r="H1382" s="39">
        <f>IF(C1382="","",IFERROR(INDEX('Animais'!$M$6:$M$1005,MATCH(C1382,'Animais'!$A$6:$A$1005,0)),"Brinco não cadastrado"))</f>
        <v/>
      </c>
      <c r="I1382" s="34">
        <f>IF(A1382="","",YEAR(A1382))</f>
        <v/>
      </c>
      <c r="J1382" s="45">
        <f>IF(OR(N(D1382)=0,N(E1382)=0),"",IFERROR(E1382/D1382,""))</f>
        <v/>
      </c>
    </row>
    <row r="1383">
      <c r="A1383" s="31" t="n"/>
      <c r="B1383" s="37" t="n"/>
      <c r="C1383" s="36" t="n"/>
      <c r="D1383" s="38" t="n"/>
      <c r="E1383" s="44" t="n"/>
      <c r="F1383" s="32" t="n"/>
      <c r="G1383" s="32" t="n"/>
      <c r="H1383" s="39">
        <f>IF(C1383="","",IFERROR(INDEX('Animais'!$M$6:$M$1005,MATCH(C1383,'Animais'!$A$6:$A$1005,0)),"Brinco não cadastrado"))</f>
        <v/>
      </c>
      <c r="I1383" s="34">
        <f>IF(A1383="","",YEAR(A1383))</f>
        <v/>
      </c>
      <c r="J1383" s="45">
        <f>IF(OR(N(D1383)=0,N(E1383)=0),"",IFERROR(E1383/D1383,""))</f>
        <v/>
      </c>
    </row>
    <row r="1384">
      <c r="A1384" s="31" t="n"/>
      <c r="B1384" s="37" t="n"/>
      <c r="C1384" s="36" t="n"/>
      <c r="D1384" s="38" t="n"/>
      <c r="E1384" s="44" t="n"/>
      <c r="F1384" s="32" t="n"/>
      <c r="G1384" s="32" t="n"/>
      <c r="H1384" s="39">
        <f>IF(C1384="","",IFERROR(INDEX('Animais'!$M$6:$M$1005,MATCH(C1384,'Animais'!$A$6:$A$1005,0)),"Brinco não cadastrado"))</f>
        <v/>
      </c>
      <c r="I1384" s="34">
        <f>IF(A1384="","",YEAR(A1384))</f>
        <v/>
      </c>
      <c r="J1384" s="45">
        <f>IF(OR(N(D1384)=0,N(E1384)=0),"",IFERROR(E1384/D1384,""))</f>
        <v/>
      </c>
    </row>
    <row r="1385">
      <c r="A1385" s="31" t="n"/>
      <c r="B1385" s="37" t="n"/>
      <c r="C1385" s="36" t="n"/>
      <c r="D1385" s="38" t="n"/>
      <c r="E1385" s="44" t="n"/>
      <c r="F1385" s="32" t="n"/>
      <c r="G1385" s="32" t="n"/>
      <c r="H1385" s="39">
        <f>IF(C1385="","",IFERROR(INDEX('Animais'!$M$6:$M$1005,MATCH(C1385,'Animais'!$A$6:$A$1005,0)),"Brinco não cadastrado"))</f>
        <v/>
      </c>
      <c r="I1385" s="34">
        <f>IF(A1385="","",YEAR(A1385))</f>
        <v/>
      </c>
      <c r="J1385" s="45">
        <f>IF(OR(N(D1385)=0,N(E1385)=0),"",IFERROR(E1385/D1385,""))</f>
        <v/>
      </c>
    </row>
    <row r="1386">
      <c r="A1386" s="31" t="n"/>
      <c r="B1386" s="37" t="n"/>
      <c r="C1386" s="36" t="n"/>
      <c r="D1386" s="38" t="n"/>
      <c r="E1386" s="44" t="n"/>
      <c r="F1386" s="32" t="n"/>
      <c r="G1386" s="32" t="n"/>
      <c r="H1386" s="39">
        <f>IF(C1386="","",IFERROR(INDEX('Animais'!$M$6:$M$1005,MATCH(C1386,'Animais'!$A$6:$A$1005,0)),"Brinco não cadastrado"))</f>
        <v/>
      </c>
      <c r="I1386" s="34">
        <f>IF(A1386="","",YEAR(A1386))</f>
        <v/>
      </c>
      <c r="J1386" s="45">
        <f>IF(OR(N(D1386)=0,N(E1386)=0),"",IFERROR(E1386/D1386,""))</f>
        <v/>
      </c>
    </row>
    <row r="1387">
      <c r="A1387" s="31" t="n"/>
      <c r="B1387" s="37" t="n"/>
      <c r="C1387" s="36" t="n"/>
      <c r="D1387" s="38" t="n"/>
      <c r="E1387" s="44" t="n"/>
      <c r="F1387" s="32" t="n"/>
      <c r="G1387" s="32" t="n"/>
      <c r="H1387" s="39">
        <f>IF(C1387="","",IFERROR(INDEX('Animais'!$M$6:$M$1005,MATCH(C1387,'Animais'!$A$6:$A$1005,0)),"Brinco não cadastrado"))</f>
        <v/>
      </c>
      <c r="I1387" s="34">
        <f>IF(A1387="","",YEAR(A1387))</f>
        <v/>
      </c>
      <c r="J1387" s="45">
        <f>IF(OR(N(D1387)=0,N(E1387)=0),"",IFERROR(E1387/D1387,""))</f>
        <v/>
      </c>
    </row>
    <row r="1388">
      <c r="A1388" s="31" t="n"/>
      <c r="B1388" s="37" t="n"/>
      <c r="C1388" s="36" t="n"/>
      <c r="D1388" s="38" t="n"/>
      <c r="E1388" s="44" t="n"/>
      <c r="F1388" s="32" t="n"/>
      <c r="G1388" s="32" t="n"/>
      <c r="H1388" s="39">
        <f>IF(C1388="","",IFERROR(INDEX('Animais'!$M$6:$M$1005,MATCH(C1388,'Animais'!$A$6:$A$1005,0)),"Brinco não cadastrado"))</f>
        <v/>
      </c>
      <c r="I1388" s="34">
        <f>IF(A1388="","",YEAR(A1388))</f>
        <v/>
      </c>
      <c r="J1388" s="45">
        <f>IF(OR(N(D1388)=0,N(E1388)=0),"",IFERROR(E1388/D1388,""))</f>
        <v/>
      </c>
    </row>
    <row r="1389">
      <c r="A1389" s="31" t="n"/>
      <c r="B1389" s="37" t="n"/>
      <c r="C1389" s="36" t="n"/>
      <c r="D1389" s="38" t="n"/>
      <c r="E1389" s="44" t="n"/>
      <c r="F1389" s="32" t="n"/>
      <c r="G1389" s="32" t="n"/>
      <c r="H1389" s="39">
        <f>IF(C1389="","",IFERROR(INDEX('Animais'!$M$6:$M$1005,MATCH(C1389,'Animais'!$A$6:$A$1005,0)),"Brinco não cadastrado"))</f>
        <v/>
      </c>
      <c r="I1389" s="34">
        <f>IF(A1389="","",YEAR(A1389))</f>
        <v/>
      </c>
      <c r="J1389" s="45">
        <f>IF(OR(N(D1389)=0,N(E1389)=0),"",IFERROR(E1389/D1389,""))</f>
        <v/>
      </c>
    </row>
    <row r="1390">
      <c r="A1390" s="31" t="n"/>
      <c r="B1390" s="37" t="n"/>
      <c r="C1390" s="36" t="n"/>
      <c r="D1390" s="38" t="n"/>
      <c r="E1390" s="44" t="n"/>
      <c r="F1390" s="32" t="n"/>
      <c r="G1390" s="32" t="n"/>
      <c r="H1390" s="39">
        <f>IF(C1390="","",IFERROR(INDEX('Animais'!$M$6:$M$1005,MATCH(C1390,'Animais'!$A$6:$A$1005,0)),"Brinco não cadastrado"))</f>
        <v/>
      </c>
      <c r="I1390" s="34">
        <f>IF(A1390="","",YEAR(A1390))</f>
        <v/>
      </c>
      <c r="J1390" s="45">
        <f>IF(OR(N(D1390)=0,N(E1390)=0),"",IFERROR(E1390/D1390,""))</f>
        <v/>
      </c>
    </row>
    <row r="1391">
      <c r="A1391" s="31" t="n"/>
      <c r="B1391" s="37" t="n"/>
      <c r="C1391" s="36" t="n"/>
      <c r="D1391" s="38" t="n"/>
      <c r="E1391" s="44" t="n"/>
      <c r="F1391" s="32" t="n"/>
      <c r="G1391" s="32" t="n"/>
      <c r="H1391" s="39">
        <f>IF(C1391="","",IFERROR(INDEX('Animais'!$M$6:$M$1005,MATCH(C1391,'Animais'!$A$6:$A$1005,0)),"Brinco não cadastrado"))</f>
        <v/>
      </c>
      <c r="I1391" s="34">
        <f>IF(A1391="","",YEAR(A1391))</f>
        <v/>
      </c>
      <c r="J1391" s="45">
        <f>IF(OR(N(D1391)=0,N(E1391)=0),"",IFERROR(E1391/D1391,""))</f>
        <v/>
      </c>
    </row>
    <row r="1392">
      <c r="A1392" s="31" t="n"/>
      <c r="B1392" s="37" t="n"/>
      <c r="C1392" s="36" t="n"/>
      <c r="D1392" s="38" t="n"/>
      <c r="E1392" s="44" t="n"/>
      <c r="F1392" s="32" t="n"/>
      <c r="G1392" s="32" t="n"/>
      <c r="H1392" s="39">
        <f>IF(C1392="","",IFERROR(INDEX('Animais'!$M$6:$M$1005,MATCH(C1392,'Animais'!$A$6:$A$1005,0)),"Brinco não cadastrado"))</f>
        <v/>
      </c>
      <c r="I1392" s="34">
        <f>IF(A1392="","",YEAR(A1392))</f>
        <v/>
      </c>
      <c r="J1392" s="45">
        <f>IF(OR(N(D1392)=0,N(E1392)=0),"",IFERROR(E1392/D1392,""))</f>
        <v/>
      </c>
    </row>
    <row r="1393">
      <c r="A1393" s="31" t="n"/>
      <c r="B1393" s="37" t="n"/>
      <c r="C1393" s="36" t="n"/>
      <c r="D1393" s="38" t="n"/>
      <c r="E1393" s="44" t="n"/>
      <c r="F1393" s="32" t="n"/>
      <c r="G1393" s="32" t="n"/>
      <c r="H1393" s="39">
        <f>IF(C1393="","",IFERROR(INDEX('Animais'!$M$6:$M$1005,MATCH(C1393,'Animais'!$A$6:$A$1005,0)),"Brinco não cadastrado"))</f>
        <v/>
      </c>
      <c r="I1393" s="34">
        <f>IF(A1393="","",YEAR(A1393))</f>
        <v/>
      </c>
      <c r="J1393" s="45">
        <f>IF(OR(N(D1393)=0,N(E1393)=0),"",IFERROR(E1393/D1393,""))</f>
        <v/>
      </c>
    </row>
    <row r="1394">
      <c r="A1394" s="31" t="n"/>
      <c r="B1394" s="37" t="n"/>
      <c r="C1394" s="36" t="n"/>
      <c r="D1394" s="38" t="n"/>
      <c r="E1394" s="44" t="n"/>
      <c r="F1394" s="32" t="n"/>
      <c r="G1394" s="32" t="n"/>
      <c r="H1394" s="39">
        <f>IF(C1394="","",IFERROR(INDEX('Animais'!$M$6:$M$1005,MATCH(C1394,'Animais'!$A$6:$A$1005,0)),"Brinco não cadastrado"))</f>
        <v/>
      </c>
      <c r="I1394" s="34">
        <f>IF(A1394="","",YEAR(A1394))</f>
        <v/>
      </c>
      <c r="J1394" s="45">
        <f>IF(OR(N(D1394)=0,N(E1394)=0),"",IFERROR(E1394/D1394,""))</f>
        <v/>
      </c>
    </row>
    <row r="1395">
      <c r="A1395" s="31" t="n"/>
      <c r="B1395" s="37" t="n"/>
      <c r="C1395" s="36" t="n"/>
      <c r="D1395" s="38" t="n"/>
      <c r="E1395" s="44" t="n"/>
      <c r="F1395" s="32" t="n"/>
      <c r="G1395" s="32" t="n"/>
      <c r="H1395" s="39">
        <f>IF(C1395="","",IFERROR(INDEX('Animais'!$M$6:$M$1005,MATCH(C1395,'Animais'!$A$6:$A$1005,0)),"Brinco não cadastrado"))</f>
        <v/>
      </c>
      <c r="I1395" s="34">
        <f>IF(A1395="","",YEAR(A1395))</f>
        <v/>
      </c>
      <c r="J1395" s="45">
        <f>IF(OR(N(D1395)=0,N(E1395)=0),"",IFERROR(E1395/D1395,""))</f>
        <v/>
      </c>
    </row>
    <row r="1396">
      <c r="A1396" s="31" t="n"/>
      <c r="B1396" s="37" t="n"/>
      <c r="C1396" s="36" t="n"/>
      <c r="D1396" s="38" t="n"/>
      <c r="E1396" s="44" t="n"/>
      <c r="F1396" s="32" t="n"/>
      <c r="G1396" s="32" t="n"/>
      <c r="H1396" s="39">
        <f>IF(C1396="","",IFERROR(INDEX('Animais'!$M$6:$M$1005,MATCH(C1396,'Animais'!$A$6:$A$1005,0)),"Brinco não cadastrado"))</f>
        <v/>
      </c>
      <c r="I1396" s="34">
        <f>IF(A1396="","",YEAR(A1396))</f>
        <v/>
      </c>
      <c r="J1396" s="45">
        <f>IF(OR(N(D1396)=0,N(E1396)=0),"",IFERROR(E1396/D1396,""))</f>
        <v/>
      </c>
    </row>
    <row r="1397">
      <c r="A1397" s="31" t="n"/>
      <c r="B1397" s="37" t="n"/>
      <c r="C1397" s="36" t="n"/>
      <c r="D1397" s="38" t="n"/>
      <c r="E1397" s="44" t="n"/>
      <c r="F1397" s="32" t="n"/>
      <c r="G1397" s="32" t="n"/>
      <c r="H1397" s="39">
        <f>IF(C1397="","",IFERROR(INDEX('Animais'!$M$6:$M$1005,MATCH(C1397,'Animais'!$A$6:$A$1005,0)),"Brinco não cadastrado"))</f>
        <v/>
      </c>
      <c r="I1397" s="34">
        <f>IF(A1397="","",YEAR(A1397))</f>
        <v/>
      </c>
      <c r="J1397" s="45">
        <f>IF(OR(N(D1397)=0,N(E1397)=0),"",IFERROR(E1397/D1397,""))</f>
        <v/>
      </c>
    </row>
    <row r="1398">
      <c r="A1398" s="31" t="n"/>
      <c r="B1398" s="37" t="n"/>
      <c r="C1398" s="36" t="n"/>
      <c r="D1398" s="38" t="n"/>
      <c r="E1398" s="44" t="n"/>
      <c r="F1398" s="32" t="n"/>
      <c r="G1398" s="32" t="n"/>
      <c r="H1398" s="39">
        <f>IF(C1398="","",IFERROR(INDEX('Animais'!$M$6:$M$1005,MATCH(C1398,'Animais'!$A$6:$A$1005,0)),"Brinco não cadastrado"))</f>
        <v/>
      </c>
      <c r="I1398" s="34">
        <f>IF(A1398="","",YEAR(A1398))</f>
        <v/>
      </c>
      <c r="J1398" s="45">
        <f>IF(OR(N(D1398)=0,N(E1398)=0),"",IFERROR(E1398/D1398,""))</f>
        <v/>
      </c>
    </row>
    <row r="1399">
      <c r="A1399" s="31" t="n"/>
      <c r="B1399" s="37" t="n"/>
      <c r="C1399" s="36" t="n"/>
      <c r="D1399" s="38" t="n"/>
      <c r="E1399" s="44" t="n"/>
      <c r="F1399" s="32" t="n"/>
      <c r="G1399" s="32" t="n"/>
      <c r="H1399" s="39">
        <f>IF(C1399="","",IFERROR(INDEX('Animais'!$M$6:$M$1005,MATCH(C1399,'Animais'!$A$6:$A$1005,0)),"Brinco não cadastrado"))</f>
        <v/>
      </c>
      <c r="I1399" s="34">
        <f>IF(A1399="","",YEAR(A1399))</f>
        <v/>
      </c>
      <c r="J1399" s="45">
        <f>IF(OR(N(D1399)=0,N(E1399)=0),"",IFERROR(E1399/D1399,""))</f>
        <v/>
      </c>
    </row>
    <row r="1400">
      <c r="A1400" s="31" t="n"/>
      <c r="B1400" s="37" t="n"/>
      <c r="C1400" s="36" t="n"/>
      <c r="D1400" s="38" t="n"/>
      <c r="E1400" s="44" t="n"/>
      <c r="F1400" s="32" t="n"/>
      <c r="G1400" s="32" t="n"/>
      <c r="H1400" s="39">
        <f>IF(C1400="","",IFERROR(INDEX('Animais'!$M$6:$M$1005,MATCH(C1400,'Animais'!$A$6:$A$1005,0)),"Brinco não cadastrado"))</f>
        <v/>
      </c>
      <c r="I1400" s="34">
        <f>IF(A1400="","",YEAR(A1400))</f>
        <v/>
      </c>
      <c r="J1400" s="45">
        <f>IF(OR(N(D1400)=0,N(E1400)=0),"",IFERROR(E1400/D1400,""))</f>
        <v/>
      </c>
    </row>
    <row r="1401">
      <c r="A1401" s="31" t="n"/>
      <c r="B1401" s="37" t="n"/>
      <c r="C1401" s="36" t="n"/>
      <c r="D1401" s="38" t="n"/>
      <c r="E1401" s="44" t="n"/>
      <c r="F1401" s="32" t="n"/>
      <c r="G1401" s="32" t="n"/>
      <c r="H1401" s="39">
        <f>IF(C1401="","",IFERROR(INDEX('Animais'!$M$6:$M$1005,MATCH(C1401,'Animais'!$A$6:$A$1005,0)),"Brinco não cadastrado"))</f>
        <v/>
      </c>
      <c r="I1401" s="34">
        <f>IF(A1401="","",YEAR(A1401))</f>
        <v/>
      </c>
      <c r="J1401" s="45">
        <f>IF(OR(N(D1401)=0,N(E1401)=0),"",IFERROR(E1401/D1401,""))</f>
        <v/>
      </c>
    </row>
    <row r="1402">
      <c r="A1402" s="31" t="n"/>
      <c r="B1402" s="37" t="n"/>
      <c r="C1402" s="36" t="n"/>
      <c r="D1402" s="38" t="n"/>
      <c r="E1402" s="44" t="n"/>
      <c r="F1402" s="32" t="n"/>
      <c r="G1402" s="32" t="n"/>
      <c r="H1402" s="39">
        <f>IF(C1402="","",IFERROR(INDEX('Animais'!$M$6:$M$1005,MATCH(C1402,'Animais'!$A$6:$A$1005,0)),"Brinco não cadastrado"))</f>
        <v/>
      </c>
      <c r="I1402" s="34">
        <f>IF(A1402="","",YEAR(A1402))</f>
        <v/>
      </c>
      <c r="J1402" s="45">
        <f>IF(OR(N(D1402)=0,N(E1402)=0),"",IFERROR(E1402/D1402,""))</f>
        <v/>
      </c>
    </row>
    <row r="1403">
      <c r="A1403" s="31" t="n"/>
      <c r="B1403" s="37" t="n"/>
      <c r="C1403" s="36" t="n"/>
      <c r="D1403" s="38" t="n"/>
      <c r="E1403" s="44" t="n"/>
      <c r="F1403" s="32" t="n"/>
      <c r="G1403" s="32" t="n"/>
      <c r="H1403" s="39">
        <f>IF(C1403="","",IFERROR(INDEX('Animais'!$M$6:$M$1005,MATCH(C1403,'Animais'!$A$6:$A$1005,0)),"Brinco não cadastrado"))</f>
        <v/>
      </c>
      <c r="I1403" s="34">
        <f>IF(A1403="","",YEAR(A1403))</f>
        <v/>
      </c>
      <c r="J1403" s="45">
        <f>IF(OR(N(D1403)=0,N(E1403)=0),"",IFERROR(E1403/D1403,""))</f>
        <v/>
      </c>
    </row>
    <row r="1404">
      <c r="A1404" s="31" t="n"/>
      <c r="B1404" s="37" t="n"/>
      <c r="C1404" s="36" t="n"/>
      <c r="D1404" s="38" t="n"/>
      <c r="E1404" s="44" t="n"/>
      <c r="F1404" s="32" t="n"/>
      <c r="G1404" s="32" t="n"/>
      <c r="H1404" s="39">
        <f>IF(C1404="","",IFERROR(INDEX('Animais'!$M$6:$M$1005,MATCH(C1404,'Animais'!$A$6:$A$1005,0)),"Brinco não cadastrado"))</f>
        <v/>
      </c>
      <c r="I1404" s="34">
        <f>IF(A1404="","",YEAR(A1404))</f>
        <v/>
      </c>
      <c r="J1404" s="45">
        <f>IF(OR(N(D1404)=0,N(E1404)=0),"",IFERROR(E1404/D1404,""))</f>
        <v/>
      </c>
    </row>
    <row r="1405">
      <c r="A1405" s="31" t="n"/>
      <c r="B1405" s="37" t="n"/>
      <c r="C1405" s="36" t="n"/>
      <c r="D1405" s="38" t="n"/>
      <c r="E1405" s="44" t="n"/>
      <c r="F1405" s="32" t="n"/>
      <c r="G1405" s="32" t="n"/>
      <c r="H1405" s="39">
        <f>IF(C1405="","",IFERROR(INDEX('Animais'!$M$6:$M$1005,MATCH(C1405,'Animais'!$A$6:$A$1005,0)),"Brinco não cadastrado"))</f>
        <v/>
      </c>
      <c r="I1405" s="34">
        <f>IF(A1405="","",YEAR(A1405))</f>
        <v/>
      </c>
      <c r="J1405" s="45">
        <f>IF(OR(N(D1405)=0,N(E1405)=0),"",IFERROR(E1405/D1405,""))</f>
        <v/>
      </c>
    </row>
    <row r="1406">
      <c r="A1406" s="31" t="n"/>
      <c r="B1406" s="37" t="n"/>
      <c r="C1406" s="36" t="n"/>
      <c r="D1406" s="38" t="n"/>
      <c r="E1406" s="44" t="n"/>
      <c r="F1406" s="32" t="n"/>
      <c r="G1406" s="32" t="n"/>
      <c r="H1406" s="39">
        <f>IF(C1406="","",IFERROR(INDEX('Animais'!$M$6:$M$1005,MATCH(C1406,'Animais'!$A$6:$A$1005,0)),"Brinco não cadastrado"))</f>
        <v/>
      </c>
      <c r="I1406" s="34">
        <f>IF(A1406="","",YEAR(A1406))</f>
        <v/>
      </c>
      <c r="J1406" s="45">
        <f>IF(OR(N(D1406)=0,N(E1406)=0),"",IFERROR(E1406/D1406,""))</f>
        <v/>
      </c>
    </row>
    <row r="1407">
      <c r="A1407" s="31" t="n"/>
      <c r="B1407" s="37" t="n"/>
      <c r="C1407" s="36" t="n"/>
      <c r="D1407" s="38" t="n"/>
      <c r="E1407" s="44" t="n"/>
      <c r="F1407" s="32" t="n"/>
      <c r="G1407" s="32" t="n"/>
      <c r="H1407" s="39">
        <f>IF(C1407="","",IFERROR(INDEX('Animais'!$M$6:$M$1005,MATCH(C1407,'Animais'!$A$6:$A$1005,0)),"Brinco não cadastrado"))</f>
        <v/>
      </c>
      <c r="I1407" s="34">
        <f>IF(A1407="","",YEAR(A1407))</f>
        <v/>
      </c>
      <c r="J1407" s="45">
        <f>IF(OR(N(D1407)=0,N(E1407)=0),"",IFERROR(E1407/D1407,""))</f>
        <v/>
      </c>
    </row>
    <row r="1408">
      <c r="A1408" s="31" t="n"/>
      <c r="B1408" s="37" t="n"/>
      <c r="C1408" s="36" t="n"/>
      <c r="D1408" s="38" t="n"/>
      <c r="E1408" s="44" t="n"/>
      <c r="F1408" s="32" t="n"/>
      <c r="G1408" s="32" t="n"/>
      <c r="H1408" s="39">
        <f>IF(C1408="","",IFERROR(INDEX('Animais'!$M$6:$M$1005,MATCH(C1408,'Animais'!$A$6:$A$1005,0)),"Brinco não cadastrado"))</f>
        <v/>
      </c>
      <c r="I1408" s="34">
        <f>IF(A1408="","",YEAR(A1408))</f>
        <v/>
      </c>
      <c r="J1408" s="45">
        <f>IF(OR(N(D1408)=0,N(E1408)=0),"",IFERROR(E1408/D1408,""))</f>
        <v/>
      </c>
    </row>
    <row r="1409">
      <c r="A1409" s="31" t="n"/>
      <c r="B1409" s="37" t="n"/>
      <c r="C1409" s="36" t="n"/>
      <c r="D1409" s="38" t="n"/>
      <c r="E1409" s="44" t="n"/>
      <c r="F1409" s="32" t="n"/>
      <c r="G1409" s="32" t="n"/>
      <c r="H1409" s="39">
        <f>IF(C1409="","",IFERROR(INDEX('Animais'!$M$6:$M$1005,MATCH(C1409,'Animais'!$A$6:$A$1005,0)),"Brinco não cadastrado"))</f>
        <v/>
      </c>
      <c r="I1409" s="34">
        <f>IF(A1409="","",YEAR(A1409))</f>
        <v/>
      </c>
      <c r="J1409" s="45">
        <f>IF(OR(N(D1409)=0,N(E1409)=0),"",IFERROR(E1409/D1409,""))</f>
        <v/>
      </c>
    </row>
    <row r="1410">
      <c r="A1410" s="31" t="n"/>
      <c r="B1410" s="37" t="n"/>
      <c r="C1410" s="36" t="n"/>
      <c r="D1410" s="38" t="n"/>
      <c r="E1410" s="44" t="n"/>
      <c r="F1410" s="32" t="n"/>
      <c r="G1410" s="32" t="n"/>
      <c r="H1410" s="39">
        <f>IF(C1410="","",IFERROR(INDEX('Animais'!$M$6:$M$1005,MATCH(C1410,'Animais'!$A$6:$A$1005,0)),"Brinco não cadastrado"))</f>
        <v/>
      </c>
      <c r="I1410" s="34">
        <f>IF(A1410="","",YEAR(A1410))</f>
        <v/>
      </c>
      <c r="J1410" s="45">
        <f>IF(OR(N(D1410)=0,N(E1410)=0),"",IFERROR(E1410/D1410,""))</f>
        <v/>
      </c>
    </row>
    <row r="1411">
      <c r="A1411" s="31" t="n"/>
      <c r="B1411" s="37" t="n"/>
      <c r="C1411" s="36" t="n"/>
      <c r="D1411" s="38" t="n"/>
      <c r="E1411" s="44" t="n"/>
      <c r="F1411" s="32" t="n"/>
      <c r="G1411" s="32" t="n"/>
      <c r="H1411" s="39">
        <f>IF(C1411="","",IFERROR(INDEX('Animais'!$M$6:$M$1005,MATCH(C1411,'Animais'!$A$6:$A$1005,0)),"Brinco não cadastrado"))</f>
        <v/>
      </c>
      <c r="I1411" s="34">
        <f>IF(A1411="","",YEAR(A1411))</f>
        <v/>
      </c>
      <c r="J1411" s="45">
        <f>IF(OR(N(D1411)=0,N(E1411)=0),"",IFERROR(E1411/D1411,""))</f>
        <v/>
      </c>
    </row>
    <row r="1412">
      <c r="A1412" s="31" t="n"/>
      <c r="B1412" s="37" t="n"/>
      <c r="C1412" s="36" t="n"/>
      <c r="D1412" s="38" t="n"/>
      <c r="E1412" s="44" t="n"/>
      <c r="F1412" s="32" t="n"/>
      <c r="G1412" s="32" t="n"/>
      <c r="H1412" s="39">
        <f>IF(C1412="","",IFERROR(INDEX('Animais'!$M$6:$M$1005,MATCH(C1412,'Animais'!$A$6:$A$1005,0)),"Brinco não cadastrado"))</f>
        <v/>
      </c>
      <c r="I1412" s="34">
        <f>IF(A1412="","",YEAR(A1412))</f>
        <v/>
      </c>
      <c r="J1412" s="45">
        <f>IF(OR(N(D1412)=0,N(E1412)=0),"",IFERROR(E1412/D1412,""))</f>
        <v/>
      </c>
    </row>
    <row r="1413">
      <c r="A1413" s="31" t="n"/>
      <c r="B1413" s="37" t="n"/>
      <c r="C1413" s="36" t="n"/>
      <c r="D1413" s="38" t="n"/>
      <c r="E1413" s="44" t="n"/>
      <c r="F1413" s="32" t="n"/>
      <c r="G1413" s="32" t="n"/>
      <c r="H1413" s="39">
        <f>IF(C1413="","",IFERROR(INDEX('Animais'!$M$6:$M$1005,MATCH(C1413,'Animais'!$A$6:$A$1005,0)),"Brinco não cadastrado"))</f>
        <v/>
      </c>
      <c r="I1413" s="34">
        <f>IF(A1413="","",YEAR(A1413))</f>
        <v/>
      </c>
      <c r="J1413" s="45">
        <f>IF(OR(N(D1413)=0,N(E1413)=0),"",IFERROR(E1413/D1413,""))</f>
        <v/>
      </c>
    </row>
    <row r="1414">
      <c r="A1414" s="31" t="n"/>
      <c r="B1414" s="37" t="n"/>
      <c r="C1414" s="36" t="n"/>
      <c r="D1414" s="38" t="n"/>
      <c r="E1414" s="44" t="n"/>
      <c r="F1414" s="32" t="n"/>
      <c r="G1414" s="32" t="n"/>
      <c r="H1414" s="39">
        <f>IF(C1414="","",IFERROR(INDEX('Animais'!$M$6:$M$1005,MATCH(C1414,'Animais'!$A$6:$A$1005,0)),"Brinco não cadastrado"))</f>
        <v/>
      </c>
      <c r="I1414" s="34">
        <f>IF(A1414="","",YEAR(A1414))</f>
        <v/>
      </c>
      <c r="J1414" s="45">
        <f>IF(OR(N(D1414)=0,N(E1414)=0),"",IFERROR(E1414/D1414,""))</f>
        <v/>
      </c>
    </row>
    <row r="1415">
      <c r="A1415" s="31" t="n"/>
      <c r="B1415" s="37" t="n"/>
      <c r="C1415" s="36" t="n"/>
      <c r="D1415" s="38" t="n"/>
      <c r="E1415" s="44" t="n"/>
      <c r="F1415" s="32" t="n"/>
      <c r="G1415" s="32" t="n"/>
      <c r="H1415" s="39">
        <f>IF(C1415="","",IFERROR(INDEX('Animais'!$M$6:$M$1005,MATCH(C1415,'Animais'!$A$6:$A$1005,0)),"Brinco não cadastrado"))</f>
        <v/>
      </c>
      <c r="I1415" s="34">
        <f>IF(A1415="","",YEAR(A1415))</f>
        <v/>
      </c>
      <c r="J1415" s="45">
        <f>IF(OR(N(D1415)=0,N(E1415)=0),"",IFERROR(E1415/D1415,""))</f>
        <v/>
      </c>
    </row>
    <row r="1416">
      <c r="A1416" s="31" t="n"/>
      <c r="B1416" s="37" t="n"/>
      <c r="C1416" s="36" t="n"/>
      <c r="D1416" s="38" t="n"/>
      <c r="E1416" s="44" t="n"/>
      <c r="F1416" s="32" t="n"/>
      <c r="G1416" s="32" t="n"/>
      <c r="H1416" s="39">
        <f>IF(C1416="","",IFERROR(INDEX('Animais'!$M$6:$M$1005,MATCH(C1416,'Animais'!$A$6:$A$1005,0)),"Brinco não cadastrado"))</f>
        <v/>
      </c>
      <c r="I1416" s="34">
        <f>IF(A1416="","",YEAR(A1416))</f>
        <v/>
      </c>
      <c r="J1416" s="45">
        <f>IF(OR(N(D1416)=0,N(E1416)=0),"",IFERROR(E1416/D1416,""))</f>
        <v/>
      </c>
    </row>
    <row r="1417">
      <c r="A1417" s="31" t="n"/>
      <c r="B1417" s="37" t="n"/>
      <c r="C1417" s="36" t="n"/>
      <c r="D1417" s="38" t="n"/>
      <c r="E1417" s="44" t="n"/>
      <c r="F1417" s="32" t="n"/>
      <c r="G1417" s="32" t="n"/>
      <c r="H1417" s="39">
        <f>IF(C1417="","",IFERROR(INDEX('Animais'!$M$6:$M$1005,MATCH(C1417,'Animais'!$A$6:$A$1005,0)),"Brinco não cadastrado"))</f>
        <v/>
      </c>
      <c r="I1417" s="34">
        <f>IF(A1417="","",YEAR(A1417))</f>
        <v/>
      </c>
      <c r="J1417" s="45">
        <f>IF(OR(N(D1417)=0,N(E1417)=0),"",IFERROR(E1417/D1417,""))</f>
        <v/>
      </c>
    </row>
    <row r="1418">
      <c r="A1418" s="31" t="n"/>
      <c r="B1418" s="37" t="n"/>
      <c r="C1418" s="36" t="n"/>
      <c r="D1418" s="38" t="n"/>
      <c r="E1418" s="44" t="n"/>
      <c r="F1418" s="32" t="n"/>
      <c r="G1418" s="32" t="n"/>
      <c r="H1418" s="39">
        <f>IF(C1418="","",IFERROR(INDEX('Animais'!$M$6:$M$1005,MATCH(C1418,'Animais'!$A$6:$A$1005,0)),"Brinco não cadastrado"))</f>
        <v/>
      </c>
      <c r="I1418" s="34">
        <f>IF(A1418="","",YEAR(A1418))</f>
        <v/>
      </c>
      <c r="J1418" s="45">
        <f>IF(OR(N(D1418)=0,N(E1418)=0),"",IFERROR(E1418/D1418,""))</f>
        <v/>
      </c>
    </row>
    <row r="1419">
      <c r="A1419" s="31" t="n"/>
      <c r="B1419" s="37" t="n"/>
      <c r="C1419" s="36" t="n"/>
      <c r="D1419" s="38" t="n"/>
      <c r="E1419" s="44" t="n"/>
      <c r="F1419" s="32" t="n"/>
      <c r="G1419" s="32" t="n"/>
      <c r="H1419" s="39">
        <f>IF(C1419="","",IFERROR(INDEX('Animais'!$M$6:$M$1005,MATCH(C1419,'Animais'!$A$6:$A$1005,0)),"Brinco não cadastrado"))</f>
        <v/>
      </c>
      <c r="I1419" s="34">
        <f>IF(A1419="","",YEAR(A1419))</f>
        <v/>
      </c>
      <c r="J1419" s="45">
        <f>IF(OR(N(D1419)=0,N(E1419)=0),"",IFERROR(E1419/D1419,""))</f>
        <v/>
      </c>
    </row>
    <row r="1420">
      <c r="A1420" s="31" t="n"/>
      <c r="B1420" s="37" t="n"/>
      <c r="C1420" s="36" t="n"/>
      <c r="D1420" s="38" t="n"/>
      <c r="E1420" s="44" t="n"/>
      <c r="F1420" s="32" t="n"/>
      <c r="G1420" s="32" t="n"/>
      <c r="H1420" s="39">
        <f>IF(C1420="","",IFERROR(INDEX('Animais'!$M$6:$M$1005,MATCH(C1420,'Animais'!$A$6:$A$1005,0)),"Brinco não cadastrado"))</f>
        <v/>
      </c>
      <c r="I1420" s="34">
        <f>IF(A1420="","",YEAR(A1420))</f>
        <v/>
      </c>
      <c r="J1420" s="45">
        <f>IF(OR(N(D1420)=0,N(E1420)=0),"",IFERROR(E1420/D1420,""))</f>
        <v/>
      </c>
    </row>
    <row r="1421">
      <c r="A1421" s="31" t="n"/>
      <c r="B1421" s="37" t="n"/>
      <c r="C1421" s="36" t="n"/>
      <c r="D1421" s="38" t="n"/>
      <c r="E1421" s="44" t="n"/>
      <c r="F1421" s="32" t="n"/>
      <c r="G1421" s="32" t="n"/>
      <c r="H1421" s="39">
        <f>IF(C1421="","",IFERROR(INDEX('Animais'!$M$6:$M$1005,MATCH(C1421,'Animais'!$A$6:$A$1005,0)),"Brinco não cadastrado"))</f>
        <v/>
      </c>
      <c r="I1421" s="34">
        <f>IF(A1421="","",YEAR(A1421))</f>
        <v/>
      </c>
      <c r="J1421" s="45">
        <f>IF(OR(N(D1421)=0,N(E1421)=0),"",IFERROR(E1421/D1421,""))</f>
        <v/>
      </c>
    </row>
    <row r="1422">
      <c r="A1422" s="31" t="n"/>
      <c r="B1422" s="37" t="n"/>
      <c r="C1422" s="36" t="n"/>
      <c r="D1422" s="38" t="n"/>
      <c r="E1422" s="44" t="n"/>
      <c r="F1422" s="32" t="n"/>
      <c r="G1422" s="32" t="n"/>
      <c r="H1422" s="39">
        <f>IF(C1422="","",IFERROR(INDEX('Animais'!$M$6:$M$1005,MATCH(C1422,'Animais'!$A$6:$A$1005,0)),"Brinco não cadastrado"))</f>
        <v/>
      </c>
      <c r="I1422" s="34">
        <f>IF(A1422="","",YEAR(A1422))</f>
        <v/>
      </c>
      <c r="J1422" s="45">
        <f>IF(OR(N(D1422)=0,N(E1422)=0),"",IFERROR(E1422/D1422,""))</f>
        <v/>
      </c>
    </row>
    <row r="1423">
      <c r="A1423" s="31" t="n"/>
      <c r="B1423" s="37" t="n"/>
      <c r="C1423" s="36" t="n"/>
      <c r="D1423" s="38" t="n"/>
      <c r="E1423" s="44" t="n"/>
      <c r="F1423" s="32" t="n"/>
      <c r="G1423" s="32" t="n"/>
      <c r="H1423" s="39">
        <f>IF(C1423="","",IFERROR(INDEX('Animais'!$M$6:$M$1005,MATCH(C1423,'Animais'!$A$6:$A$1005,0)),"Brinco não cadastrado"))</f>
        <v/>
      </c>
      <c r="I1423" s="34">
        <f>IF(A1423="","",YEAR(A1423))</f>
        <v/>
      </c>
      <c r="J1423" s="45">
        <f>IF(OR(N(D1423)=0,N(E1423)=0),"",IFERROR(E1423/D1423,""))</f>
        <v/>
      </c>
    </row>
    <row r="1424">
      <c r="A1424" s="31" t="n"/>
      <c r="B1424" s="37" t="n"/>
      <c r="C1424" s="36" t="n"/>
      <c r="D1424" s="38" t="n"/>
      <c r="E1424" s="44" t="n"/>
      <c r="F1424" s="32" t="n"/>
      <c r="G1424" s="32" t="n"/>
      <c r="H1424" s="39">
        <f>IF(C1424="","",IFERROR(INDEX('Animais'!$M$6:$M$1005,MATCH(C1424,'Animais'!$A$6:$A$1005,0)),"Brinco não cadastrado"))</f>
        <v/>
      </c>
      <c r="I1424" s="34">
        <f>IF(A1424="","",YEAR(A1424))</f>
        <v/>
      </c>
      <c r="J1424" s="45">
        <f>IF(OR(N(D1424)=0,N(E1424)=0),"",IFERROR(E1424/D1424,""))</f>
        <v/>
      </c>
    </row>
    <row r="1425">
      <c r="A1425" s="31" t="n"/>
      <c r="B1425" s="37" t="n"/>
      <c r="C1425" s="36" t="n"/>
      <c r="D1425" s="38" t="n"/>
      <c r="E1425" s="44" t="n"/>
      <c r="F1425" s="32" t="n"/>
      <c r="G1425" s="32" t="n"/>
      <c r="H1425" s="39">
        <f>IF(C1425="","",IFERROR(INDEX('Animais'!$M$6:$M$1005,MATCH(C1425,'Animais'!$A$6:$A$1005,0)),"Brinco não cadastrado"))</f>
        <v/>
      </c>
      <c r="I1425" s="34">
        <f>IF(A1425="","",YEAR(A1425))</f>
        <v/>
      </c>
      <c r="J1425" s="45">
        <f>IF(OR(N(D1425)=0,N(E1425)=0),"",IFERROR(E1425/D1425,""))</f>
        <v/>
      </c>
    </row>
    <row r="1426">
      <c r="A1426" s="31" t="n"/>
      <c r="B1426" s="37" t="n"/>
      <c r="C1426" s="36" t="n"/>
      <c r="D1426" s="38" t="n"/>
      <c r="E1426" s="44" t="n"/>
      <c r="F1426" s="32" t="n"/>
      <c r="G1426" s="32" t="n"/>
      <c r="H1426" s="39">
        <f>IF(C1426="","",IFERROR(INDEX('Animais'!$M$6:$M$1005,MATCH(C1426,'Animais'!$A$6:$A$1005,0)),"Brinco não cadastrado"))</f>
        <v/>
      </c>
      <c r="I1426" s="34">
        <f>IF(A1426="","",YEAR(A1426))</f>
        <v/>
      </c>
      <c r="J1426" s="45">
        <f>IF(OR(N(D1426)=0,N(E1426)=0),"",IFERROR(E1426/D1426,""))</f>
        <v/>
      </c>
    </row>
    <row r="1427">
      <c r="A1427" s="31" t="n"/>
      <c r="B1427" s="37" t="n"/>
      <c r="C1427" s="36" t="n"/>
      <c r="D1427" s="38" t="n"/>
      <c r="E1427" s="44" t="n"/>
      <c r="F1427" s="32" t="n"/>
      <c r="G1427" s="32" t="n"/>
      <c r="H1427" s="39">
        <f>IF(C1427="","",IFERROR(INDEX('Animais'!$M$6:$M$1005,MATCH(C1427,'Animais'!$A$6:$A$1005,0)),"Brinco não cadastrado"))</f>
        <v/>
      </c>
      <c r="I1427" s="34">
        <f>IF(A1427="","",YEAR(A1427))</f>
        <v/>
      </c>
      <c r="J1427" s="45">
        <f>IF(OR(N(D1427)=0,N(E1427)=0),"",IFERROR(E1427/D1427,""))</f>
        <v/>
      </c>
    </row>
    <row r="1428">
      <c r="A1428" s="31" t="n"/>
      <c r="B1428" s="37" t="n"/>
      <c r="C1428" s="36" t="n"/>
      <c r="D1428" s="38" t="n"/>
      <c r="E1428" s="44" t="n"/>
      <c r="F1428" s="32" t="n"/>
      <c r="G1428" s="32" t="n"/>
      <c r="H1428" s="39">
        <f>IF(C1428="","",IFERROR(INDEX('Animais'!$M$6:$M$1005,MATCH(C1428,'Animais'!$A$6:$A$1005,0)),"Brinco não cadastrado"))</f>
        <v/>
      </c>
      <c r="I1428" s="34">
        <f>IF(A1428="","",YEAR(A1428))</f>
        <v/>
      </c>
      <c r="J1428" s="45">
        <f>IF(OR(N(D1428)=0,N(E1428)=0),"",IFERROR(E1428/D1428,""))</f>
        <v/>
      </c>
    </row>
    <row r="1429">
      <c r="A1429" s="31" t="n"/>
      <c r="B1429" s="37" t="n"/>
      <c r="C1429" s="36" t="n"/>
      <c r="D1429" s="38" t="n"/>
      <c r="E1429" s="44" t="n"/>
      <c r="F1429" s="32" t="n"/>
      <c r="G1429" s="32" t="n"/>
      <c r="H1429" s="39">
        <f>IF(C1429="","",IFERROR(INDEX('Animais'!$M$6:$M$1005,MATCH(C1429,'Animais'!$A$6:$A$1005,0)),"Brinco não cadastrado"))</f>
        <v/>
      </c>
      <c r="I1429" s="34">
        <f>IF(A1429="","",YEAR(A1429))</f>
        <v/>
      </c>
      <c r="J1429" s="45">
        <f>IF(OR(N(D1429)=0,N(E1429)=0),"",IFERROR(E1429/D1429,""))</f>
        <v/>
      </c>
    </row>
    <row r="1430">
      <c r="A1430" s="31" t="n"/>
      <c r="B1430" s="37" t="n"/>
      <c r="C1430" s="36" t="n"/>
      <c r="D1430" s="38" t="n"/>
      <c r="E1430" s="44" t="n"/>
      <c r="F1430" s="32" t="n"/>
      <c r="G1430" s="32" t="n"/>
      <c r="H1430" s="39">
        <f>IF(C1430="","",IFERROR(INDEX('Animais'!$M$6:$M$1005,MATCH(C1430,'Animais'!$A$6:$A$1005,0)),"Brinco não cadastrado"))</f>
        <v/>
      </c>
      <c r="I1430" s="34">
        <f>IF(A1430="","",YEAR(A1430))</f>
        <v/>
      </c>
      <c r="J1430" s="45">
        <f>IF(OR(N(D1430)=0,N(E1430)=0),"",IFERROR(E1430/D1430,""))</f>
        <v/>
      </c>
    </row>
    <row r="1431">
      <c r="A1431" s="31" t="n"/>
      <c r="B1431" s="37" t="n"/>
      <c r="C1431" s="36" t="n"/>
      <c r="D1431" s="38" t="n"/>
      <c r="E1431" s="44" t="n"/>
      <c r="F1431" s="32" t="n"/>
      <c r="G1431" s="32" t="n"/>
      <c r="H1431" s="39">
        <f>IF(C1431="","",IFERROR(INDEX('Animais'!$M$6:$M$1005,MATCH(C1431,'Animais'!$A$6:$A$1005,0)),"Brinco não cadastrado"))</f>
        <v/>
      </c>
      <c r="I1431" s="34">
        <f>IF(A1431="","",YEAR(A1431))</f>
        <v/>
      </c>
      <c r="J1431" s="45">
        <f>IF(OR(N(D1431)=0,N(E1431)=0),"",IFERROR(E1431/D1431,""))</f>
        <v/>
      </c>
    </row>
    <row r="1432">
      <c r="A1432" s="31" t="n"/>
      <c r="B1432" s="37" t="n"/>
      <c r="C1432" s="36" t="n"/>
      <c r="D1432" s="38" t="n"/>
      <c r="E1432" s="44" t="n"/>
      <c r="F1432" s="32" t="n"/>
      <c r="G1432" s="32" t="n"/>
      <c r="H1432" s="39">
        <f>IF(C1432="","",IFERROR(INDEX('Animais'!$M$6:$M$1005,MATCH(C1432,'Animais'!$A$6:$A$1005,0)),"Brinco não cadastrado"))</f>
        <v/>
      </c>
      <c r="I1432" s="34">
        <f>IF(A1432="","",YEAR(A1432))</f>
        <v/>
      </c>
      <c r="J1432" s="45">
        <f>IF(OR(N(D1432)=0,N(E1432)=0),"",IFERROR(E1432/D1432,""))</f>
        <v/>
      </c>
    </row>
    <row r="1433">
      <c r="A1433" s="31" t="n"/>
      <c r="B1433" s="37" t="n"/>
      <c r="C1433" s="36" t="n"/>
      <c r="D1433" s="38" t="n"/>
      <c r="E1433" s="44" t="n"/>
      <c r="F1433" s="32" t="n"/>
      <c r="G1433" s="32" t="n"/>
      <c r="H1433" s="39">
        <f>IF(C1433="","",IFERROR(INDEX('Animais'!$M$6:$M$1005,MATCH(C1433,'Animais'!$A$6:$A$1005,0)),"Brinco não cadastrado"))</f>
        <v/>
      </c>
      <c r="I1433" s="34">
        <f>IF(A1433="","",YEAR(A1433))</f>
        <v/>
      </c>
      <c r="J1433" s="45">
        <f>IF(OR(N(D1433)=0,N(E1433)=0),"",IFERROR(E1433/D1433,""))</f>
        <v/>
      </c>
    </row>
    <row r="1434">
      <c r="A1434" s="31" t="n"/>
      <c r="B1434" s="37" t="n"/>
      <c r="C1434" s="36" t="n"/>
      <c r="D1434" s="38" t="n"/>
      <c r="E1434" s="44" t="n"/>
      <c r="F1434" s="32" t="n"/>
      <c r="G1434" s="32" t="n"/>
      <c r="H1434" s="39">
        <f>IF(C1434="","",IFERROR(INDEX('Animais'!$M$6:$M$1005,MATCH(C1434,'Animais'!$A$6:$A$1005,0)),"Brinco não cadastrado"))</f>
        <v/>
      </c>
      <c r="I1434" s="34">
        <f>IF(A1434="","",YEAR(A1434))</f>
        <v/>
      </c>
      <c r="J1434" s="45">
        <f>IF(OR(N(D1434)=0,N(E1434)=0),"",IFERROR(E1434/D1434,""))</f>
        <v/>
      </c>
    </row>
    <row r="1435">
      <c r="A1435" s="31" t="n"/>
      <c r="B1435" s="37" t="n"/>
      <c r="C1435" s="36" t="n"/>
      <c r="D1435" s="38" t="n"/>
      <c r="E1435" s="44" t="n"/>
      <c r="F1435" s="32" t="n"/>
      <c r="G1435" s="32" t="n"/>
      <c r="H1435" s="39">
        <f>IF(C1435="","",IFERROR(INDEX('Animais'!$M$6:$M$1005,MATCH(C1435,'Animais'!$A$6:$A$1005,0)),"Brinco não cadastrado"))</f>
        <v/>
      </c>
      <c r="I1435" s="34">
        <f>IF(A1435="","",YEAR(A1435))</f>
        <v/>
      </c>
      <c r="J1435" s="45">
        <f>IF(OR(N(D1435)=0,N(E1435)=0),"",IFERROR(E1435/D1435,""))</f>
        <v/>
      </c>
    </row>
    <row r="1436">
      <c r="A1436" s="31" t="n"/>
      <c r="B1436" s="37" t="n"/>
      <c r="C1436" s="36" t="n"/>
      <c r="D1436" s="38" t="n"/>
      <c r="E1436" s="44" t="n"/>
      <c r="F1436" s="32" t="n"/>
      <c r="G1436" s="32" t="n"/>
      <c r="H1436" s="39">
        <f>IF(C1436="","",IFERROR(INDEX('Animais'!$M$6:$M$1005,MATCH(C1436,'Animais'!$A$6:$A$1005,0)),"Brinco não cadastrado"))</f>
        <v/>
      </c>
      <c r="I1436" s="34">
        <f>IF(A1436="","",YEAR(A1436))</f>
        <v/>
      </c>
      <c r="J1436" s="45">
        <f>IF(OR(N(D1436)=0,N(E1436)=0),"",IFERROR(E1436/D1436,""))</f>
        <v/>
      </c>
    </row>
    <row r="1437">
      <c r="A1437" s="31" t="n"/>
      <c r="B1437" s="37" t="n"/>
      <c r="C1437" s="36" t="n"/>
      <c r="D1437" s="38" t="n"/>
      <c r="E1437" s="44" t="n"/>
      <c r="F1437" s="32" t="n"/>
      <c r="G1437" s="32" t="n"/>
      <c r="H1437" s="39">
        <f>IF(C1437="","",IFERROR(INDEX('Animais'!$M$6:$M$1005,MATCH(C1437,'Animais'!$A$6:$A$1005,0)),"Brinco não cadastrado"))</f>
        <v/>
      </c>
      <c r="I1437" s="34">
        <f>IF(A1437="","",YEAR(A1437))</f>
        <v/>
      </c>
      <c r="J1437" s="45">
        <f>IF(OR(N(D1437)=0,N(E1437)=0),"",IFERROR(E1437/D1437,""))</f>
        <v/>
      </c>
    </row>
    <row r="1438">
      <c r="A1438" s="31" t="n"/>
      <c r="B1438" s="37" t="n"/>
      <c r="C1438" s="36" t="n"/>
      <c r="D1438" s="38" t="n"/>
      <c r="E1438" s="44" t="n"/>
      <c r="F1438" s="32" t="n"/>
      <c r="G1438" s="32" t="n"/>
      <c r="H1438" s="39">
        <f>IF(C1438="","",IFERROR(INDEX('Animais'!$M$6:$M$1005,MATCH(C1438,'Animais'!$A$6:$A$1005,0)),"Brinco não cadastrado"))</f>
        <v/>
      </c>
      <c r="I1438" s="34">
        <f>IF(A1438="","",YEAR(A1438))</f>
        <v/>
      </c>
      <c r="J1438" s="45">
        <f>IF(OR(N(D1438)=0,N(E1438)=0),"",IFERROR(E1438/D1438,""))</f>
        <v/>
      </c>
    </row>
    <row r="1439">
      <c r="A1439" s="31" t="n"/>
      <c r="B1439" s="37" t="n"/>
      <c r="C1439" s="36" t="n"/>
      <c r="D1439" s="38" t="n"/>
      <c r="E1439" s="44" t="n"/>
      <c r="F1439" s="32" t="n"/>
      <c r="G1439" s="32" t="n"/>
      <c r="H1439" s="39">
        <f>IF(C1439="","",IFERROR(INDEX('Animais'!$M$6:$M$1005,MATCH(C1439,'Animais'!$A$6:$A$1005,0)),"Brinco não cadastrado"))</f>
        <v/>
      </c>
      <c r="I1439" s="34">
        <f>IF(A1439="","",YEAR(A1439))</f>
        <v/>
      </c>
      <c r="J1439" s="45">
        <f>IF(OR(N(D1439)=0,N(E1439)=0),"",IFERROR(E1439/D1439,""))</f>
        <v/>
      </c>
    </row>
    <row r="1440">
      <c r="A1440" s="31" t="n"/>
      <c r="B1440" s="37" t="n"/>
      <c r="C1440" s="36" t="n"/>
      <c r="D1440" s="38" t="n"/>
      <c r="E1440" s="44" t="n"/>
      <c r="F1440" s="32" t="n"/>
      <c r="G1440" s="32" t="n"/>
      <c r="H1440" s="39">
        <f>IF(C1440="","",IFERROR(INDEX('Animais'!$M$6:$M$1005,MATCH(C1440,'Animais'!$A$6:$A$1005,0)),"Brinco não cadastrado"))</f>
        <v/>
      </c>
      <c r="I1440" s="34">
        <f>IF(A1440="","",YEAR(A1440))</f>
        <v/>
      </c>
      <c r="J1440" s="45">
        <f>IF(OR(N(D1440)=0,N(E1440)=0),"",IFERROR(E1440/D1440,""))</f>
        <v/>
      </c>
    </row>
    <row r="1441">
      <c r="A1441" s="31" t="n"/>
      <c r="B1441" s="37" t="n"/>
      <c r="C1441" s="36" t="n"/>
      <c r="D1441" s="38" t="n"/>
      <c r="E1441" s="44" t="n"/>
      <c r="F1441" s="32" t="n"/>
      <c r="G1441" s="32" t="n"/>
      <c r="H1441" s="39">
        <f>IF(C1441="","",IFERROR(INDEX('Animais'!$M$6:$M$1005,MATCH(C1441,'Animais'!$A$6:$A$1005,0)),"Brinco não cadastrado"))</f>
        <v/>
      </c>
      <c r="I1441" s="34">
        <f>IF(A1441="","",YEAR(A1441))</f>
        <v/>
      </c>
      <c r="J1441" s="45">
        <f>IF(OR(N(D1441)=0,N(E1441)=0),"",IFERROR(E1441/D1441,""))</f>
        <v/>
      </c>
    </row>
    <row r="1442">
      <c r="A1442" s="31" t="n"/>
      <c r="B1442" s="37" t="n"/>
      <c r="C1442" s="36" t="n"/>
      <c r="D1442" s="38" t="n"/>
      <c r="E1442" s="44" t="n"/>
      <c r="F1442" s="32" t="n"/>
      <c r="G1442" s="32" t="n"/>
      <c r="H1442" s="39">
        <f>IF(C1442="","",IFERROR(INDEX('Animais'!$M$6:$M$1005,MATCH(C1442,'Animais'!$A$6:$A$1005,0)),"Brinco não cadastrado"))</f>
        <v/>
      </c>
      <c r="I1442" s="34">
        <f>IF(A1442="","",YEAR(A1442))</f>
        <v/>
      </c>
      <c r="J1442" s="45">
        <f>IF(OR(N(D1442)=0,N(E1442)=0),"",IFERROR(E1442/D1442,""))</f>
        <v/>
      </c>
    </row>
    <row r="1443">
      <c r="A1443" s="31" t="n"/>
      <c r="B1443" s="37" t="n"/>
      <c r="C1443" s="36" t="n"/>
      <c r="D1443" s="38" t="n"/>
      <c r="E1443" s="44" t="n"/>
      <c r="F1443" s="32" t="n"/>
      <c r="G1443" s="32" t="n"/>
      <c r="H1443" s="39">
        <f>IF(C1443="","",IFERROR(INDEX('Animais'!$M$6:$M$1005,MATCH(C1443,'Animais'!$A$6:$A$1005,0)),"Brinco não cadastrado"))</f>
        <v/>
      </c>
      <c r="I1443" s="34">
        <f>IF(A1443="","",YEAR(A1443))</f>
        <v/>
      </c>
      <c r="J1443" s="45">
        <f>IF(OR(N(D1443)=0,N(E1443)=0),"",IFERROR(E1443/D1443,""))</f>
        <v/>
      </c>
    </row>
    <row r="1444">
      <c r="A1444" s="31" t="n"/>
      <c r="B1444" s="37" t="n"/>
      <c r="C1444" s="36" t="n"/>
      <c r="D1444" s="38" t="n"/>
      <c r="E1444" s="44" t="n"/>
      <c r="F1444" s="32" t="n"/>
      <c r="G1444" s="32" t="n"/>
      <c r="H1444" s="39">
        <f>IF(C1444="","",IFERROR(INDEX('Animais'!$M$6:$M$1005,MATCH(C1444,'Animais'!$A$6:$A$1005,0)),"Brinco não cadastrado"))</f>
        <v/>
      </c>
      <c r="I1444" s="34">
        <f>IF(A1444="","",YEAR(A1444))</f>
        <v/>
      </c>
      <c r="J1444" s="45">
        <f>IF(OR(N(D1444)=0,N(E1444)=0),"",IFERROR(E1444/D1444,""))</f>
        <v/>
      </c>
    </row>
    <row r="1445">
      <c r="A1445" s="31" t="n"/>
      <c r="B1445" s="37" t="n"/>
      <c r="C1445" s="36" t="n"/>
      <c r="D1445" s="38" t="n"/>
      <c r="E1445" s="44" t="n"/>
      <c r="F1445" s="32" t="n"/>
      <c r="G1445" s="32" t="n"/>
      <c r="H1445" s="39">
        <f>IF(C1445="","",IFERROR(INDEX('Animais'!$M$6:$M$1005,MATCH(C1445,'Animais'!$A$6:$A$1005,0)),"Brinco não cadastrado"))</f>
        <v/>
      </c>
      <c r="I1445" s="34">
        <f>IF(A1445="","",YEAR(A1445))</f>
        <v/>
      </c>
      <c r="J1445" s="45">
        <f>IF(OR(N(D1445)=0,N(E1445)=0),"",IFERROR(E1445/D1445,""))</f>
        <v/>
      </c>
    </row>
    <row r="1446">
      <c r="A1446" s="31" t="n"/>
      <c r="B1446" s="37" t="n"/>
      <c r="C1446" s="36" t="n"/>
      <c r="D1446" s="38" t="n"/>
      <c r="E1446" s="44" t="n"/>
      <c r="F1446" s="32" t="n"/>
      <c r="G1446" s="32" t="n"/>
      <c r="H1446" s="39">
        <f>IF(C1446="","",IFERROR(INDEX('Animais'!$M$6:$M$1005,MATCH(C1446,'Animais'!$A$6:$A$1005,0)),"Brinco não cadastrado"))</f>
        <v/>
      </c>
      <c r="I1446" s="34">
        <f>IF(A1446="","",YEAR(A1446))</f>
        <v/>
      </c>
      <c r="J1446" s="45">
        <f>IF(OR(N(D1446)=0,N(E1446)=0),"",IFERROR(E1446/D1446,""))</f>
        <v/>
      </c>
    </row>
    <row r="1447">
      <c r="A1447" s="31" t="n"/>
      <c r="B1447" s="37" t="n"/>
      <c r="C1447" s="36" t="n"/>
      <c r="D1447" s="38" t="n"/>
      <c r="E1447" s="44" t="n"/>
      <c r="F1447" s="32" t="n"/>
      <c r="G1447" s="32" t="n"/>
      <c r="H1447" s="39">
        <f>IF(C1447="","",IFERROR(INDEX('Animais'!$M$6:$M$1005,MATCH(C1447,'Animais'!$A$6:$A$1005,0)),"Brinco não cadastrado"))</f>
        <v/>
      </c>
      <c r="I1447" s="34">
        <f>IF(A1447="","",YEAR(A1447))</f>
        <v/>
      </c>
      <c r="J1447" s="45">
        <f>IF(OR(N(D1447)=0,N(E1447)=0),"",IFERROR(E1447/D1447,""))</f>
        <v/>
      </c>
    </row>
    <row r="1448">
      <c r="A1448" s="31" t="n"/>
      <c r="B1448" s="37" t="n"/>
      <c r="C1448" s="36" t="n"/>
      <c r="D1448" s="38" t="n"/>
      <c r="E1448" s="44" t="n"/>
      <c r="F1448" s="32" t="n"/>
      <c r="G1448" s="32" t="n"/>
      <c r="H1448" s="39">
        <f>IF(C1448="","",IFERROR(INDEX('Animais'!$M$6:$M$1005,MATCH(C1448,'Animais'!$A$6:$A$1005,0)),"Brinco não cadastrado"))</f>
        <v/>
      </c>
      <c r="I1448" s="34">
        <f>IF(A1448="","",YEAR(A1448))</f>
        <v/>
      </c>
      <c r="J1448" s="45">
        <f>IF(OR(N(D1448)=0,N(E1448)=0),"",IFERROR(E1448/D1448,""))</f>
        <v/>
      </c>
    </row>
    <row r="1449">
      <c r="A1449" s="31" t="n"/>
      <c r="B1449" s="37" t="n"/>
      <c r="C1449" s="36" t="n"/>
      <c r="D1449" s="38" t="n"/>
      <c r="E1449" s="44" t="n"/>
      <c r="F1449" s="32" t="n"/>
      <c r="G1449" s="32" t="n"/>
      <c r="H1449" s="39">
        <f>IF(C1449="","",IFERROR(INDEX('Animais'!$M$6:$M$1005,MATCH(C1449,'Animais'!$A$6:$A$1005,0)),"Brinco não cadastrado"))</f>
        <v/>
      </c>
      <c r="I1449" s="34">
        <f>IF(A1449="","",YEAR(A1449))</f>
        <v/>
      </c>
      <c r="J1449" s="45">
        <f>IF(OR(N(D1449)=0,N(E1449)=0),"",IFERROR(E1449/D1449,""))</f>
        <v/>
      </c>
    </row>
    <row r="1450">
      <c r="A1450" s="31" t="n"/>
      <c r="B1450" s="37" t="n"/>
      <c r="C1450" s="36" t="n"/>
      <c r="D1450" s="38" t="n"/>
      <c r="E1450" s="44" t="n"/>
      <c r="F1450" s="32" t="n"/>
      <c r="G1450" s="32" t="n"/>
      <c r="H1450" s="39">
        <f>IF(C1450="","",IFERROR(INDEX('Animais'!$M$6:$M$1005,MATCH(C1450,'Animais'!$A$6:$A$1005,0)),"Brinco não cadastrado"))</f>
        <v/>
      </c>
      <c r="I1450" s="34">
        <f>IF(A1450="","",YEAR(A1450))</f>
        <v/>
      </c>
      <c r="J1450" s="45">
        <f>IF(OR(N(D1450)=0,N(E1450)=0),"",IFERROR(E1450/D1450,""))</f>
        <v/>
      </c>
    </row>
    <row r="1451">
      <c r="A1451" s="31" t="n"/>
      <c r="B1451" s="37" t="n"/>
      <c r="C1451" s="36" t="n"/>
      <c r="D1451" s="38" t="n"/>
      <c r="E1451" s="44" t="n"/>
      <c r="F1451" s="32" t="n"/>
      <c r="G1451" s="32" t="n"/>
      <c r="H1451" s="39">
        <f>IF(C1451="","",IFERROR(INDEX('Animais'!$M$6:$M$1005,MATCH(C1451,'Animais'!$A$6:$A$1005,0)),"Brinco não cadastrado"))</f>
        <v/>
      </c>
      <c r="I1451" s="34">
        <f>IF(A1451="","",YEAR(A1451))</f>
        <v/>
      </c>
      <c r="J1451" s="45">
        <f>IF(OR(N(D1451)=0,N(E1451)=0),"",IFERROR(E1451/D1451,""))</f>
        <v/>
      </c>
    </row>
    <row r="1452">
      <c r="A1452" s="31" t="n"/>
      <c r="B1452" s="37" t="n"/>
      <c r="C1452" s="36" t="n"/>
      <c r="D1452" s="38" t="n"/>
      <c r="E1452" s="44" t="n"/>
      <c r="F1452" s="32" t="n"/>
      <c r="G1452" s="32" t="n"/>
      <c r="H1452" s="39">
        <f>IF(C1452="","",IFERROR(INDEX('Animais'!$M$6:$M$1005,MATCH(C1452,'Animais'!$A$6:$A$1005,0)),"Brinco não cadastrado"))</f>
        <v/>
      </c>
      <c r="I1452" s="34">
        <f>IF(A1452="","",YEAR(A1452))</f>
        <v/>
      </c>
      <c r="J1452" s="45">
        <f>IF(OR(N(D1452)=0,N(E1452)=0),"",IFERROR(E1452/D1452,""))</f>
        <v/>
      </c>
    </row>
    <row r="1453">
      <c r="A1453" s="31" t="n"/>
      <c r="B1453" s="37" t="n"/>
      <c r="C1453" s="36" t="n"/>
      <c r="D1453" s="38" t="n"/>
      <c r="E1453" s="44" t="n"/>
      <c r="F1453" s="32" t="n"/>
      <c r="G1453" s="32" t="n"/>
      <c r="H1453" s="39">
        <f>IF(C1453="","",IFERROR(INDEX('Animais'!$M$6:$M$1005,MATCH(C1453,'Animais'!$A$6:$A$1005,0)),"Brinco não cadastrado"))</f>
        <v/>
      </c>
      <c r="I1453" s="34">
        <f>IF(A1453="","",YEAR(A1453))</f>
        <v/>
      </c>
      <c r="J1453" s="45">
        <f>IF(OR(N(D1453)=0,N(E1453)=0),"",IFERROR(E1453/D1453,""))</f>
        <v/>
      </c>
    </row>
    <row r="1454">
      <c r="A1454" s="31" t="n"/>
      <c r="B1454" s="37" t="n"/>
      <c r="C1454" s="36" t="n"/>
      <c r="D1454" s="38" t="n"/>
      <c r="E1454" s="44" t="n"/>
      <c r="F1454" s="32" t="n"/>
      <c r="G1454" s="32" t="n"/>
      <c r="H1454" s="39">
        <f>IF(C1454="","",IFERROR(INDEX('Animais'!$M$6:$M$1005,MATCH(C1454,'Animais'!$A$6:$A$1005,0)),"Brinco não cadastrado"))</f>
        <v/>
      </c>
      <c r="I1454" s="34">
        <f>IF(A1454="","",YEAR(A1454))</f>
        <v/>
      </c>
      <c r="J1454" s="45">
        <f>IF(OR(N(D1454)=0,N(E1454)=0),"",IFERROR(E1454/D1454,""))</f>
        <v/>
      </c>
    </row>
    <row r="1455">
      <c r="A1455" s="31" t="n"/>
      <c r="B1455" s="37" t="n"/>
      <c r="C1455" s="36" t="n"/>
      <c r="D1455" s="38" t="n"/>
      <c r="E1455" s="44" t="n"/>
      <c r="F1455" s="32" t="n"/>
      <c r="G1455" s="32" t="n"/>
      <c r="H1455" s="39">
        <f>IF(C1455="","",IFERROR(INDEX('Animais'!$M$6:$M$1005,MATCH(C1455,'Animais'!$A$6:$A$1005,0)),"Brinco não cadastrado"))</f>
        <v/>
      </c>
      <c r="I1455" s="34">
        <f>IF(A1455="","",YEAR(A1455))</f>
        <v/>
      </c>
      <c r="J1455" s="45">
        <f>IF(OR(N(D1455)=0,N(E1455)=0),"",IFERROR(E1455/D1455,""))</f>
        <v/>
      </c>
    </row>
    <row r="1456">
      <c r="A1456" s="31" t="n"/>
      <c r="B1456" s="37" t="n"/>
      <c r="C1456" s="36" t="n"/>
      <c r="D1456" s="38" t="n"/>
      <c r="E1456" s="44" t="n"/>
      <c r="F1456" s="32" t="n"/>
      <c r="G1456" s="32" t="n"/>
      <c r="H1456" s="39">
        <f>IF(C1456="","",IFERROR(INDEX('Animais'!$M$6:$M$1005,MATCH(C1456,'Animais'!$A$6:$A$1005,0)),"Brinco não cadastrado"))</f>
        <v/>
      </c>
      <c r="I1456" s="34">
        <f>IF(A1456="","",YEAR(A1456))</f>
        <v/>
      </c>
      <c r="J1456" s="45">
        <f>IF(OR(N(D1456)=0,N(E1456)=0),"",IFERROR(E1456/D1456,""))</f>
        <v/>
      </c>
    </row>
    <row r="1457">
      <c r="A1457" s="31" t="n"/>
      <c r="B1457" s="37" t="n"/>
      <c r="C1457" s="36" t="n"/>
      <c r="D1457" s="38" t="n"/>
      <c r="E1457" s="44" t="n"/>
      <c r="F1457" s="32" t="n"/>
      <c r="G1457" s="32" t="n"/>
      <c r="H1457" s="39">
        <f>IF(C1457="","",IFERROR(INDEX('Animais'!$M$6:$M$1005,MATCH(C1457,'Animais'!$A$6:$A$1005,0)),"Brinco não cadastrado"))</f>
        <v/>
      </c>
      <c r="I1457" s="34">
        <f>IF(A1457="","",YEAR(A1457))</f>
        <v/>
      </c>
      <c r="J1457" s="45">
        <f>IF(OR(N(D1457)=0,N(E1457)=0),"",IFERROR(E1457/D1457,""))</f>
        <v/>
      </c>
    </row>
    <row r="1458">
      <c r="A1458" s="31" t="n"/>
      <c r="B1458" s="37" t="n"/>
      <c r="C1458" s="36" t="n"/>
      <c r="D1458" s="38" t="n"/>
      <c r="E1458" s="44" t="n"/>
      <c r="F1458" s="32" t="n"/>
      <c r="G1458" s="32" t="n"/>
      <c r="H1458" s="39">
        <f>IF(C1458="","",IFERROR(INDEX('Animais'!$M$6:$M$1005,MATCH(C1458,'Animais'!$A$6:$A$1005,0)),"Brinco não cadastrado"))</f>
        <v/>
      </c>
      <c r="I1458" s="34">
        <f>IF(A1458="","",YEAR(A1458))</f>
        <v/>
      </c>
      <c r="J1458" s="45">
        <f>IF(OR(N(D1458)=0,N(E1458)=0),"",IFERROR(E1458/D1458,""))</f>
        <v/>
      </c>
    </row>
    <row r="1459">
      <c r="A1459" s="31" t="n"/>
      <c r="B1459" s="37" t="n"/>
      <c r="C1459" s="36" t="n"/>
      <c r="D1459" s="38" t="n"/>
      <c r="E1459" s="44" t="n"/>
      <c r="F1459" s="32" t="n"/>
      <c r="G1459" s="32" t="n"/>
      <c r="H1459" s="39">
        <f>IF(C1459="","",IFERROR(INDEX('Animais'!$M$6:$M$1005,MATCH(C1459,'Animais'!$A$6:$A$1005,0)),"Brinco não cadastrado"))</f>
        <v/>
      </c>
      <c r="I1459" s="34">
        <f>IF(A1459="","",YEAR(A1459))</f>
        <v/>
      </c>
      <c r="J1459" s="45">
        <f>IF(OR(N(D1459)=0,N(E1459)=0),"",IFERROR(E1459/D1459,""))</f>
        <v/>
      </c>
    </row>
    <row r="1460">
      <c r="A1460" s="31" t="n"/>
      <c r="B1460" s="37" t="n"/>
      <c r="C1460" s="36" t="n"/>
      <c r="D1460" s="38" t="n"/>
      <c r="E1460" s="44" t="n"/>
      <c r="F1460" s="32" t="n"/>
      <c r="G1460" s="32" t="n"/>
      <c r="H1460" s="39">
        <f>IF(C1460="","",IFERROR(INDEX('Animais'!$M$6:$M$1005,MATCH(C1460,'Animais'!$A$6:$A$1005,0)),"Brinco não cadastrado"))</f>
        <v/>
      </c>
      <c r="I1460" s="34">
        <f>IF(A1460="","",YEAR(A1460))</f>
        <v/>
      </c>
      <c r="J1460" s="45">
        <f>IF(OR(N(D1460)=0,N(E1460)=0),"",IFERROR(E1460/D1460,""))</f>
        <v/>
      </c>
    </row>
    <row r="1461">
      <c r="A1461" s="31" t="n"/>
      <c r="B1461" s="37" t="n"/>
      <c r="C1461" s="36" t="n"/>
      <c r="D1461" s="38" t="n"/>
      <c r="E1461" s="44" t="n"/>
      <c r="F1461" s="32" t="n"/>
      <c r="G1461" s="32" t="n"/>
      <c r="H1461" s="39">
        <f>IF(C1461="","",IFERROR(INDEX('Animais'!$M$6:$M$1005,MATCH(C1461,'Animais'!$A$6:$A$1005,0)),"Brinco não cadastrado"))</f>
        <v/>
      </c>
      <c r="I1461" s="34">
        <f>IF(A1461="","",YEAR(A1461))</f>
        <v/>
      </c>
      <c r="J1461" s="45">
        <f>IF(OR(N(D1461)=0,N(E1461)=0),"",IFERROR(E1461/D1461,""))</f>
        <v/>
      </c>
    </row>
    <row r="1462">
      <c r="A1462" s="31" t="n"/>
      <c r="B1462" s="37" t="n"/>
      <c r="C1462" s="36" t="n"/>
      <c r="D1462" s="38" t="n"/>
      <c r="E1462" s="44" t="n"/>
      <c r="F1462" s="32" t="n"/>
      <c r="G1462" s="32" t="n"/>
      <c r="H1462" s="39">
        <f>IF(C1462="","",IFERROR(INDEX('Animais'!$M$6:$M$1005,MATCH(C1462,'Animais'!$A$6:$A$1005,0)),"Brinco não cadastrado"))</f>
        <v/>
      </c>
      <c r="I1462" s="34">
        <f>IF(A1462="","",YEAR(A1462))</f>
        <v/>
      </c>
      <c r="J1462" s="45">
        <f>IF(OR(N(D1462)=0,N(E1462)=0),"",IFERROR(E1462/D1462,""))</f>
        <v/>
      </c>
    </row>
    <row r="1463">
      <c r="A1463" s="31" t="n"/>
      <c r="B1463" s="37" t="n"/>
      <c r="C1463" s="36" t="n"/>
      <c r="D1463" s="38" t="n"/>
      <c r="E1463" s="44" t="n"/>
      <c r="F1463" s="32" t="n"/>
      <c r="G1463" s="32" t="n"/>
      <c r="H1463" s="39">
        <f>IF(C1463="","",IFERROR(INDEX('Animais'!$M$6:$M$1005,MATCH(C1463,'Animais'!$A$6:$A$1005,0)),"Brinco não cadastrado"))</f>
        <v/>
      </c>
      <c r="I1463" s="34">
        <f>IF(A1463="","",YEAR(A1463))</f>
        <v/>
      </c>
      <c r="J1463" s="45">
        <f>IF(OR(N(D1463)=0,N(E1463)=0),"",IFERROR(E1463/D1463,""))</f>
        <v/>
      </c>
    </row>
    <row r="1464">
      <c r="A1464" s="31" t="n"/>
      <c r="B1464" s="37" t="n"/>
      <c r="C1464" s="36" t="n"/>
      <c r="D1464" s="38" t="n"/>
      <c r="E1464" s="44" t="n"/>
      <c r="F1464" s="32" t="n"/>
      <c r="G1464" s="32" t="n"/>
      <c r="H1464" s="39">
        <f>IF(C1464="","",IFERROR(INDEX('Animais'!$M$6:$M$1005,MATCH(C1464,'Animais'!$A$6:$A$1005,0)),"Brinco não cadastrado"))</f>
        <v/>
      </c>
      <c r="I1464" s="34">
        <f>IF(A1464="","",YEAR(A1464))</f>
        <v/>
      </c>
      <c r="J1464" s="45">
        <f>IF(OR(N(D1464)=0,N(E1464)=0),"",IFERROR(E1464/D1464,""))</f>
        <v/>
      </c>
    </row>
    <row r="1465">
      <c r="A1465" s="31" t="n"/>
      <c r="B1465" s="37" t="n"/>
      <c r="C1465" s="36" t="n"/>
      <c r="D1465" s="38" t="n"/>
      <c r="E1465" s="44" t="n"/>
      <c r="F1465" s="32" t="n"/>
      <c r="G1465" s="32" t="n"/>
      <c r="H1465" s="39">
        <f>IF(C1465="","",IFERROR(INDEX('Animais'!$M$6:$M$1005,MATCH(C1465,'Animais'!$A$6:$A$1005,0)),"Brinco não cadastrado"))</f>
        <v/>
      </c>
      <c r="I1465" s="34">
        <f>IF(A1465="","",YEAR(A1465))</f>
        <v/>
      </c>
      <c r="J1465" s="45">
        <f>IF(OR(N(D1465)=0,N(E1465)=0),"",IFERROR(E1465/D1465,""))</f>
        <v/>
      </c>
    </row>
    <row r="1466">
      <c r="A1466" s="31" t="n"/>
      <c r="B1466" s="37" t="n"/>
      <c r="C1466" s="36" t="n"/>
      <c r="D1466" s="38" t="n"/>
      <c r="E1466" s="44" t="n"/>
      <c r="F1466" s="32" t="n"/>
      <c r="G1466" s="32" t="n"/>
      <c r="H1466" s="39">
        <f>IF(C1466="","",IFERROR(INDEX('Animais'!$M$6:$M$1005,MATCH(C1466,'Animais'!$A$6:$A$1005,0)),"Brinco não cadastrado"))</f>
        <v/>
      </c>
      <c r="I1466" s="34">
        <f>IF(A1466="","",YEAR(A1466))</f>
        <v/>
      </c>
      <c r="J1466" s="45">
        <f>IF(OR(N(D1466)=0,N(E1466)=0),"",IFERROR(E1466/D1466,""))</f>
        <v/>
      </c>
    </row>
    <row r="1467">
      <c r="A1467" s="31" t="n"/>
      <c r="B1467" s="37" t="n"/>
      <c r="C1467" s="36" t="n"/>
      <c r="D1467" s="38" t="n"/>
      <c r="E1467" s="44" t="n"/>
      <c r="F1467" s="32" t="n"/>
      <c r="G1467" s="32" t="n"/>
      <c r="H1467" s="39">
        <f>IF(C1467="","",IFERROR(INDEX('Animais'!$M$6:$M$1005,MATCH(C1467,'Animais'!$A$6:$A$1005,0)),"Brinco não cadastrado"))</f>
        <v/>
      </c>
      <c r="I1467" s="34">
        <f>IF(A1467="","",YEAR(A1467))</f>
        <v/>
      </c>
      <c r="J1467" s="45">
        <f>IF(OR(N(D1467)=0,N(E1467)=0),"",IFERROR(E1467/D1467,""))</f>
        <v/>
      </c>
    </row>
    <row r="1468">
      <c r="A1468" s="31" t="n"/>
      <c r="B1468" s="37" t="n"/>
      <c r="C1468" s="36" t="n"/>
      <c r="D1468" s="38" t="n"/>
      <c r="E1468" s="44" t="n"/>
      <c r="F1468" s="32" t="n"/>
      <c r="G1468" s="32" t="n"/>
      <c r="H1468" s="39">
        <f>IF(C1468="","",IFERROR(INDEX('Animais'!$M$6:$M$1005,MATCH(C1468,'Animais'!$A$6:$A$1005,0)),"Brinco não cadastrado"))</f>
        <v/>
      </c>
      <c r="I1468" s="34">
        <f>IF(A1468="","",YEAR(A1468))</f>
        <v/>
      </c>
      <c r="J1468" s="45">
        <f>IF(OR(N(D1468)=0,N(E1468)=0),"",IFERROR(E1468/D1468,""))</f>
        <v/>
      </c>
    </row>
    <row r="1469">
      <c r="A1469" s="31" t="n"/>
      <c r="B1469" s="37" t="n"/>
      <c r="C1469" s="36" t="n"/>
      <c r="D1469" s="38" t="n"/>
      <c r="E1469" s="44" t="n"/>
      <c r="F1469" s="32" t="n"/>
      <c r="G1469" s="32" t="n"/>
      <c r="H1469" s="39">
        <f>IF(C1469="","",IFERROR(INDEX('Animais'!$M$6:$M$1005,MATCH(C1469,'Animais'!$A$6:$A$1005,0)),"Brinco não cadastrado"))</f>
        <v/>
      </c>
      <c r="I1469" s="34">
        <f>IF(A1469="","",YEAR(A1469))</f>
        <v/>
      </c>
      <c r="J1469" s="45">
        <f>IF(OR(N(D1469)=0,N(E1469)=0),"",IFERROR(E1469/D1469,""))</f>
        <v/>
      </c>
    </row>
    <row r="1470">
      <c r="A1470" s="31" t="n"/>
      <c r="B1470" s="37" t="n"/>
      <c r="C1470" s="36" t="n"/>
      <c r="D1470" s="38" t="n"/>
      <c r="E1470" s="44" t="n"/>
      <c r="F1470" s="32" t="n"/>
      <c r="G1470" s="32" t="n"/>
      <c r="H1470" s="39">
        <f>IF(C1470="","",IFERROR(INDEX('Animais'!$M$6:$M$1005,MATCH(C1470,'Animais'!$A$6:$A$1005,0)),"Brinco não cadastrado"))</f>
        <v/>
      </c>
      <c r="I1470" s="34">
        <f>IF(A1470="","",YEAR(A1470))</f>
        <v/>
      </c>
      <c r="J1470" s="45">
        <f>IF(OR(N(D1470)=0,N(E1470)=0),"",IFERROR(E1470/D1470,""))</f>
        <v/>
      </c>
    </row>
    <row r="1471">
      <c r="A1471" s="31" t="n"/>
      <c r="B1471" s="37" t="n"/>
      <c r="C1471" s="36" t="n"/>
      <c r="D1471" s="38" t="n"/>
      <c r="E1471" s="44" t="n"/>
      <c r="F1471" s="32" t="n"/>
      <c r="G1471" s="32" t="n"/>
      <c r="H1471" s="39">
        <f>IF(C1471="","",IFERROR(INDEX('Animais'!$M$6:$M$1005,MATCH(C1471,'Animais'!$A$6:$A$1005,0)),"Brinco não cadastrado"))</f>
        <v/>
      </c>
      <c r="I1471" s="34">
        <f>IF(A1471="","",YEAR(A1471))</f>
        <v/>
      </c>
      <c r="J1471" s="45">
        <f>IF(OR(N(D1471)=0,N(E1471)=0),"",IFERROR(E1471/D1471,""))</f>
        <v/>
      </c>
    </row>
    <row r="1472">
      <c r="A1472" s="31" t="n"/>
      <c r="B1472" s="37" t="n"/>
      <c r="C1472" s="36" t="n"/>
      <c r="D1472" s="38" t="n"/>
      <c r="E1472" s="44" t="n"/>
      <c r="F1472" s="32" t="n"/>
      <c r="G1472" s="32" t="n"/>
      <c r="H1472" s="39">
        <f>IF(C1472="","",IFERROR(INDEX('Animais'!$M$6:$M$1005,MATCH(C1472,'Animais'!$A$6:$A$1005,0)),"Brinco não cadastrado"))</f>
        <v/>
      </c>
      <c r="I1472" s="34">
        <f>IF(A1472="","",YEAR(A1472))</f>
        <v/>
      </c>
      <c r="J1472" s="45">
        <f>IF(OR(N(D1472)=0,N(E1472)=0),"",IFERROR(E1472/D1472,""))</f>
        <v/>
      </c>
    </row>
    <row r="1473">
      <c r="A1473" s="31" t="n"/>
      <c r="B1473" s="37" t="n"/>
      <c r="C1473" s="36" t="n"/>
      <c r="D1473" s="38" t="n"/>
      <c r="E1473" s="44" t="n"/>
      <c r="F1473" s="32" t="n"/>
      <c r="G1473" s="32" t="n"/>
      <c r="H1473" s="39">
        <f>IF(C1473="","",IFERROR(INDEX('Animais'!$M$6:$M$1005,MATCH(C1473,'Animais'!$A$6:$A$1005,0)),"Brinco não cadastrado"))</f>
        <v/>
      </c>
      <c r="I1473" s="34">
        <f>IF(A1473="","",YEAR(A1473))</f>
        <v/>
      </c>
      <c r="J1473" s="45">
        <f>IF(OR(N(D1473)=0,N(E1473)=0),"",IFERROR(E1473/D1473,""))</f>
        <v/>
      </c>
    </row>
    <row r="1474">
      <c r="A1474" s="31" t="n"/>
      <c r="B1474" s="37" t="n"/>
      <c r="C1474" s="36" t="n"/>
      <c r="D1474" s="38" t="n"/>
      <c r="E1474" s="44" t="n"/>
      <c r="F1474" s="32" t="n"/>
      <c r="G1474" s="32" t="n"/>
      <c r="H1474" s="39">
        <f>IF(C1474="","",IFERROR(INDEX('Animais'!$M$6:$M$1005,MATCH(C1474,'Animais'!$A$6:$A$1005,0)),"Brinco não cadastrado"))</f>
        <v/>
      </c>
      <c r="I1474" s="34">
        <f>IF(A1474="","",YEAR(A1474))</f>
        <v/>
      </c>
      <c r="J1474" s="45">
        <f>IF(OR(N(D1474)=0,N(E1474)=0),"",IFERROR(E1474/D1474,""))</f>
        <v/>
      </c>
    </row>
    <row r="1475">
      <c r="A1475" s="31" t="n"/>
      <c r="B1475" s="37" t="n"/>
      <c r="C1475" s="36" t="n"/>
      <c r="D1475" s="38" t="n"/>
      <c r="E1475" s="44" t="n"/>
      <c r="F1475" s="32" t="n"/>
      <c r="G1475" s="32" t="n"/>
      <c r="H1475" s="39">
        <f>IF(C1475="","",IFERROR(INDEX('Animais'!$M$6:$M$1005,MATCH(C1475,'Animais'!$A$6:$A$1005,0)),"Brinco não cadastrado"))</f>
        <v/>
      </c>
      <c r="I1475" s="34">
        <f>IF(A1475="","",YEAR(A1475))</f>
        <v/>
      </c>
      <c r="J1475" s="45">
        <f>IF(OR(N(D1475)=0,N(E1475)=0),"",IFERROR(E1475/D1475,""))</f>
        <v/>
      </c>
    </row>
    <row r="1476">
      <c r="A1476" s="31" t="n"/>
      <c r="B1476" s="37" t="n"/>
      <c r="C1476" s="36" t="n"/>
      <c r="D1476" s="38" t="n"/>
      <c r="E1476" s="44" t="n"/>
      <c r="F1476" s="32" t="n"/>
      <c r="G1476" s="32" t="n"/>
      <c r="H1476" s="39">
        <f>IF(C1476="","",IFERROR(INDEX('Animais'!$M$6:$M$1005,MATCH(C1476,'Animais'!$A$6:$A$1005,0)),"Brinco não cadastrado"))</f>
        <v/>
      </c>
      <c r="I1476" s="34">
        <f>IF(A1476="","",YEAR(A1476))</f>
        <v/>
      </c>
      <c r="J1476" s="45">
        <f>IF(OR(N(D1476)=0,N(E1476)=0),"",IFERROR(E1476/D1476,""))</f>
        <v/>
      </c>
    </row>
    <row r="1477">
      <c r="A1477" s="31" t="n"/>
      <c r="B1477" s="37" t="n"/>
      <c r="C1477" s="36" t="n"/>
      <c r="D1477" s="38" t="n"/>
      <c r="E1477" s="44" t="n"/>
      <c r="F1477" s="32" t="n"/>
      <c r="G1477" s="32" t="n"/>
      <c r="H1477" s="39">
        <f>IF(C1477="","",IFERROR(INDEX('Animais'!$M$6:$M$1005,MATCH(C1477,'Animais'!$A$6:$A$1005,0)),"Brinco não cadastrado"))</f>
        <v/>
      </c>
      <c r="I1477" s="34">
        <f>IF(A1477="","",YEAR(A1477))</f>
        <v/>
      </c>
      <c r="J1477" s="45">
        <f>IF(OR(N(D1477)=0,N(E1477)=0),"",IFERROR(E1477/D1477,""))</f>
        <v/>
      </c>
    </row>
    <row r="1478">
      <c r="A1478" s="31" t="n"/>
      <c r="B1478" s="37" t="n"/>
      <c r="C1478" s="36" t="n"/>
      <c r="D1478" s="38" t="n"/>
      <c r="E1478" s="44" t="n"/>
      <c r="F1478" s="32" t="n"/>
      <c r="G1478" s="32" t="n"/>
      <c r="H1478" s="39">
        <f>IF(C1478="","",IFERROR(INDEX('Animais'!$M$6:$M$1005,MATCH(C1478,'Animais'!$A$6:$A$1005,0)),"Brinco não cadastrado"))</f>
        <v/>
      </c>
      <c r="I1478" s="34">
        <f>IF(A1478="","",YEAR(A1478))</f>
        <v/>
      </c>
      <c r="J1478" s="45">
        <f>IF(OR(N(D1478)=0,N(E1478)=0),"",IFERROR(E1478/D1478,""))</f>
        <v/>
      </c>
    </row>
    <row r="1479">
      <c r="A1479" s="31" t="n"/>
      <c r="B1479" s="37" t="n"/>
      <c r="C1479" s="36" t="n"/>
      <c r="D1479" s="38" t="n"/>
      <c r="E1479" s="44" t="n"/>
      <c r="F1479" s="32" t="n"/>
      <c r="G1479" s="32" t="n"/>
      <c r="H1479" s="39">
        <f>IF(C1479="","",IFERROR(INDEX('Animais'!$M$6:$M$1005,MATCH(C1479,'Animais'!$A$6:$A$1005,0)),"Brinco não cadastrado"))</f>
        <v/>
      </c>
      <c r="I1479" s="34">
        <f>IF(A1479="","",YEAR(A1479))</f>
        <v/>
      </c>
      <c r="J1479" s="45">
        <f>IF(OR(N(D1479)=0,N(E1479)=0),"",IFERROR(E1479/D1479,""))</f>
        <v/>
      </c>
    </row>
    <row r="1480">
      <c r="A1480" s="31" t="n"/>
      <c r="B1480" s="37" t="n"/>
      <c r="C1480" s="36" t="n"/>
      <c r="D1480" s="38" t="n"/>
      <c r="E1480" s="44" t="n"/>
      <c r="F1480" s="32" t="n"/>
      <c r="G1480" s="32" t="n"/>
      <c r="H1480" s="39">
        <f>IF(C1480="","",IFERROR(INDEX('Animais'!$M$6:$M$1005,MATCH(C1480,'Animais'!$A$6:$A$1005,0)),"Brinco não cadastrado"))</f>
        <v/>
      </c>
      <c r="I1480" s="34">
        <f>IF(A1480="","",YEAR(A1480))</f>
        <v/>
      </c>
      <c r="J1480" s="45">
        <f>IF(OR(N(D1480)=0,N(E1480)=0),"",IFERROR(E1480/D1480,""))</f>
        <v/>
      </c>
    </row>
    <row r="1481">
      <c r="A1481" s="31" t="n"/>
      <c r="B1481" s="37" t="n"/>
      <c r="C1481" s="36" t="n"/>
      <c r="D1481" s="38" t="n"/>
      <c r="E1481" s="44" t="n"/>
      <c r="F1481" s="32" t="n"/>
      <c r="G1481" s="32" t="n"/>
      <c r="H1481" s="39">
        <f>IF(C1481="","",IFERROR(INDEX('Animais'!$M$6:$M$1005,MATCH(C1481,'Animais'!$A$6:$A$1005,0)),"Brinco não cadastrado"))</f>
        <v/>
      </c>
      <c r="I1481" s="34">
        <f>IF(A1481="","",YEAR(A1481))</f>
        <v/>
      </c>
      <c r="J1481" s="45">
        <f>IF(OR(N(D1481)=0,N(E1481)=0),"",IFERROR(E1481/D1481,""))</f>
        <v/>
      </c>
    </row>
    <row r="1482">
      <c r="A1482" s="31" t="n"/>
      <c r="B1482" s="37" t="n"/>
      <c r="C1482" s="36" t="n"/>
      <c r="D1482" s="38" t="n"/>
      <c r="E1482" s="44" t="n"/>
      <c r="F1482" s="32" t="n"/>
      <c r="G1482" s="32" t="n"/>
      <c r="H1482" s="39">
        <f>IF(C1482="","",IFERROR(INDEX('Animais'!$M$6:$M$1005,MATCH(C1482,'Animais'!$A$6:$A$1005,0)),"Brinco não cadastrado"))</f>
        <v/>
      </c>
      <c r="I1482" s="34">
        <f>IF(A1482="","",YEAR(A1482))</f>
        <v/>
      </c>
      <c r="J1482" s="45">
        <f>IF(OR(N(D1482)=0,N(E1482)=0),"",IFERROR(E1482/D1482,""))</f>
        <v/>
      </c>
    </row>
    <row r="1483">
      <c r="A1483" s="31" t="n"/>
      <c r="B1483" s="37" t="n"/>
      <c r="C1483" s="36" t="n"/>
      <c r="D1483" s="38" t="n"/>
      <c r="E1483" s="44" t="n"/>
      <c r="F1483" s="32" t="n"/>
      <c r="G1483" s="32" t="n"/>
      <c r="H1483" s="39">
        <f>IF(C1483="","",IFERROR(INDEX('Animais'!$M$6:$M$1005,MATCH(C1483,'Animais'!$A$6:$A$1005,0)),"Brinco não cadastrado"))</f>
        <v/>
      </c>
      <c r="I1483" s="34">
        <f>IF(A1483="","",YEAR(A1483))</f>
        <v/>
      </c>
      <c r="J1483" s="45">
        <f>IF(OR(N(D1483)=0,N(E1483)=0),"",IFERROR(E1483/D1483,""))</f>
        <v/>
      </c>
    </row>
    <row r="1484">
      <c r="A1484" s="31" t="n"/>
      <c r="B1484" s="37" t="n"/>
      <c r="C1484" s="36" t="n"/>
      <c r="D1484" s="38" t="n"/>
      <c r="E1484" s="44" t="n"/>
      <c r="F1484" s="32" t="n"/>
      <c r="G1484" s="32" t="n"/>
      <c r="H1484" s="39">
        <f>IF(C1484="","",IFERROR(INDEX('Animais'!$M$6:$M$1005,MATCH(C1484,'Animais'!$A$6:$A$1005,0)),"Brinco não cadastrado"))</f>
        <v/>
      </c>
      <c r="I1484" s="34">
        <f>IF(A1484="","",YEAR(A1484))</f>
        <v/>
      </c>
      <c r="J1484" s="45">
        <f>IF(OR(N(D1484)=0,N(E1484)=0),"",IFERROR(E1484/D1484,""))</f>
        <v/>
      </c>
    </row>
    <row r="1485">
      <c r="A1485" s="31" t="n"/>
      <c r="B1485" s="37" t="n"/>
      <c r="C1485" s="36" t="n"/>
      <c r="D1485" s="38" t="n"/>
      <c r="E1485" s="44" t="n"/>
      <c r="F1485" s="32" t="n"/>
      <c r="G1485" s="32" t="n"/>
      <c r="H1485" s="39">
        <f>IF(C1485="","",IFERROR(INDEX('Animais'!$M$6:$M$1005,MATCH(C1485,'Animais'!$A$6:$A$1005,0)),"Brinco não cadastrado"))</f>
        <v/>
      </c>
      <c r="I1485" s="34">
        <f>IF(A1485="","",YEAR(A1485))</f>
        <v/>
      </c>
      <c r="J1485" s="45">
        <f>IF(OR(N(D1485)=0,N(E1485)=0),"",IFERROR(E1485/D1485,""))</f>
        <v/>
      </c>
    </row>
    <row r="1486">
      <c r="A1486" s="31" t="n"/>
      <c r="B1486" s="37" t="n"/>
      <c r="C1486" s="36" t="n"/>
      <c r="D1486" s="38" t="n"/>
      <c r="E1486" s="44" t="n"/>
      <c r="F1486" s="32" t="n"/>
      <c r="G1486" s="32" t="n"/>
      <c r="H1486" s="39">
        <f>IF(C1486="","",IFERROR(INDEX('Animais'!$M$6:$M$1005,MATCH(C1486,'Animais'!$A$6:$A$1005,0)),"Brinco não cadastrado"))</f>
        <v/>
      </c>
      <c r="I1486" s="34">
        <f>IF(A1486="","",YEAR(A1486))</f>
        <v/>
      </c>
      <c r="J1486" s="45">
        <f>IF(OR(N(D1486)=0,N(E1486)=0),"",IFERROR(E1486/D1486,""))</f>
        <v/>
      </c>
    </row>
    <row r="1487">
      <c r="A1487" s="31" t="n"/>
      <c r="B1487" s="37" t="n"/>
      <c r="C1487" s="36" t="n"/>
      <c r="D1487" s="38" t="n"/>
      <c r="E1487" s="44" t="n"/>
      <c r="F1487" s="32" t="n"/>
      <c r="G1487" s="32" t="n"/>
      <c r="H1487" s="39">
        <f>IF(C1487="","",IFERROR(INDEX('Animais'!$M$6:$M$1005,MATCH(C1487,'Animais'!$A$6:$A$1005,0)),"Brinco não cadastrado"))</f>
        <v/>
      </c>
      <c r="I1487" s="34">
        <f>IF(A1487="","",YEAR(A1487))</f>
        <v/>
      </c>
      <c r="J1487" s="45">
        <f>IF(OR(N(D1487)=0,N(E1487)=0),"",IFERROR(E1487/D1487,""))</f>
        <v/>
      </c>
    </row>
    <row r="1488">
      <c r="A1488" s="31" t="n"/>
      <c r="B1488" s="37" t="n"/>
      <c r="C1488" s="36" t="n"/>
      <c r="D1488" s="38" t="n"/>
      <c r="E1488" s="44" t="n"/>
      <c r="F1488" s="32" t="n"/>
      <c r="G1488" s="32" t="n"/>
      <c r="H1488" s="39">
        <f>IF(C1488="","",IFERROR(INDEX('Animais'!$M$6:$M$1005,MATCH(C1488,'Animais'!$A$6:$A$1005,0)),"Brinco não cadastrado"))</f>
        <v/>
      </c>
      <c r="I1488" s="34">
        <f>IF(A1488="","",YEAR(A1488))</f>
        <v/>
      </c>
      <c r="J1488" s="45">
        <f>IF(OR(N(D1488)=0,N(E1488)=0),"",IFERROR(E1488/D1488,""))</f>
        <v/>
      </c>
    </row>
    <row r="1489">
      <c r="A1489" s="31" t="n"/>
      <c r="B1489" s="37" t="n"/>
      <c r="C1489" s="36" t="n"/>
      <c r="D1489" s="38" t="n"/>
      <c r="E1489" s="44" t="n"/>
      <c r="F1489" s="32" t="n"/>
      <c r="G1489" s="32" t="n"/>
      <c r="H1489" s="39">
        <f>IF(C1489="","",IFERROR(INDEX('Animais'!$M$6:$M$1005,MATCH(C1489,'Animais'!$A$6:$A$1005,0)),"Brinco não cadastrado"))</f>
        <v/>
      </c>
      <c r="I1489" s="34">
        <f>IF(A1489="","",YEAR(A1489))</f>
        <v/>
      </c>
      <c r="J1489" s="45">
        <f>IF(OR(N(D1489)=0,N(E1489)=0),"",IFERROR(E1489/D1489,""))</f>
        <v/>
      </c>
    </row>
    <row r="1490">
      <c r="A1490" s="31" t="n"/>
      <c r="B1490" s="37" t="n"/>
      <c r="C1490" s="36" t="n"/>
      <c r="D1490" s="38" t="n"/>
      <c r="E1490" s="44" t="n"/>
      <c r="F1490" s="32" t="n"/>
      <c r="G1490" s="32" t="n"/>
      <c r="H1490" s="39">
        <f>IF(C1490="","",IFERROR(INDEX('Animais'!$M$6:$M$1005,MATCH(C1490,'Animais'!$A$6:$A$1005,0)),"Brinco não cadastrado"))</f>
        <v/>
      </c>
      <c r="I1490" s="34">
        <f>IF(A1490="","",YEAR(A1490))</f>
        <v/>
      </c>
      <c r="J1490" s="45">
        <f>IF(OR(N(D1490)=0,N(E1490)=0),"",IFERROR(E1490/D1490,""))</f>
        <v/>
      </c>
    </row>
    <row r="1491">
      <c r="A1491" s="31" t="n"/>
      <c r="B1491" s="37" t="n"/>
      <c r="C1491" s="36" t="n"/>
      <c r="D1491" s="38" t="n"/>
      <c r="E1491" s="44" t="n"/>
      <c r="F1491" s="32" t="n"/>
      <c r="G1491" s="32" t="n"/>
      <c r="H1491" s="39">
        <f>IF(C1491="","",IFERROR(INDEX('Animais'!$M$6:$M$1005,MATCH(C1491,'Animais'!$A$6:$A$1005,0)),"Brinco não cadastrado"))</f>
        <v/>
      </c>
      <c r="I1491" s="34">
        <f>IF(A1491="","",YEAR(A1491))</f>
        <v/>
      </c>
      <c r="J1491" s="45">
        <f>IF(OR(N(D1491)=0,N(E1491)=0),"",IFERROR(E1491/D1491,""))</f>
        <v/>
      </c>
    </row>
    <row r="1492">
      <c r="A1492" s="31" t="n"/>
      <c r="B1492" s="37" t="n"/>
      <c r="C1492" s="36" t="n"/>
      <c r="D1492" s="38" t="n"/>
      <c r="E1492" s="44" t="n"/>
      <c r="F1492" s="32" t="n"/>
      <c r="G1492" s="32" t="n"/>
      <c r="H1492" s="39">
        <f>IF(C1492="","",IFERROR(INDEX('Animais'!$M$6:$M$1005,MATCH(C1492,'Animais'!$A$6:$A$1005,0)),"Brinco não cadastrado"))</f>
        <v/>
      </c>
      <c r="I1492" s="34">
        <f>IF(A1492="","",YEAR(A1492))</f>
        <v/>
      </c>
      <c r="J1492" s="45">
        <f>IF(OR(N(D1492)=0,N(E1492)=0),"",IFERROR(E1492/D1492,""))</f>
        <v/>
      </c>
    </row>
    <row r="1493">
      <c r="A1493" s="31" t="n"/>
      <c r="B1493" s="37" t="n"/>
      <c r="C1493" s="36" t="n"/>
      <c r="D1493" s="38" t="n"/>
      <c r="E1493" s="44" t="n"/>
      <c r="F1493" s="32" t="n"/>
      <c r="G1493" s="32" t="n"/>
      <c r="H1493" s="39">
        <f>IF(C1493="","",IFERROR(INDEX('Animais'!$M$6:$M$1005,MATCH(C1493,'Animais'!$A$6:$A$1005,0)),"Brinco não cadastrado"))</f>
        <v/>
      </c>
      <c r="I1493" s="34">
        <f>IF(A1493="","",YEAR(A1493))</f>
        <v/>
      </c>
      <c r="J1493" s="45">
        <f>IF(OR(N(D1493)=0,N(E1493)=0),"",IFERROR(E1493/D1493,""))</f>
        <v/>
      </c>
    </row>
    <row r="1494">
      <c r="A1494" s="31" t="n"/>
      <c r="B1494" s="37" t="n"/>
      <c r="C1494" s="36" t="n"/>
      <c r="D1494" s="38" t="n"/>
      <c r="E1494" s="44" t="n"/>
      <c r="F1494" s="32" t="n"/>
      <c r="G1494" s="32" t="n"/>
      <c r="H1494" s="39">
        <f>IF(C1494="","",IFERROR(INDEX('Animais'!$M$6:$M$1005,MATCH(C1494,'Animais'!$A$6:$A$1005,0)),"Brinco não cadastrado"))</f>
        <v/>
      </c>
      <c r="I1494" s="34">
        <f>IF(A1494="","",YEAR(A1494))</f>
        <v/>
      </c>
      <c r="J1494" s="45">
        <f>IF(OR(N(D1494)=0,N(E1494)=0),"",IFERROR(E1494/D1494,""))</f>
        <v/>
      </c>
    </row>
    <row r="1495">
      <c r="A1495" s="31" t="n"/>
      <c r="B1495" s="37" t="n"/>
      <c r="C1495" s="36" t="n"/>
      <c r="D1495" s="38" t="n"/>
      <c r="E1495" s="44" t="n"/>
      <c r="F1495" s="32" t="n"/>
      <c r="G1495" s="32" t="n"/>
      <c r="H1495" s="39">
        <f>IF(C1495="","",IFERROR(INDEX('Animais'!$M$6:$M$1005,MATCH(C1495,'Animais'!$A$6:$A$1005,0)),"Brinco não cadastrado"))</f>
        <v/>
      </c>
      <c r="I1495" s="34">
        <f>IF(A1495="","",YEAR(A1495))</f>
        <v/>
      </c>
      <c r="J1495" s="45">
        <f>IF(OR(N(D1495)=0,N(E1495)=0),"",IFERROR(E1495/D1495,""))</f>
        <v/>
      </c>
    </row>
    <row r="1496">
      <c r="A1496" s="31" t="n"/>
      <c r="B1496" s="37" t="n"/>
      <c r="C1496" s="36" t="n"/>
      <c r="D1496" s="38" t="n"/>
      <c r="E1496" s="44" t="n"/>
      <c r="F1496" s="32" t="n"/>
      <c r="G1496" s="32" t="n"/>
      <c r="H1496" s="39">
        <f>IF(C1496="","",IFERROR(INDEX('Animais'!$M$6:$M$1005,MATCH(C1496,'Animais'!$A$6:$A$1005,0)),"Brinco não cadastrado"))</f>
        <v/>
      </c>
      <c r="I1496" s="34">
        <f>IF(A1496="","",YEAR(A1496))</f>
        <v/>
      </c>
      <c r="J1496" s="45">
        <f>IF(OR(N(D1496)=0,N(E1496)=0),"",IFERROR(E1496/D1496,""))</f>
        <v/>
      </c>
    </row>
    <row r="1497">
      <c r="A1497" s="31" t="n"/>
      <c r="B1497" s="37" t="n"/>
      <c r="C1497" s="36" t="n"/>
      <c r="D1497" s="38" t="n"/>
      <c r="E1497" s="44" t="n"/>
      <c r="F1497" s="32" t="n"/>
      <c r="G1497" s="32" t="n"/>
      <c r="H1497" s="39">
        <f>IF(C1497="","",IFERROR(INDEX('Animais'!$M$6:$M$1005,MATCH(C1497,'Animais'!$A$6:$A$1005,0)),"Brinco não cadastrado"))</f>
        <v/>
      </c>
      <c r="I1497" s="34">
        <f>IF(A1497="","",YEAR(A1497))</f>
        <v/>
      </c>
      <c r="J1497" s="45">
        <f>IF(OR(N(D1497)=0,N(E1497)=0),"",IFERROR(E1497/D1497,""))</f>
        <v/>
      </c>
    </row>
    <row r="1498">
      <c r="A1498" s="31" t="n"/>
      <c r="B1498" s="37" t="n"/>
      <c r="C1498" s="36" t="n"/>
      <c r="D1498" s="38" t="n"/>
      <c r="E1498" s="44" t="n"/>
      <c r="F1498" s="32" t="n"/>
      <c r="G1498" s="32" t="n"/>
      <c r="H1498" s="39">
        <f>IF(C1498="","",IFERROR(INDEX('Animais'!$M$6:$M$1005,MATCH(C1498,'Animais'!$A$6:$A$1005,0)),"Brinco não cadastrado"))</f>
        <v/>
      </c>
      <c r="I1498" s="34">
        <f>IF(A1498="","",YEAR(A1498))</f>
        <v/>
      </c>
      <c r="J1498" s="45">
        <f>IF(OR(N(D1498)=0,N(E1498)=0),"",IFERROR(E1498/D1498,""))</f>
        <v/>
      </c>
    </row>
    <row r="1499">
      <c r="A1499" s="31" t="n"/>
      <c r="B1499" s="37" t="n"/>
      <c r="C1499" s="36" t="n"/>
      <c r="D1499" s="38" t="n"/>
      <c r="E1499" s="44" t="n"/>
      <c r="F1499" s="32" t="n"/>
      <c r="G1499" s="32" t="n"/>
      <c r="H1499" s="39">
        <f>IF(C1499="","",IFERROR(INDEX('Animais'!$M$6:$M$1005,MATCH(C1499,'Animais'!$A$6:$A$1005,0)),"Brinco não cadastrado"))</f>
        <v/>
      </c>
      <c r="I1499" s="34">
        <f>IF(A1499="","",YEAR(A1499))</f>
        <v/>
      </c>
      <c r="J1499" s="45">
        <f>IF(OR(N(D1499)=0,N(E1499)=0),"",IFERROR(E1499/D1499,""))</f>
        <v/>
      </c>
    </row>
    <row r="1500">
      <c r="A1500" s="31" t="n"/>
      <c r="B1500" s="37" t="n"/>
      <c r="C1500" s="36" t="n"/>
      <c r="D1500" s="38" t="n"/>
      <c r="E1500" s="44" t="n"/>
      <c r="F1500" s="32" t="n"/>
      <c r="G1500" s="32" t="n"/>
      <c r="H1500" s="39">
        <f>IF(C1500="","",IFERROR(INDEX('Animais'!$M$6:$M$1005,MATCH(C1500,'Animais'!$A$6:$A$1005,0)),"Brinco não cadastrado"))</f>
        <v/>
      </c>
      <c r="I1500" s="34">
        <f>IF(A1500="","",YEAR(A1500))</f>
        <v/>
      </c>
      <c r="J1500" s="45">
        <f>IF(OR(N(D1500)=0,N(E1500)=0),"",IFERROR(E1500/D1500,""))</f>
        <v/>
      </c>
    </row>
    <row r="1501">
      <c r="A1501" s="31" t="n"/>
      <c r="B1501" s="37" t="n"/>
      <c r="C1501" s="36" t="n"/>
      <c r="D1501" s="38" t="n"/>
      <c r="E1501" s="44" t="n"/>
      <c r="F1501" s="32" t="n"/>
      <c r="G1501" s="32" t="n"/>
      <c r="H1501" s="39">
        <f>IF(C1501="","",IFERROR(INDEX('Animais'!$M$6:$M$1005,MATCH(C1501,'Animais'!$A$6:$A$1005,0)),"Brinco não cadastrado"))</f>
        <v/>
      </c>
      <c r="I1501" s="34">
        <f>IF(A1501="","",YEAR(A1501))</f>
        <v/>
      </c>
      <c r="J1501" s="45">
        <f>IF(OR(N(D1501)=0,N(E1501)=0),"",IFERROR(E1501/D1501,""))</f>
        <v/>
      </c>
    </row>
    <row r="1502">
      <c r="A1502" s="31" t="n"/>
      <c r="B1502" s="37" t="n"/>
      <c r="C1502" s="36" t="n"/>
      <c r="D1502" s="38" t="n"/>
      <c r="E1502" s="44" t="n"/>
      <c r="F1502" s="32" t="n"/>
      <c r="G1502" s="32" t="n"/>
      <c r="H1502" s="39">
        <f>IF(C1502="","",IFERROR(INDEX('Animais'!$M$6:$M$1005,MATCH(C1502,'Animais'!$A$6:$A$1005,0)),"Brinco não cadastrado"))</f>
        <v/>
      </c>
      <c r="I1502" s="34">
        <f>IF(A1502="","",YEAR(A1502))</f>
        <v/>
      </c>
      <c r="J1502" s="45">
        <f>IF(OR(N(D1502)=0,N(E1502)=0),"",IFERROR(E1502/D1502,""))</f>
        <v/>
      </c>
    </row>
    <row r="1503">
      <c r="A1503" s="31" t="n"/>
      <c r="B1503" s="37" t="n"/>
      <c r="C1503" s="36" t="n"/>
      <c r="D1503" s="38" t="n"/>
      <c r="E1503" s="44" t="n"/>
      <c r="F1503" s="32" t="n"/>
      <c r="G1503" s="32" t="n"/>
      <c r="H1503" s="39">
        <f>IF(C1503="","",IFERROR(INDEX('Animais'!$M$6:$M$1005,MATCH(C1503,'Animais'!$A$6:$A$1005,0)),"Brinco não cadastrado"))</f>
        <v/>
      </c>
      <c r="I1503" s="34">
        <f>IF(A1503="","",YEAR(A1503))</f>
        <v/>
      </c>
      <c r="J1503" s="45">
        <f>IF(OR(N(D1503)=0,N(E1503)=0),"",IFERROR(E1503/D1503,""))</f>
        <v/>
      </c>
    </row>
    <row r="1504">
      <c r="A1504" s="31" t="n"/>
      <c r="B1504" s="37" t="n"/>
      <c r="C1504" s="36" t="n"/>
      <c r="D1504" s="38" t="n"/>
      <c r="E1504" s="44" t="n"/>
      <c r="F1504" s="32" t="n"/>
      <c r="G1504" s="32" t="n"/>
      <c r="H1504" s="39">
        <f>IF(C1504="","",IFERROR(INDEX('Animais'!$M$6:$M$1005,MATCH(C1504,'Animais'!$A$6:$A$1005,0)),"Brinco não cadastrado"))</f>
        <v/>
      </c>
      <c r="I1504" s="34">
        <f>IF(A1504="","",YEAR(A1504))</f>
        <v/>
      </c>
      <c r="J1504" s="45">
        <f>IF(OR(N(D1504)=0,N(E1504)=0),"",IFERROR(E1504/D1504,""))</f>
        <v/>
      </c>
    </row>
    <row r="1505">
      <c r="A1505" s="31" t="n"/>
      <c r="B1505" s="37" t="n"/>
      <c r="C1505" s="36" t="n"/>
      <c r="D1505" s="38" t="n"/>
      <c r="E1505" s="44" t="n"/>
      <c r="F1505" s="32" t="n"/>
      <c r="G1505" s="32" t="n"/>
      <c r="H1505" s="39">
        <f>IF(C1505="","",IFERROR(INDEX('Animais'!$M$6:$M$1005,MATCH(C1505,'Animais'!$A$6:$A$1005,0)),"Brinco não cadastrado"))</f>
        <v/>
      </c>
      <c r="I1505" s="34">
        <f>IF(A1505="","",YEAR(A1505))</f>
        <v/>
      </c>
      <c r="J1505" s="45">
        <f>IF(OR(N(D1505)=0,N(E1505)=0),"",IFERROR(E1505/D1505,""))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autoFilter ref="A5:J1505"/>
  <conditionalFormatting sqref="H6:H1505">
    <cfRule type="cellIs" priority="1" operator="equal" dxfId="1">
      <formula>"Brinco não cadastrado"</formula>
    </cfRule>
  </conditionalFormatting>
  <dataValidations count="4">
    <dataValidation sqref="A6:A1505" showDropDown="0" showInputMessage="0" showErrorMessage="1" allowBlank="1" errorTitle="Data inválida" error="Digite uma data válida (dd/mm/aaaa)." type="date" operator="between">
      <formula1>DATE(1990,1,1)</formula1>
      <formula2>DATE(2100,12,31)</formula2>
    </dataValidation>
    <dataValidation sqref="B6:B1505" showDropDown="0" showInputMessage="1" showErrorMessage="1" allowBlank="1" errorTitle="Valor inválido" error="Escolha um valor da lista." prompt="Tipo de movimentação" type="list" errorStyle="stop">
      <formula1>"Nascimento,Compra,Venda,Morte"</formula1>
    </dataValidation>
    <dataValidation sqref="C6:C1505" showDropDown="0" showInputMessage="1" showErrorMessage="1" allowBlank="1" errorTitle="Valor inválido" error="Escolha um valor da lista." prompt="Brinco cadastrado na aba Animais" type="list" errorStyle="stop">
      <formula1>'Animais'!$A$6:$A$1005</formula1>
    </dataValidation>
    <dataValidation sqref="D6:E1505" showDropDown="0" showInputMessage="0" showErrorMessage="1" allowBlank="1" errorTitle="Valor inválido" error="Digite um número maior ou igual a zero." type="decimal" operator="greaterThanOrEqual">
      <formula1>0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14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Categorias</t>
        </is>
      </c>
    </row>
    <row r="2">
      <c r="A2">
        <f>Config!B11</f>
        <v/>
      </c>
    </row>
    <row r="3">
      <c r="A3">
        <f>Config!B12</f>
        <v/>
      </c>
    </row>
    <row r="4">
      <c r="A4">
        <f>Config!B13</f>
        <v/>
      </c>
    </row>
    <row r="5">
      <c r="A5">
        <f>Config!B14</f>
        <v/>
      </c>
    </row>
    <row r="6">
      <c r="A6">
        <f>Config!C11</f>
        <v/>
      </c>
    </row>
    <row r="7">
      <c r="A7">
        <f>Config!C12</f>
        <v/>
      </c>
    </row>
    <row r="8">
      <c r="A8">
        <f>Config!C13</f>
        <v/>
      </c>
    </row>
    <row r="9">
      <c r="A9">
        <f>Config!C14</f>
        <v/>
      </c>
    </row>
    <row r="10">
      <c r="A10">
        <f>IF(Config!A18="","",Config!A18)</f>
        <v/>
      </c>
    </row>
    <row r="11">
      <c r="A11">
        <f>IF(Config!A19="","",Config!A19)</f>
        <v/>
      </c>
    </row>
    <row r="12">
      <c r="A12">
        <f>IF(Config!A20="","",Config!A20)</f>
        <v/>
      </c>
    </row>
    <row r="13">
      <c r="A13">
        <f>IF(Config!A21="","",Config!A21)</f>
        <v/>
      </c>
    </row>
    <row r="14">
      <c r="A14">
        <f>IF(Config!A22="","",Config!A22)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printOptions horizontalCentered="1"/>
  <pageMargins left="0.4" right="0.4" top="0.5" bottom="0.5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tabSelected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4" customWidth="1" min="4" max="4"/>
    <col width="15" customWidth="1" min="5" max="5"/>
    <col width="18" customWidth="1" min="6" max="6"/>
  </cols>
  <sheetData>
    <row r="1" ht="36" customHeight="1">
      <c r="A1" s="1" t="inlineStr">
        <is>
          <t>Inventário do Rebanho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Somente animais com status 'Ativo' na data de referência</t>
        </is>
      </c>
      <c r="B2" s="4" t="n"/>
      <c r="C2" s="4" t="n"/>
      <c r="D2" s="4" t="n"/>
      <c r="E2" s="4" t="n"/>
      <c r="F2" s="4" t="n"/>
    </row>
    <row r="3">
      <c r="A3" s="27" t="inlineStr">
        <is>
          <t>Legenda:</t>
        </is>
      </c>
      <c r="B3" s="28" t="inlineStr">
        <is>
          <t>Preencher</t>
        </is>
      </c>
      <c r="C3" s="29" t="inlineStr">
        <is>
          <t>Cálculo automático (protegido)</t>
        </is>
      </c>
    </row>
    <row r="4">
      <c r="A4" s="46">
        <f>"Data de referência: "&amp;RIGHT("0"&amp;DAY(Config!B5),2)&amp;"/"&amp;RIGHT("0"&amp;MONTH(Config!B5),2)&amp;"/"&amp;YEAR(Config!B5)</f>
        <v/>
      </c>
    </row>
    <row r="6" ht="40" customHeight="1">
      <c r="A6" s="18" t="inlineStr">
        <is>
          <t>Categoria</t>
        </is>
      </c>
      <c r="B6" s="18" t="inlineStr">
        <is>
          <t>Cabeças ativas</t>
        </is>
      </c>
      <c r="C6" s="18" t="inlineStr">
        <is>
          <t>% do rebanho</t>
        </is>
      </c>
      <c r="D6" s="18" t="inlineStr">
        <is>
          <t>Peso médio (kg)</t>
        </is>
      </c>
      <c r="E6" s="18" t="inlineStr">
        <is>
          <t>Peso total (kg)</t>
        </is>
      </c>
      <c r="F6" s="18" t="inlineStr">
        <is>
          <t>GMD médio desde a entrada (kg/dia)</t>
        </is>
      </c>
    </row>
    <row r="7">
      <c r="A7" s="8">
        <f>Listas!A2</f>
        <v/>
      </c>
      <c r="B7" s="21">
        <f>IF(A7="","",COUNTIFS('Animais'!$M$6:$M$1005,A7,'Animais'!$N$6:$N$1005,"Ativo"))</f>
        <v/>
      </c>
      <c r="C7" s="47">
        <f>IF(A7="","",IFERROR(B7/$B$20,0))</f>
        <v/>
      </c>
      <c r="D7" s="48">
        <f>IF(A7="","",IFERROR(AVERAGEIFS('Animais'!$P$6:$P$1005,'Animais'!$M$6:$M$1005,A7,'Animais'!$N$6:$N$1005,"Ativo"),0))</f>
        <v/>
      </c>
      <c r="E7" s="48">
        <f>IF(A7="","",SUMIFS('Animais'!$P$6:$P$1005,'Animais'!$M$6:$M$1005,A7,'Animais'!$N$6:$N$1005,"Ativo"))</f>
        <v/>
      </c>
      <c r="F7" s="49">
        <f>IF(A7="","",IFERROR(AVERAGEIFS('Animais'!$Q$6:$Q$1005,'Animais'!$M$6:$M$1005,A7,'Animais'!$N$6:$N$1005,"Ativo"),0))</f>
        <v/>
      </c>
    </row>
    <row r="8">
      <c r="A8" s="8">
        <f>Listas!A3</f>
        <v/>
      </c>
      <c r="B8" s="21">
        <f>IF(A8="","",COUNTIFS('Animais'!$M$6:$M$1005,A8,'Animais'!$N$6:$N$1005,"Ativo"))</f>
        <v/>
      </c>
      <c r="C8" s="47">
        <f>IF(A8="","",IFERROR(B8/$B$20,0))</f>
        <v/>
      </c>
      <c r="D8" s="48">
        <f>IF(A8="","",IFERROR(AVERAGEIFS('Animais'!$P$6:$P$1005,'Animais'!$M$6:$M$1005,A8,'Animais'!$N$6:$N$1005,"Ativo"),0))</f>
        <v/>
      </c>
      <c r="E8" s="48">
        <f>IF(A8="","",SUMIFS('Animais'!$P$6:$P$1005,'Animais'!$M$6:$M$1005,A8,'Animais'!$N$6:$N$1005,"Ativo"))</f>
        <v/>
      </c>
      <c r="F8" s="49">
        <f>IF(A8="","",IFERROR(AVERAGEIFS('Animais'!$Q$6:$Q$1005,'Animais'!$M$6:$M$1005,A8,'Animais'!$N$6:$N$1005,"Ativo"),0))</f>
        <v/>
      </c>
    </row>
    <row r="9">
      <c r="A9" s="8">
        <f>Listas!A4</f>
        <v/>
      </c>
      <c r="B9" s="21">
        <f>IF(A9="","",COUNTIFS('Animais'!$M$6:$M$1005,A9,'Animais'!$N$6:$N$1005,"Ativo"))</f>
        <v/>
      </c>
      <c r="C9" s="47">
        <f>IF(A9="","",IFERROR(B9/$B$20,0))</f>
        <v/>
      </c>
      <c r="D9" s="48">
        <f>IF(A9="","",IFERROR(AVERAGEIFS('Animais'!$P$6:$P$1005,'Animais'!$M$6:$M$1005,A9,'Animais'!$N$6:$N$1005,"Ativo"),0))</f>
        <v/>
      </c>
      <c r="E9" s="48">
        <f>IF(A9="","",SUMIFS('Animais'!$P$6:$P$1005,'Animais'!$M$6:$M$1005,A9,'Animais'!$N$6:$N$1005,"Ativo"))</f>
        <v/>
      </c>
      <c r="F9" s="49">
        <f>IF(A9="","",IFERROR(AVERAGEIFS('Animais'!$Q$6:$Q$1005,'Animais'!$M$6:$M$1005,A9,'Animais'!$N$6:$N$1005,"Ativo"),0))</f>
        <v/>
      </c>
    </row>
    <row r="10">
      <c r="A10" s="8">
        <f>Listas!A5</f>
        <v/>
      </c>
      <c r="B10" s="21">
        <f>IF(A10="","",COUNTIFS('Animais'!$M$6:$M$1005,A10,'Animais'!$N$6:$N$1005,"Ativo"))</f>
        <v/>
      </c>
      <c r="C10" s="47">
        <f>IF(A10="","",IFERROR(B10/$B$20,0))</f>
        <v/>
      </c>
      <c r="D10" s="48">
        <f>IF(A10="","",IFERROR(AVERAGEIFS('Animais'!$P$6:$P$1005,'Animais'!$M$6:$M$1005,A10,'Animais'!$N$6:$N$1005,"Ativo"),0))</f>
        <v/>
      </c>
      <c r="E10" s="48">
        <f>IF(A10="","",SUMIFS('Animais'!$P$6:$P$1005,'Animais'!$M$6:$M$1005,A10,'Animais'!$N$6:$N$1005,"Ativo"))</f>
        <v/>
      </c>
      <c r="F10" s="49">
        <f>IF(A10="","",IFERROR(AVERAGEIFS('Animais'!$Q$6:$Q$1005,'Animais'!$M$6:$M$1005,A10,'Animais'!$N$6:$N$1005,"Ativo"),0))</f>
        <v/>
      </c>
    </row>
    <row r="11">
      <c r="A11" s="8">
        <f>Listas!A6</f>
        <v/>
      </c>
      <c r="B11" s="21">
        <f>IF(A11="","",COUNTIFS('Animais'!$M$6:$M$1005,A11,'Animais'!$N$6:$N$1005,"Ativo"))</f>
        <v/>
      </c>
      <c r="C11" s="47">
        <f>IF(A11="","",IFERROR(B11/$B$20,0))</f>
        <v/>
      </c>
      <c r="D11" s="48">
        <f>IF(A11="","",IFERROR(AVERAGEIFS('Animais'!$P$6:$P$1005,'Animais'!$M$6:$M$1005,A11,'Animais'!$N$6:$N$1005,"Ativo"),0))</f>
        <v/>
      </c>
      <c r="E11" s="48">
        <f>IF(A11="","",SUMIFS('Animais'!$P$6:$P$1005,'Animais'!$M$6:$M$1005,A11,'Animais'!$N$6:$N$1005,"Ativo"))</f>
        <v/>
      </c>
      <c r="F11" s="49">
        <f>IF(A11="","",IFERROR(AVERAGEIFS('Animais'!$Q$6:$Q$1005,'Animais'!$M$6:$M$1005,A11,'Animais'!$N$6:$N$1005,"Ativo"),0))</f>
        <v/>
      </c>
    </row>
    <row r="12">
      <c r="A12" s="8">
        <f>Listas!A7</f>
        <v/>
      </c>
      <c r="B12" s="21">
        <f>IF(A12="","",COUNTIFS('Animais'!$M$6:$M$1005,A12,'Animais'!$N$6:$N$1005,"Ativo"))</f>
        <v/>
      </c>
      <c r="C12" s="47">
        <f>IF(A12="","",IFERROR(B12/$B$20,0))</f>
        <v/>
      </c>
      <c r="D12" s="48">
        <f>IF(A12="","",IFERROR(AVERAGEIFS('Animais'!$P$6:$P$1005,'Animais'!$M$6:$M$1005,A12,'Animais'!$N$6:$N$1005,"Ativo"),0))</f>
        <v/>
      </c>
      <c r="E12" s="48">
        <f>IF(A12="","",SUMIFS('Animais'!$P$6:$P$1005,'Animais'!$M$6:$M$1005,A12,'Animais'!$N$6:$N$1005,"Ativo"))</f>
        <v/>
      </c>
      <c r="F12" s="49">
        <f>IF(A12="","",IFERROR(AVERAGEIFS('Animais'!$Q$6:$Q$1005,'Animais'!$M$6:$M$1005,A12,'Animais'!$N$6:$N$1005,"Ativo"),0))</f>
        <v/>
      </c>
    </row>
    <row r="13">
      <c r="A13" s="8">
        <f>Listas!A8</f>
        <v/>
      </c>
      <c r="B13" s="21">
        <f>IF(A13="","",COUNTIFS('Animais'!$M$6:$M$1005,A13,'Animais'!$N$6:$N$1005,"Ativo"))</f>
        <v/>
      </c>
      <c r="C13" s="47">
        <f>IF(A13="","",IFERROR(B13/$B$20,0))</f>
        <v/>
      </c>
      <c r="D13" s="48">
        <f>IF(A13="","",IFERROR(AVERAGEIFS('Animais'!$P$6:$P$1005,'Animais'!$M$6:$M$1005,A13,'Animais'!$N$6:$N$1005,"Ativo"),0))</f>
        <v/>
      </c>
      <c r="E13" s="48">
        <f>IF(A13="","",SUMIFS('Animais'!$P$6:$P$1005,'Animais'!$M$6:$M$1005,A13,'Animais'!$N$6:$N$1005,"Ativo"))</f>
        <v/>
      </c>
      <c r="F13" s="49">
        <f>IF(A13="","",IFERROR(AVERAGEIFS('Animais'!$Q$6:$Q$1005,'Animais'!$M$6:$M$1005,A13,'Animais'!$N$6:$N$1005,"Ativo"),0))</f>
        <v/>
      </c>
    </row>
    <row r="14">
      <c r="A14" s="8">
        <f>Listas!A9</f>
        <v/>
      </c>
      <c r="B14" s="21">
        <f>IF(A14="","",COUNTIFS('Animais'!$M$6:$M$1005,A14,'Animais'!$N$6:$N$1005,"Ativo"))</f>
        <v/>
      </c>
      <c r="C14" s="47">
        <f>IF(A14="","",IFERROR(B14/$B$20,0))</f>
        <v/>
      </c>
      <c r="D14" s="48">
        <f>IF(A14="","",IFERROR(AVERAGEIFS('Animais'!$P$6:$P$1005,'Animais'!$M$6:$M$1005,A14,'Animais'!$N$6:$N$1005,"Ativo"),0))</f>
        <v/>
      </c>
      <c r="E14" s="48">
        <f>IF(A14="","",SUMIFS('Animais'!$P$6:$P$1005,'Animais'!$M$6:$M$1005,A14,'Animais'!$N$6:$N$1005,"Ativo"))</f>
        <v/>
      </c>
      <c r="F14" s="49">
        <f>IF(A14="","",IFERROR(AVERAGEIFS('Animais'!$Q$6:$Q$1005,'Animais'!$M$6:$M$1005,A14,'Animais'!$N$6:$N$1005,"Ativo"),0))</f>
        <v/>
      </c>
    </row>
    <row r="15">
      <c r="A15" s="8">
        <f>Listas!A10</f>
        <v/>
      </c>
      <c r="B15" s="21">
        <f>IF(A15="","",COUNTIFS('Animais'!$M$6:$M$1005,A15,'Animais'!$N$6:$N$1005,"Ativo"))</f>
        <v/>
      </c>
      <c r="C15" s="47">
        <f>IF(A15="","",IFERROR(B15/$B$20,0))</f>
        <v/>
      </c>
      <c r="D15" s="48">
        <f>IF(A15="","",IFERROR(AVERAGEIFS('Animais'!$P$6:$P$1005,'Animais'!$M$6:$M$1005,A15,'Animais'!$N$6:$N$1005,"Ativo"),0))</f>
        <v/>
      </c>
      <c r="E15" s="48">
        <f>IF(A15="","",SUMIFS('Animais'!$P$6:$P$1005,'Animais'!$M$6:$M$1005,A15,'Animais'!$N$6:$N$1005,"Ativo"))</f>
        <v/>
      </c>
      <c r="F15" s="49">
        <f>IF(A15="","",IFERROR(AVERAGEIFS('Animais'!$Q$6:$Q$1005,'Animais'!$M$6:$M$1005,A15,'Animais'!$N$6:$N$1005,"Ativo"),0))</f>
        <v/>
      </c>
    </row>
    <row r="16">
      <c r="A16" s="8">
        <f>Listas!A11</f>
        <v/>
      </c>
      <c r="B16" s="21">
        <f>IF(A16="","",COUNTIFS('Animais'!$M$6:$M$1005,A16,'Animais'!$N$6:$N$1005,"Ativo"))</f>
        <v/>
      </c>
      <c r="C16" s="47">
        <f>IF(A16="","",IFERROR(B16/$B$20,0))</f>
        <v/>
      </c>
      <c r="D16" s="48">
        <f>IF(A16="","",IFERROR(AVERAGEIFS('Animais'!$P$6:$P$1005,'Animais'!$M$6:$M$1005,A16,'Animais'!$N$6:$N$1005,"Ativo"),0))</f>
        <v/>
      </c>
      <c r="E16" s="48">
        <f>IF(A16="","",SUMIFS('Animais'!$P$6:$P$1005,'Animais'!$M$6:$M$1005,A16,'Animais'!$N$6:$N$1005,"Ativo"))</f>
        <v/>
      </c>
      <c r="F16" s="49">
        <f>IF(A16="","",IFERROR(AVERAGEIFS('Animais'!$Q$6:$Q$1005,'Animais'!$M$6:$M$1005,A16,'Animais'!$N$6:$N$1005,"Ativo"),0))</f>
        <v/>
      </c>
    </row>
    <row r="17">
      <c r="A17" s="8">
        <f>Listas!A12</f>
        <v/>
      </c>
      <c r="B17" s="21">
        <f>IF(A17="","",COUNTIFS('Animais'!$M$6:$M$1005,A17,'Animais'!$N$6:$N$1005,"Ativo"))</f>
        <v/>
      </c>
      <c r="C17" s="47">
        <f>IF(A17="","",IFERROR(B17/$B$20,0))</f>
        <v/>
      </c>
      <c r="D17" s="48">
        <f>IF(A17="","",IFERROR(AVERAGEIFS('Animais'!$P$6:$P$1005,'Animais'!$M$6:$M$1005,A17,'Animais'!$N$6:$N$1005,"Ativo"),0))</f>
        <v/>
      </c>
      <c r="E17" s="48">
        <f>IF(A17="","",SUMIFS('Animais'!$P$6:$P$1005,'Animais'!$M$6:$M$1005,A17,'Animais'!$N$6:$N$1005,"Ativo"))</f>
        <v/>
      </c>
      <c r="F17" s="49">
        <f>IF(A17="","",IFERROR(AVERAGEIFS('Animais'!$Q$6:$Q$1005,'Animais'!$M$6:$M$1005,A17,'Animais'!$N$6:$N$1005,"Ativo"),0))</f>
        <v/>
      </c>
    </row>
    <row r="18">
      <c r="A18" s="8">
        <f>Listas!A13</f>
        <v/>
      </c>
      <c r="B18" s="21">
        <f>IF(A18="","",COUNTIFS('Animais'!$M$6:$M$1005,A18,'Animais'!$N$6:$N$1005,"Ativo"))</f>
        <v/>
      </c>
      <c r="C18" s="47">
        <f>IF(A18="","",IFERROR(B18/$B$20,0))</f>
        <v/>
      </c>
      <c r="D18" s="48">
        <f>IF(A18="","",IFERROR(AVERAGEIFS('Animais'!$P$6:$P$1005,'Animais'!$M$6:$M$1005,A18,'Animais'!$N$6:$N$1005,"Ativo"),0))</f>
        <v/>
      </c>
      <c r="E18" s="48">
        <f>IF(A18="","",SUMIFS('Animais'!$P$6:$P$1005,'Animais'!$M$6:$M$1005,A18,'Animais'!$N$6:$N$1005,"Ativo"))</f>
        <v/>
      </c>
      <c r="F18" s="49">
        <f>IF(A18="","",IFERROR(AVERAGEIFS('Animais'!$Q$6:$Q$1005,'Animais'!$M$6:$M$1005,A18,'Animais'!$N$6:$N$1005,"Ativo"),0))</f>
        <v/>
      </c>
    </row>
    <row r="19">
      <c r="A19" s="8">
        <f>Listas!A14</f>
        <v/>
      </c>
      <c r="B19" s="21">
        <f>IF(A19="","",COUNTIFS('Animais'!$M$6:$M$1005,A19,'Animais'!$N$6:$N$1005,"Ativo"))</f>
        <v/>
      </c>
      <c r="C19" s="47">
        <f>IF(A19="","",IFERROR(B19/$B$20,0))</f>
        <v/>
      </c>
      <c r="D19" s="48">
        <f>IF(A19="","",IFERROR(AVERAGEIFS('Animais'!$P$6:$P$1005,'Animais'!$M$6:$M$1005,A19,'Animais'!$N$6:$N$1005,"Ativo"),0))</f>
        <v/>
      </c>
      <c r="E19" s="48">
        <f>IF(A19="","",SUMIFS('Animais'!$P$6:$P$1005,'Animais'!$M$6:$M$1005,A19,'Animais'!$N$6:$N$1005,"Ativo"))</f>
        <v/>
      </c>
      <c r="F19" s="49">
        <f>IF(A19="","",IFERROR(AVERAGEIFS('Animais'!$Q$6:$Q$1005,'Animais'!$M$6:$M$1005,A19,'Animais'!$N$6:$N$1005,"Ativo"),0))</f>
        <v/>
      </c>
    </row>
    <row r="20">
      <c r="A20" s="25" t="inlineStr">
        <is>
          <t>TOTAL ATIVO</t>
        </is>
      </c>
      <c r="B20" s="50">
        <f>SUM(B7:B19)</f>
        <v/>
      </c>
      <c r="C20" s="51">
        <f>IFERROR(B20/B20,0)</f>
        <v/>
      </c>
      <c r="D20" s="52">
        <f>IFERROR(AVERAGEIFS('Animais'!$P$6:$P$1005,'Animais'!$N$6:$N$1005,"Ativo"),0)</f>
        <v/>
      </c>
      <c r="E20" s="52">
        <f>SUM(E7:E19)</f>
        <v/>
      </c>
      <c r="F20" s="53">
        <f>IFERROR(AVERAGEIFS('Animais'!$Q$6:$Q$1005,'Animais'!$N$6:$N$1005,"Ativo"),0)</f>
        <v/>
      </c>
    </row>
    <row r="22">
      <c r="A22" s="54" t="inlineStr">
        <is>
          <t>Ativos sem categoria válida (verifique sexo/nascimento):</t>
        </is>
      </c>
      <c r="E22" s="21">
        <f>COUNTIFS('Animais'!$N$6:$N$1005,"Ativo")-B20</f>
        <v/>
      </c>
    </row>
    <row r="24" ht="20" customHeight="1">
      <c r="A24" s="10" t="inlineStr">
        <is>
          <t>Movimentações no ano de análise</t>
        </is>
      </c>
      <c r="B24" s="11" t="n"/>
      <c r="C24" s="11" t="n"/>
      <c r="D24" s="11" t="n"/>
      <c r="E24" s="11" t="n"/>
      <c r="F24" s="11" t="n"/>
    </row>
    <row r="25" ht="30" customHeight="1">
      <c r="A25" s="18" t="inlineStr">
        <is>
          <t>Tipo</t>
        </is>
      </c>
      <c r="B25" s="18" t="inlineStr">
        <is>
          <t>Cabeças</t>
        </is>
      </c>
      <c r="C25" s="18" t="inlineStr">
        <is>
          <t>Valor total (R$)</t>
        </is>
      </c>
      <c r="D25" s="18" t="inlineStr">
        <is>
          <t>Peso total (kg)</t>
        </is>
      </c>
      <c r="E25" s="18" t="inlineStr">
        <is>
          <t>R$ médio por cabeça</t>
        </is>
      </c>
      <c r="F25" s="18" t="inlineStr"/>
    </row>
    <row r="26">
      <c r="A26" s="8" t="inlineStr">
        <is>
          <t>Nascimento</t>
        </is>
      </c>
      <c r="B26" s="21">
        <f>COUNTIFS('Movimentações'!$B$6:$B$1505,A26,'Movimentações'!$I$6:$I$1505,Config!$B$7)</f>
        <v/>
      </c>
      <c r="C26" s="45">
        <f>SUMIFS('Movimentações'!$E$6:$E$1505,'Movimentações'!$B$6:$B$1505,A26,'Movimentações'!$I$6:$I$1505,Config!$B$7)</f>
        <v/>
      </c>
      <c r="D26" s="55">
        <f>SUMIFS('Movimentações'!$D$6:$D$1505,'Movimentações'!$B$6:$B$1505,A26,'Movimentações'!$I$6:$I$1505,Config!$B$7)</f>
        <v/>
      </c>
      <c r="E26" s="45">
        <f>IFERROR(C26/B26,0)</f>
        <v/>
      </c>
    </row>
    <row r="27">
      <c r="A27" s="8" t="inlineStr">
        <is>
          <t>Compra</t>
        </is>
      </c>
      <c r="B27" s="21">
        <f>COUNTIFS('Movimentações'!$B$6:$B$1505,A27,'Movimentações'!$I$6:$I$1505,Config!$B$7)</f>
        <v/>
      </c>
      <c r="C27" s="45">
        <f>SUMIFS('Movimentações'!$E$6:$E$1505,'Movimentações'!$B$6:$B$1505,A27,'Movimentações'!$I$6:$I$1505,Config!$B$7)</f>
        <v/>
      </c>
      <c r="D27" s="55">
        <f>SUMIFS('Movimentações'!$D$6:$D$1505,'Movimentações'!$B$6:$B$1505,A27,'Movimentações'!$I$6:$I$1505,Config!$B$7)</f>
        <v/>
      </c>
      <c r="E27" s="45">
        <f>IFERROR(C27/B27,0)</f>
        <v/>
      </c>
    </row>
    <row r="28">
      <c r="A28" s="8" t="inlineStr">
        <is>
          <t>Venda</t>
        </is>
      </c>
      <c r="B28" s="21">
        <f>COUNTIFS('Movimentações'!$B$6:$B$1505,A28,'Movimentações'!$I$6:$I$1505,Config!$B$7)</f>
        <v/>
      </c>
      <c r="C28" s="45">
        <f>SUMIFS('Movimentações'!$E$6:$E$1505,'Movimentações'!$B$6:$B$1505,A28,'Movimentações'!$I$6:$I$1505,Config!$B$7)</f>
        <v/>
      </c>
      <c r="D28" s="55">
        <f>SUMIFS('Movimentações'!$D$6:$D$1505,'Movimentações'!$B$6:$B$1505,A28,'Movimentações'!$I$6:$I$1505,Config!$B$7)</f>
        <v/>
      </c>
      <c r="E28" s="45">
        <f>IFERROR(C28/B28,0)</f>
        <v/>
      </c>
    </row>
    <row r="29">
      <c r="A29" s="8" t="inlineStr">
        <is>
          <t>Morte</t>
        </is>
      </c>
      <c r="B29" s="21">
        <f>COUNTIFS('Movimentações'!$B$6:$B$1505,A29,'Movimentações'!$I$6:$I$1505,Config!$B$7)</f>
        <v/>
      </c>
      <c r="C29" s="45">
        <f>SUMIFS('Movimentações'!$E$6:$E$1505,'Movimentações'!$B$6:$B$1505,A29,'Movimentações'!$I$6:$I$1505,Config!$B$7)</f>
        <v/>
      </c>
      <c r="D29" s="55">
        <f>SUMIFS('Movimentações'!$D$6:$D$1505,'Movimentações'!$B$6:$B$1505,A29,'Movimentações'!$I$6:$I$1505,Config!$B$7)</f>
        <v/>
      </c>
      <c r="E29" s="45">
        <f>IFERROR(C29/B29,0)</f>
        <v/>
      </c>
    </row>
    <row r="31">
      <c r="A31" s="46">
        <f>"Ano de análise: "&amp;Config!B7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conditionalFormatting sqref="E22">
    <cfRule type="cellIs" priority="1" operator="greaterThan" dxfId="1">
      <formula>0</formula>
    </cfRule>
  </conditionalFormatting>
  <printOptions horizontalCentered="1"/>
  <pageMargins left="0.4" right="0.4" top="0.5" bottom="0.5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tabSelected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3" customWidth="1" min="4" max="4"/>
    <col width="13" customWidth="1" min="5" max="5"/>
    <col width="18" customWidth="1" min="6" max="6"/>
    <col width="17" customWidth="1" min="7" max="7"/>
    <col width="12" customWidth="1" min="8" max="8"/>
    <col width="14" customWidth="1" min="9" max="9"/>
    <col width="12" customWidth="1" min="10" max="10"/>
    <col width="12" customWidth="1" min="11" max="11"/>
    <col width="3" customWidth="1" min="12" max="12"/>
  </cols>
  <sheetData>
    <row r="1" ht="36" customHeight="1">
      <c r="A1" s="1" t="inlineStr">
        <is>
          <t>Exemplo preenchido (dados fictícios)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Veja como a gestão do rebanho funciona antes de cadastrar seus animais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3" ht="32" customHeight="1">
      <c r="A3" s="56" t="inlineStr">
        <is>
          <t>EXEMPLO — TODOS OS DADOS DESTA ABA SÃO FICTÍCIOS, criados apenas para demonstrar o funcionamento. Não use como referência de preços, custos ou produtividade.</t>
        </is>
      </c>
      <c r="B3" s="57" t="n"/>
      <c r="C3" s="57" t="n"/>
      <c r="D3" s="57" t="n"/>
      <c r="E3" s="57" t="n"/>
      <c r="F3" s="57" t="n"/>
      <c r="G3" s="57" t="n"/>
      <c r="H3" s="57" t="n"/>
      <c r="I3" s="57" t="n"/>
      <c r="J3" s="57" t="n"/>
      <c r="K3" s="57" t="n"/>
      <c r="L3" s="57" t="n"/>
    </row>
    <row r="5">
      <c r="A5" s="58" t="inlineStr">
        <is>
          <t>Data de referência do exemplo:</t>
        </is>
      </c>
      <c r="D5" s="31" t="n">
        <v>46295</v>
      </c>
      <c r="F5" s="35" t="inlineStr">
        <is>
          <t>(as categorias usam as faixas da aba Config)</t>
        </is>
      </c>
    </row>
    <row r="7" ht="20" customHeight="1">
      <c r="A7" s="10" t="inlineStr">
        <is>
          <t>Animais (exemplo)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</row>
    <row r="8" ht="32" customHeight="1">
      <c r="A8" s="18" t="inlineStr">
        <is>
          <t>Brinco</t>
        </is>
      </c>
      <c r="B8" s="18" t="inlineStr">
        <is>
          <t>Sexo</t>
        </is>
      </c>
      <c r="C8" s="18" t="inlineStr">
        <is>
          <t>Nascimento</t>
        </is>
      </c>
      <c r="D8" s="18" t="inlineStr">
        <is>
          <t>Data entrada</t>
        </is>
      </c>
      <c r="E8" s="18" t="inlineStr">
        <is>
          <t>Peso entrada (kg)</t>
        </is>
      </c>
      <c r="F8" s="18" t="inlineStr">
        <is>
          <t>Categ. manual</t>
        </is>
      </c>
      <c r="G8" s="18" t="inlineStr">
        <is>
          <t>Categoria</t>
        </is>
      </c>
      <c r="H8" s="18" t="inlineStr">
        <is>
          <t>Status</t>
        </is>
      </c>
      <c r="I8" s="18" t="inlineStr">
        <is>
          <t>Última pesagem</t>
        </is>
      </c>
      <c r="J8" s="18" t="inlineStr">
        <is>
          <t>Último peso (kg)</t>
        </is>
      </c>
      <c r="K8" s="18" t="inlineStr">
        <is>
          <t>GMD (kg/dia)</t>
        </is>
      </c>
    </row>
    <row r="9">
      <c r="A9" s="36" t="inlineStr">
        <is>
          <t>001</t>
        </is>
      </c>
      <c r="B9" s="37" t="inlineStr">
        <is>
          <t>F</t>
        </is>
      </c>
      <c r="C9" s="31" t="n">
        <v>43740</v>
      </c>
      <c r="D9" s="31" t="n">
        <v>43740</v>
      </c>
      <c r="E9" s="38" t="n">
        <v>32</v>
      </c>
      <c r="F9" s="32" t="n"/>
      <c r="G9" s="39">
        <f>IF(F9&lt;&gt;"",F9,IFERROR(IF(B9="M",INDEX(Config!$B$11:$B$14,MATCH(DATEDIF(C9,$D$5,"m"),Config!$A$11:$A$14,1)),INDEX(Config!$C$11:$C$14,MATCH(DATEDIF(C9,$D$5,"m"),Config!$A$11:$A$14,1))),"Verificar"))</f>
        <v/>
      </c>
      <c r="H9" s="39">
        <f>IF(COUNTIFS($C$37:$C$43,A9,$B$37:$B$43,"Venda")&gt;0,"Vendido",IF(COUNTIFS($C$37:$C$43,A9,$B$37:$B$43,"Morte")&gt;0,"Morto","Ativo"))</f>
        <v/>
      </c>
      <c r="I9" s="40">
        <f>IF(COUNTIF($B$22:$B$33,A9)=0,"",SUMPRODUCT(MAX(($B$22:$B$33=A9)*$A$22:$A$33)))</f>
        <v/>
      </c>
      <c r="J9" s="41">
        <f>IF(I9="",E9,IFERROR(AVERAGEIFS($C$22:$C$33,$B$22:$B$33,A9,$A$22:$A$33,I9),""))</f>
        <v/>
      </c>
      <c r="K9" s="42">
        <f>IF(I9="","",IFERROR((J9-E9)/(I9-D9),""))</f>
        <v/>
      </c>
    </row>
    <row r="10">
      <c r="A10" s="36" t="inlineStr">
        <is>
          <t>002</t>
        </is>
      </c>
      <c r="B10" s="37" t="inlineStr">
        <is>
          <t>F</t>
        </is>
      </c>
      <c r="C10" s="31" t="n">
        <v>44089</v>
      </c>
      <c r="D10" s="31" t="n">
        <v>44089</v>
      </c>
      <c r="E10" s="38" t="n">
        <v>30</v>
      </c>
      <c r="F10" s="32" t="n"/>
      <c r="G10" s="39">
        <f>IF(F10&lt;&gt;"",F10,IFERROR(IF(B10="M",INDEX(Config!$B$11:$B$14,MATCH(DATEDIF(C10,$D$5,"m"),Config!$A$11:$A$14,1)),INDEX(Config!$C$11:$C$14,MATCH(DATEDIF(C10,$D$5,"m"),Config!$A$11:$A$14,1))),"Verificar"))</f>
        <v/>
      </c>
      <c r="H10" s="39">
        <f>IF(COUNTIFS($C$37:$C$43,A10,$B$37:$B$43,"Venda")&gt;0,"Vendido",IF(COUNTIFS($C$37:$C$43,A10,$B$37:$B$43,"Morte")&gt;0,"Morto","Ativo"))</f>
        <v/>
      </c>
      <c r="I10" s="40">
        <f>IF(COUNTIF($B$22:$B$33,A10)=0,"",SUMPRODUCT(MAX(($B$22:$B$33=A10)*$A$22:$A$33)))</f>
        <v/>
      </c>
      <c r="J10" s="41">
        <f>IF(I10="",E10,IFERROR(AVERAGEIFS($C$22:$C$33,$B$22:$B$33,A10,$A$22:$A$33,I10),""))</f>
        <v/>
      </c>
      <c r="K10" s="42">
        <f>IF(I10="","",IFERROR((J10-E10)/(I10-D10),""))</f>
        <v/>
      </c>
    </row>
    <row r="11">
      <c r="A11" s="36" t="inlineStr">
        <is>
          <t>003</t>
        </is>
      </c>
      <c r="B11" s="37" t="inlineStr">
        <is>
          <t>M</t>
        </is>
      </c>
      <c r="C11" s="31" t="n">
        <v>43332</v>
      </c>
      <c r="D11" s="31" t="n">
        <v>44326</v>
      </c>
      <c r="E11" s="38" t="n">
        <v>520</v>
      </c>
      <c r="F11" s="32" t="inlineStr">
        <is>
          <t>Touro</t>
        </is>
      </c>
      <c r="G11" s="39">
        <f>IF(F11&lt;&gt;"",F11,IFERROR(IF(B11="M",INDEX(Config!$B$11:$B$14,MATCH(DATEDIF(C11,$D$5,"m"),Config!$A$11:$A$14,1)),INDEX(Config!$C$11:$C$14,MATCH(DATEDIF(C11,$D$5,"m"),Config!$A$11:$A$14,1))),"Verificar"))</f>
        <v/>
      </c>
      <c r="H11" s="39">
        <f>IF(COUNTIFS($C$37:$C$43,A11,$B$37:$B$43,"Venda")&gt;0,"Vendido",IF(COUNTIFS($C$37:$C$43,A11,$B$37:$B$43,"Morte")&gt;0,"Morto","Ativo"))</f>
        <v/>
      </c>
      <c r="I11" s="40">
        <f>IF(COUNTIF($B$22:$B$33,A11)=0,"",SUMPRODUCT(MAX(($B$22:$B$33=A11)*$A$22:$A$33)))</f>
        <v/>
      </c>
      <c r="J11" s="41">
        <f>IF(I11="",E11,IFERROR(AVERAGEIFS($C$22:$C$33,$B$22:$B$33,A11,$A$22:$A$33,I11),""))</f>
        <v/>
      </c>
      <c r="K11" s="42">
        <f>IF(I11="","",IFERROR((J11-E11)/(I11-D11),""))</f>
        <v/>
      </c>
    </row>
    <row r="12">
      <c r="A12" s="36" t="inlineStr">
        <is>
          <t>004</t>
        </is>
      </c>
      <c r="B12" s="37" t="inlineStr">
        <is>
          <t>M</t>
        </is>
      </c>
      <c r="C12" s="31" t="n">
        <v>45935</v>
      </c>
      <c r="D12" s="31" t="n">
        <v>45935</v>
      </c>
      <c r="E12" s="38" t="n">
        <v>31</v>
      </c>
      <c r="F12" s="32" t="n"/>
      <c r="G12" s="39">
        <f>IF(F12&lt;&gt;"",F12,IFERROR(IF(B12="M",INDEX(Config!$B$11:$B$14,MATCH(DATEDIF(C12,$D$5,"m"),Config!$A$11:$A$14,1)),INDEX(Config!$C$11:$C$14,MATCH(DATEDIF(C12,$D$5,"m"),Config!$A$11:$A$14,1))),"Verificar"))</f>
        <v/>
      </c>
      <c r="H12" s="39">
        <f>IF(COUNTIFS($C$37:$C$43,A12,$B$37:$B$43,"Venda")&gt;0,"Vendido",IF(COUNTIFS($C$37:$C$43,A12,$B$37:$B$43,"Morte")&gt;0,"Morto","Ativo"))</f>
        <v/>
      </c>
      <c r="I12" s="40">
        <f>IF(COUNTIF($B$22:$B$33,A12)=0,"",SUMPRODUCT(MAX(($B$22:$B$33=A12)*$A$22:$A$33)))</f>
        <v/>
      </c>
      <c r="J12" s="41">
        <f>IF(I12="",E12,IFERROR(AVERAGEIFS($C$22:$C$33,$B$22:$B$33,A12,$A$22:$A$33,I12),""))</f>
        <v/>
      </c>
      <c r="K12" s="42">
        <f>IF(I12="","",IFERROR((J12-E12)/(I12-D12),""))</f>
        <v/>
      </c>
    </row>
    <row r="13">
      <c r="A13" s="36" t="inlineStr">
        <is>
          <t>005</t>
        </is>
      </c>
      <c r="B13" s="37" t="inlineStr">
        <is>
          <t>F</t>
        </is>
      </c>
      <c r="C13" s="31" t="n">
        <v>45973</v>
      </c>
      <c r="D13" s="31" t="n">
        <v>45973</v>
      </c>
      <c r="E13" s="38" t="n">
        <v>29</v>
      </c>
      <c r="F13" s="32" t="n"/>
      <c r="G13" s="39">
        <f>IF(F13&lt;&gt;"",F13,IFERROR(IF(B13="M",INDEX(Config!$B$11:$B$14,MATCH(DATEDIF(C13,$D$5,"m"),Config!$A$11:$A$14,1)),INDEX(Config!$C$11:$C$14,MATCH(DATEDIF(C13,$D$5,"m"),Config!$A$11:$A$14,1))),"Verificar"))</f>
        <v/>
      </c>
      <c r="H13" s="39">
        <f>IF(COUNTIFS($C$37:$C$43,A13,$B$37:$B$43,"Venda")&gt;0,"Vendido",IF(COUNTIFS($C$37:$C$43,A13,$B$37:$B$43,"Morte")&gt;0,"Morto","Ativo"))</f>
        <v/>
      </c>
      <c r="I13" s="40">
        <f>IF(COUNTIF($B$22:$B$33,A13)=0,"",SUMPRODUCT(MAX(($B$22:$B$33=A13)*$A$22:$A$33)))</f>
        <v/>
      </c>
      <c r="J13" s="41">
        <f>IF(I13="",E13,IFERROR(AVERAGEIFS($C$22:$C$33,$B$22:$B$33,A13,$A$22:$A$33,I13),""))</f>
        <v/>
      </c>
      <c r="K13" s="42">
        <f>IF(I13="","",IFERROR((J13-E13)/(I13-D13),""))</f>
        <v/>
      </c>
    </row>
    <row r="14">
      <c r="A14" s="36" t="inlineStr">
        <is>
          <t>006</t>
        </is>
      </c>
      <c r="B14" s="37" t="inlineStr">
        <is>
          <t>M</t>
        </is>
      </c>
      <c r="C14" s="31" t="n">
        <v>45627</v>
      </c>
      <c r="D14" s="31" t="n">
        <v>45870</v>
      </c>
      <c r="E14" s="38" t="n">
        <v>210</v>
      </c>
      <c r="F14" s="32" t="n"/>
      <c r="G14" s="39">
        <f>IF(F14&lt;&gt;"",F14,IFERROR(IF(B14="M",INDEX(Config!$B$11:$B$14,MATCH(DATEDIF(C14,$D$5,"m"),Config!$A$11:$A$14,1)),INDEX(Config!$C$11:$C$14,MATCH(DATEDIF(C14,$D$5,"m"),Config!$A$11:$A$14,1))),"Verificar"))</f>
        <v/>
      </c>
      <c r="H14" s="39">
        <f>IF(COUNTIFS($C$37:$C$43,A14,$B$37:$B$43,"Venda")&gt;0,"Vendido",IF(COUNTIFS($C$37:$C$43,A14,$B$37:$B$43,"Morte")&gt;0,"Morto","Ativo"))</f>
        <v/>
      </c>
      <c r="I14" s="40">
        <f>IF(COUNTIF($B$22:$B$33,A14)=0,"",SUMPRODUCT(MAX(($B$22:$B$33=A14)*$A$22:$A$33)))</f>
        <v/>
      </c>
      <c r="J14" s="41">
        <f>IF(I14="",E14,IFERROR(AVERAGEIFS($C$22:$C$33,$B$22:$B$33,A14,$A$22:$A$33,I14),""))</f>
        <v/>
      </c>
      <c r="K14" s="42">
        <f>IF(I14="","",IFERROR((J14-E14)/(I14-D14),""))</f>
        <v/>
      </c>
    </row>
    <row r="15">
      <c r="A15" s="36" t="inlineStr">
        <is>
          <t>007</t>
        </is>
      </c>
      <c r="B15" s="37" t="inlineStr">
        <is>
          <t>M</t>
        </is>
      </c>
      <c r="C15" s="31" t="n">
        <v>45616</v>
      </c>
      <c r="D15" s="31" t="n">
        <v>45870</v>
      </c>
      <c r="E15" s="38" t="n">
        <v>205</v>
      </c>
      <c r="F15" s="32" t="n"/>
      <c r="G15" s="39">
        <f>IF(F15&lt;&gt;"",F15,IFERROR(IF(B15="M",INDEX(Config!$B$11:$B$14,MATCH(DATEDIF(C15,$D$5,"m"),Config!$A$11:$A$14,1)),INDEX(Config!$C$11:$C$14,MATCH(DATEDIF(C15,$D$5,"m"),Config!$A$11:$A$14,1))),"Verificar"))</f>
        <v/>
      </c>
      <c r="H15" s="39">
        <f>IF(COUNTIFS($C$37:$C$43,A15,$B$37:$B$43,"Venda")&gt;0,"Vendido",IF(COUNTIFS($C$37:$C$43,A15,$B$37:$B$43,"Morte")&gt;0,"Morto","Ativo"))</f>
        <v/>
      </c>
      <c r="I15" s="40">
        <f>IF(COUNTIF($B$22:$B$33,A15)=0,"",SUMPRODUCT(MAX(($B$22:$B$33=A15)*$A$22:$A$33)))</f>
        <v/>
      </c>
      <c r="J15" s="41">
        <f>IF(I15="",E15,IFERROR(AVERAGEIFS($C$22:$C$33,$B$22:$B$33,A15,$A$22:$A$33,I15),""))</f>
        <v/>
      </c>
      <c r="K15" s="42">
        <f>IF(I15="","",IFERROR((J15-E15)/(I15-D15),""))</f>
        <v/>
      </c>
    </row>
    <row r="16">
      <c r="A16" s="36" t="inlineStr">
        <is>
          <t>008</t>
        </is>
      </c>
      <c r="B16" s="37" t="inlineStr">
        <is>
          <t>F</t>
        </is>
      </c>
      <c r="C16" s="31" t="n">
        <v>45354</v>
      </c>
      <c r="D16" s="31" t="n">
        <v>45354</v>
      </c>
      <c r="E16" s="38" t="n">
        <v>30</v>
      </c>
      <c r="F16" s="32" t="n"/>
      <c r="G16" s="39">
        <f>IF(F16&lt;&gt;"",F16,IFERROR(IF(B16="M",INDEX(Config!$B$11:$B$14,MATCH(DATEDIF(C16,$D$5,"m"),Config!$A$11:$A$14,1)),INDEX(Config!$C$11:$C$14,MATCH(DATEDIF(C16,$D$5,"m"),Config!$A$11:$A$14,1))),"Verificar"))</f>
        <v/>
      </c>
      <c r="H16" s="39">
        <f>IF(COUNTIFS($C$37:$C$43,A16,$B$37:$B$43,"Venda")&gt;0,"Vendido",IF(COUNTIFS($C$37:$C$43,A16,$B$37:$B$43,"Morte")&gt;0,"Morto","Ativo"))</f>
        <v/>
      </c>
      <c r="I16" s="40">
        <f>IF(COUNTIF($B$22:$B$33,A16)=0,"",SUMPRODUCT(MAX(($B$22:$B$33=A16)*$A$22:$A$33)))</f>
        <v/>
      </c>
      <c r="J16" s="41">
        <f>IF(I16="",E16,IFERROR(AVERAGEIFS($C$22:$C$33,$B$22:$B$33,A16,$A$22:$A$33,I16),""))</f>
        <v/>
      </c>
      <c r="K16" s="42">
        <f>IF(I16="","",IFERROR((J16-E16)/(I16-D16),""))</f>
        <v/>
      </c>
    </row>
    <row r="17">
      <c r="A17" s="36" t="inlineStr">
        <is>
          <t>009</t>
        </is>
      </c>
      <c r="B17" s="37" t="inlineStr">
        <is>
          <t>M</t>
        </is>
      </c>
      <c r="C17" s="31" t="n">
        <v>45178</v>
      </c>
      <c r="D17" s="31" t="n">
        <v>45178</v>
      </c>
      <c r="E17" s="38" t="n">
        <v>33</v>
      </c>
      <c r="F17" s="32" t="n"/>
      <c r="G17" s="39">
        <f>IF(F17&lt;&gt;"",F17,IFERROR(IF(B17="M",INDEX(Config!$B$11:$B$14,MATCH(DATEDIF(C17,$D$5,"m"),Config!$A$11:$A$14,1)),INDEX(Config!$C$11:$C$14,MATCH(DATEDIF(C17,$D$5,"m"),Config!$A$11:$A$14,1))),"Verificar"))</f>
        <v/>
      </c>
      <c r="H17" s="39">
        <f>IF(COUNTIFS($C$37:$C$43,A17,$B$37:$B$43,"Venda")&gt;0,"Vendido",IF(COUNTIFS($C$37:$C$43,A17,$B$37:$B$43,"Morte")&gt;0,"Morto","Ativo"))</f>
        <v/>
      </c>
      <c r="I17" s="40">
        <f>IF(COUNTIF($B$22:$B$33,A17)=0,"",SUMPRODUCT(MAX(($B$22:$B$33=A17)*$A$22:$A$33)))</f>
        <v/>
      </c>
      <c r="J17" s="41">
        <f>IF(I17="",E17,IFERROR(AVERAGEIFS($C$22:$C$33,$B$22:$B$33,A17,$A$22:$A$33,I17),""))</f>
        <v/>
      </c>
      <c r="K17" s="42">
        <f>IF(I17="","",IFERROR((J17-E17)/(I17-D17),""))</f>
        <v/>
      </c>
    </row>
    <row r="18">
      <c r="A18" s="36" t="inlineStr">
        <is>
          <t>010</t>
        </is>
      </c>
      <c r="B18" s="37" t="inlineStr">
        <is>
          <t>M</t>
        </is>
      </c>
      <c r="C18" s="31" t="n">
        <v>45575</v>
      </c>
      <c r="D18" s="31" t="n">
        <v>45870</v>
      </c>
      <c r="E18" s="38" t="n">
        <v>215</v>
      </c>
      <c r="F18" s="32" t="n"/>
      <c r="G18" s="39">
        <f>IF(F18&lt;&gt;"",F18,IFERROR(IF(B18="M",INDEX(Config!$B$11:$B$14,MATCH(DATEDIF(C18,$D$5,"m"),Config!$A$11:$A$14,1)),INDEX(Config!$C$11:$C$14,MATCH(DATEDIF(C18,$D$5,"m"),Config!$A$11:$A$14,1))),"Verificar"))</f>
        <v/>
      </c>
      <c r="H18" s="39">
        <f>IF(COUNTIFS($C$37:$C$43,A18,$B$37:$B$43,"Venda")&gt;0,"Vendido",IF(COUNTIFS($C$37:$C$43,A18,$B$37:$B$43,"Morte")&gt;0,"Morto","Ativo"))</f>
        <v/>
      </c>
      <c r="I18" s="40">
        <f>IF(COUNTIF($B$22:$B$33,A18)=0,"",SUMPRODUCT(MAX(($B$22:$B$33=A18)*$A$22:$A$33)))</f>
        <v/>
      </c>
      <c r="J18" s="41">
        <f>IF(I18="",E18,IFERROR(AVERAGEIFS($C$22:$C$33,$B$22:$B$33,A18,$A$22:$A$33,I18),""))</f>
        <v/>
      </c>
      <c r="K18" s="42">
        <f>IF(I18="","",IFERROR((J18-E18)/(I18-D18),""))</f>
        <v/>
      </c>
    </row>
    <row r="20" ht="20" customHeight="1">
      <c r="A20" s="10" t="inlineStr">
        <is>
          <t>Pesagens (exemplo)</t>
        </is>
      </c>
      <c r="B20" s="11" t="n"/>
      <c r="C20" s="11" t="n"/>
      <c r="D20" s="11" t="n"/>
      <c r="G20" s="10" t="inlineStr">
        <is>
          <t>Inventário do exemplo (ativos)</t>
        </is>
      </c>
      <c r="H20" s="11" t="n"/>
      <c r="I20" s="11" t="n"/>
      <c r="J20" s="11" t="n"/>
    </row>
    <row r="21" ht="22" customHeight="1">
      <c r="A21" s="18" t="inlineStr">
        <is>
          <t>Data</t>
        </is>
      </c>
      <c r="B21" s="18" t="inlineStr">
        <is>
          <t>Brinco</t>
        </is>
      </c>
      <c r="C21" s="18" t="inlineStr">
        <is>
          <t>Peso (kg)</t>
        </is>
      </c>
      <c r="G21" s="18" t="inlineStr">
        <is>
          <t>Categoria</t>
        </is>
      </c>
      <c r="H21" s="18" t="inlineStr">
        <is>
          <t>Cabeças</t>
        </is>
      </c>
      <c r="I21" s="18" t="inlineStr">
        <is>
          <t>Peso médio (kg)</t>
        </is>
      </c>
      <c r="J21" s="18" t="inlineStr"/>
    </row>
    <row r="22">
      <c r="A22" s="31" t="n">
        <v>46082</v>
      </c>
      <c r="B22" s="36" t="inlineStr">
        <is>
          <t>004</t>
        </is>
      </c>
      <c r="C22" s="38" t="n">
        <v>140</v>
      </c>
      <c r="G22" s="8">
        <f>Listas!A2</f>
        <v/>
      </c>
      <c r="H22" s="21">
        <f>IF(G22="","",COUNTIFS($G$9:$G$18,G22,$H$9:$H$18,"Ativo"))</f>
        <v/>
      </c>
      <c r="I22" s="48">
        <f>IF(G22="","",IFERROR(AVERAGEIFS($J$9:$J$18,$G$9:$G$18,G22,$H$9:$H$18,"Ativo"),0))</f>
        <v/>
      </c>
    </row>
    <row r="23">
      <c r="A23" s="31" t="n">
        <v>46265</v>
      </c>
      <c r="B23" s="36" t="inlineStr">
        <is>
          <t>004</t>
        </is>
      </c>
      <c r="C23" s="38" t="n">
        <v>225</v>
      </c>
      <c r="G23" s="8">
        <f>Listas!A3</f>
        <v/>
      </c>
      <c r="H23" s="21">
        <f>IF(G23="","",COUNTIFS($G$9:$G$18,G23,$H$9:$H$18,"Ativo"))</f>
        <v/>
      </c>
      <c r="I23" s="48">
        <f>IF(G23="","",IFERROR(AVERAGEIFS($J$9:$J$18,$G$9:$G$18,G23,$H$9:$H$18,"Ativo"),0))</f>
        <v/>
      </c>
    </row>
    <row r="24">
      <c r="A24" s="31" t="n">
        <v>46082</v>
      </c>
      <c r="B24" s="36" t="inlineStr">
        <is>
          <t>005</t>
        </is>
      </c>
      <c r="C24" s="38" t="n">
        <v>120</v>
      </c>
      <c r="G24" s="8">
        <f>Listas!A4</f>
        <v/>
      </c>
      <c r="H24" s="21">
        <f>IF(G24="","",COUNTIFS($G$9:$G$18,G24,$H$9:$H$18,"Ativo"))</f>
        <v/>
      </c>
      <c r="I24" s="48">
        <f>IF(G24="","",IFERROR(AVERAGEIFS($J$9:$J$18,$G$9:$G$18,G24,$H$9:$H$18,"Ativo"),0))</f>
        <v/>
      </c>
    </row>
    <row r="25">
      <c r="A25" s="31" t="n">
        <v>46265</v>
      </c>
      <c r="B25" s="36" t="inlineStr">
        <is>
          <t>005</t>
        </is>
      </c>
      <c r="C25" s="38" t="n">
        <v>200</v>
      </c>
      <c r="G25" s="8">
        <f>Listas!A5</f>
        <v/>
      </c>
      <c r="H25" s="21">
        <f>IF(G25="","",COUNTIFS($G$9:$G$18,G25,$H$9:$H$18,"Ativo"))</f>
        <v/>
      </c>
      <c r="I25" s="48">
        <f>IF(G25="","",IFERROR(AVERAGEIFS($J$9:$J$18,$G$9:$G$18,G25,$H$9:$H$18,"Ativo"),0))</f>
        <v/>
      </c>
    </row>
    <row r="26">
      <c r="A26" s="31" t="n">
        <v>46054</v>
      </c>
      <c r="B26" s="36" t="inlineStr">
        <is>
          <t>006</t>
        </is>
      </c>
      <c r="C26" s="38" t="n">
        <v>300</v>
      </c>
      <c r="G26" s="8">
        <f>Listas!A6</f>
        <v/>
      </c>
      <c r="H26" s="21">
        <f>IF(G26="","",COUNTIFS($G$9:$G$18,G26,$H$9:$H$18,"Ativo"))</f>
        <v/>
      </c>
      <c r="I26" s="48">
        <f>IF(G26="","",IFERROR(AVERAGEIFS($J$9:$J$18,$G$9:$G$18,G26,$H$9:$H$18,"Ativo"),0))</f>
        <v/>
      </c>
    </row>
    <row r="27">
      <c r="A27" s="31" t="n">
        <v>46265</v>
      </c>
      <c r="B27" s="36" t="inlineStr">
        <is>
          <t>006</t>
        </is>
      </c>
      <c r="C27" s="38" t="n">
        <v>390</v>
      </c>
      <c r="G27" s="8">
        <f>Listas!A7</f>
        <v/>
      </c>
      <c r="H27" s="21">
        <f>IF(G27="","",COUNTIFS($G$9:$G$18,G27,$H$9:$H$18,"Ativo"))</f>
        <v/>
      </c>
      <c r="I27" s="48">
        <f>IF(G27="","",IFERROR(AVERAGEIFS($J$9:$J$18,$G$9:$G$18,G27,$H$9:$H$18,"Ativo"),0))</f>
        <v/>
      </c>
    </row>
    <row r="28">
      <c r="A28" s="31" t="n">
        <v>46054</v>
      </c>
      <c r="B28" s="36" t="inlineStr">
        <is>
          <t>007</t>
        </is>
      </c>
      <c r="C28" s="38" t="n">
        <v>290</v>
      </c>
      <c r="G28" s="8">
        <f>Listas!A8</f>
        <v/>
      </c>
      <c r="H28" s="21">
        <f>IF(G28="","",COUNTIFS($G$9:$G$18,G28,$H$9:$H$18,"Ativo"))</f>
        <v/>
      </c>
      <c r="I28" s="48">
        <f>IF(G28="","",IFERROR(AVERAGEIFS($J$9:$J$18,$G$9:$G$18,G28,$H$9:$H$18,"Ativo"),0))</f>
        <v/>
      </c>
    </row>
    <row r="29">
      <c r="A29" s="31" t="n">
        <v>46265</v>
      </c>
      <c r="B29" s="36" t="inlineStr">
        <is>
          <t>007</t>
        </is>
      </c>
      <c r="C29" s="38" t="n">
        <v>372</v>
      </c>
      <c r="G29" s="8">
        <f>Listas!A9</f>
        <v/>
      </c>
      <c r="H29" s="21">
        <f>IF(G29="","",COUNTIFS($G$9:$G$18,G29,$H$9:$H$18,"Ativo"))</f>
        <v/>
      </c>
      <c r="I29" s="48">
        <f>IF(G29="","",IFERROR(AVERAGEIFS($J$9:$J$18,$G$9:$G$18,G29,$H$9:$H$18,"Ativo"),0))</f>
        <v/>
      </c>
    </row>
    <row r="30">
      <c r="A30" s="31" t="n">
        <v>46054</v>
      </c>
      <c r="B30" s="36" t="inlineStr">
        <is>
          <t>010</t>
        </is>
      </c>
      <c r="C30" s="38" t="n">
        <v>305</v>
      </c>
      <c r="G30" s="8">
        <f>Listas!A10</f>
        <v/>
      </c>
      <c r="H30" s="21">
        <f>IF(G30="","",COUNTIFS($G$9:$G$18,G30,$H$9:$H$18,"Ativo"))</f>
        <v/>
      </c>
      <c r="I30" s="48">
        <f>IF(G30="","",IFERROR(AVERAGEIFS($J$9:$J$18,$G$9:$G$18,G30,$H$9:$H$18,"Ativo"),0))</f>
        <v/>
      </c>
    </row>
    <row r="31">
      <c r="A31" s="31" t="n">
        <v>46203</v>
      </c>
      <c r="B31" s="36" t="inlineStr">
        <is>
          <t>010</t>
        </is>
      </c>
      <c r="C31" s="38" t="n">
        <v>368</v>
      </c>
      <c r="G31" s="8">
        <f>Listas!A11</f>
        <v/>
      </c>
      <c r="H31" s="21">
        <f>IF(G31="","",COUNTIFS($G$9:$G$18,G31,$H$9:$H$18,"Ativo"))</f>
        <v/>
      </c>
      <c r="I31" s="48">
        <f>IF(G31="","",IFERROR(AVERAGEIFS($J$9:$J$18,$G$9:$G$18,G31,$H$9:$H$18,"Ativo"),0))</f>
        <v/>
      </c>
    </row>
    <row r="32">
      <c r="A32" s="31" t="n">
        <v>46265</v>
      </c>
      <c r="B32" s="36" t="inlineStr">
        <is>
          <t>008</t>
        </is>
      </c>
      <c r="C32" s="38" t="n">
        <v>330</v>
      </c>
      <c r="G32" s="8">
        <f>Listas!A12</f>
        <v/>
      </c>
      <c r="H32" s="21">
        <f>IF(G32="","",COUNTIFS($G$9:$G$18,G32,$H$9:$H$18,"Ativo"))</f>
        <v/>
      </c>
      <c r="I32" s="48">
        <f>IF(G32="","",IFERROR(AVERAGEIFS($J$9:$J$18,$G$9:$G$18,G32,$H$9:$H$18,"Ativo"),0))</f>
        <v/>
      </c>
    </row>
    <row r="33">
      <c r="A33" s="31" t="n">
        <v>46265</v>
      </c>
      <c r="B33" s="36" t="inlineStr">
        <is>
          <t>009</t>
        </is>
      </c>
      <c r="C33" s="38" t="n">
        <v>480</v>
      </c>
      <c r="G33" s="8">
        <f>Listas!A13</f>
        <v/>
      </c>
      <c r="H33" s="21">
        <f>IF(G33="","",COUNTIFS($G$9:$G$18,G33,$H$9:$H$18,"Ativo"))</f>
        <v/>
      </c>
      <c r="I33" s="48">
        <f>IF(G33="","",IFERROR(AVERAGEIFS($J$9:$J$18,$G$9:$G$18,G33,$H$9:$H$18,"Ativo"),0))</f>
        <v/>
      </c>
    </row>
    <row r="34">
      <c r="G34" s="8">
        <f>Listas!A14</f>
        <v/>
      </c>
      <c r="H34" s="21">
        <f>IF(G34="","",COUNTIFS($G$9:$G$18,G34,$H$9:$H$18,"Ativo"))</f>
        <v/>
      </c>
      <c r="I34" s="48">
        <f>IF(G34="","",IFERROR(AVERAGEIFS($J$9:$J$18,$G$9:$G$18,G34,$H$9:$H$18,"Ativo"),0))</f>
        <v/>
      </c>
    </row>
    <row r="35" ht="20" customHeight="1">
      <c r="A35" s="10" t="inlineStr">
        <is>
          <t>Movimentações (exemplo)</t>
        </is>
      </c>
      <c r="B35" s="11" t="n"/>
      <c r="C35" s="11" t="n"/>
      <c r="D35" s="11" t="n"/>
      <c r="E35" s="11" t="n"/>
      <c r="F35" s="11" t="n"/>
      <c r="G35" s="25" t="inlineStr">
        <is>
          <t>TOTAL ATIVO</t>
        </is>
      </c>
      <c r="H35" s="26">
        <f>SUM(H22:H34)</f>
        <v/>
      </c>
      <c r="I35" s="52">
        <f>IFERROR(AVERAGEIFS($J$9:$J$18,$H$9:$H$18,"Ativo"),0)</f>
        <v/>
      </c>
    </row>
    <row r="36" ht="22" customHeight="1">
      <c r="A36" s="18" t="inlineStr">
        <is>
          <t>Data</t>
        </is>
      </c>
      <c r="B36" s="18" t="inlineStr">
        <is>
          <t>Tipo</t>
        </is>
      </c>
      <c r="C36" s="18" t="inlineStr">
        <is>
          <t>Brinco</t>
        </is>
      </c>
      <c r="D36" s="18" t="inlineStr">
        <is>
          <t>Peso (kg)</t>
        </is>
      </c>
      <c r="E36" s="18" t="inlineStr">
        <is>
          <t>Valor (R$)</t>
        </is>
      </c>
      <c r="F36" s="18" t="inlineStr">
        <is>
          <t>Obs.</t>
        </is>
      </c>
      <c r="G36" s="54" t="inlineStr">
        <is>
          <t>Conferência (ativos − total):</t>
        </is>
      </c>
      <c r="I36" s="21">
        <f>COUNTIF($H$9:$H$18,"Ativo")-H35</f>
        <v/>
      </c>
    </row>
    <row r="37">
      <c r="A37" s="31" t="n">
        <v>45935</v>
      </c>
      <c r="B37" s="37" t="inlineStr">
        <is>
          <t>Nascimento</t>
        </is>
      </c>
      <c r="C37" s="36" t="inlineStr">
        <is>
          <t>004</t>
        </is>
      </c>
      <c r="D37" s="38" t="n">
        <v>31</v>
      </c>
      <c r="E37" s="44" t="n">
        <v>0</v>
      </c>
      <c r="F37" s="32" t="n"/>
    </row>
    <row r="38">
      <c r="A38" s="31" t="n">
        <v>45973</v>
      </c>
      <c r="B38" s="37" t="inlineStr">
        <is>
          <t>Nascimento</t>
        </is>
      </c>
      <c r="C38" s="36" t="inlineStr">
        <is>
          <t>005</t>
        </is>
      </c>
      <c r="D38" s="38" t="n">
        <v>29</v>
      </c>
      <c r="E38" s="44" t="n">
        <v>0</v>
      </c>
      <c r="F38" s="32" t="n"/>
    </row>
    <row r="39">
      <c r="A39" s="31" t="n">
        <v>45870</v>
      </c>
      <c r="B39" s="37" t="inlineStr">
        <is>
          <t>Compra</t>
        </is>
      </c>
      <c r="C39" s="36" t="inlineStr">
        <is>
          <t>006</t>
        </is>
      </c>
      <c r="D39" s="38" t="n">
        <v>210</v>
      </c>
      <c r="E39" s="44" t="n">
        <v>2600</v>
      </c>
      <c r="F39" s="32" t="inlineStr">
        <is>
          <t>Fornecedor fictício</t>
        </is>
      </c>
    </row>
    <row r="40">
      <c r="A40" s="31" t="n">
        <v>45870</v>
      </c>
      <c r="B40" s="37" t="inlineStr">
        <is>
          <t>Compra</t>
        </is>
      </c>
      <c r="C40" s="36" t="inlineStr">
        <is>
          <t>007</t>
        </is>
      </c>
      <c r="D40" s="38" t="n">
        <v>205</v>
      </c>
      <c r="E40" s="44" t="n">
        <v>2550</v>
      </c>
      <c r="F40" s="32" t="inlineStr">
        <is>
          <t>Fornecedor fictício</t>
        </is>
      </c>
    </row>
    <row r="41">
      <c r="A41" s="31" t="n">
        <v>45870</v>
      </c>
      <c r="B41" s="37" t="inlineStr">
        <is>
          <t>Compra</t>
        </is>
      </c>
      <c r="C41" s="36" t="inlineStr">
        <is>
          <t>010</t>
        </is>
      </c>
      <c r="D41" s="38" t="n">
        <v>215</v>
      </c>
      <c r="E41" s="44" t="n">
        <v>2650</v>
      </c>
      <c r="F41" s="32" t="inlineStr">
        <is>
          <t>Fornecedor fictício</t>
        </is>
      </c>
    </row>
    <row r="42">
      <c r="A42" s="31" t="n">
        <v>46218</v>
      </c>
      <c r="B42" s="37" t="inlineStr">
        <is>
          <t>Venda</t>
        </is>
      </c>
      <c r="C42" s="36" t="inlineStr">
        <is>
          <t>009</t>
        </is>
      </c>
      <c r="D42" s="38" t="n">
        <v>470</v>
      </c>
      <c r="E42" s="44" t="n">
        <v>6200</v>
      </c>
      <c r="F42" s="32" t="inlineStr">
        <is>
          <t>Comprador fictício</t>
        </is>
      </c>
    </row>
    <row r="43">
      <c r="A43" s="31" t="n">
        <v>46223</v>
      </c>
      <c r="B43" s="37" t="inlineStr">
        <is>
          <t>Morte</t>
        </is>
      </c>
      <c r="C43" s="36" t="inlineStr">
        <is>
          <t>010</t>
        </is>
      </c>
      <c r="D43" s="38" t="n">
        <v>370</v>
      </c>
      <c r="E43" s="44" t="n">
        <v>0</v>
      </c>
      <c r="F43" s="32" t="inlineStr">
        <is>
          <t>Causa a registrar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">
    <mergeCell ref="A3:L3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2026-10-21T11:33:57Z</dcterms:created>
  <dcterms:modified xmlns:dcterms="http://purl.org/dc/terms/" xmlns:xsi="http://www.w3.org/2001/XMLSchema-instance" xsi:type="dcterms:W3CDTF">2026-10-21T11:34:00Z</dcterms:modified>
</cp:coreProperties>
</file>